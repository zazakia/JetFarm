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8b57e5c1cfd8b7/Documents/"/>
    </mc:Choice>
  </mc:AlternateContent>
  <xr:revisionPtr revIDLastSave="3" documentId="13_ncr:2001_{26D03073-3002-4982-84EB-3E723622132D}" xr6:coauthVersionLast="47" xr6:coauthVersionMax="47" xr10:uidLastSave="{4973A0D3-BF99-49B3-8470-EF0708E713FD}"/>
  <bookViews>
    <workbookView xWindow="-120" yWindow="-120" windowWidth="24240" windowHeight="13020" firstSheet="1" activeTab="1" xr2:uid="{FAADA757-AC63-4A94-8E50-6EBC41CE5563}"/>
  </bookViews>
  <sheets>
    <sheet name="checklist" sheetId="1" state="hidden" r:id="rId1"/>
    <sheet name="SUMMARY" sheetId="2" r:id="rId2"/>
    <sheet name="Sheet1" sheetId="3" state="hidden" r:id="rId3"/>
  </sheets>
  <definedNames>
    <definedName name="_xlnm._FilterDatabase" localSheetId="1" hidden="1">SUMMARY!$A$1:$N$286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86" i="2" l="1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</calcChain>
</file>

<file path=xl/sharedStrings.xml><?xml version="1.0" encoding="utf-8"?>
<sst xmlns="http://schemas.openxmlformats.org/spreadsheetml/2006/main" count="4772" uniqueCount="871">
  <si>
    <t>TO DO</t>
  </si>
  <si>
    <t>REMARKS</t>
  </si>
  <si>
    <t>Loans</t>
  </si>
  <si>
    <t>Customer List</t>
  </si>
  <si>
    <t>Customer Balance</t>
  </si>
  <si>
    <t>Customer Payments</t>
  </si>
  <si>
    <t>Expenses</t>
  </si>
  <si>
    <t>Assigned per collector</t>
  </si>
  <si>
    <t>Member ID</t>
  </si>
  <si>
    <t>Full Name</t>
  </si>
  <si>
    <t>Gender</t>
  </si>
  <si>
    <t>Birthdate</t>
  </si>
  <si>
    <t>Contact No.</t>
  </si>
  <si>
    <t>Baranggay</t>
  </si>
  <si>
    <t>Complete Address</t>
  </si>
  <si>
    <t>Source of Income</t>
  </si>
  <si>
    <t>Date Joined</t>
  </si>
  <si>
    <t>Membership Status</t>
  </si>
  <si>
    <t>Collector Assigned</t>
  </si>
  <si>
    <t>AG00001</t>
  </si>
  <si>
    <t>Jeniffer C. Navarro</t>
  </si>
  <si>
    <t>Female</t>
  </si>
  <si>
    <t>Alinguigan 3rd</t>
  </si>
  <si>
    <t>Alinguigan 3rd, City of Ilagan</t>
  </si>
  <si>
    <t>Salary/Furniture</t>
  </si>
  <si>
    <t>Active</t>
  </si>
  <si>
    <t>Collector 1</t>
  </si>
  <si>
    <t>AG00002</t>
  </si>
  <si>
    <t>Rhealyn R. Malana</t>
  </si>
  <si>
    <t>Vendor</t>
  </si>
  <si>
    <t>AG00003</t>
  </si>
  <si>
    <t>Mary Ann A. Roqued</t>
  </si>
  <si>
    <t>Palacian</t>
  </si>
  <si>
    <t>Purok 5, Brgy. Palacian, San Agustin, Isabela</t>
  </si>
  <si>
    <t>Mini Talipapa/Rolling Vendor</t>
  </si>
  <si>
    <t>AG00004</t>
  </si>
  <si>
    <t>Jovilyn D. Patacsil</t>
  </si>
  <si>
    <t>Purok 7, Brgy. Palacian, San Agustin, Isabela</t>
  </si>
  <si>
    <t>Store/Banana</t>
  </si>
  <si>
    <t>AG00005</t>
  </si>
  <si>
    <t>Teresa Agustin</t>
  </si>
  <si>
    <t>Sari Sari Store</t>
  </si>
  <si>
    <t>Inactive</t>
  </si>
  <si>
    <t>AG00006</t>
  </si>
  <si>
    <t>Juliet Agpalza</t>
  </si>
  <si>
    <t>Purok 6, Brgy. Palacian, San Agustin, Isabela</t>
  </si>
  <si>
    <t>Piggery</t>
  </si>
  <si>
    <t>AG00007</t>
  </si>
  <si>
    <t>Juvy C. Acoba</t>
  </si>
  <si>
    <t>AG00008</t>
  </si>
  <si>
    <t>Arlene Mae T. Batarao</t>
  </si>
  <si>
    <t>Farming</t>
  </si>
  <si>
    <t>AG00009</t>
  </si>
  <si>
    <t>Babylyn M. Manuel</t>
  </si>
  <si>
    <t>Purok 4, Brgy. Palacian, San Agustin, Isabela</t>
  </si>
  <si>
    <t>Administrative Clerk</t>
  </si>
  <si>
    <t>AG00010</t>
  </si>
  <si>
    <t>Novelyn U. Garrote</t>
  </si>
  <si>
    <t>AG00011</t>
  </si>
  <si>
    <t>Florita L. Dadiz</t>
  </si>
  <si>
    <t>AG00012</t>
  </si>
  <si>
    <t>Rebylen R. Tumaneng</t>
  </si>
  <si>
    <t>AG00013</t>
  </si>
  <si>
    <t>Grace A. Agcaoili</t>
  </si>
  <si>
    <t>Pedicure/Tailoring</t>
  </si>
  <si>
    <t>AG00014</t>
  </si>
  <si>
    <t>Charmielei M. Cielo</t>
  </si>
  <si>
    <t>Office Staff</t>
  </si>
  <si>
    <t>AG00015</t>
  </si>
  <si>
    <t>Marvie M. Guzman</t>
  </si>
  <si>
    <t>Quimalabasa Norte</t>
  </si>
  <si>
    <t>Brgy. Quimalabasa Norte, San Agustin, Isabela</t>
  </si>
  <si>
    <t>AG00016</t>
  </si>
  <si>
    <t>Raymart D. Apostol</t>
  </si>
  <si>
    <t>Male</t>
  </si>
  <si>
    <t>Delivery Rider</t>
  </si>
  <si>
    <t>AG00017</t>
  </si>
  <si>
    <t>Lenie L. Lopez</t>
  </si>
  <si>
    <t>AG00018</t>
  </si>
  <si>
    <t>Julie A. Agcaoili</t>
  </si>
  <si>
    <t>Purok 3, Brgy. Palacian, San Agustin, Isabela</t>
  </si>
  <si>
    <t>AG00019</t>
  </si>
  <si>
    <t>Nevielyn R. Asuncion</t>
  </si>
  <si>
    <t>Purok 2, Brgy. Palacian, San Agustin, Isabela</t>
  </si>
  <si>
    <t>AG00020</t>
  </si>
  <si>
    <t>Gladys L. Macabeo</t>
  </si>
  <si>
    <t>Pedicure/Manicure/Farming</t>
  </si>
  <si>
    <t>AG00021</t>
  </si>
  <si>
    <t>Noimie Nazareta</t>
  </si>
  <si>
    <t>AG00022</t>
  </si>
  <si>
    <t>Edna B. Lumot</t>
  </si>
  <si>
    <t>Sari Sari Store/Farming</t>
  </si>
  <si>
    <t>AG00023</t>
  </si>
  <si>
    <t>Emelyn Villuan</t>
  </si>
  <si>
    <t>AG00024</t>
  </si>
  <si>
    <t>Glenda F. Orodio</t>
  </si>
  <si>
    <t>Masaya Centro</t>
  </si>
  <si>
    <t>Masaya Centro, San Agustin, Isabela</t>
  </si>
  <si>
    <t>Business Owner</t>
  </si>
  <si>
    <t>AG00025</t>
  </si>
  <si>
    <t>Eresim M. Lazatin Jr.</t>
  </si>
  <si>
    <t>AG00026</t>
  </si>
  <si>
    <t>Jocelyn C. Mondido</t>
  </si>
  <si>
    <t>Rolling Vendor</t>
  </si>
  <si>
    <t>AG00027</t>
  </si>
  <si>
    <t>Leonora G. Bugarin</t>
  </si>
  <si>
    <t>Online Seller</t>
  </si>
  <si>
    <t>AG00028</t>
  </si>
  <si>
    <t>Noralyn Pascual</t>
  </si>
  <si>
    <t>AG00029</t>
  </si>
  <si>
    <t>Emylou P. Zuniega</t>
  </si>
  <si>
    <t>Salay</t>
  </si>
  <si>
    <t>Salay, San Agustin, Isabela</t>
  </si>
  <si>
    <t>Government Employee</t>
  </si>
  <si>
    <t>AG00030</t>
  </si>
  <si>
    <t>Vilma S. Lumot</t>
  </si>
  <si>
    <t>AG00031</t>
  </si>
  <si>
    <t>Angelita Pacag</t>
  </si>
  <si>
    <t>Masaya Sur</t>
  </si>
  <si>
    <t>Purok 6, Brgy. Masaya Sur, San Agustin, Isabela</t>
  </si>
  <si>
    <t>AG00032</t>
  </si>
  <si>
    <t>Alvie A. Pascual</t>
  </si>
  <si>
    <t>Santos</t>
  </si>
  <si>
    <t>Santos, San Agustin, Isabela</t>
  </si>
  <si>
    <t>AG00033</t>
  </si>
  <si>
    <t>Renz Marion Q. Navarro</t>
  </si>
  <si>
    <t>AG00034</t>
  </si>
  <si>
    <t>Marie Fe Melad</t>
  </si>
  <si>
    <t>Ilagan</t>
  </si>
  <si>
    <t>AG00035</t>
  </si>
  <si>
    <t>Alma Jane Awayang</t>
  </si>
  <si>
    <t>San Dionisio</t>
  </si>
  <si>
    <t>San Dionisio 1, Maddela Quirino</t>
  </si>
  <si>
    <t>Hog Raiser</t>
  </si>
  <si>
    <t>AG00036</t>
  </si>
  <si>
    <t>Flordeliza Awayang</t>
  </si>
  <si>
    <t>AG00037</t>
  </si>
  <si>
    <t>Rosemarie Andres</t>
  </si>
  <si>
    <t>AG00038</t>
  </si>
  <si>
    <t>Gracielyn Pineda</t>
  </si>
  <si>
    <t>AG00039</t>
  </si>
  <si>
    <t>Jhona Flores</t>
  </si>
  <si>
    <t>Hog Raiser/Ukay Ukay</t>
  </si>
  <si>
    <t>AG00040</t>
  </si>
  <si>
    <t>Mary Jane Flores</t>
  </si>
  <si>
    <t>Hog Raiser/Ukay Ukay/Hallow Blocks</t>
  </si>
  <si>
    <t>AG00041</t>
  </si>
  <si>
    <t>JANETH ANDRES</t>
  </si>
  <si>
    <t>AG00042</t>
  </si>
  <si>
    <t>RONALYN A. FLORES</t>
  </si>
  <si>
    <t>Laborer/Hog Raiser</t>
  </si>
  <si>
    <t>AG00043</t>
  </si>
  <si>
    <t>JULIETA C. FLORES</t>
  </si>
  <si>
    <t>Food Processing/Walking Vendor</t>
  </si>
  <si>
    <t>AG00044</t>
  </si>
  <si>
    <t>CHERRY ANN D. FLORES</t>
  </si>
  <si>
    <t>Hog Raiser/Laborer</t>
  </si>
  <si>
    <t>AG00045</t>
  </si>
  <si>
    <t>GINA V. DELA CRUZ</t>
  </si>
  <si>
    <t>AG00046</t>
  </si>
  <si>
    <t>CARMENCITA A. MALAB</t>
  </si>
  <si>
    <t>Purok 4, Palacian, San Agustin, Isabela</t>
  </si>
  <si>
    <t>Pastor</t>
  </si>
  <si>
    <t>AG00047</t>
  </si>
  <si>
    <t>JONALYN S. PINEDA</t>
  </si>
  <si>
    <t>AG00048</t>
  </si>
  <si>
    <t>ARDIE P. PAJARA</t>
  </si>
  <si>
    <t>AG00049</t>
  </si>
  <si>
    <t>MARILYN S. DOMINGO</t>
  </si>
  <si>
    <t>AG00050</t>
  </si>
  <si>
    <t>HANNY HAIZEL ALDA</t>
  </si>
  <si>
    <t>AG00051</t>
  </si>
  <si>
    <t>BEATE APRIL U. GARROTE</t>
  </si>
  <si>
    <t>Purok 6, Palacian, San Agustin, Isabela</t>
  </si>
  <si>
    <t>Caregiver</t>
  </si>
  <si>
    <t>AG00052</t>
  </si>
  <si>
    <t>ANALYN BULLOS</t>
  </si>
  <si>
    <t>Purok 3, Masaya Centro, San Agustin, Isabela</t>
  </si>
  <si>
    <t>Direct Seller</t>
  </si>
  <si>
    <t>AG00053</t>
  </si>
  <si>
    <t>MONICA L. ESTIFANIO</t>
  </si>
  <si>
    <t>Online Business</t>
  </si>
  <si>
    <t>AG00054</t>
  </si>
  <si>
    <t>ADORACION M. LAZATIN</t>
  </si>
  <si>
    <t>Retired Teacher</t>
  </si>
  <si>
    <t>AG00055</t>
  </si>
  <si>
    <t>MARK MELLAN M. GABRIEL</t>
  </si>
  <si>
    <t>Dabubu Grande, San Agustin, Isabela</t>
  </si>
  <si>
    <t>Beautician</t>
  </si>
  <si>
    <t>AG00056</t>
  </si>
  <si>
    <t>ROSENDA GARANES</t>
  </si>
  <si>
    <t>Purok 4, Masaya Centro, San Agustin, Isabela</t>
  </si>
  <si>
    <t>Sari Sari Store/Vendor Frozen Foods</t>
  </si>
  <si>
    <t>AG00057</t>
  </si>
  <si>
    <t>PRELY SALCEDO</t>
  </si>
  <si>
    <t>AG00058</t>
  </si>
  <si>
    <t>WARLIE RESPICIO</t>
  </si>
  <si>
    <t>Tricycle Driver</t>
  </si>
  <si>
    <t>AG00059</t>
  </si>
  <si>
    <t>LOURDES MAMAUAG</t>
  </si>
  <si>
    <t>Purok 1, Masaya Centro, San Agustin, Isabela</t>
  </si>
  <si>
    <t>Tailoring/Dressmaking</t>
  </si>
  <si>
    <t>AG00060</t>
  </si>
  <si>
    <t>MARIVIC VALDEZ</t>
  </si>
  <si>
    <t>Purok 2, Masaya Centro, San Agustin, Isabela</t>
  </si>
  <si>
    <t>AG00061</t>
  </si>
  <si>
    <t>MERLIE ENRIQUEZ</t>
  </si>
  <si>
    <t>Butcher</t>
  </si>
  <si>
    <t>AG00062</t>
  </si>
  <si>
    <t>NORMA D. GERARDO</t>
  </si>
  <si>
    <t>AG00063</t>
  </si>
  <si>
    <t>JUVY ANNE BARENG</t>
  </si>
  <si>
    <t>Babysitter</t>
  </si>
  <si>
    <t>AG00064</t>
  </si>
  <si>
    <t>LINDA MIGUEL</t>
  </si>
  <si>
    <t>Purok 7, Masaya Centro, San Agustin, Isabela</t>
  </si>
  <si>
    <t>AG00065</t>
  </si>
  <si>
    <t>ANABEL FAGUN</t>
  </si>
  <si>
    <t>AG00066</t>
  </si>
  <si>
    <t>EVA CALUYA</t>
  </si>
  <si>
    <t>Carinderia Owner/Sari Sari Store</t>
  </si>
  <si>
    <t>AG00067</t>
  </si>
  <si>
    <t>LORIBEL T. CASTRO</t>
  </si>
  <si>
    <t>Purok 4, Masaya Sur, San Agustin, Isabela</t>
  </si>
  <si>
    <t>Barbershop/Catering</t>
  </si>
  <si>
    <t>AG00068</t>
  </si>
  <si>
    <t>NORICEL CASTRO</t>
  </si>
  <si>
    <t>Vendor/Lugawan/BBQ</t>
  </si>
  <si>
    <t>AG00069</t>
  </si>
  <si>
    <t>BELEN M. CATALON</t>
  </si>
  <si>
    <t>Purok 5, Masaya Sur, San Agustin, Isabela</t>
  </si>
  <si>
    <t>AG00070</t>
  </si>
  <si>
    <t>MARISSA M. SALVADOR</t>
  </si>
  <si>
    <t>AG00071</t>
  </si>
  <si>
    <t>MILAGROS VALMONTE</t>
  </si>
  <si>
    <t>Purok 1, Santos, San Agustin, Isabela</t>
  </si>
  <si>
    <t>Lugawan</t>
  </si>
  <si>
    <t>AG00072</t>
  </si>
  <si>
    <t>AMELIA M. TARACATAC</t>
  </si>
  <si>
    <t>Purok 1, Masaya Sur, San Agustin, Isabela</t>
  </si>
  <si>
    <t>AG00073</t>
  </si>
  <si>
    <t>MELBA B. MARTIN</t>
  </si>
  <si>
    <t>AG00074</t>
  </si>
  <si>
    <t>VILMA B. LORENZO</t>
  </si>
  <si>
    <t>Masaya Norte</t>
  </si>
  <si>
    <t>Purok 7, Masaya Norte, San Agustin, Isabela</t>
  </si>
  <si>
    <t>Caretaker/Pedicure/Manicute</t>
  </si>
  <si>
    <t>AG00075</t>
  </si>
  <si>
    <t>AMELIA ESPINUEVA</t>
  </si>
  <si>
    <t>Laborer</t>
  </si>
  <si>
    <t>AG00076</t>
  </si>
  <si>
    <t>BJAY V. DAYSON</t>
  </si>
  <si>
    <t>San Antonio</t>
  </si>
  <si>
    <t>Purok 1, San Antonio, San Agustin, Isabela</t>
  </si>
  <si>
    <t>AG00077</t>
  </si>
  <si>
    <t>MARK ANTHONY SILVESTRE</t>
  </si>
  <si>
    <t>AG00078</t>
  </si>
  <si>
    <t>RIONALINE D. BASILIO</t>
  </si>
  <si>
    <t>Business Owner/Habibti Salon by bhenz</t>
  </si>
  <si>
    <t>AG00079</t>
  </si>
  <si>
    <t>JILMA M. CUGAY</t>
  </si>
  <si>
    <t>Purok 4, Santos, San Agustin, Isabela</t>
  </si>
  <si>
    <t>Vendor/Piggery</t>
  </si>
  <si>
    <t>AG00080</t>
  </si>
  <si>
    <t>KRISTIAN M. AGPAOA</t>
  </si>
  <si>
    <t>Admin. Assistant</t>
  </si>
  <si>
    <t>AG00081</t>
  </si>
  <si>
    <t>NORILYN APOSTOL</t>
  </si>
  <si>
    <t>AG00082</t>
  </si>
  <si>
    <t>GELLY MAE C. TALAMAYAN</t>
  </si>
  <si>
    <t>Purok 1, Masaya Norte, San Agustin, Isabela</t>
  </si>
  <si>
    <t>Brgy. Secretary</t>
  </si>
  <si>
    <t>AG00083</t>
  </si>
  <si>
    <t>MARLO S. ANGEL</t>
  </si>
  <si>
    <t>Angel's Food Hub</t>
  </si>
  <si>
    <t>AG00084</t>
  </si>
  <si>
    <t>ROWENA M. LUIS</t>
  </si>
  <si>
    <t>Online Seller/Retailer</t>
  </si>
  <si>
    <t>AG00085</t>
  </si>
  <si>
    <t>JULIE A. CASTILLO</t>
  </si>
  <si>
    <t>Purok 6, Santos, San Agustin, Isabela</t>
  </si>
  <si>
    <t>AG00086</t>
  </si>
  <si>
    <t>PERLITA D. TOMAS</t>
  </si>
  <si>
    <t>Purok 2, Santos, San Agustin, Isabela</t>
  </si>
  <si>
    <t>AG00087</t>
  </si>
  <si>
    <t>JANET S. DALLORAN</t>
  </si>
  <si>
    <t>Purok 7, Palacian, San Agustin, Isabela</t>
  </si>
  <si>
    <t>AG00088</t>
  </si>
  <si>
    <t>CHARILYN TUMOMBA</t>
  </si>
  <si>
    <t>AG00089</t>
  </si>
  <si>
    <t>VIOLETA CASTRICIONES</t>
  </si>
  <si>
    <t>AG00090</t>
  </si>
  <si>
    <t>LUVY J. ANTONIO</t>
  </si>
  <si>
    <t>Sinaoangan Norte</t>
  </si>
  <si>
    <t>Purok 4, Sinaoangan Norte, San Agustin, isabela</t>
  </si>
  <si>
    <t>AG00091</t>
  </si>
  <si>
    <t>SHEREL N. VALDEZ</t>
  </si>
  <si>
    <t>AG00092</t>
  </si>
  <si>
    <t>EMELY C. ALEJO</t>
  </si>
  <si>
    <t>AG00093</t>
  </si>
  <si>
    <t>SUSAN N. ANDRES</t>
  </si>
  <si>
    <t>Sinaoangan Norte, San Agustin, Isabela</t>
  </si>
  <si>
    <t>AG00094</t>
  </si>
  <si>
    <t>CRISELDA B. DELA CRUZ</t>
  </si>
  <si>
    <t>Online Business/Baby sitter</t>
  </si>
  <si>
    <t>AG00095</t>
  </si>
  <si>
    <t>LIEZEL B. DELOS SANTOS</t>
  </si>
  <si>
    <t>AG00096</t>
  </si>
  <si>
    <t>JANE R. MABATAN</t>
  </si>
  <si>
    <t>Ukay Ukay</t>
  </si>
  <si>
    <t>AG00097</t>
  </si>
  <si>
    <t>Lovejoy B. Andres</t>
  </si>
  <si>
    <t>AG00098</t>
  </si>
  <si>
    <t>Jennifer M. Andres</t>
  </si>
  <si>
    <t>Walking Vendor</t>
  </si>
  <si>
    <t>AG00099</t>
  </si>
  <si>
    <t>Charles L. Domingo Jr.</t>
  </si>
  <si>
    <t>Internet Provider</t>
  </si>
  <si>
    <t>AG00100</t>
  </si>
  <si>
    <t>Eden Myrah P. Flores</t>
  </si>
  <si>
    <t>Rice Retailer</t>
  </si>
  <si>
    <t>AG00101</t>
  </si>
  <si>
    <t>Mayrose M. Dumlao</t>
  </si>
  <si>
    <t>Buy and Sell</t>
  </si>
  <si>
    <t>AG00102</t>
  </si>
  <si>
    <t>Kathleen Gay T. Manuel</t>
  </si>
  <si>
    <t>Panang</t>
  </si>
  <si>
    <t>Purok 1, Panang, San Agustin, Isabela</t>
  </si>
  <si>
    <t>Banana Dealer</t>
  </si>
  <si>
    <t>AG00103</t>
  </si>
  <si>
    <t>Jess Mark Alejo</t>
  </si>
  <si>
    <t>Purok 3, Sinaongan Norte, San Agustin, Isabela</t>
  </si>
  <si>
    <t>AG00104</t>
  </si>
  <si>
    <t>Vilma Bareng</t>
  </si>
  <si>
    <t>AG00105</t>
  </si>
  <si>
    <t>Maria Celeste Espela</t>
  </si>
  <si>
    <t>AG00106</t>
  </si>
  <si>
    <t>Daisy J. Fernando</t>
  </si>
  <si>
    <t>AG00107</t>
  </si>
  <si>
    <t>Jacqueline M. Pascua</t>
  </si>
  <si>
    <t>AG00108</t>
  </si>
  <si>
    <t>Donnalyn T. Castillo</t>
  </si>
  <si>
    <t>Purok 2, Masaya Sur, San Agustin, Isabela</t>
  </si>
  <si>
    <t>Teacher</t>
  </si>
  <si>
    <t>AG00109</t>
  </si>
  <si>
    <t>Anna Maria B. Lutaria</t>
  </si>
  <si>
    <t>Rolling Dry Goods/Vegetables</t>
  </si>
  <si>
    <t>AG00110</t>
  </si>
  <si>
    <t>Madonna C. Antonio</t>
  </si>
  <si>
    <t>Purok 6, Masaya Sur, San Agustin, Isabela</t>
  </si>
  <si>
    <t>Tailoring/Furniture</t>
  </si>
  <si>
    <t>AG00111</t>
  </si>
  <si>
    <t>Mary Ann D. Eramis</t>
  </si>
  <si>
    <t>Nemmatan</t>
  </si>
  <si>
    <t>Purok 6, Nemmatan, San Agustin, Isabela</t>
  </si>
  <si>
    <t>AG00112</t>
  </si>
  <si>
    <t>Ben Joe O. Alejandro</t>
  </si>
  <si>
    <t>Purok 2, Nemmatan, San Agustin, Isabela</t>
  </si>
  <si>
    <t>AG00113</t>
  </si>
  <si>
    <t>Nerry S. Tiburcio</t>
  </si>
  <si>
    <t>Purok 2, Palacian, San Agustin, Isabela</t>
  </si>
  <si>
    <t>AG00114</t>
  </si>
  <si>
    <t>Felicita T. Castillo</t>
  </si>
  <si>
    <t>AG00115</t>
  </si>
  <si>
    <t>Leilani O. Manuel</t>
  </si>
  <si>
    <t>Dappig</t>
  </si>
  <si>
    <t>Dappig, San Agustin, Isabela</t>
  </si>
  <si>
    <t>Grocery Store</t>
  </si>
  <si>
    <t>AG00116</t>
  </si>
  <si>
    <t>Elizabeth M. Domingo</t>
  </si>
  <si>
    <t>Housekeeper</t>
  </si>
  <si>
    <t>AG00117</t>
  </si>
  <si>
    <t>Aida A. Mangaoil</t>
  </si>
  <si>
    <t>Vegetable Vendor</t>
  </si>
  <si>
    <t>AG00118</t>
  </si>
  <si>
    <t>Mades S. Awingan</t>
  </si>
  <si>
    <t>AG00119</t>
  </si>
  <si>
    <t>Glydel M. Paguyo</t>
  </si>
  <si>
    <t>Besties Bites Food House</t>
  </si>
  <si>
    <t>AG00120</t>
  </si>
  <si>
    <t>Flordeliza Pascual</t>
  </si>
  <si>
    <t>Flordeliza Food Service</t>
  </si>
  <si>
    <t>AG00121</t>
  </si>
  <si>
    <t>Vivian G. Parel</t>
  </si>
  <si>
    <t>Masaya Sur, San Agustin, Isabela</t>
  </si>
  <si>
    <t>AG00122</t>
  </si>
  <si>
    <t>Melba A. Pascual</t>
  </si>
  <si>
    <t>AG00123</t>
  </si>
  <si>
    <t>John Lloyd C. Taguiam</t>
  </si>
  <si>
    <t>JBE Transport and Services</t>
  </si>
  <si>
    <t>AG00124</t>
  </si>
  <si>
    <t>Loreta P. Jerusalem</t>
  </si>
  <si>
    <t>Purok 6, Masaya Centro, San Agustin, Isabela</t>
  </si>
  <si>
    <t>AG00125</t>
  </si>
  <si>
    <t>Rose Emy L. Braza</t>
  </si>
  <si>
    <t>Calaocan</t>
  </si>
  <si>
    <t>Calaocan, san Agustin, Isabela</t>
  </si>
  <si>
    <t>Rose Dry Goods</t>
  </si>
  <si>
    <t>AG00126</t>
  </si>
  <si>
    <t>Kennybeth T. Bareng</t>
  </si>
  <si>
    <t>AG00127</t>
  </si>
  <si>
    <t>Ruben John C. Novecido</t>
  </si>
  <si>
    <t>AG00128</t>
  </si>
  <si>
    <t>Lordwin T. Umipig</t>
  </si>
  <si>
    <t>AG00129</t>
  </si>
  <si>
    <t>Kevin Owen Alejo</t>
  </si>
  <si>
    <t>Caretaker-Ateng's Place Restaurant</t>
  </si>
  <si>
    <t>AG00130</t>
  </si>
  <si>
    <t>Henry T. Bareng</t>
  </si>
  <si>
    <t>AG00131</t>
  </si>
  <si>
    <t>Sherwin A. Antonio</t>
  </si>
  <si>
    <t>Construcion Worker</t>
  </si>
  <si>
    <t>AG00132</t>
  </si>
  <si>
    <t>Rhey Mark S. Andres</t>
  </si>
  <si>
    <t>AG00133</t>
  </si>
  <si>
    <t>Lenny Jane S. Andres</t>
  </si>
  <si>
    <t>AG00134</t>
  </si>
  <si>
    <t>Pheebe S. Ramos</t>
  </si>
  <si>
    <t>AG00135</t>
  </si>
  <si>
    <t>Edna J. Panit</t>
  </si>
  <si>
    <t>AG00136</t>
  </si>
  <si>
    <t>Jessie A. Alejo</t>
  </si>
  <si>
    <t>AG00137</t>
  </si>
  <si>
    <t>Marie Fe B. Bareng</t>
  </si>
  <si>
    <t>AG00138</t>
  </si>
  <si>
    <t>Noimie L. Castillo</t>
  </si>
  <si>
    <t>AG00139</t>
  </si>
  <si>
    <t>Lamie M. Lucero</t>
  </si>
  <si>
    <t>Sari Sari Store Owner</t>
  </si>
  <si>
    <t>AG00140</t>
  </si>
  <si>
    <t>Marlin U. Pascual</t>
  </si>
  <si>
    <t>Purok 1 Palacian, San Agustin, Isabela</t>
  </si>
  <si>
    <t>Brgy. Captain</t>
  </si>
  <si>
    <t>AG00141</t>
  </si>
  <si>
    <t>Jeffrey Andres</t>
  </si>
  <si>
    <t>AG00142</t>
  </si>
  <si>
    <t>Gretchen L. Agcaoili</t>
  </si>
  <si>
    <t>Purok 4 Palacian, San Agustin, Isabela</t>
  </si>
  <si>
    <t>Brgy. Treasurer</t>
  </si>
  <si>
    <t>AG00143</t>
  </si>
  <si>
    <t>Avelino Flores Jr.</t>
  </si>
  <si>
    <t>AG00144</t>
  </si>
  <si>
    <t>Jonathan Flores</t>
  </si>
  <si>
    <t>AG00145</t>
  </si>
  <si>
    <t>Jaylor Flores</t>
  </si>
  <si>
    <t>AG00146</t>
  </si>
  <si>
    <t>April Joyce Ambrocio</t>
  </si>
  <si>
    <t>AG00147</t>
  </si>
  <si>
    <t>Melando D. Dumlao</t>
  </si>
  <si>
    <t>AG00148</t>
  </si>
  <si>
    <t>Anie T. Lomut</t>
  </si>
  <si>
    <t>AG00149</t>
  </si>
  <si>
    <t>Hector Andres</t>
  </si>
  <si>
    <t>AG00150</t>
  </si>
  <si>
    <t>Anna Rose Fampo</t>
  </si>
  <si>
    <t>Purok 6 Palacian, San Agustin, Isabela</t>
  </si>
  <si>
    <t>AG00151</t>
  </si>
  <si>
    <t>Kristele Mae P. Alili</t>
  </si>
  <si>
    <t>AG00152</t>
  </si>
  <si>
    <t>Adona Marie A. Esteban</t>
  </si>
  <si>
    <t>Processor (SADACO)</t>
  </si>
  <si>
    <t>AG00153</t>
  </si>
  <si>
    <t>Jemilyn Miguel Jereza</t>
  </si>
  <si>
    <t>AG00154</t>
  </si>
  <si>
    <t>Reybie D. Tinaza</t>
  </si>
  <si>
    <t>Meat Vendor</t>
  </si>
  <si>
    <t>AG00155</t>
  </si>
  <si>
    <t>Diolylla M. Garcia</t>
  </si>
  <si>
    <t>AG00156</t>
  </si>
  <si>
    <t>Mark Lester R. Asuncion</t>
  </si>
  <si>
    <t>AG00157</t>
  </si>
  <si>
    <t>Larie Jade T. Andres</t>
  </si>
  <si>
    <t>AG00158</t>
  </si>
  <si>
    <t>Relegin A. Libunao</t>
  </si>
  <si>
    <t>AG00159</t>
  </si>
  <si>
    <t>Hanielyn Badua</t>
  </si>
  <si>
    <t>AG00160</t>
  </si>
  <si>
    <t>Grace R. Daguro</t>
  </si>
  <si>
    <t>Dabubu Grande</t>
  </si>
  <si>
    <t>AG00161</t>
  </si>
  <si>
    <t>Kenneth James C. Alejo</t>
  </si>
  <si>
    <t>AG00162</t>
  </si>
  <si>
    <t>Christopher F. Rayos</t>
  </si>
  <si>
    <t>Echague</t>
  </si>
  <si>
    <t>Echague, Isabela</t>
  </si>
  <si>
    <t>JMV Office and School Supplies Trading</t>
  </si>
  <si>
    <t>AG00163</t>
  </si>
  <si>
    <t>Dorothy D. Domingo</t>
  </si>
  <si>
    <t>AG00164</t>
  </si>
  <si>
    <t>Rocky Pascual</t>
  </si>
  <si>
    <t>AG00165</t>
  </si>
  <si>
    <t>John Ryan S. Andres</t>
  </si>
  <si>
    <t>AG00166</t>
  </si>
  <si>
    <t>Racheal R. Racimo</t>
  </si>
  <si>
    <t>AG00167</t>
  </si>
  <si>
    <t>Grace Chariz R. De Villa</t>
  </si>
  <si>
    <t>AG00168</t>
  </si>
  <si>
    <t>Rosemarie Dalloran</t>
  </si>
  <si>
    <t>Purok 5 Palacian, San Agustin, Isabela</t>
  </si>
  <si>
    <t>AG00169</t>
  </si>
  <si>
    <t>Rowena B. Lampa</t>
  </si>
  <si>
    <t>Brgy. Official</t>
  </si>
  <si>
    <t>AG00170</t>
  </si>
  <si>
    <t>Erlita M. Daquioag</t>
  </si>
  <si>
    <t>AG00171</t>
  </si>
  <si>
    <t>Charie Mae D. Calderon</t>
  </si>
  <si>
    <t>AG00172</t>
  </si>
  <si>
    <t>Racky S. Soldan</t>
  </si>
  <si>
    <t>Sinaoangan Sur</t>
  </si>
  <si>
    <t>Sinaoangan Sur. San Agustin, Isabela</t>
  </si>
  <si>
    <t>AG00173</t>
  </si>
  <si>
    <t>Sheryll Mae Lucero</t>
  </si>
  <si>
    <t>AG00174</t>
  </si>
  <si>
    <t>Arniza J. Andres</t>
  </si>
  <si>
    <t>AG00175</t>
  </si>
  <si>
    <t>Alona Q. Eslao</t>
  </si>
  <si>
    <t>Bautista</t>
  </si>
  <si>
    <t>Purok 5 Bautista, San Agustin, Isabela</t>
  </si>
  <si>
    <t>AG00176</t>
  </si>
  <si>
    <t>Jemalyn G. Evangelista</t>
  </si>
  <si>
    <t>Purok 7 Bautista, San Agustin, Isabela</t>
  </si>
  <si>
    <t>AG00177</t>
  </si>
  <si>
    <t>Elvie Tolentino</t>
  </si>
  <si>
    <t>AG00178</t>
  </si>
  <si>
    <t>Minerva Cariaga</t>
  </si>
  <si>
    <t>May 6, 19799</t>
  </si>
  <si>
    <t>Purok 4 Bautista, San Agustin, Isabela</t>
  </si>
  <si>
    <t>AG00179</t>
  </si>
  <si>
    <t>Adelfa S. Vallejo</t>
  </si>
  <si>
    <t>Purok 6 Bautista, San Agustin, Isabela</t>
  </si>
  <si>
    <t>School Canteen</t>
  </si>
  <si>
    <t>AG00180</t>
  </si>
  <si>
    <t>Cezanne A. Payadon</t>
  </si>
  <si>
    <t>AG00181</t>
  </si>
  <si>
    <t>Maricheu A. Dimla</t>
  </si>
  <si>
    <t>San Isidro</t>
  </si>
  <si>
    <t>Purok 6 San Isidro, Jones, Isabela</t>
  </si>
  <si>
    <t>AG00182</t>
  </si>
  <si>
    <t>Marevic T. Felipe</t>
  </si>
  <si>
    <t>Purok 7 San Isidro, Jones, Isabela</t>
  </si>
  <si>
    <t>AG00183</t>
  </si>
  <si>
    <t>Nancy M. Alejandro</t>
  </si>
  <si>
    <t>AG00184</t>
  </si>
  <si>
    <t>Josephine A. Salvador</t>
  </si>
  <si>
    <t>AG00185</t>
  </si>
  <si>
    <t>Angela A. Castillo</t>
  </si>
  <si>
    <t>Purok 5 San Isidro, Jones, Isabela</t>
  </si>
  <si>
    <t>Brgy. Tanod</t>
  </si>
  <si>
    <t>AG00186</t>
  </si>
  <si>
    <t>Gemma B. Agunos</t>
  </si>
  <si>
    <t>San Isidro, Jones, Isabela</t>
  </si>
  <si>
    <t>AG00187</t>
  </si>
  <si>
    <t>Eva Laarnie A. Lucas</t>
  </si>
  <si>
    <t>AG00188</t>
  </si>
  <si>
    <t>Criselda G. Ibarra</t>
  </si>
  <si>
    <t>AG00189</t>
  </si>
  <si>
    <t>Renalie D. Rosuman</t>
  </si>
  <si>
    <t>Purok 5 Masaya Norte, San Agustin, Isabela</t>
  </si>
  <si>
    <t>AG00190</t>
  </si>
  <si>
    <t>Hanz Franzes Isavelle S. Pascual</t>
  </si>
  <si>
    <t>AG00191</t>
  </si>
  <si>
    <t>Marie Lou P. Pacis</t>
  </si>
  <si>
    <t>Virgoneza</t>
  </si>
  <si>
    <t>Purok 3 Virgoneza, San Agustin, Isabela</t>
  </si>
  <si>
    <t>Sari Sari Store/ Eatery</t>
  </si>
  <si>
    <t>AG00192</t>
  </si>
  <si>
    <t>Vangie S. Saladino</t>
  </si>
  <si>
    <t>Virgoneza, San Agustin, Isabela</t>
  </si>
  <si>
    <t>AG00193</t>
  </si>
  <si>
    <t>Maren Mae B. Gambol</t>
  </si>
  <si>
    <t>Purok 2 Virgoneza, San Agustin, Isabela</t>
  </si>
  <si>
    <t>AG00194</t>
  </si>
  <si>
    <t>Donabel P. Miguel</t>
  </si>
  <si>
    <t>AG00195</t>
  </si>
  <si>
    <t>Glenda G. Taccaban</t>
  </si>
  <si>
    <t>Purok 3 Masaya Sur, San Agustin, Isabela</t>
  </si>
  <si>
    <t>AG00196</t>
  </si>
  <si>
    <t>Jennifer Malab</t>
  </si>
  <si>
    <t>AG00197</t>
  </si>
  <si>
    <t>Helen Joy P. Bulusan</t>
  </si>
  <si>
    <t>AG00198</t>
  </si>
  <si>
    <t>Margie P. Juan</t>
  </si>
  <si>
    <t>AG00199</t>
  </si>
  <si>
    <t>Mary Jane D. Baluna</t>
  </si>
  <si>
    <t>Purok 3 Bautista, San Agustin, Isabela</t>
  </si>
  <si>
    <t>AG00200</t>
  </si>
  <si>
    <t>Hanz A. Payadon</t>
  </si>
  <si>
    <t>Bautista, San Agustin, Isabela</t>
  </si>
  <si>
    <t>AG00201</t>
  </si>
  <si>
    <t>Gloria D. Abe</t>
  </si>
  <si>
    <t>Purok 4 Masaya Sur, San Agustin, Isabela</t>
  </si>
  <si>
    <t>AG00202</t>
  </si>
  <si>
    <t>Marilou E. Biagan</t>
  </si>
  <si>
    <t>Quimalabasa Sur</t>
  </si>
  <si>
    <t>Purok 1 Quimalabasa Sur, san Agustin, Isabela</t>
  </si>
  <si>
    <t>AG00203</t>
  </si>
  <si>
    <t>Eddie M. Gallardo</t>
  </si>
  <si>
    <t>Security</t>
  </si>
  <si>
    <t>AG00204</t>
  </si>
  <si>
    <t>Fredelita R. Magaoay</t>
  </si>
  <si>
    <t>AG00205</t>
  </si>
  <si>
    <t>Joy A. Manuel</t>
  </si>
  <si>
    <t>Purok 6 Quimalabasa Sur, san Agustin, Isabela</t>
  </si>
  <si>
    <t>AG00206</t>
  </si>
  <si>
    <t>Myrna Aguinaldo</t>
  </si>
  <si>
    <t>Purok 2 Quimalabasa Sur, san Agustin, Isabela</t>
  </si>
  <si>
    <t>AG00207</t>
  </si>
  <si>
    <t>Trishia Mae S. Toquero</t>
  </si>
  <si>
    <t>AG00208</t>
  </si>
  <si>
    <t>Josie Paguyo</t>
  </si>
  <si>
    <t>AG00209</t>
  </si>
  <si>
    <t>Janina S. Capistrano</t>
  </si>
  <si>
    <t>AG00210</t>
  </si>
  <si>
    <t>Jay Smart C. Malab</t>
  </si>
  <si>
    <t>AG00211</t>
  </si>
  <si>
    <t>Rolly C. Pineda</t>
  </si>
  <si>
    <t>AG00212</t>
  </si>
  <si>
    <t>Jaime Castriciones</t>
  </si>
  <si>
    <t>AG00213</t>
  </si>
  <si>
    <t>Florence J. Carreon</t>
  </si>
  <si>
    <t>AG00214</t>
  </si>
  <si>
    <t>Maricel T. Agpaoa</t>
  </si>
  <si>
    <t>AG00215</t>
  </si>
  <si>
    <t>Jenilyn Mondala</t>
  </si>
  <si>
    <t>Purok 3 san Antonio, San Agustin, Isabela</t>
  </si>
  <si>
    <t>AG00216</t>
  </si>
  <si>
    <t>Lorlyn C. Alcantara</t>
  </si>
  <si>
    <t>San Antonio, San Agustin, Isabela</t>
  </si>
  <si>
    <t>AG00217</t>
  </si>
  <si>
    <t>Lordgin C. Abad</t>
  </si>
  <si>
    <t>AG00218</t>
  </si>
  <si>
    <t>Lorna C. Guzman</t>
  </si>
  <si>
    <t>AG00219</t>
  </si>
  <si>
    <t>Jobi R. Manglallan</t>
  </si>
  <si>
    <t>Purok 4 San Antonio, San Agustin, Isabela</t>
  </si>
  <si>
    <t>AG00220</t>
  </si>
  <si>
    <t>Ritchel M. Urgel</t>
  </si>
  <si>
    <t>Purok 7 Masaya Sur, San Agustin, Isabela</t>
  </si>
  <si>
    <t>AG00221</t>
  </si>
  <si>
    <t>Catherine S. Sabado</t>
  </si>
  <si>
    <t>AG00222</t>
  </si>
  <si>
    <t>Anne Lee B. Tumomba</t>
  </si>
  <si>
    <t>AG00223</t>
  </si>
  <si>
    <t>Jannette A. Ramos</t>
  </si>
  <si>
    <t>Fugu</t>
  </si>
  <si>
    <t>Ancheta St. Fugu, Jones, Isabela</t>
  </si>
  <si>
    <t>AG00224</t>
  </si>
  <si>
    <t>Joe-Ann A. Padaca</t>
  </si>
  <si>
    <t>San Dionisio 1 Maddela, Quirino</t>
  </si>
  <si>
    <t>AG00225</t>
  </si>
  <si>
    <t>Susan A. Capendian</t>
  </si>
  <si>
    <t>AG00226</t>
  </si>
  <si>
    <t>Mary Jane Andres</t>
  </si>
  <si>
    <t>Purok 5 San Dionisio 1 Maddela, Quirino</t>
  </si>
  <si>
    <t>AG00227</t>
  </si>
  <si>
    <t>Felma A. Cuaresma</t>
  </si>
  <si>
    <t>Sto. Niño</t>
  </si>
  <si>
    <t>Purok 7 Sto. Niño, San Agustin, Isabela</t>
  </si>
  <si>
    <t>AG00228</t>
  </si>
  <si>
    <t>James Pascua</t>
  </si>
  <si>
    <t>AG00229</t>
  </si>
  <si>
    <t>Jake Mark M. Cristobal</t>
  </si>
  <si>
    <t>Purok 2 Masaya Centro, San Agustin, Isabela</t>
  </si>
  <si>
    <t>AG00230</t>
  </si>
  <si>
    <t>Sheena Faye P. Gerardo</t>
  </si>
  <si>
    <t>AG00231</t>
  </si>
  <si>
    <t>Michelle L. Lampa</t>
  </si>
  <si>
    <t>Purok 6 Salay, San Agustin, Isabela</t>
  </si>
  <si>
    <t>AG00232</t>
  </si>
  <si>
    <t>Precious Jamaica G. Benigno</t>
  </si>
  <si>
    <t>Private Employee</t>
  </si>
  <si>
    <t>AG00233</t>
  </si>
  <si>
    <t>Princess Mery C. Ballesteros</t>
  </si>
  <si>
    <t>AG00234</t>
  </si>
  <si>
    <t>Mely V. Vallejo</t>
  </si>
  <si>
    <t>AG00235</t>
  </si>
  <si>
    <t>Delia L. Payadon</t>
  </si>
  <si>
    <t>Hog Raising</t>
  </si>
  <si>
    <t>AG00236</t>
  </si>
  <si>
    <t>Jingle I. Zipagan</t>
  </si>
  <si>
    <t>Walking vendor</t>
  </si>
  <si>
    <t>AG00237</t>
  </si>
  <si>
    <t>Rebecca Ariola</t>
  </si>
  <si>
    <t>Purok 3 Sto. Niño, San Agustin, Isabela</t>
  </si>
  <si>
    <t>AG00238</t>
  </si>
  <si>
    <t>Rudilyn D. Lising</t>
  </si>
  <si>
    <t>AG00239</t>
  </si>
  <si>
    <t>Jocelyn L. Arellano</t>
  </si>
  <si>
    <t>AG00240</t>
  </si>
  <si>
    <t>Brenda T. Acio</t>
  </si>
  <si>
    <t>Quimalabasa Sur, San Agustin, Isabela</t>
  </si>
  <si>
    <t>AG00241</t>
  </si>
  <si>
    <t>Jenyfer L. Agunos</t>
  </si>
  <si>
    <t>Buy &amp; Sell of Vegetable</t>
  </si>
  <si>
    <t>AG00242</t>
  </si>
  <si>
    <t>Shiela Marie Dela Cruz</t>
  </si>
  <si>
    <t>AG00243</t>
  </si>
  <si>
    <t>Imelda A. Castillo</t>
  </si>
  <si>
    <t>Purok 4 San Isidro, Jones, Isabela</t>
  </si>
  <si>
    <t>AG00244</t>
  </si>
  <si>
    <t>Leah May T. Singh</t>
  </si>
  <si>
    <t>BHW/Store Owner</t>
  </si>
  <si>
    <t>AG00245</t>
  </si>
  <si>
    <t>Eufemia M. Cristobal</t>
  </si>
  <si>
    <t>Purok 1 Masaya Sur, San Agustin, Isabela</t>
  </si>
  <si>
    <t>AG00246</t>
  </si>
  <si>
    <t>Evangeline S. Pascual</t>
  </si>
  <si>
    <t>Purok 4 Masaya Centro, San Agustin, Isabela</t>
  </si>
  <si>
    <t>Sari Sari Store/Carinderia</t>
  </si>
  <si>
    <t>AG00247</t>
  </si>
  <si>
    <t>Remelyn T. Gatan</t>
  </si>
  <si>
    <t>AG00248</t>
  </si>
  <si>
    <t>Mary Anne C. Andres</t>
  </si>
  <si>
    <t>Purok 4 San Dionisio 1, Maddela Quirino</t>
  </si>
  <si>
    <t>AG00249</t>
  </si>
  <si>
    <t>Roosewell S. Andres</t>
  </si>
  <si>
    <t>AG00250</t>
  </si>
  <si>
    <t>Jenmark Abellara</t>
  </si>
  <si>
    <t>Laoag</t>
  </si>
  <si>
    <t>Laoag, San Agustin, Isabela</t>
  </si>
  <si>
    <t>Store Owner</t>
  </si>
  <si>
    <t>AG00251</t>
  </si>
  <si>
    <t>Diana Rose A. Nicolas</t>
  </si>
  <si>
    <t>Purok 3 Nemmatan, San Agustin, Isabela</t>
  </si>
  <si>
    <t>PNP</t>
  </si>
  <si>
    <t>AG00252</t>
  </si>
  <si>
    <t>Ilyn P. Pascual</t>
  </si>
  <si>
    <t>Purok 1 Salay, San Agustin, Isabela</t>
  </si>
  <si>
    <t>AG00253</t>
  </si>
  <si>
    <t>Marilou G. Respicio</t>
  </si>
  <si>
    <t>Bliss, San Isidro, Isabela</t>
  </si>
  <si>
    <t>AG00254</t>
  </si>
  <si>
    <t>Chita L. Sanchez</t>
  </si>
  <si>
    <t>Purok 2 San Isidro, Jones, Isabela</t>
  </si>
  <si>
    <t>AG00255</t>
  </si>
  <si>
    <t>Girlie G. Carson</t>
  </si>
  <si>
    <t>Purok 1 San Isidro, Jones, Isabela</t>
  </si>
  <si>
    <t>Poultry</t>
  </si>
  <si>
    <t>AG00256</t>
  </si>
  <si>
    <t>Divina S. Gabriel</t>
  </si>
  <si>
    <t>Purok 7 Virgoneza, San Agustin, Isabela</t>
  </si>
  <si>
    <t>Carinderia</t>
  </si>
  <si>
    <t>AG00257</t>
  </si>
  <si>
    <t>Analin M. Hidalgo</t>
  </si>
  <si>
    <t>AG00258</t>
  </si>
  <si>
    <t>Sinamar L. Tamayo</t>
  </si>
  <si>
    <t>Purok 6 Virgoneza, San Agustin, Isabela</t>
  </si>
  <si>
    <t>AG00259</t>
  </si>
  <si>
    <t>Anita U. Capinpin</t>
  </si>
  <si>
    <t>AG00260</t>
  </si>
  <si>
    <t>Marichu T. Saludo</t>
  </si>
  <si>
    <t>AG00261</t>
  </si>
  <si>
    <t>Precious Mae S. Ancheta</t>
  </si>
  <si>
    <t>Purok 4 Sto. Niño, San Agustin, Isabela</t>
  </si>
  <si>
    <t>AG00262</t>
  </si>
  <si>
    <t>Janice M. Almuete</t>
  </si>
  <si>
    <t>Purok 6 Dabubu Grande, San Agustin, Isabela</t>
  </si>
  <si>
    <t>Day Care Worker</t>
  </si>
  <si>
    <t>AG00263</t>
  </si>
  <si>
    <t>Adela S. Agpaoa</t>
  </si>
  <si>
    <t>Teaching</t>
  </si>
  <si>
    <t>AG00264</t>
  </si>
  <si>
    <t>Nikka May D. Manuel</t>
  </si>
  <si>
    <t>AG00265</t>
  </si>
  <si>
    <t>Jefferson D. Dionio</t>
  </si>
  <si>
    <t>Purok 5 Sto. Niño, San Agustin, Isabela</t>
  </si>
  <si>
    <t>AG00266</t>
  </si>
  <si>
    <t>Gerald V. Dionio</t>
  </si>
  <si>
    <t>AG00267</t>
  </si>
  <si>
    <t>Violeta J. Minglana</t>
  </si>
  <si>
    <t>San Dionisio 1, Maddela, Quirino</t>
  </si>
  <si>
    <t>AG00268</t>
  </si>
  <si>
    <t>Naida C. Quibal</t>
  </si>
  <si>
    <t>Purok 3 Masaya Centro, San Agustin, Isabela</t>
  </si>
  <si>
    <t>Generous Agri-Poultry Supply</t>
  </si>
  <si>
    <t>AG00269</t>
  </si>
  <si>
    <t>Catalina Pidlaoan</t>
  </si>
  <si>
    <t>Piggery Owner</t>
  </si>
  <si>
    <t>AG00270</t>
  </si>
  <si>
    <t>Noressa R. Manglallan</t>
  </si>
  <si>
    <t>Mushroom/Piggery Owner</t>
  </si>
  <si>
    <t>AG00271</t>
  </si>
  <si>
    <t>Faith Joy Taracatac</t>
  </si>
  <si>
    <t>Purok 2 Sto. Niño, San Agustin, Isabela</t>
  </si>
  <si>
    <t>Streetfood Vendor</t>
  </si>
  <si>
    <t>AG00272</t>
  </si>
  <si>
    <t>Melody Baniago</t>
  </si>
  <si>
    <t>Halo halo &amp; Bbq Vendor</t>
  </si>
  <si>
    <t>AG00273</t>
  </si>
  <si>
    <t>Luz M. Bendelio</t>
  </si>
  <si>
    <t>Purok 1 Sto. Niño, San Agustin, Isabela</t>
  </si>
  <si>
    <t>STL Worker/Sari Sari Store Owner</t>
  </si>
  <si>
    <t>AG00274</t>
  </si>
  <si>
    <t>Rosalie M. Taracatac</t>
  </si>
  <si>
    <t>AG00275</t>
  </si>
  <si>
    <t>Lourdes Taracatac</t>
  </si>
  <si>
    <t>Streetfood/Sari Sari Store Owner</t>
  </si>
  <si>
    <t>AG00276</t>
  </si>
  <si>
    <t>Mary Jean P. Lamug</t>
  </si>
  <si>
    <t>AG00277</t>
  </si>
  <si>
    <t>Relita Gerardo</t>
  </si>
  <si>
    <t>AG00278</t>
  </si>
  <si>
    <t>Arnel Byron A. Nicolas</t>
  </si>
  <si>
    <t>AG00279</t>
  </si>
  <si>
    <t>Wilborn Taguiam</t>
  </si>
  <si>
    <t>Masaya Norte, San Agustin, Isabela</t>
  </si>
  <si>
    <t>AG00280</t>
  </si>
  <si>
    <t>Marcelina Lamug</t>
  </si>
  <si>
    <t>Purok 5 Laoag, San Agustin, Isabela</t>
  </si>
  <si>
    <t>AG00281</t>
  </si>
  <si>
    <t>Arlinda Tolentino</t>
  </si>
  <si>
    <t>June 13, 19965</t>
  </si>
  <si>
    <t>AG00282</t>
  </si>
  <si>
    <t>Cristopher F. Gallebo</t>
  </si>
  <si>
    <t>AG00283</t>
  </si>
  <si>
    <t>Elizabeth Agunos</t>
  </si>
  <si>
    <t>Purok7 San Isidro, Jones, Isabela</t>
  </si>
  <si>
    <t>Vegetable and Fruit Vendor</t>
  </si>
  <si>
    <t>AG00284</t>
  </si>
  <si>
    <t>Kevin P. Root</t>
  </si>
  <si>
    <t>AG00285</t>
  </si>
  <si>
    <t>Wenilyn M. Karganilla</t>
  </si>
  <si>
    <t>Ralph L. Lopez</t>
  </si>
  <si>
    <t>Jan Mark T. Pascual</t>
  </si>
  <si>
    <t>Payroll</t>
  </si>
  <si>
    <t>exclude</t>
  </si>
  <si>
    <t>Jason Ian R. Contawe</t>
  </si>
  <si>
    <t>done</t>
  </si>
  <si>
    <t>Loan Amount</t>
  </si>
  <si>
    <t>Cycle</t>
  </si>
  <si>
    <t>Member Name</t>
  </si>
  <si>
    <t>Cycle ID</t>
  </si>
  <si>
    <t>Collector</t>
  </si>
  <si>
    <t>Barangay</t>
  </si>
  <si>
    <t>Loan Code</t>
  </si>
  <si>
    <t>LC30K</t>
  </si>
  <si>
    <t>₱30,000.00</t>
  </si>
  <si>
    <t>LC10K</t>
  </si>
  <si>
    <t>₱10,000.00</t>
  </si>
  <si>
    <t>LC12K</t>
  </si>
  <si>
    <t>₱12,000.00</t>
  </si>
  <si>
    <t>LC20K</t>
  </si>
  <si>
    <t>₱20,000.00</t>
  </si>
  <si>
    <t>LC08K</t>
  </si>
  <si>
    <t>₱8,000.00</t>
  </si>
  <si>
    <t>LC15K</t>
  </si>
  <si>
    <t>₱15,000.00</t>
  </si>
  <si>
    <t>LC35K</t>
  </si>
  <si>
    <t>₱35,000.00</t>
  </si>
  <si>
    <t>LC06K</t>
  </si>
  <si>
    <t>₱6,000.00</t>
  </si>
  <si>
    <t>LC18K</t>
  </si>
  <si>
    <t>₱18,000.00</t>
  </si>
  <si>
    <t>LC25K</t>
  </si>
  <si>
    <t>₱25,000.00</t>
  </si>
  <si>
    <t>LC22K</t>
  </si>
  <si>
    <t>₱22,000.00</t>
  </si>
  <si>
    <t>LC07K</t>
  </si>
  <si>
    <t>₱7,000.00</t>
  </si>
  <si>
    <t>LC17K</t>
  </si>
  <si>
    <t>₱17,000.00</t>
  </si>
  <si>
    <t>LC23K</t>
  </si>
  <si>
    <t>₱23,000.00</t>
  </si>
  <si>
    <t>LC50K</t>
  </si>
  <si>
    <t>₱50,000.00</t>
  </si>
  <si>
    <t>LC14K</t>
  </si>
  <si>
    <t>₱14,000.00</t>
  </si>
  <si>
    <t>LC13K</t>
  </si>
  <si>
    <t>₱13,000.00</t>
  </si>
  <si>
    <t>LC05K</t>
  </si>
  <si>
    <t>₱5,000.00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</si>
</sst>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EE9D-58B3-4B72-AD14-031F061867CD}">
  <dimension ref="A1:B8"/>
  <sheetViews>
    <sheetView workbookViewId="0">
      <selection activeCell="B3" sqref="B3:B5"/>
    </sheetView>
  </sheetViews>
  <sheetFormatPr defaultRowHeight="15" x14ac:dyDescent="0.25"/>
  <cols>
    <col min="1" max="1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827</v>
      </c>
    </row>
    <row r="3" spans="1:2" x14ac:dyDescent="0.25">
      <c r="A3" t="s">
        <v>3</v>
      </c>
      <c r="B3" t="s">
        <v>827</v>
      </c>
    </row>
    <row r="4" spans="1:2" x14ac:dyDescent="0.25">
      <c r="A4" t="s">
        <v>4</v>
      </c>
      <c r="B4" t="s">
        <v>827</v>
      </c>
    </row>
    <row r="5" spans="1:2" x14ac:dyDescent="0.25">
      <c r="A5" t="s">
        <v>5</v>
      </c>
      <c r="B5" t="s">
        <v>827</v>
      </c>
    </row>
    <row r="6" spans="1:2" x14ac:dyDescent="0.25">
      <c r="A6" t="s">
        <v>6</v>
      </c>
    </row>
    <row r="7" spans="1:2" x14ac:dyDescent="0.25">
      <c r="A7" t="s">
        <v>7</v>
      </c>
      <c r="B7" t="s">
        <v>827</v>
      </c>
    </row>
    <row r="8" spans="1:2" x14ac:dyDescent="0.25">
      <c r="A8" t="s">
        <v>824</v>
      </c>
      <c r="B8" t="s">
        <v>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77C9-CFDB-4816-BCE8-C118183991AA}">
  <dimension ref="A1:M28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2" sqref="B2"/>
    </sheetView>
  </sheetViews>
  <sheetFormatPr defaultRowHeight="15" x14ac:dyDescent="0.25"/>
  <cols>
    <col min="1" max="1" width="10.42578125" style="10" bestFit="1" customWidth="1"/>
    <col min="2" max="2" width="30.140625" style="10" bestFit="1" customWidth="1"/>
    <col min="3" max="3" width="7.42578125" bestFit="1" customWidth="1"/>
    <col min="4" max="4" width="13.5703125" bestFit="1" customWidth="1"/>
    <col min="5" max="5" width="12" style="1" bestFit="1" customWidth="1"/>
    <col min="6" max="6" width="18.7109375" bestFit="1" customWidth="1"/>
    <col min="7" max="7" width="44.42578125" bestFit="1" customWidth="1"/>
    <col min="8" max="8" width="36.7109375" bestFit="1" customWidth="1"/>
    <col min="9" max="9" width="11.140625" bestFit="1" customWidth="1"/>
    <col min="10" max="10" width="18.140625" bestFit="1" customWidth="1"/>
    <col min="11" max="11" width="17.5703125" style="6" bestFit="1" customWidth="1"/>
    <col min="12" max="12" width="17.5703125" customWidth="1"/>
    <col min="13" max="13" width="17.28515625" style="6" bestFit="1" customWidth="1"/>
  </cols>
  <sheetData>
    <row r="1" spans="1:13" s="3" customFormat="1" x14ac:dyDescent="0.25">
      <c r="A1" s="9" t="s">
        <v>8</v>
      </c>
      <c r="B1" s="9" t="s">
        <v>9</v>
      </c>
      <c r="C1" s="3" t="s">
        <v>10</v>
      </c>
      <c r="D1" s="3" t="s">
        <v>11</v>
      </c>
      <c r="E1" s="4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5" t="s">
        <v>18</v>
      </c>
      <c r="L1" s="3" t="s">
        <v>829</v>
      </c>
      <c r="M1" s="5" t="s">
        <v>828</v>
      </c>
    </row>
    <row r="2" spans="1:13" x14ac:dyDescent="0.25">
      <c r="A2" s="10" t="s">
        <v>19</v>
      </c>
      <c r="B2" s="10" t="s">
        <v>20</v>
      </c>
      <c r="C2" t="s">
        <v>21</v>
      </c>
      <c r="D2" s="2">
        <v>32573</v>
      </c>
      <c r="E2" s="1">
        <v>9610328020</v>
      </c>
      <c r="F2" t="s">
        <v>22</v>
      </c>
      <c r="G2" t="s">
        <v>23</v>
      </c>
      <c r="H2" t="s">
        <v>24</v>
      </c>
      <c r="I2" s="2">
        <v>45919</v>
      </c>
      <c r="J2" t="s">
        <v>25</v>
      </c>
      <c r="K2" s="6" t="s">
        <v>822</v>
      </c>
      <c r="L2" s="8">
        <f>VLOOKUP(A2,Sheet1!G:I,3,0)</f>
        <v>1</v>
      </c>
      <c r="M2" s="6" t="s">
        <v>836</v>
      </c>
    </row>
    <row r="3" spans="1:13" x14ac:dyDescent="0.25">
      <c r="A3" s="10" t="s">
        <v>27</v>
      </c>
      <c r="B3" s="10" t="s">
        <v>28</v>
      </c>
      <c r="C3" t="s">
        <v>21</v>
      </c>
      <c r="D3" s="2">
        <v>34496</v>
      </c>
      <c r="E3" s="1">
        <v>9752063588</v>
      </c>
      <c r="F3" t="s">
        <v>22</v>
      </c>
      <c r="G3" t="s">
        <v>23</v>
      </c>
      <c r="H3" t="s">
        <v>29</v>
      </c>
      <c r="I3" s="2">
        <v>45924</v>
      </c>
      <c r="J3" t="s">
        <v>25</v>
      </c>
      <c r="K3" s="6" t="s">
        <v>822</v>
      </c>
      <c r="L3" s="8">
        <f>VLOOKUP(A3,Sheet1!G:I,3,0)</f>
        <v>1</v>
      </c>
      <c r="M3" s="6" t="s">
        <v>838</v>
      </c>
    </row>
    <row r="4" spans="1:13" x14ac:dyDescent="0.25">
      <c r="A4" s="10" t="s">
        <v>30</v>
      </c>
      <c r="B4" s="10" t="s">
        <v>31</v>
      </c>
      <c r="C4" t="s">
        <v>21</v>
      </c>
      <c r="D4" s="2">
        <v>34380</v>
      </c>
      <c r="E4" s="1">
        <v>9671799266</v>
      </c>
      <c r="F4" t="s">
        <v>32</v>
      </c>
      <c r="G4" t="s">
        <v>33</v>
      </c>
      <c r="H4" t="s">
        <v>34</v>
      </c>
      <c r="I4" s="2">
        <v>45934</v>
      </c>
      <c r="J4" t="s">
        <v>25</v>
      </c>
      <c r="K4" s="6" t="s">
        <v>826</v>
      </c>
      <c r="L4" s="8">
        <f>VLOOKUP(A4,Sheet1!G:I,3,0)</f>
        <v>1</v>
      </c>
      <c r="M4" s="6" t="s">
        <v>836</v>
      </c>
    </row>
    <row r="5" spans="1:13" x14ac:dyDescent="0.25">
      <c r="A5" s="10" t="s">
        <v>35</v>
      </c>
      <c r="B5" s="10" t="s">
        <v>36</v>
      </c>
      <c r="C5" t="s">
        <v>21</v>
      </c>
      <c r="D5" s="2">
        <v>27381</v>
      </c>
      <c r="E5" s="1">
        <v>9531406143</v>
      </c>
      <c r="F5" t="s">
        <v>32</v>
      </c>
      <c r="G5" t="s">
        <v>37</v>
      </c>
      <c r="H5" t="s">
        <v>38</v>
      </c>
      <c r="I5" s="2">
        <v>45934</v>
      </c>
      <c r="J5" t="s">
        <v>25</v>
      </c>
      <c r="K5" s="6" t="s">
        <v>822</v>
      </c>
      <c r="L5" s="8">
        <f>VLOOKUP(A5,Sheet1!G:I,3,0)</f>
        <v>2</v>
      </c>
      <c r="M5" s="6" t="s">
        <v>836</v>
      </c>
    </row>
    <row r="6" spans="1:13" x14ac:dyDescent="0.25">
      <c r="A6" s="10" t="s">
        <v>39</v>
      </c>
      <c r="B6" s="10" t="s">
        <v>40</v>
      </c>
      <c r="C6" t="s">
        <v>21</v>
      </c>
      <c r="D6" s="2">
        <v>29923</v>
      </c>
      <c r="E6" s="1">
        <v>9979859147</v>
      </c>
      <c r="F6" t="s">
        <v>32</v>
      </c>
      <c r="G6" t="s">
        <v>37</v>
      </c>
      <c r="H6" t="s">
        <v>41</v>
      </c>
      <c r="I6" s="2">
        <v>45934</v>
      </c>
      <c r="J6" t="s">
        <v>42</v>
      </c>
      <c r="K6" s="6" t="s">
        <v>822</v>
      </c>
      <c r="L6" s="8">
        <f>VLOOKUP(A6,Sheet1!G:I,3,0)</f>
        <v>1</v>
      </c>
      <c r="M6" s="6" t="s">
        <v>836</v>
      </c>
    </row>
    <row r="7" spans="1:13" x14ac:dyDescent="0.25">
      <c r="A7" s="10" t="s">
        <v>43</v>
      </c>
      <c r="B7" s="10" t="s">
        <v>44</v>
      </c>
      <c r="C7" t="s">
        <v>21</v>
      </c>
      <c r="D7" s="2">
        <v>29741</v>
      </c>
      <c r="E7" s="1">
        <v>9268959314</v>
      </c>
      <c r="F7" t="s">
        <v>32</v>
      </c>
      <c r="G7" t="s">
        <v>45</v>
      </c>
      <c r="H7" t="s">
        <v>46</v>
      </c>
      <c r="I7" s="2">
        <v>45934</v>
      </c>
      <c r="J7" t="s">
        <v>25</v>
      </c>
      <c r="K7" s="6" t="s">
        <v>822</v>
      </c>
      <c r="L7" s="8">
        <f>VLOOKUP(A7,Sheet1!G:I,3,0)</f>
        <v>2</v>
      </c>
      <c r="M7" s="6" t="s">
        <v>840</v>
      </c>
    </row>
    <row r="8" spans="1:13" x14ac:dyDescent="0.25">
      <c r="A8" s="10" t="s">
        <v>47</v>
      </c>
      <c r="B8" s="10" t="s">
        <v>48</v>
      </c>
      <c r="C8" t="s">
        <v>21</v>
      </c>
      <c r="D8" s="2">
        <v>23805</v>
      </c>
      <c r="E8" s="1">
        <v>9263425321</v>
      </c>
      <c r="F8" t="s">
        <v>32</v>
      </c>
      <c r="G8" t="s">
        <v>33</v>
      </c>
      <c r="H8" t="s">
        <v>41</v>
      </c>
      <c r="I8" s="2">
        <v>45934</v>
      </c>
      <c r="J8" t="s">
        <v>25</v>
      </c>
      <c r="K8" s="6" t="s">
        <v>822</v>
      </c>
      <c r="L8" s="8">
        <f>VLOOKUP(A8,Sheet1!G:I,3,0)</f>
        <v>3</v>
      </c>
      <c r="M8" s="6" t="s">
        <v>842</v>
      </c>
    </row>
    <row r="9" spans="1:13" x14ac:dyDescent="0.25">
      <c r="A9" s="10" t="s">
        <v>49</v>
      </c>
      <c r="B9" s="10" t="s">
        <v>50</v>
      </c>
      <c r="C9" t="s">
        <v>21</v>
      </c>
      <c r="D9" s="2">
        <v>32997</v>
      </c>
      <c r="E9" s="1">
        <v>9365351339</v>
      </c>
      <c r="F9" t="s">
        <v>32</v>
      </c>
      <c r="G9" t="s">
        <v>33</v>
      </c>
      <c r="H9" t="s">
        <v>51</v>
      </c>
      <c r="I9" s="2">
        <v>45934</v>
      </c>
      <c r="J9" t="s">
        <v>25</v>
      </c>
      <c r="K9" s="6" t="s">
        <v>822</v>
      </c>
      <c r="L9" s="8">
        <f>VLOOKUP(A9,Sheet1!G:I,3,0)</f>
        <v>2</v>
      </c>
      <c r="M9" s="6" t="s">
        <v>844</v>
      </c>
    </row>
    <row r="10" spans="1:13" x14ac:dyDescent="0.25">
      <c r="A10" s="10" t="s">
        <v>52</v>
      </c>
      <c r="B10" s="10" t="s">
        <v>53</v>
      </c>
      <c r="C10" t="s">
        <v>21</v>
      </c>
      <c r="D10" s="2">
        <v>26433</v>
      </c>
      <c r="E10" s="1">
        <v>9758964284</v>
      </c>
      <c r="F10" t="s">
        <v>32</v>
      </c>
      <c r="G10" t="s">
        <v>54</v>
      </c>
      <c r="H10" t="s">
        <v>55</v>
      </c>
      <c r="I10" s="2">
        <v>45941</v>
      </c>
      <c r="J10" t="s">
        <v>25</v>
      </c>
      <c r="K10" s="6" t="s">
        <v>822</v>
      </c>
      <c r="L10" s="8">
        <f>VLOOKUP(A10,Sheet1!G:I,3,0)</f>
        <v>2</v>
      </c>
      <c r="M10" s="6" t="s">
        <v>846</v>
      </c>
    </row>
    <row r="11" spans="1:13" x14ac:dyDescent="0.25">
      <c r="A11" s="10" t="s">
        <v>56</v>
      </c>
      <c r="B11" s="10" t="s">
        <v>57</v>
      </c>
      <c r="C11" t="s">
        <v>21</v>
      </c>
      <c r="D11" s="2">
        <v>27726</v>
      </c>
      <c r="E11" s="1">
        <v>9352707530</v>
      </c>
      <c r="F11" t="s">
        <v>32</v>
      </c>
      <c r="G11" t="s">
        <v>45</v>
      </c>
      <c r="H11" t="s">
        <v>51</v>
      </c>
      <c r="I11" s="2">
        <v>45941</v>
      </c>
      <c r="J11" t="s">
        <v>25</v>
      </c>
      <c r="K11" s="6" t="s">
        <v>822</v>
      </c>
      <c r="L11" s="8">
        <f>VLOOKUP(A11,Sheet1!G:I,3,0)</f>
        <v>2</v>
      </c>
      <c r="M11" s="6" t="s">
        <v>846</v>
      </c>
    </row>
    <row r="12" spans="1:13" x14ac:dyDescent="0.25">
      <c r="A12" s="10" t="s">
        <v>58</v>
      </c>
      <c r="B12" s="10" t="s">
        <v>59</v>
      </c>
      <c r="C12" t="s">
        <v>21</v>
      </c>
      <c r="D12" s="2">
        <v>25610</v>
      </c>
      <c r="E12" s="1">
        <v>9369393039</v>
      </c>
      <c r="F12" t="s">
        <v>32</v>
      </c>
      <c r="G12" t="s">
        <v>45</v>
      </c>
      <c r="H12" t="s">
        <v>51</v>
      </c>
      <c r="I12" s="2">
        <v>45941</v>
      </c>
      <c r="J12" t="s">
        <v>25</v>
      </c>
      <c r="K12" s="6" t="s">
        <v>822</v>
      </c>
      <c r="L12" s="8">
        <f>VLOOKUP(A12,Sheet1!G:I,3,0)</f>
        <v>2</v>
      </c>
      <c r="M12" s="6" t="s">
        <v>848</v>
      </c>
    </row>
    <row r="13" spans="1:13" x14ac:dyDescent="0.25">
      <c r="A13" s="10" t="s">
        <v>60</v>
      </c>
      <c r="B13" s="10" t="s">
        <v>61</v>
      </c>
      <c r="C13" t="s">
        <v>21</v>
      </c>
      <c r="D13" s="2">
        <v>24863</v>
      </c>
      <c r="E13" s="1">
        <v>9365351339</v>
      </c>
      <c r="F13" t="s">
        <v>32</v>
      </c>
      <c r="G13" t="s">
        <v>33</v>
      </c>
      <c r="H13" t="s">
        <v>51</v>
      </c>
      <c r="I13" s="2">
        <v>45941</v>
      </c>
      <c r="J13" t="s">
        <v>25</v>
      </c>
      <c r="K13" s="6" t="s">
        <v>826</v>
      </c>
      <c r="L13" s="8">
        <f>VLOOKUP(A13,Sheet1!G:I,3,0)</f>
        <v>1</v>
      </c>
      <c r="M13" s="6" t="s">
        <v>850</v>
      </c>
    </row>
    <row r="14" spans="1:13" x14ac:dyDescent="0.25">
      <c r="A14" s="10" t="s">
        <v>62</v>
      </c>
      <c r="B14" s="10" t="s">
        <v>63</v>
      </c>
      <c r="C14" t="s">
        <v>21</v>
      </c>
      <c r="D14" s="2">
        <v>26517</v>
      </c>
      <c r="E14" s="1">
        <v>9538294503</v>
      </c>
      <c r="F14" t="s">
        <v>32</v>
      </c>
      <c r="G14" t="s">
        <v>33</v>
      </c>
      <c r="H14" t="s">
        <v>64</v>
      </c>
      <c r="I14" s="2">
        <v>45941</v>
      </c>
      <c r="J14" t="s">
        <v>25</v>
      </c>
      <c r="K14" s="6" t="s">
        <v>822</v>
      </c>
      <c r="L14" s="8">
        <f>VLOOKUP(A14,Sheet1!G:I,3,0)</f>
        <v>2</v>
      </c>
      <c r="M14" s="6" t="s">
        <v>850</v>
      </c>
    </row>
    <row r="15" spans="1:13" x14ac:dyDescent="0.25">
      <c r="A15" s="10" t="s">
        <v>65</v>
      </c>
      <c r="B15" s="10" t="s">
        <v>66</v>
      </c>
      <c r="C15" t="s">
        <v>21</v>
      </c>
      <c r="D15" s="2">
        <v>34555</v>
      </c>
      <c r="E15" s="1">
        <v>9539975473</v>
      </c>
      <c r="F15" t="s">
        <v>32</v>
      </c>
      <c r="G15" t="s">
        <v>54</v>
      </c>
      <c r="H15" t="s">
        <v>67</v>
      </c>
      <c r="I15" s="2">
        <v>45941</v>
      </c>
      <c r="J15" t="s">
        <v>25</v>
      </c>
      <c r="K15" s="6" t="s">
        <v>822</v>
      </c>
      <c r="L15" s="8">
        <f>VLOOKUP(A15,Sheet1!G:I,3,0)</f>
        <v>2</v>
      </c>
      <c r="M15" s="6" t="s">
        <v>852</v>
      </c>
    </row>
    <row r="16" spans="1:13" x14ac:dyDescent="0.25">
      <c r="A16" s="10" t="s">
        <v>68</v>
      </c>
      <c r="B16" s="10" t="s">
        <v>69</v>
      </c>
      <c r="C16" t="s">
        <v>21</v>
      </c>
      <c r="D16" s="2">
        <v>34760</v>
      </c>
      <c r="E16" s="1">
        <v>9196612340</v>
      </c>
      <c r="F16" t="s">
        <v>70</v>
      </c>
      <c r="G16" t="s">
        <v>71</v>
      </c>
      <c r="H16" t="s">
        <v>67</v>
      </c>
      <c r="I16" s="2">
        <v>45941</v>
      </c>
      <c r="J16" t="s">
        <v>25</v>
      </c>
      <c r="K16" s="6" t="s">
        <v>826</v>
      </c>
      <c r="L16" s="8">
        <f>VLOOKUP(A16,Sheet1!G:I,3,0)</f>
        <v>1</v>
      </c>
      <c r="M16" s="6" t="s">
        <v>842</v>
      </c>
    </row>
    <row r="17" spans="1:13" x14ac:dyDescent="0.25">
      <c r="A17" s="10" t="s">
        <v>72</v>
      </c>
      <c r="B17" s="10" t="s">
        <v>73</v>
      </c>
      <c r="C17" t="s">
        <v>74</v>
      </c>
      <c r="D17" s="2">
        <v>33530</v>
      </c>
      <c r="E17" s="1">
        <v>9655577348</v>
      </c>
      <c r="F17" t="s">
        <v>32</v>
      </c>
      <c r="G17" t="s">
        <v>37</v>
      </c>
      <c r="H17" t="s">
        <v>75</v>
      </c>
      <c r="I17" s="2">
        <v>45941</v>
      </c>
      <c r="J17" t="s">
        <v>25</v>
      </c>
      <c r="K17" s="6" t="s">
        <v>822</v>
      </c>
      <c r="L17" s="8">
        <f>VLOOKUP(A17,Sheet1!G:I,3,0)</f>
        <v>2</v>
      </c>
      <c r="M17" s="6" t="s">
        <v>842</v>
      </c>
    </row>
    <row r="18" spans="1:13" x14ac:dyDescent="0.25">
      <c r="A18" s="10" t="s">
        <v>76</v>
      </c>
      <c r="B18" s="10" t="s">
        <v>77</v>
      </c>
      <c r="C18" t="s">
        <v>21</v>
      </c>
      <c r="D18" s="2">
        <v>24531</v>
      </c>
      <c r="E18" s="1">
        <v>9051291825</v>
      </c>
      <c r="F18" t="s">
        <v>32</v>
      </c>
      <c r="G18" t="s">
        <v>45</v>
      </c>
      <c r="H18" t="s">
        <v>51</v>
      </c>
      <c r="I18" s="2">
        <v>45941</v>
      </c>
      <c r="J18" t="s">
        <v>25</v>
      </c>
      <c r="K18" s="6" t="s">
        <v>822</v>
      </c>
      <c r="L18" s="8">
        <f>VLOOKUP(A18,Sheet1!G:I,3,0)</f>
        <v>2</v>
      </c>
      <c r="M18" s="6" t="s">
        <v>842</v>
      </c>
    </row>
    <row r="19" spans="1:13" x14ac:dyDescent="0.25">
      <c r="A19" s="10" t="s">
        <v>78</v>
      </c>
      <c r="B19" s="10" t="s">
        <v>79</v>
      </c>
      <c r="C19" t="s">
        <v>21</v>
      </c>
      <c r="D19" s="2">
        <v>22134</v>
      </c>
      <c r="E19" s="1">
        <v>9269452305</v>
      </c>
      <c r="F19" t="s">
        <v>32</v>
      </c>
      <c r="G19" t="s">
        <v>80</v>
      </c>
      <c r="H19" t="s">
        <v>41</v>
      </c>
      <c r="I19" s="2">
        <v>45941</v>
      </c>
      <c r="J19" t="s">
        <v>25</v>
      </c>
      <c r="K19" s="6" t="s">
        <v>822</v>
      </c>
      <c r="L19" s="8">
        <f>VLOOKUP(A19,Sheet1!G:I,3,0)</f>
        <v>2</v>
      </c>
      <c r="M19" s="6" t="s">
        <v>844</v>
      </c>
    </row>
    <row r="20" spans="1:13" x14ac:dyDescent="0.25">
      <c r="A20" s="10" t="s">
        <v>81</v>
      </c>
      <c r="B20" s="10" t="s">
        <v>82</v>
      </c>
      <c r="C20" t="s">
        <v>21</v>
      </c>
      <c r="D20" s="2">
        <v>27453</v>
      </c>
      <c r="E20" s="1">
        <v>9352634478</v>
      </c>
      <c r="F20" t="s">
        <v>32</v>
      </c>
      <c r="G20" t="s">
        <v>83</v>
      </c>
      <c r="H20" t="s">
        <v>51</v>
      </c>
      <c r="I20" s="2">
        <v>45941</v>
      </c>
      <c r="J20" t="s">
        <v>25</v>
      </c>
      <c r="K20" s="6" t="s">
        <v>822</v>
      </c>
      <c r="L20" s="8">
        <f>VLOOKUP(A20,Sheet1!G:I,3,0)</f>
        <v>2</v>
      </c>
      <c r="M20" s="6" t="s">
        <v>840</v>
      </c>
    </row>
    <row r="21" spans="1:13" x14ac:dyDescent="0.25">
      <c r="A21" s="10" t="s">
        <v>84</v>
      </c>
      <c r="B21" s="10" t="s">
        <v>85</v>
      </c>
      <c r="C21" t="s">
        <v>21</v>
      </c>
      <c r="D21" s="2">
        <v>32078</v>
      </c>
      <c r="E21" s="1">
        <v>9755633275</v>
      </c>
      <c r="F21" t="s">
        <v>32</v>
      </c>
      <c r="G21" t="s">
        <v>54</v>
      </c>
      <c r="H21" t="s">
        <v>86</v>
      </c>
      <c r="I21" s="2">
        <v>45948</v>
      </c>
      <c r="J21" t="s">
        <v>25</v>
      </c>
      <c r="K21" s="6" t="s">
        <v>822</v>
      </c>
      <c r="L21" s="8">
        <f>VLOOKUP(A21,Sheet1!G:I,3,0)</f>
        <v>2</v>
      </c>
      <c r="M21" s="6" t="s">
        <v>842</v>
      </c>
    </row>
    <row r="22" spans="1:13" x14ac:dyDescent="0.25">
      <c r="A22" s="10" t="s">
        <v>87</v>
      </c>
      <c r="B22" s="10" t="s">
        <v>88</v>
      </c>
      <c r="C22" t="s">
        <v>21</v>
      </c>
      <c r="D22" s="2">
        <v>26641</v>
      </c>
      <c r="E22" s="1">
        <v>9653050798</v>
      </c>
      <c r="F22" t="s">
        <v>32</v>
      </c>
      <c r="G22" t="s">
        <v>54</v>
      </c>
      <c r="H22" t="s">
        <v>41</v>
      </c>
      <c r="I22" s="2">
        <v>45948</v>
      </c>
      <c r="J22" t="s">
        <v>25</v>
      </c>
      <c r="K22" s="6" t="s">
        <v>822</v>
      </c>
      <c r="L22" s="8">
        <f>VLOOKUP(A22,Sheet1!G:I,3,0)</f>
        <v>2</v>
      </c>
      <c r="M22" s="6" t="s">
        <v>836</v>
      </c>
    </row>
    <row r="23" spans="1:13" x14ac:dyDescent="0.25">
      <c r="A23" s="10" t="s">
        <v>89</v>
      </c>
      <c r="B23" s="10" t="s">
        <v>90</v>
      </c>
      <c r="C23" t="s">
        <v>21</v>
      </c>
      <c r="D23" s="2">
        <v>22788</v>
      </c>
      <c r="E23" s="1">
        <v>9169841523</v>
      </c>
      <c r="F23" t="s">
        <v>32</v>
      </c>
      <c r="G23" t="s">
        <v>54</v>
      </c>
      <c r="H23" t="s">
        <v>91</v>
      </c>
      <c r="I23" s="2">
        <v>45948</v>
      </c>
      <c r="J23" t="s">
        <v>42</v>
      </c>
      <c r="K23" s="6" t="s">
        <v>822</v>
      </c>
      <c r="L23" s="8">
        <f>VLOOKUP(A23,Sheet1!G:I,3,0)</f>
        <v>1</v>
      </c>
      <c r="M23" s="6" t="s">
        <v>850</v>
      </c>
    </row>
    <row r="24" spans="1:13" x14ac:dyDescent="0.25">
      <c r="A24" s="10" t="s">
        <v>92</v>
      </c>
      <c r="B24" s="10" t="s">
        <v>93</v>
      </c>
      <c r="C24" t="s">
        <v>21</v>
      </c>
      <c r="D24" s="2">
        <v>27910</v>
      </c>
      <c r="E24" s="1">
        <v>9662055192</v>
      </c>
      <c r="F24" t="s">
        <v>32</v>
      </c>
      <c r="G24" t="s">
        <v>80</v>
      </c>
      <c r="H24" t="s">
        <v>51</v>
      </c>
      <c r="I24" s="2">
        <v>45962</v>
      </c>
      <c r="J24" t="s">
        <v>25</v>
      </c>
      <c r="K24" s="6" t="s">
        <v>822</v>
      </c>
      <c r="L24" s="8">
        <f>VLOOKUP(A24,Sheet1!G:I,3,0)</f>
        <v>3</v>
      </c>
      <c r="M24" s="6" t="s">
        <v>854</v>
      </c>
    </row>
    <row r="25" spans="1:13" x14ac:dyDescent="0.25">
      <c r="A25" s="10" t="s">
        <v>94</v>
      </c>
      <c r="B25" s="10" t="s">
        <v>95</v>
      </c>
      <c r="C25" t="s">
        <v>21</v>
      </c>
      <c r="D25" s="2">
        <v>32594</v>
      </c>
      <c r="E25" s="1">
        <v>9066426138</v>
      </c>
      <c r="F25" t="s">
        <v>96</v>
      </c>
      <c r="G25" t="s">
        <v>97</v>
      </c>
      <c r="H25" t="s">
        <v>98</v>
      </c>
      <c r="I25" s="2">
        <v>45969</v>
      </c>
      <c r="J25" t="s">
        <v>25</v>
      </c>
      <c r="K25" s="6" t="s">
        <v>826</v>
      </c>
      <c r="L25" s="8">
        <f>VLOOKUP(A25,Sheet1!G:I,3,0)</f>
        <v>1</v>
      </c>
      <c r="M25" s="6" t="s">
        <v>836</v>
      </c>
    </row>
    <row r="26" spans="1:13" x14ac:dyDescent="0.25">
      <c r="A26" s="10" t="s">
        <v>99</v>
      </c>
      <c r="B26" s="10" t="s">
        <v>100</v>
      </c>
      <c r="C26" t="s">
        <v>74</v>
      </c>
      <c r="D26" s="2">
        <v>28028</v>
      </c>
      <c r="E26" s="1">
        <v>9072786089</v>
      </c>
      <c r="F26" t="s">
        <v>96</v>
      </c>
      <c r="G26" t="s">
        <v>97</v>
      </c>
      <c r="H26" t="s">
        <v>41</v>
      </c>
      <c r="I26" s="2">
        <v>45969</v>
      </c>
      <c r="J26" t="s">
        <v>25</v>
      </c>
      <c r="K26" s="6" t="s">
        <v>826</v>
      </c>
      <c r="L26" s="8">
        <f>VLOOKUP(A26,Sheet1!G:I,3,0)</f>
        <v>1</v>
      </c>
      <c r="M26" s="6" t="s">
        <v>846</v>
      </c>
    </row>
    <row r="27" spans="1:13" x14ac:dyDescent="0.25">
      <c r="A27" s="10" t="s">
        <v>101</v>
      </c>
      <c r="B27" s="10" t="s">
        <v>102</v>
      </c>
      <c r="C27" t="s">
        <v>21</v>
      </c>
      <c r="D27" s="2">
        <v>26940</v>
      </c>
      <c r="E27" s="1">
        <v>9532417363</v>
      </c>
      <c r="F27" t="s">
        <v>96</v>
      </c>
      <c r="G27" t="s">
        <v>97</v>
      </c>
      <c r="H27" t="s">
        <v>103</v>
      </c>
      <c r="I27" s="2">
        <v>45969</v>
      </c>
      <c r="J27" t="s">
        <v>25</v>
      </c>
      <c r="K27" s="6" t="s">
        <v>823</v>
      </c>
      <c r="L27" s="8">
        <f>VLOOKUP(A27,Sheet1!G:I,3,0)</f>
        <v>2</v>
      </c>
      <c r="M27" s="6" t="s">
        <v>838</v>
      </c>
    </row>
    <row r="28" spans="1:13" x14ac:dyDescent="0.25">
      <c r="A28" s="10" t="s">
        <v>104</v>
      </c>
      <c r="B28" s="10" t="s">
        <v>105</v>
      </c>
      <c r="C28" t="s">
        <v>21</v>
      </c>
      <c r="D28" s="2">
        <v>23170</v>
      </c>
      <c r="E28" s="1">
        <v>9532997796</v>
      </c>
      <c r="F28" t="s">
        <v>96</v>
      </c>
      <c r="G28" t="s">
        <v>97</v>
      </c>
      <c r="H28" t="s">
        <v>106</v>
      </c>
      <c r="I28" s="2">
        <v>45969</v>
      </c>
      <c r="J28" t="s">
        <v>25</v>
      </c>
      <c r="K28" s="6" t="s">
        <v>823</v>
      </c>
      <c r="L28" s="8">
        <f>VLOOKUP(A28,Sheet1!G:I,3,0)</f>
        <v>2</v>
      </c>
      <c r="M28" s="6" t="s">
        <v>846</v>
      </c>
    </row>
    <row r="29" spans="1:13" x14ac:dyDescent="0.25">
      <c r="A29" s="10" t="s">
        <v>107</v>
      </c>
      <c r="B29" s="10" t="s">
        <v>108</v>
      </c>
      <c r="C29" t="s">
        <v>21</v>
      </c>
      <c r="D29" s="2">
        <v>26798</v>
      </c>
      <c r="E29" s="1">
        <v>9672741699</v>
      </c>
      <c r="F29" t="s">
        <v>32</v>
      </c>
      <c r="G29" t="s">
        <v>54</v>
      </c>
      <c r="I29" s="2">
        <v>45969</v>
      </c>
      <c r="J29" t="s">
        <v>25</v>
      </c>
      <c r="K29" s="6" t="s">
        <v>822</v>
      </c>
      <c r="L29" s="8">
        <f>VLOOKUP(A29,Sheet1!G:I,3,0)</f>
        <v>2</v>
      </c>
      <c r="M29" s="6" t="s">
        <v>854</v>
      </c>
    </row>
    <row r="30" spans="1:13" x14ac:dyDescent="0.25">
      <c r="A30" s="10" t="s">
        <v>109</v>
      </c>
      <c r="B30" s="10" t="s">
        <v>110</v>
      </c>
      <c r="C30" t="s">
        <v>21</v>
      </c>
      <c r="D30" s="2">
        <v>32039</v>
      </c>
      <c r="E30" s="1">
        <v>9058075130</v>
      </c>
      <c r="F30" t="s">
        <v>111</v>
      </c>
      <c r="G30" t="s">
        <v>112</v>
      </c>
      <c r="H30" t="s">
        <v>113</v>
      </c>
      <c r="I30" s="2">
        <v>45969</v>
      </c>
      <c r="J30" t="s">
        <v>25</v>
      </c>
      <c r="K30" s="6" t="s">
        <v>823</v>
      </c>
      <c r="L30" s="8">
        <f>VLOOKUP(A30,Sheet1!G:I,3,0)</f>
        <v>2</v>
      </c>
      <c r="M30" s="6" t="s">
        <v>836</v>
      </c>
    </row>
    <row r="31" spans="1:13" x14ac:dyDescent="0.25">
      <c r="A31" s="10" t="s">
        <v>114</v>
      </c>
      <c r="B31" s="10" t="s">
        <v>115</v>
      </c>
      <c r="C31" t="s">
        <v>21</v>
      </c>
      <c r="D31" s="2">
        <v>25327</v>
      </c>
      <c r="E31" s="1">
        <v>9679554166</v>
      </c>
      <c r="F31" t="s">
        <v>32</v>
      </c>
      <c r="G31" t="s">
        <v>54</v>
      </c>
      <c r="H31" t="s">
        <v>41</v>
      </c>
      <c r="I31" s="2">
        <v>45969</v>
      </c>
      <c r="J31" t="s">
        <v>25</v>
      </c>
      <c r="K31" s="6" t="s">
        <v>822</v>
      </c>
      <c r="L31" s="8">
        <f>VLOOKUP(A31,Sheet1!G:I,3,0)</f>
        <v>2</v>
      </c>
      <c r="M31" s="6" t="s">
        <v>842</v>
      </c>
    </row>
    <row r="32" spans="1:13" x14ac:dyDescent="0.25">
      <c r="A32" s="10" t="s">
        <v>116</v>
      </c>
      <c r="B32" s="10" t="s">
        <v>117</v>
      </c>
      <c r="C32" t="s">
        <v>21</v>
      </c>
      <c r="D32" s="2">
        <v>27505</v>
      </c>
      <c r="E32" s="1">
        <v>9551231524</v>
      </c>
      <c r="F32" t="s">
        <v>118</v>
      </c>
      <c r="G32" t="s">
        <v>119</v>
      </c>
      <c r="H32" t="s">
        <v>29</v>
      </c>
      <c r="I32" s="2">
        <v>45969</v>
      </c>
      <c r="J32" t="s">
        <v>25</v>
      </c>
      <c r="K32" s="6" t="s">
        <v>823</v>
      </c>
      <c r="L32" s="8">
        <f>VLOOKUP(A32,Sheet1!G:I,3,0)</f>
        <v>2</v>
      </c>
      <c r="M32" s="6" t="s">
        <v>836</v>
      </c>
    </row>
    <row r="33" spans="1:13" x14ac:dyDescent="0.25">
      <c r="A33" s="10" t="s">
        <v>120</v>
      </c>
      <c r="B33" s="10" t="s">
        <v>121</v>
      </c>
      <c r="C33" t="s">
        <v>21</v>
      </c>
      <c r="D33" s="2">
        <v>35874</v>
      </c>
      <c r="E33" s="1">
        <v>9750668212</v>
      </c>
      <c r="F33" t="s">
        <v>122</v>
      </c>
      <c r="G33" t="s">
        <v>123</v>
      </c>
      <c r="H33" t="s">
        <v>67</v>
      </c>
      <c r="I33" s="2">
        <v>45969</v>
      </c>
      <c r="J33" t="s">
        <v>42</v>
      </c>
      <c r="K33" s="6" t="s">
        <v>822</v>
      </c>
      <c r="L33" s="8">
        <f>VLOOKUP(A33,Sheet1!G:I,3,0)</f>
        <v>1</v>
      </c>
      <c r="M33" s="6" t="s">
        <v>842</v>
      </c>
    </row>
    <row r="34" spans="1:13" x14ac:dyDescent="0.25">
      <c r="A34" s="10" t="s">
        <v>124</v>
      </c>
      <c r="B34" s="10" t="s">
        <v>125</v>
      </c>
      <c r="C34" t="s">
        <v>74</v>
      </c>
      <c r="F34" t="s">
        <v>22</v>
      </c>
      <c r="G34" t="s">
        <v>23</v>
      </c>
      <c r="I34" s="2">
        <v>45969</v>
      </c>
      <c r="J34" t="s">
        <v>25</v>
      </c>
      <c r="K34" s="6" t="s">
        <v>822</v>
      </c>
      <c r="L34" s="8">
        <f>VLOOKUP(A34,Sheet1!G:I,3,0)</f>
        <v>1</v>
      </c>
      <c r="M34" s="6" t="s">
        <v>842</v>
      </c>
    </row>
    <row r="35" spans="1:13" x14ac:dyDescent="0.25">
      <c r="A35" s="10" t="s">
        <v>126</v>
      </c>
      <c r="B35" s="10" t="s">
        <v>127</v>
      </c>
      <c r="C35" t="s">
        <v>21</v>
      </c>
      <c r="F35" t="s">
        <v>128</v>
      </c>
      <c r="I35" s="2">
        <v>45975</v>
      </c>
      <c r="J35" t="s">
        <v>25</v>
      </c>
      <c r="K35" s="6" t="s">
        <v>822</v>
      </c>
      <c r="L35" s="8">
        <f>VLOOKUP(A35,Sheet1!G:I,3,0)</f>
        <v>1</v>
      </c>
      <c r="M35" s="6" t="s">
        <v>842</v>
      </c>
    </row>
    <row r="36" spans="1:13" x14ac:dyDescent="0.25">
      <c r="A36" s="10" t="s">
        <v>129</v>
      </c>
      <c r="B36" s="10" t="s">
        <v>130</v>
      </c>
      <c r="C36" t="s">
        <v>21</v>
      </c>
      <c r="D36" s="2">
        <v>30441</v>
      </c>
      <c r="F36" t="s">
        <v>131</v>
      </c>
      <c r="G36" t="s">
        <v>132</v>
      </c>
      <c r="H36" t="s">
        <v>133</v>
      </c>
      <c r="I36" s="2">
        <v>45975</v>
      </c>
      <c r="J36" t="s">
        <v>25</v>
      </c>
      <c r="K36" s="6" t="s">
        <v>826</v>
      </c>
      <c r="L36" s="8">
        <f>VLOOKUP(A36,Sheet1!G:I,3,0)</f>
        <v>2</v>
      </c>
      <c r="M36" s="6" t="s">
        <v>856</v>
      </c>
    </row>
    <row r="37" spans="1:13" x14ac:dyDescent="0.25">
      <c r="A37" s="10" t="s">
        <v>134</v>
      </c>
      <c r="B37" s="10" t="s">
        <v>135</v>
      </c>
      <c r="C37" t="s">
        <v>21</v>
      </c>
      <c r="D37" s="2">
        <v>23893</v>
      </c>
      <c r="E37" s="1">
        <v>9068682290</v>
      </c>
      <c r="F37" t="s">
        <v>131</v>
      </c>
      <c r="G37" t="s">
        <v>132</v>
      </c>
      <c r="H37" t="s">
        <v>41</v>
      </c>
      <c r="I37" s="2">
        <v>45975</v>
      </c>
      <c r="J37" t="s">
        <v>25</v>
      </c>
      <c r="K37" s="6" t="s">
        <v>826</v>
      </c>
      <c r="L37" s="8">
        <f>VLOOKUP(A37,Sheet1!G:I,3,0)</f>
        <v>2</v>
      </c>
      <c r="M37" s="6" t="s">
        <v>854</v>
      </c>
    </row>
    <row r="38" spans="1:13" x14ac:dyDescent="0.25">
      <c r="A38" s="10" t="s">
        <v>136</v>
      </c>
      <c r="B38" s="10" t="s">
        <v>137</v>
      </c>
      <c r="C38" t="s">
        <v>21</v>
      </c>
      <c r="D38" s="2">
        <v>29797</v>
      </c>
      <c r="E38" s="1">
        <v>9068678369</v>
      </c>
      <c r="F38" t="s">
        <v>131</v>
      </c>
      <c r="G38" t="s">
        <v>132</v>
      </c>
      <c r="H38" t="s">
        <v>41</v>
      </c>
      <c r="I38" s="2">
        <v>45975</v>
      </c>
      <c r="J38" t="s">
        <v>25</v>
      </c>
      <c r="K38" s="6" t="s">
        <v>823</v>
      </c>
      <c r="L38" s="8">
        <f>VLOOKUP(A38,Sheet1!G:I,3,0)</f>
        <v>2</v>
      </c>
      <c r="M38" s="6" t="s">
        <v>836</v>
      </c>
    </row>
    <row r="39" spans="1:13" x14ac:dyDescent="0.25">
      <c r="A39" s="10" t="s">
        <v>138</v>
      </c>
      <c r="B39" s="10" t="s">
        <v>139</v>
      </c>
      <c r="C39" t="s">
        <v>21</v>
      </c>
      <c r="D39" s="2">
        <v>28482</v>
      </c>
      <c r="F39" t="s">
        <v>131</v>
      </c>
      <c r="G39" t="s">
        <v>132</v>
      </c>
      <c r="H39" t="s">
        <v>133</v>
      </c>
      <c r="I39" s="2">
        <v>45975</v>
      </c>
      <c r="J39" t="s">
        <v>25</v>
      </c>
      <c r="K39" s="6" t="s">
        <v>823</v>
      </c>
      <c r="L39" s="8">
        <f>VLOOKUP(A39,Sheet1!G:I,3,0)</f>
        <v>1</v>
      </c>
      <c r="M39" s="6" t="s">
        <v>842</v>
      </c>
    </row>
    <row r="40" spans="1:13" x14ac:dyDescent="0.25">
      <c r="A40" s="10" t="s">
        <v>140</v>
      </c>
      <c r="B40" s="10" t="s">
        <v>141</v>
      </c>
      <c r="C40" t="s">
        <v>21</v>
      </c>
      <c r="D40" s="2">
        <v>30931</v>
      </c>
      <c r="F40" t="s">
        <v>131</v>
      </c>
      <c r="G40" t="s">
        <v>132</v>
      </c>
      <c r="H40" t="s">
        <v>142</v>
      </c>
      <c r="I40" s="2">
        <v>45982</v>
      </c>
      <c r="J40" t="s">
        <v>25</v>
      </c>
      <c r="K40" s="6" t="s">
        <v>823</v>
      </c>
      <c r="L40" s="8">
        <f>VLOOKUP(A40,Sheet1!G:I,3,0)</f>
        <v>2</v>
      </c>
      <c r="M40" s="6" t="s">
        <v>854</v>
      </c>
    </row>
    <row r="41" spans="1:13" x14ac:dyDescent="0.25">
      <c r="A41" s="10" t="s">
        <v>143</v>
      </c>
      <c r="B41" s="10" t="s">
        <v>144</v>
      </c>
      <c r="C41" t="s">
        <v>21</v>
      </c>
      <c r="D41" s="2">
        <v>28954</v>
      </c>
      <c r="F41" t="s">
        <v>131</v>
      </c>
      <c r="G41" t="s">
        <v>132</v>
      </c>
      <c r="H41" t="s">
        <v>145</v>
      </c>
      <c r="I41" s="2">
        <v>45982</v>
      </c>
      <c r="J41" t="s">
        <v>25</v>
      </c>
      <c r="K41" s="6" t="s">
        <v>823</v>
      </c>
      <c r="L41" s="8">
        <f>VLOOKUP(A41,Sheet1!G:I,3,0)</f>
        <v>2</v>
      </c>
      <c r="M41" s="6" t="s">
        <v>854</v>
      </c>
    </row>
    <row r="42" spans="1:13" x14ac:dyDescent="0.25">
      <c r="A42" s="10" t="s">
        <v>146</v>
      </c>
      <c r="B42" s="10" t="s">
        <v>147</v>
      </c>
      <c r="C42" t="s">
        <v>21</v>
      </c>
      <c r="D42" s="2">
        <v>29219</v>
      </c>
      <c r="F42" t="s">
        <v>131</v>
      </c>
      <c r="G42" t="s">
        <v>132</v>
      </c>
      <c r="H42" t="s">
        <v>133</v>
      </c>
      <c r="I42" s="2">
        <v>45982</v>
      </c>
      <c r="J42" t="s">
        <v>25</v>
      </c>
      <c r="K42" s="6" t="s">
        <v>826</v>
      </c>
      <c r="L42" s="8">
        <f>VLOOKUP(A42,Sheet1!G:I,3,0)</f>
        <v>2</v>
      </c>
      <c r="M42" s="6" t="s">
        <v>842</v>
      </c>
    </row>
    <row r="43" spans="1:13" x14ac:dyDescent="0.25">
      <c r="A43" s="10" t="s">
        <v>148</v>
      </c>
      <c r="B43" s="10" t="s">
        <v>149</v>
      </c>
      <c r="C43" t="s">
        <v>21</v>
      </c>
      <c r="D43" s="2">
        <v>31467</v>
      </c>
      <c r="F43" t="s">
        <v>131</v>
      </c>
      <c r="G43" t="s">
        <v>132</v>
      </c>
      <c r="H43" t="s">
        <v>150</v>
      </c>
      <c r="I43" s="2">
        <v>45982</v>
      </c>
      <c r="J43" t="s">
        <v>25</v>
      </c>
      <c r="K43" s="6" t="s">
        <v>823</v>
      </c>
      <c r="L43" s="8">
        <f>VLOOKUP(A43,Sheet1!G:I,3,0)</f>
        <v>2</v>
      </c>
      <c r="M43" s="6" t="s">
        <v>848</v>
      </c>
    </row>
    <row r="44" spans="1:13" x14ac:dyDescent="0.25">
      <c r="A44" s="10" t="s">
        <v>151</v>
      </c>
      <c r="B44" s="10" t="s">
        <v>152</v>
      </c>
      <c r="C44" t="s">
        <v>21</v>
      </c>
      <c r="D44" s="2">
        <v>25038</v>
      </c>
      <c r="F44" t="s">
        <v>131</v>
      </c>
      <c r="G44" t="s">
        <v>132</v>
      </c>
      <c r="H44" t="s">
        <v>153</v>
      </c>
      <c r="I44" s="2">
        <v>45982</v>
      </c>
      <c r="J44" t="s">
        <v>25</v>
      </c>
      <c r="K44" s="6" t="s">
        <v>823</v>
      </c>
      <c r="L44" s="8">
        <f>VLOOKUP(A44,Sheet1!G:I,3,0)</f>
        <v>2</v>
      </c>
      <c r="M44" s="6" t="s">
        <v>836</v>
      </c>
    </row>
    <row r="45" spans="1:13" x14ac:dyDescent="0.25">
      <c r="A45" s="10" t="s">
        <v>154</v>
      </c>
      <c r="B45" s="10" t="s">
        <v>155</v>
      </c>
      <c r="C45" t="s">
        <v>21</v>
      </c>
      <c r="D45" s="2">
        <v>31305</v>
      </c>
      <c r="E45" s="1">
        <v>9603879549</v>
      </c>
      <c r="F45" t="s">
        <v>131</v>
      </c>
      <c r="G45" t="s">
        <v>132</v>
      </c>
      <c r="H45" t="s">
        <v>156</v>
      </c>
      <c r="I45" s="2">
        <v>45982</v>
      </c>
      <c r="J45" t="s">
        <v>25</v>
      </c>
      <c r="K45" s="6" t="s">
        <v>826</v>
      </c>
      <c r="L45" s="8">
        <f>VLOOKUP(A45,Sheet1!G:I,3,0)</f>
        <v>2</v>
      </c>
      <c r="M45" s="6" t="s">
        <v>842</v>
      </c>
    </row>
    <row r="46" spans="1:13" x14ac:dyDescent="0.25">
      <c r="A46" s="10" t="s">
        <v>157</v>
      </c>
      <c r="B46" s="10" t="s">
        <v>158</v>
      </c>
      <c r="C46" t="s">
        <v>21</v>
      </c>
      <c r="D46" s="2">
        <v>28856</v>
      </c>
      <c r="F46" t="s">
        <v>131</v>
      </c>
      <c r="G46" t="s">
        <v>132</v>
      </c>
      <c r="H46" t="s">
        <v>133</v>
      </c>
      <c r="I46" s="2">
        <v>45982</v>
      </c>
      <c r="J46" t="s">
        <v>25</v>
      </c>
      <c r="K46" s="6" t="s">
        <v>826</v>
      </c>
      <c r="L46" s="8">
        <f>VLOOKUP(A46,Sheet1!G:I,3,0)</f>
        <v>2</v>
      </c>
      <c r="M46" s="6" t="s">
        <v>842</v>
      </c>
    </row>
    <row r="47" spans="1:13" x14ac:dyDescent="0.25">
      <c r="A47" s="10" t="s">
        <v>159</v>
      </c>
      <c r="B47" s="10" t="s">
        <v>160</v>
      </c>
      <c r="C47" t="s">
        <v>21</v>
      </c>
      <c r="D47" s="2">
        <v>22103</v>
      </c>
      <c r="E47" s="1">
        <v>9525633134</v>
      </c>
      <c r="F47" t="s">
        <v>32</v>
      </c>
      <c r="G47" t="s">
        <v>161</v>
      </c>
      <c r="H47" t="s">
        <v>162</v>
      </c>
      <c r="I47" s="2">
        <v>45982</v>
      </c>
      <c r="J47" t="s">
        <v>25</v>
      </c>
      <c r="K47" s="6" t="s">
        <v>822</v>
      </c>
      <c r="L47" s="8">
        <f>VLOOKUP(A47,Sheet1!G:I,3,0)</f>
        <v>1</v>
      </c>
      <c r="M47" s="6" t="s">
        <v>842</v>
      </c>
    </row>
    <row r="48" spans="1:13" x14ac:dyDescent="0.25">
      <c r="A48" s="10" t="s">
        <v>163</v>
      </c>
      <c r="B48" s="10" t="s">
        <v>164</v>
      </c>
      <c r="C48" t="s">
        <v>21</v>
      </c>
      <c r="D48" s="2">
        <v>29063</v>
      </c>
      <c r="F48" t="s">
        <v>131</v>
      </c>
      <c r="G48" t="s">
        <v>132</v>
      </c>
      <c r="I48" s="2">
        <v>45982</v>
      </c>
      <c r="J48" t="s">
        <v>25</v>
      </c>
      <c r="K48" s="6" t="s">
        <v>823</v>
      </c>
      <c r="L48" s="8">
        <f>VLOOKUP(A48,Sheet1!G:I,3,0)</f>
        <v>2</v>
      </c>
      <c r="M48" s="6" t="s">
        <v>842</v>
      </c>
    </row>
    <row r="49" spans="1:13" x14ac:dyDescent="0.25">
      <c r="A49" s="10" t="s">
        <v>165</v>
      </c>
      <c r="B49" s="10" t="s">
        <v>166</v>
      </c>
      <c r="C49" t="s">
        <v>21</v>
      </c>
      <c r="D49" s="2">
        <v>36492</v>
      </c>
      <c r="E49" s="1">
        <v>9064589475</v>
      </c>
      <c r="F49" t="s">
        <v>111</v>
      </c>
      <c r="G49" t="s">
        <v>112</v>
      </c>
      <c r="H49" t="s">
        <v>75</v>
      </c>
      <c r="I49" s="2">
        <v>45982</v>
      </c>
      <c r="J49" t="s">
        <v>25</v>
      </c>
      <c r="K49" s="6" t="s">
        <v>823</v>
      </c>
      <c r="L49" s="8">
        <f>VLOOKUP(A49,Sheet1!G:I,3,0)</f>
        <v>2</v>
      </c>
      <c r="M49" s="6" t="s">
        <v>842</v>
      </c>
    </row>
    <row r="50" spans="1:13" x14ac:dyDescent="0.25">
      <c r="A50" s="10" t="s">
        <v>167</v>
      </c>
      <c r="B50" s="10" t="s">
        <v>168</v>
      </c>
      <c r="C50" t="s">
        <v>21</v>
      </c>
      <c r="D50" s="2">
        <v>23867</v>
      </c>
      <c r="F50" t="s">
        <v>131</v>
      </c>
      <c r="G50" t="s">
        <v>132</v>
      </c>
      <c r="I50" s="2">
        <v>45992</v>
      </c>
      <c r="J50" t="s">
        <v>25</v>
      </c>
      <c r="K50" s="6" t="s">
        <v>826</v>
      </c>
      <c r="L50" s="8">
        <f>VLOOKUP(A50,Sheet1!G:I,3,0)</f>
        <v>2</v>
      </c>
      <c r="M50" s="6" t="s">
        <v>842</v>
      </c>
    </row>
    <row r="51" spans="1:13" x14ac:dyDescent="0.25">
      <c r="A51" s="10" t="s">
        <v>169</v>
      </c>
      <c r="B51" s="10" t="s">
        <v>170</v>
      </c>
      <c r="C51" t="s">
        <v>21</v>
      </c>
      <c r="D51" s="2">
        <v>34129</v>
      </c>
      <c r="F51" t="s">
        <v>131</v>
      </c>
      <c r="G51" t="s">
        <v>132</v>
      </c>
      <c r="I51" s="2">
        <v>45992</v>
      </c>
      <c r="J51" t="s">
        <v>25</v>
      </c>
      <c r="K51" s="6" t="s">
        <v>823</v>
      </c>
      <c r="L51" s="8">
        <f>VLOOKUP(A51,Sheet1!G:I,3,0)</f>
        <v>1</v>
      </c>
      <c r="M51" s="6" t="s">
        <v>854</v>
      </c>
    </row>
    <row r="52" spans="1:13" x14ac:dyDescent="0.25">
      <c r="A52" s="10" t="s">
        <v>171</v>
      </c>
      <c r="B52" s="10" t="s">
        <v>172</v>
      </c>
      <c r="C52" t="s">
        <v>21</v>
      </c>
      <c r="D52" s="2">
        <v>35521</v>
      </c>
      <c r="E52" s="1">
        <v>9757684032</v>
      </c>
      <c r="F52" t="s">
        <v>32</v>
      </c>
      <c r="G52" t="s">
        <v>173</v>
      </c>
      <c r="H52" t="s">
        <v>174</v>
      </c>
      <c r="I52" s="2">
        <v>45992</v>
      </c>
      <c r="J52" t="s">
        <v>25</v>
      </c>
      <c r="K52" s="6" t="s">
        <v>826</v>
      </c>
      <c r="L52" s="8">
        <f>VLOOKUP(A52,Sheet1!G:I,3,0)</f>
        <v>1</v>
      </c>
      <c r="M52" s="6" t="s">
        <v>846</v>
      </c>
    </row>
    <row r="53" spans="1:13" x14ac:dyDescent="0.25">
      <c r="A53" s="10" t="s">
        <v>175</v>
      </c>
      <c r="B53" s="10" t="s">
        <v>176</v>
      </c>
      <c r="C53" t="s">
        <v>21</v>
      </c>
      <c r="D53" s="2">
        <v>28128</v>
      </c>
      <c r="E53" s="1">
        <v>9673052815</v>
      </c>
      <c r="F53" t="s">
        <v>96</v>
      </c>
      <c r="G53" t="s">
        <v>177</v>
      </c>
      <c r="H53" t="s">
        <v>178</v>
      </c>
      <c r="I53" s="2">
        <v>45992</v>
      </c>
      <c r="J53" t="s">
        <v>25</v>
      </c>
      <c r="K53" s="6" t="s">
        <v>826</v>
      </c>
      <c r="L53" s="8">
        <f>VLOOKUP(A53,Sheet1!G:I,3,0)</f>
        <v>1</v>
      </c>
      <c r="M53" s="6" t="s">
        <v>846</v>
      </c>
    </row>
    <row r="54" spans="1:13" x14ac:dyDescent="0.25">
      <c r="A54" s="10" t="s">
        <v>179</v>
      </c>
      <c r="B54" s="10" t="s">
        <v>180</v>
      </c>
      <c r="C54" t="s">
        <v>21</v>
      </c>
      <c r="D54" s="2">
        <v>34315</v>
      </c>
      <c r="E54" s="1">
        <v>9756142964</v>
      </c>
      <c r="F54" t="s">
        <v>96</v>
      </c>
      <c r="G54" t="s">
        <v>177</v>
      </c>
      <c r="H54" t="s">
        <v>181</v>
      </c>
      <c r="I54" s="2">
        <v>45992</v>
      </c>
      <c r="J54" t="s">
        <v>25</v>
      </c>
      <c r="K54" s="6" t="s">
        <v>826</v>
      </c>
      <c r="L54" s="8">
        <f>VLOOKUP(A54,Sheet1!G:I,3,0)</f>
        <v>1</v>
      </c>
      <c r="M54" s="6" t="s">
        <v>846</v>
      </c>
    </row>
    <row r="55" spans="1:13" x14ac:dyDescent="0.25">
      <c r="A55" s="10" t="s">
        <v>182</v>
      </c>
      <c r="B55" s="10" t="s">
        <v>183</v>
      </c>
      <c r="C55" t="s">
        <v>21</v>
      </c>
      <c r="D55" s="2">
        <v>17642</v>
      </c>
      <c r="E55" s="1">
        <v>9068641121</v>
      </c>
      <c r="F55" t="s">
        <v>96</v>
      </c>
      <c r="G55" t="s">
        <v>97</v>
      </c>
      <c r="H55" t="s">
        <v>184</v>
      </c>
      <c r="I55" s="2">
        <v>45992</v>
      </c>
      <c r="J55" t="s">
        <v>25</v>
      </c>
      <c r="K55" s="6" t="s">
        <v>826</v>
      </c>
      <c r="L55" s="8">
        <f>VLOOKUP(A55,Sheet1!G:I,3,0)</f>
        <v>1</v>
      </c>
      <c r="M55" s="6" t="s">
        <v>846</v>
      </c>
    </row>
    <row r="56" spans="1:13" x14ac:dyDescent="0.25">
      <c r="A56" s="10" t="s">
        <v>185</v>
      </c>
      <c r="B56" s="10" t="s">
        <v>186</v>
      </c>
      <c r="C56" t="s">
        <v>74</v>
      </c>
      <c r="D56" s="2">
        <v>36527</v>
      </c>
      <c r="E56" s="1">
        <v>9671492119</v>
      </c>
      <c r="F56" t="s">
        <v>96</v>
      </c>
      <c r="G56" t="s">
        <v>187</v>
      </c>
      <c r="H56" t="s">
        <v>188</v>
      </c>
      <c r="I56" s="2">
        <v>45992</v>
      </c>
      <c r="J56" t="s">
        <v>25</v>
      </c>
      <c r="K56" s="6" t="s">
        <v>826</v>
      </c>
      <c r="L56" s="8">
        <f>VLOOKUP(A56,Sheet1!G:I,3,0)</f>
        <v>1</v>
      </c>
      <c r="M56" s="6" t="s">
        <v>838</v>
      </c>
    </row>
    <row r="57" spans="1:13" x14ac:dyDescent="0.25">
      <c r="A57" s="10" t="s">
        <v>189</v>
      </c>
      <c r="B57" s="10" t="s">
        <v>190</v>
      </c>
      <c r="C57" t="s">
        <v>21</v>
      </c>
      <c r="D57" s="2">
        <v>25442</v>
      </c>
      <c r="E57" s="1">
        <v>9358244250</v>
      </c>
      <c r="F57" t="s">
        <v>96</v>
      </c>
      <c r="G57" t="s">
        <v>191</v>
      </c>
      <c r="H57" t="s">
        <v>192</v>
      </c>
      <c r="I57" s="2">
        <v>45992</v>
      </c>
      <c r="J57" t="s">
        <v>25</v>
      </c>
      <c r="K57" s="6" t="s">
        <v>826</v>
      </c>
      <c r="L57" s="8">
        <f>VLOOKUP(A57,Sheet1!G:I,3,0)</f>
        <v>1</v>
      </c>
      <c r="M57" s="6" t="s">
        <v>858</v>
      </c>
    </row>
    <row r="58" spans="1:13" x14ac:dyDescent="0.25">
      <c r="A58" s="10" t="s">
        <v>193</v>
      </c>
      <c r="B58" s="10" t="s">
        <v>194</v>
      </c>
      <c r="C58" t="s">
        <v>21</v>
      </c>
      <c r="D58" s="2">
        <v>29327</v>
      </c>
      <c r="E58" s="1">
        <v>9350676857</v>
      </c>
      <c r="F58" t="s">
        <v>96</v>
      </c>
      <c r="G58" t="s">
        <v>97</v>
      </c>
      <c r="H58" t="s">
        <v>41</v>
      </c>
      <c r="I58" s="2">
        <v>45992</v>
      </c>
      <c r="J58" t="s">
        <v>25</v>
      </c>
      <c r="K58" s="6" t="s">
        <v>826</v>
      </c>
      <c r="L58" s="8">
        <f>VLOOKUP(A58,Sheet1!G:I,3,0)</f>
        <v>1</v>
      </c>
      <c r="M58" s="6" t="s">
        <v>846</v>
      </c>
    </row>
    <row r="59" spans="1:13" x14ac:dyDescent="0.25">
      <c r="A59" s="10" t="s">
        <v>195</v>
      </c>
      <c r="B59" s="10" t="s">
        <v>196</v>
      </c>
      <c r="C59" t="s">
        <v>74</v>
      </c>
      <c r="D59" s="2">
        <v>28504</v>
      </c>
      <c r="E59" s="1">
        <v>9532405531</v>
      </c>
      <c r="F59" t="s">
        <v>96</v>
      </c>
      <c r="G59" t="s">
        <v>97</v>
      </c>
      <c r="H59" t="s">
        <v>197</v>
      </c>
      <c r="I59" s="2">
        <v>45992</v>
      </c>
      <c r="J59" t="s">
        <v>25</v>
      </c>
      <c r="K59" s="6" t="s">
        <v>826</v>
      </c>
      <c r="L59" s="8">
        <f>VLOOKUP(A59,Sheet1!G:I,3,0)</f>
        <v>1</v>
      </c>
      <c r="M59" s="6" t="s">
        <v>846</v>
      </c>
    </row>
    <row r="60" spans="1:13" x14ac:dyDescent="0.25">
      <c r="A60" s="10" t="s">
        <v>198</v>
      </c>
      <c r="B60" s="10" t="s">
        <v>199</v>
      </c>
      <c r="C60" t="s">
        <v>21</v>
      </c>
      <c r="D60" s="2">
        <v>22323</v>
      </c>
      <c r="E60" s="1">
        <v>9757535595</v>
      </c>
      <c r="F60" t="s">
        <v>96</v>
      </c>
      <c r="G60" t="s">
        <v>200</v>
      </c>
      <c r="H60" t="s">
        <v>201</v>
      </c>
      <c r="I60" s="2">
        <v>45992</v>
      </c>
      <c r="J60" t="s">
        <v>25</v>
      </c>
      <c r="K60" s="6" t="s">
        <v>826</v>
      </c>
      <c r="L60" s="8">
        <f>VLOOKUP(A60,Sheet1!G:I,3,0)</f>
        <v>1</v>
      </c>
      <c r="M60" s="6" t="s">
        <v>838</v>
      </c>
    </row>
    <row r="61" spans="1:13" x14ac:dyDescent="0.25">
      <c r="A61" s="10" t="s">
        <v>202</v>
      </c>
      <c r="B61" s="10" t="s">
        <v>203</v>
      </c>
      <c r="C61" t="s">
        <v>21</v>
      </c>
      <c r="D61" s="2">
        <v>26326</v>
      </c>
      <c r="E61" s="1">
        <v>9357262190</v>
      </c>
      <c r="F61" t="s">
        <v>96</v>
      </c>
      <c r="G61" t="s">
        <v>204</v>
      </c>
      <c r="H61" t="s">
        <v>46</v>
      </c>
      <c r="I61" s="2">
        <v>45992</v>
      </c>
      <c r="J61" t="s">
        <v>42</v>
      </c>
      <c r="K61" s="6" t="s">
        <v>823</v>
      </c>
      <c r="L61" s="8">
        <f>VLOOKUP(A61,Sheet1!G:I,3,0)</f>
        <v>1</v>
      </c>
      <c r="M61" s="6" t="s">
        <v>842</v>
      </c>
    </row>
    <row r="62" spans="1:13" x14ac:dyDescent="0.25">
      <c r="A62" s="10" t="s">
        <v>205</v>
      </c>
      <c r="B62" s="10" t="s">
        <v>206</v>
      </c>
      <c r="C62" t="s">
        <v>21</v>
      </c>
      <c r="D62" s="2">
        <v>22744</v>
      </c>
      <c r="E62" s="1">
        <v>9757559837</v>
      </c>
      <c r="F62" t="s">
        <v>96</v>
      </c>
      <c r="G62" t="s">
        <v>204</v>
      </c>
      <c r="H62" t="s">
        <v>207</v>
      </c>
      <c r="I62" s="2">
        <v>45992</v>
      </c>
      <c r="J62" t="s">
        <v>25</v>
      </c>
      <c r="K62" s="6" t="s">
        <v>826</v>
      </c>
      <c r="L62" s="8">
        <f>VLOOKUP(A62,Sheet1!G:I,3,0)</f>
        <v>1</v>
      </c>
      <c r="M62" s="6" t="s">
        <v>846</v>
      </c>
    </row>
    <row r="63" spans="1:13" x14ac:dyDescent="0.25">
      <c r="A63" s="10" t="s">
        <v>208</v>
      </c>
      <c r="B63" s="10" t="s">
        <v>209</v>
      </c>
      <c r="C63" t="s">
        <v>21</v>
      </c>
      <c r="D63" s="2">
        <v>22041</v>
      </c>
      <c r="E63" s="1">
        <v>9066862072</v>
      </c>
      <c r="F63" t="s">
        <v>96</v>
      </c>
      <c r="G63" t="s">
        <v>177</v>
      </c>
      <c r="H63" t="s">
        <v>46</v>
      </c>
      <c r="I63" s="2">
        <v>45992</v>
      </c>
      <c r="J63" t="s">
        <v>25</v>
      </c>
      <c r="K63" s="6" t="s">
        <v>823</v>
      </c>
      <c r="L63" s="8">
        <f>VLOOKUP(A63,Sheet1!G:I,3,0)</f>
        <v>2</v>
      </c>
      <c r="M63" s="6" t="s">
        <v>842</v>
      </c>
    </row>
    <row r="64" spans="1:13" x14ac:dyDescent="0.25">
      <c r="A64" s="10" t="s">
        <v>210</v>
      </c>
      <c r="B64" s="10" t="s">
        <v>211</v>
      </c>
      <c r="C64" t="s">
        <v>21</v>
      </c>
      <c r="D64" s="2">
        <v>29665</v>
      </c>
      <c r="E64" s="1">
        <v>9066655133</v>
      </c>
      <c r="F64" t="s">
        <v>96</v>
      </c>
      <c r="G64" t="s">
        <v>177</v>
      </c>
      <c r="H64" t="s">
        <v>212</v>
      </c>
      <c r="I64" s="2">
        <v>45992</v>
      </c>
      <c r="J64" t="s">
        <v>25</v>
      </c>
      <c r="K64" s="6" t="s">
        <v>826</v>
      </c>
      <c r="L64" s="8">
        <f>VLOOKUP(A64,Sheet1!G:I,3,0)</f>
        <v>1</v>
      </c>
      <c r="M64" s="6" t="s">
        <v>844</v>
      </c>
    </row>
    <row r="65" spans="1:13" x14ac:dyDescent="0.25">
      <c r="A65" s="10" t="s">
        <v>213</v>
      </c>
      <c r="B65" s="10" t="s">
        <v>214</v>
      </c>
      <c r="C65" t="s">
        <v>21</v>
      </c>
      <c r="D65" s="2">
        <v>18529</v>
      </c>
      <c r="E65" s="1">
        <v>9535891290</v>
      </c>
      <c r="F65" t="s">
        <v>96</v>
      </c>
      <c r="G65" t="s">
        <v>215</v>
      </c>
      <c r="H65" t="s">
        <v>29</v>
      </c>
      <c r="I65" s="2">
        <v>45992</v>
      </c>
      <c r="J65" t="s">
        <v>25</v>
      </c>
      <c r="K65" s="6" t="s">
        <v>823</v>
      </c>
      <c r="L65" s="8">
        <f>VLOOKUP(A65,Sheet1!G:I,3,0)</f>
        <v>2</v>
      </c>
      <c r="M65" s="6" t="s">
        <v>838</v>
      </c>
    </row>
    <row r="66" spans="1:13" x14ac:dyDescent="0.25">
      <c r="A66" s="10" t="s">
        <v>216</v>
      </c>
      <c r="B66" s="10" t="s">
        <v>217</v>
      </c>
      <c r="C66" t="s">
        <v>21</v>
      </c>
      <c r="D66" s="2">
        <v>28425</v>
      </c>
      <c r="E66" s="1">
        <v>9973619773</v>
      </c>
      <c r="F66" t="s">
        <v>96</v>
      </c>
      <c r="G66" t="s">
        <v>215</v>
      </c>
      <c r="H66" t="s">
        <v>29</v>
      </c>
      <c r="I66" s="2">
        <v>45992</v>
      </c>
      <c r="J66" t="s">
        <v>25</v>
      </c>
      <c r="K66" s="6" t="s">
        <v>823</v>
      </c>
      <c r="L66" s="8">
        <f>VLOOKUP(A66,Sheet1!G:I,3,0)</f>
        <v>2</v>
      </c>
      <c r="M66" s="6" t="s">
        <v>858</v>
      </c>
    </row>
    <row r="67" spans="1:13" x14ac:dyDescent="0.25">
      <c r="A67" s="10" t="s">
        <v>218</v>
      </c>
      <c r="B67" s="10" t="s">
        <v>219</v>
      </c>
      <c r="C67" t="s">
        <v>21</v>
      </c>
      <c r="D67" s="2">
        <v>23989</v>
      </c>
      <c r="E67" s="1">
        <v>9759082076</v>
      </c>
      <c r="F67" t="s">
        <v>96</v>
      </c>
      <c r="G67" t="s">
        <v>200</v>
      </c>
      <c r="H67" t="s">
        <v>220</v>
      </c>
      <c r="I67" s="2">
        <v>45992</v>
      </c>
      <c r="J67" t="s">
        <v>25</v>
      </c>
      <c r="K67" s="6" t="s">
        <v>823</v>
      </c>
      <c r="L67" s="8">
        <f>VLOOKUP(A67,Sheet1!G:I,3,0)</f>
        <v>2</v>
      </c>
      <c r="M67" s="6" t="s">
        <v>854</v>
      </c>
    </row>
    <row r="68" spans="1:13" x14ac:dyDescent="0.25">
      <c r="A68" s="10" t="s">
        <v>221</v>
      </c>
      <c r="B68" s="10" t="s">
        <v>222</v>
      </c>
      <c r="C68" t="s">
        <v>21</v>
      </c>
      <c r="D68" s="2">
        <v>29271</v>
      </c>
      <c r="E68" s="1">
        <v>9535873107</v>
      </c>
      <c r="F68" t="s">
        <v>118</v>
      </c>
      <c r="G68" t="s">
        <v>223</v>
      </c>
      <c r="H68" t="s">
        <v>224</v>
      </c>
      <c r="I68" s="2">
        <v>45992</v>
      </c>
      <c r="J68" t="s">
        <v>25</v>
      </c>
      <c r="K68" s="6" t="s">
        <v>823</v>
      </c>
      <c r="L68" s="8">
        <f>VLOOKUP(A68,Sheet1!G:I,3,0)</f>
        <v>2</v>
      </c>
      <c r="M68" s="6" t="s">
        <v>838</v>
      </c>
    </row>
    <row r="69" spans="1:13" x14ac:dyDescent="0.25">
      <c r="A69" s="10" t="s">
        <v>225</v>
      </c>
      <c r="B69" s="10" t="s">
        <v>226</v>
      </c>
      <c r="C69" t="s">
        <v>21</v>
      </c>
      <c r="D69" s="2">
        <v>29532</v>
      </c>
      <c r="E69" s="1">
        <v>9056926651</v>
      </c>
      <c r="F69" t="s">
        <v>118</v>
      </c>
      <c r="G69" t="s">
        <v>223</v>
      </c>
      <c r="H69" t="s">
        <v>227</v>
      </c>
      <c r="I69" s="2">
        <v>45992</v>
      </c>
      <c r="J69" t="s">
        <v>25</v>
      </c>
      <c r="K69" s="6" t="s">
        <v>823</v>
      </c>
      <c r="L69" s="8">
        <f>VLOOKUP(A69,Sheet1!G:I,3,0)</f>
        <v>2</v>
      </c>
      <c r="M69" s="6" t="s">
        <v>844</v>
      </c>
    </row>
    <row r="70" spans="1:13" x14ac:dyDescent="0.25">
      <c r="A70" s="10" t="s">
        <v>228</v>
      </c>
      <c r="B70" s="10" t="s">
        <v>229</v>
      </c>
      <c r="C70" t="s">
        <v>21</v>
      </c>
      <c r="D70" s="2">
        <v>29290</v>
      </c>
      <c r="E70" s="1">
        <v>9361684356</v>
      </c>
      <c r="F70" t="s">
        <v>118</v>
      </c>
      <c r="G70" t="s">
        <v>230</v>
      </c>
      <c r="H70" t="s">
        <v>29</v>
      </c>
      <c r="I70" s="2">
        <v>45992</v>
      </c>
      <c r="J70" t="s">
        <v>25</v>
      </c>
      <c r="K70" s="6" t="s">
        <v>823</v>
      </c>
      <c r="L70" s="8">
        <f>VLOOKUP(A70,Sheet1!G:I,3,0)</f>
        <v>2</v>
      </c>
      <c r="M70" s="6" t="s">
        <v>844</v>
      </c>
    </row>
    <row r="71" spans="1:13" x14ac:dyDescent="0.25">
      <c r="A71" s="10" t="s">
        <v>231</v>
      </c>
      <c r="B71" s="10" t="s">
        <v>232</v>
      </c>
      <c r="C71" t="s">
        <v>21</v>
      </c>
      <c r="D71" s="2">
        <v>27867</v>
      </c>
      <c r="E71" s="1">
        <v>9671492119</v>
      </c>
      <c r="F71" t="s">
        <v>118</v>
      </c>
      <c r="G71" t="s">
        <v>230</v>
      </c>
      <c r="H71" t="s">
        <v>29</v>
      </c>
      <c r="I71" s="2">
        <v>45992</v>
      </c>
      <c r="J71" t="s">
        <v>25</v>
      </c>
      <c r="K71" s="6" t="s">
        <v>823</v>
      </c>
      <c r="L71" s="8">
        <f>VLOOKUP(A71,Sheet1!G:I,3,0)</f>
        <v>2</v>
      </c>
      <c r="M71" s="6" t="s">
        <v>844</v>
      </c>
    </row>
    <row r="72" spans="1:13" x14ac:dyDescent="0.25">
      <c r="A72" s="10" t="s">
        <v>233</v>
      </c>
      <c r="B72" s="10" t="s">
        <v>234</v>
      </c>
      <c r="C72" t="s">
        <v>21</v>
      </c>
      <c r="D72" s="2">
        <v>24806</v>
      </c>
      <c r="E72" s="1">
        <v>9930847578</v>
      </c>
      <c r="F72" t="s">
        <v>122</v>
      </c>
      <c r="G72" t="s">
        <v>235</v>
      </c>
      <c r="H72" t="s">
        <v>236</v>
      </c>
      <c r="I72" s="2">
        <v>45992</v>
      </c>
      <c r="J72" t="s">
        <v>25</v>
      </c>
      <c r="K72" s="6" t="s">
        <v>822</v>
      </c>
      <c r="L72" s="8">
        <f>VLOOKUP(A72,Sheet1!G:I,3,0)</f>
        <v>2</v>
      </c>
      <c r="M72" s="6" t="s">
        <v>838</v>
      </c>
    </row>
    <row r="73" spans="1:13" x14ac:dyDescent="0.25">
      <c r="A73" s="10" t="s">
        <v>237</v>
      </c>
      <c r="B73" s="10" t="s">
        <v>238</v>
      </c>
      <c r="C73" t="s">
        <v>21</v>
      </c>
      <c r="D73" s="2">
        <v>25378</v>
      </c>
      <c r="F73" t="s">
        <v>118</v>
      </c>
      <c r="G73" t="s">
        <v>239</v>
      </c>
      <c r="H73" t="s">
        <v>29</v>
      </c>
      <c r="I73" s="2">
        <v>45992</v>
      </c>
      <c r="J73" t="s">
        <v>25</v>
      </c>
      <c r="K73" s="6" t="s">
        <v>823</v>
      </c>
      <c r="L73" s="8">
        <f>VLOOKUP(A73,Sheet1!G:I,3,0)</f>
        <v>2</v>
      </c>
      <c r="M73" s="6" t="s">
        <v>842</v>
      </c>
    </row>
    <row r="74" spans="1:13" x14ac:dyDescent="0.25">
      <c r="A74" s="10" t="s">
        <v>240</v>
      </c>
      <c r="B74" s="10" t="s">
        <v>241</v>
      </c>
      <c r="C74" t="s">
        <v>21</v>
      </c>
      <c r="D74" s="2">
        <v>24436</v>
      </c>
      <c r="F74" t="s">
        <v>118</v>
      </c>
      <c r="G74" t="s">
        <v>239</v>
      </c>
      <c r="H74" t="s">
        <v>29</v>
      </c>
      <c r="I74" s="2">
        <v>45992</v>
      </c>
      <c r="J74" t="s">
        <v>25</v>
      </c>
      <c r="K74" s="6" t="s">
        <v>823</v>
      </c>
      <c r="L74" s="8">
        <f>VLOOKUP(A74,Sheet1!G:I,3,0)</f>
        <v>2</v>
      </c>
      <c r="M74" s="6" t="s">
        <v>854</v>
      </c>
    </row>
    <row r="75" spans="1:13" x14ac:dyDescent="0.25">
      <c r="A75" s="10" t="s">
        <v>242</v>
      </c>
      <c r="B75" s="10" t="s">
        <v>243</v>
      </c>
      <c r="C75" t="s">
        <v>21</v>
      </c>
      <c r="D75" s="2">
        <v>24802</v>
      </c>
      <c r="E75" s="1">
        <v>9976190574</v>
      </c>
      <c r="F75" t="s">
        <v>244</v>
      </c>
      <c r="G75" t="s">
        <v>245</v>
      </c>
      <c r="H75" t="s">
        <v>246</v>
      </c>
      <c r="I75" s="2">
        <v>45992</v>
      </c>
      <c r="J75" t="s">
        <v>25</v>
      </c>
      <c r="K75" s="6" t="s">
        <v>826</v>
      </c>
      <c r="L75" s="8">
        <f>VLOOKUP(A75,Sheet1!G:I,3,0)</f>
        <v>1</v>
      </c>
      <c r="M75" s="6" t="s">
        <v>838</v>
      </c>
    </row>
    <row r="76" spans="1:13" x14ac:dyDescent="0.25">
      <c r="A76" s="10" t="s">
        <v>247</v>
      </c>
      <c r="B76" s="10" t="s">
        <v>248</v>
      </c>
      <c r="C76" t="s">
        <v>21</v>
      </c>
      <c r="D76" s="2">
        <v>19751</v>
      </c>
      <c r="E76" s="1">
        <v>9177343826</v>
      </c>
      <c r="F76" t="s">
        <v>118</v>
      </c>
      <c r="G76" t="s">
        <v>245</v>
      </c>
      <c r="H76" t="s">
        <v>249</v>
      </c>
      <c r="I76" s="2">
        <v>45992</v>
      </c>
      <c r="J76" t="s">
        <v>25</v>
      </c>
      <c r="K76" s="6" t="s">
        <v>823</v>
      </c>
      <c r="L76" s="8">
        <f>VLOOKUP(A76,Sheet1!G:I,3,0)</f>
        <v>2</v>
      </c>
      <c r="M76" s="6" t="s">
        <v>838</v>
      </c>
    </row>
    <row r="77" spans="1:13" x14ac:dyDescent="0.25">
      <c r="A77" s="10" t="s">
        <v>250</v>
      </c>
      <c r="B77" s="10" t="s">
        <v>251</v>
      </c>
      <c r="C77" t="s">
        <v>74</v>
      </c>
      <c r="D77" s="2">
        <v>38086</v>
      </c>
      <c r="E77" s="1">
        <v>9083934865</v>
      </c>
      <c r="F77" t="s">
        <v>252</v>
      </c>
      <c r="G77" t="s">
        <v>253</v>
      </c>
      <c r="H77" t="s">
        <v>188</v>
      </c>
      <c r="I77" s="2">
        <v>46000</v>
      </c>
      <c r="J77" t="s">
        <v>42</v>
      </c>
      <c r="K77" s="6" t="s">
        <v>823</v>
      </c>
      <c r="L77" s="8">
        <f>VLOOKUP(A77,Sheet1!G:I,3,0)</f>
        <v>1</v>
      </c>
      <c r="M77" s="6" t="s">
        <v>838</v>
      </c>
    </row>
    <row r="78" spans="1:13" x14ac:dyDescent="0.25">
      <c r="A78" s="10" t="s">
        <v>254</v>
      </c>
      <c r="B78" s="10" t="s">
        <v>255</v>
      </c>
      <c r="C78" t="s">
        <v>74</v>
      </c>
      <c r="D78" s="2">
        <v>31751</v>
      </c>
      <c r="E78" s="1">
        <v>9363223967</v>
      </c>
      <c r="F78" t="s">
        <v>96</v>
      </c>
      <c r="G78" t="s">
        <v>97</v>
      </c>
      <c r="H78" t="s">
        <v>188</v>
      </c>
      <c r="I78" s="2">
        <v>46000</v>
      </c>
      <c r="J78" t="s">
        <v>42</v>
      </c>
      <c r="K78" s="6" t="s">
        <v>823</v>
      </c>
      <c r="L78" s="8">
        <f>VLOOKUP(A78,Sheet1!G:I,3,0)</f>
        <v>1</v>
      </c>
      <c r="M78" s="6" t="s">
        <v>838</v>
      </c>
    </row>
    <row r="79" spans="1:13" x14ac:dyDescent="0.25">
      <c r="A79" s="10" t="s">
        <v>256</v>
      </c>
      <c r="B79" s="10" t="s">
        <v>257</v>
      </c>
      <c r="C79" t="s">
        <v>21</v>
      </c>
      <c r="D79" s="2">
        <v>33804</v>
      </c>
      <c r="E79" s="1">
        <v>9641541644</v>
      </c>
      <c r="F79" t="s">
        <v>96</v>
      </c>
      <c r="G79" t="s">
        <v>191</v>
      </c>
      <c r="H79" t="s">
        <v>258</v>
      </c>
      <c r="I79" s="2">
        <v>46000</v>
      </c>
      <c r="J79" t="s">
        <v>25</v>
      </c>
      <c r="K79" s="6" t="s">
        <v>823</v>
      </c>
      <c r="L79" s="8">
        <f>VLOOKUP(A79,Sheet1!G:I,3,0)</f>
        <v>2</v>
      </c>
      <c r="M79" s="6" t="s">
        <v>848</v>
      </c>
    </row>
    <row r="80" spans="1:13" x14ac:dyDescent="0.25">
      <c r="A80" s="10" t="s">
        <v>259</v>
      </c>
      <c r="B80" s="10" t="s">
        <v>260</v>
      </c>
      <c r="C80" t="s">
        <v>21</v>
      </c>
      <c r="D80" s="2">
        <v>23721</v>
      </c>
      <c r="E80" s="1">
        <v>9675117341</v>
      </c>
      <c r="F80" t="s">
        <v>122</v>
      </c>
      <c r="G80" t="s">
        <v>261</v>
      </c>
      <c r="H80" t="s">
        <v>262</v>
      </c>
      <c r="I80" s="2">
        <v>46000</v>
      </c>
      <c r="J80" t="s">
        <v>25</v>
      </c>
      <c r="K80" s="6" t="s">
        <v>822</v>
      </c>
      <c r="L80" s="8">
        <f>VLOOKUP(A80,Sheet1!G:I,3,0)</f>
        <v>2</v>
      </c>
      <c r="M80" s="6" t="s">
        <v>838</v>
      </c>
    </row>
    <row r="81" spans="1:13" x14ac:dyDescent="0.25">
      <c r="A81" s="10" t="s">
        <v>263</v>
      </c>
      <c r="B81" s="10" t="s">
        <v>264</v>
      </c>
      <c r="C81" t="s">
        <v>74</v>
      </c>
      <c r="D81" s="2">
        <v>33714</v>
      </c>
      <c r="E81" s="1">
        <v>9770318866</v>
      </c>
      <c r="F81" t="s">
        <v>118</v>
      </c>
      <c r="G81" t="s">
        <v>239</v>
      </c>
      <c r="H81" t="s">
        <v>265</v>
      </c>
      <c r="I81" s="2">
        <v>46000</v>
      </c>
      <c r="J81" t="s">
        <v>25</v>
      </c>
      <c r="K81" s="6" t="s">
        <v>823</v>
      </c>
      <c r="L81" s="8">
        <f>VLOOKUP(A81,Sheet1!G:I,3,0)</f>
        <v>2</v>
      </c>
      <c r="M81" s="6" t="s">
        <v>860</v>
      </c>
    </row>
    <row r="82" spans="1:13" x14ac:dyDescent="0.25">
      <c r="A82" s="10" t="s">
        <v>266</v>
      </c>
      <c r="B82" s="10" t="s">
        <v>267</v>
      </c>
      <c r="C82" t="s">
        <v>21</v>
      </c>
      <c r="D82" s="2">
        <v>27411</v>
      </c>
      <c r="E82" s="1">
        <v>9553375359</v>
      </c>
      <c r="F82" t="s">
        <v>118</v>
      </c>
      <c r="G82" t="s">
        <v>230</v>
      </c>
      <c r="H82" t="s">
        <v>51</v>
      </c>
      <c r="I82" s="2">
        <v>46000</v>
      </c>
      <c r="J82" t="s">
        <v>25</v>
      </c>
      <c r="K82" s="6" t="s">
        <v>826</v>
      </c>
      <c r="L82" s="8">
        <f>VLOOKUP(A82,Sheet1!G:I,3,0)</f>
        <v>1</v>
      </c>
      <c r="M82" s="6" t="s">
        <v>840</v>
      </c>
    </row>
    <row r="83" spans="1:13" x14ac:dyDescent="0.25">
      <c r="A83" s="10" t="s">
        <v>268</v>
      </c>
      <c r="B83" s="10" t="s">
        <v>269</v>
      </c>
      <c r="C83" t="s">
        <v>21</v>
      </c>
      <c r="D83" s="2">
        <v>34103</v>
      </c>
      <c r="E83" s="1">
        <v>9755630248</v>
      </c>
      <c r="F83" t="s">
        <v>244</v>
      </c>
      <c r="G83" t="s">
        <v>270</v>
      </c>
      <c r="H83" t="s">
        <v>271</v>
      </c>
      <c r="I83" s="2">
        <v>46000</v>
      </c>
      <c r="J83" t="s">
        <v>42</v>
      </c>
      <c r="K83" s="6" t="s">
        <v>822</v>
      </c>
      <c r="L83" s="8">
        <f>VLOOKUP(A83,Sheet1!G:I,3,0)</f>
        <v>1</v>
      </c>
      <c r="M83" s="6" t="s">
        <v>838</v>
      </c>
    </row>
    <row r="84" spans="1:13" x14ac:dyDescent="0.25">
      <c r="A84" s="10" t="s">
        <v>272</v>
      </c>
      <c r="B84" s="10" t="s">
        <v>273</v>
      </c>
      <c r="C84" t="s">
        <v>21</v>
      </c>
      <c r="D84" s="2">
        <v>26016</v>
      </c>
      <c r="E84" s="1">
        <v>9169418189</v>
      </c>
      <c r="F84" t="s">
        <v>96</v>
      </c>
      <c r="G84" t="s">
        <v>200</v>
      </c>
      <c r="H84" t="s">
        <v>274</v>
      </c>
      <c r="I84" s="2">
        <v>46000</v>
      </c>
      <c r="J84" t="s">
        <v>25</v>
      </c>
      <c r="K84" s="6" t="s">
        <v>823</v>
      </c>
      <c r="L84" s="8">
        <f>VLOOKUP(A84,Sheet1!G:I,3,0)</f>
        <v>2</v>
      </c>
      <c r="M84" s="6" t="s">
        <v>842</v>
      </c>
    </row>
    <row r="85" spans="1:13" x14ac:dyDescent="0.25">
      <c r="A85" s="10" t="s">
        <v>275</v>
      </c>
      <c r="B85" s="10" t="s">
        <v>276</v>
      </c>
      <c r="C85" t="s">
        <v>21</v>
      </c>
      <c r="D85" s="2">
        <v>24581</v>
      </c>
      <c r="E85" s="1">
        <v>9553377631</v>
      </c>
      <c r="F85" t="s">
        <v>96</v>
      </c>
      <c r="G85" t="s">
        <v>177</v>
      </c>
      <c r="H85" t="s">
        <v>277</v>
      </c>
      <c r="I85" s="2">
        <v>46000</v>
      </c>
      <c r="J85" t="s">
        <v>25</v>
      </c>
      <c r="K85" s="6" t="s">
        <v>823</v>
      </c>
      <c r="L85" s="8">
        <f>VLOOKUP(A85,Sheet1!G:I,3,0)</f>
        <v>2</v>
      </c>
      <c r="M85" s="6" t="s">
        <v>838</v>
      </c>
    </row>
    <row r="86" spans="1:13" x14ac:dyDescent="0.25">
      <c r="A86" s="10" t="s">
        <v>278</v>
      </c>
      <c r="B86" s="10" t="s">
        <v>279</v>
      </c>
      <c r="C86" t="s">
        <v>21</v>
      </c>
      <c r="D86" s="2">
        <v>24444</v>
      </c>
      <c r="F86" t="s">
        <v>122</v>
      </c>
      <c r="G86" t="s">
        <v>280</v>
      </c>
      <c r="H86" t="s">
        <v>29</v>
      </c>
      <c r="I86" s="2">
        <v>46000</v>
      </c>
      <c r="J86" t="s">
        <v>25</v>
      </c>
      <c r="K86" s="6" t="s">
        <v>822</v>
      </c>
      <c r="L86" s="8">
        <f>VLOOKUP(A86,Sheet1!G:I,3,0)</f>
        <v>2</v>
      </c>
      <c r="M86" s="6" t="s">
        <v>838</v>
      </c>
    </row>
    <row r="87" spans="1:13" x14ac:dyDescent="0.25">
      <c r="A87" s="10" t="s">
        <v>281</v>
      </c>
      <c r="B87" s="10" t="s">
        <v>282</v>
      </c>
      <c r="C87" t="s">
        <v>21</v>
      </c>
      <c r="D87" s="2">
        <v>23979</v>
      </c>
      <c r="F87" t="s">
        <v>122</v>
      </c>
      <c r="G87" t="s">
        <v>283</v>
      </c>
      <c r="H87" t="s">
        <v>46</v>
      </c>
      <c r="I87" s="2">
        <v>46000</v>
      </c>
      <c r="J87" t="s">
        <v>25</v>
      </c>
      <c r="K87" s="6" t="s">
        <v>822</v>
      </c>
      <c r="L87" s="8">
        <f>VLOOKUP(A87,Sheet1!G:I,3,0)</f>
        <v>2</v>
      </c>
      <c r="M87" s="6" t="s">
        <v>838</v>
      </c>
    </row>
    <row r="88" spans="1:13" x14ac:dyDescent="0.25">
      <c r="A88" s="10" t="s">
        <v>284</v>
      </c>
      <c r="B88" s="10" t="s">
        <v>285</v>
      </c>
      <c r="C88" t="s">
        <v>21</v>
      </c>
      <c r="D88" s="2">
        <v>25832</v>
      </c>
      <c r="E88" s="1">
        <v>9953514025</v>
      </c>
      <c r="F88" t="s">
        <v>32</v>
      </c>
      <c r="G88" t="s">
        <v>286</v>
      </c>
      <c r="H88" t="s">
        <v>41</v>
      </c>
      <c r="I88" s="2">
        <v>46000</v>
      </c>
      <c r="J88" t="s">
        <v>42</v>
      </c>
      <c r="K88" s="6" t="s">
        <v>822</v>
      </c>
      <c r="L88" s="8">
        <f>VLOOKUP(A88,Sheet1!G:I,3,0)</f>
        <v>1</v>
      </c>
      <c r="M88" s="6" t="s">
        <v>846</v>
      </c>
    </row>
    <row r="89" spans="1:13" x14ac:dyDescent="0.25">
      <c r="A89" s="10" t="s">
        <v>287</v>
      </c>
      <c r="B89" s="10" t="s">
        <v>288</v>
      </c>
      <c r="C89" t="s">
        <v>21</v>
      </c>
      <c r="D89" s="2">
        <v>28324</v>
      </c>
      <c r="E89" s="1">
        <v>9531509824</v>
      </c>
      <c r="F89" t="s">
        <v>32</v>
      </c>
      <c r="G89" t="s">
        <v>286</v>
      </c>
      <c r="H89" t="s">
        <v>51</v>
      </c>
      <c r="I89" s="2">
        <v>46000</v>
      </c>
      <c r="J89" t="s">
        <v>25</v>
      </c>
      <c r="K89" s="6" t="s">
        <v>826</v>
      </c>
      <c r="L89" s="8">
        <f>VLOOKUP(A89,Sheet1!G:I,3,0)</f>
        <v>1</v>
      </c>
      <c r="M89" s="6" t="s">
        <v>840</v>
      </c>
    </row>
    <row r="90" spans="1:13" x14ac:dyDescent="0.25">
      <c r="A90" s="10" t="s">
        <v>289</v>
      </c>
      <c r="B90" s="10" t="s">
        <v>290</v>
      </c>
      <c r="C90" t="s">
        <v>21</v>
      </c>
      <c r="D90" s="2">
        <v>22841</v>
      </c>
      <c r="F90" t="s">
        <v>32</v>
      </c>
      <c r="G90" t="s">
        <v>286</v>
      </c>
      <c r="H90" t="s">
        <v>51</v>
      </c>
      <c r="I90" s="2">
        <v>46000</v>
      </c>
      <c r="J90" t="s">
        <v>25</v>
      </c>
      <c r="K90" s="6" t="s">
        <v>826</v>
      </c>
      <c r="L90" s="8">
        <f>VLOOKUP(A90,Sheet1!G:I,3,0)</f>
        <v>1</v>
      </c>
      <c r="M90" s="6" t="s">
        <v>844</v>
      </c>
    </row>
    <row r="91" spans="1:13" x14ac:dyDescent="0.25">
      <c r="A91" s="10" t="s">
        <v>291</v>
      </c>
      <c r="B91" s="10" t="s">
        <v>292</v>
      </c>
      <c r="C91" t="s">
        <v>21</v>
      </c>
      <c r="D91" s="2">
        <v>25530</v>
      </c>
      <c r="F91" t="s">
        <v>293</v>
      </c>
      <c r="G91" t="s">
        <v>294</v>
      </c>
      <c r="I91" s="2">
        <v>46000</v>
      </c>
      <c r="J91" t="s">
        <v>25</v>
      </c>
      <c r="K91" s="6" t="s">
        <v>826</v>
      </c>
      <c r="L91" s="8">
        <f>VLOOKUP(A91,Sheet1!G:I,3,0)</f>
        <v>2</v>
      </c>
      <c r="M91" s="6" t="s">
        <v>836</v>
      </c>
    </row>
    <row r="92" spans="1:13" x14ac:dyDescent="0.25">
      <c r="A92" s="10" t="s">
        <v>295</v>
      </c>
      <c r="B92" s="10" t="s">
        <v>296</v>
      </c>
      <c r="C92" t="s">
        <v>21</v>
      </c>
      <c r="D92" s="2">
        <v>32449</v>
      </c>
      <c r="E92" s="1">
        <v>9264638093</v>
      </c>
      <c r="F92" t="s">
        <v>293</v>
      </c>
      <c r="G92" t="s">
        <v>294</v>
      </c>
      <c r="I92" s="2">
        <v>46000</v>
      </c>
      <c r="J92" t="s">
        <v>25</v>
      </c>
      <c r="K92" s="6" t="s">
        <v>822</v>
      </c>
      <c r="L92" s="8">
        <f>VLOOKUP(A92,Sheet1!G:I,3,0)</f>
        <v>2</v>
      </c>
      <c r="M92" s="6" t="s">
        <v>836</v>
      </c>
    </row>
    <row r="93" spans="1:13" x14ac:dyDescent="0.25">
      <c r="A93" s="10" t="s">
        <v>297</v>
      </c>
      <c r="B93" s="10" t="s">
        <v>298</v>
      </c>
      <c r="C93" t="s">
        <v>21</v>
      </c>
      <c r="D93" s="2">
        <v>26490</v>
      </c>
      <c r="F93" t="s">
        <v>293</v>
      </c>
      <c r="G93" t="s">
        <v>294</v>
      </c>
      <c r="I93" s="2">
        <v>46000</v>
      </c>
      <c r="J93" t="s">
        <v>25</v>
      </c>
      <c r="K93" s="6" t="s">
        <v>822</v>
      </c>
      <c r="L93" s="8">
        <f>VLOOKUP(A93,Sheet1!G:I,3,0)</f>
        <v>2</v>
      </c>
      <c r="M93" s="6" t="s">
        <v>836</v>
      </c>
    </row>
    <row r="94" spans="1:13" x14ac:dyDescent="0.25">
      <c r="A94" s="10" t="s">
        <v>299</v>
      </c>
      <c r="B94" s="10" t="s">
        <v>300</v>
      </c>
      <c r="C94" t="s">
        <v>21</v>
      </c>
      <c r="D94" s="2">
        <v>23510</v>
      </c>
      <c r="F94" t="s">
        <v>293</v>
      </c>
      <c r="G94" t="s">
        <v>301</v>
      </c>
      <c r="I94" s="2">
        <v>46000</v>
      </c>
      <c r="J94" t="s">
        <v>25</v>
      </c>
      <c r="K94" s="6" t="s">
        <v>826</v>
      </c>
      <c r="L94" s="8">
        <f>VLOOKUP(A94,Sheet1!G:I,3,0)</f>
        <v>1</v>
      </c>
      <c r="M94" s="6" t="s">
        <v>846</v>
      </c>
    </row>
    <row r="95" spans="1:13" x14ac:dyDescent="0.25">
      <c r="A95" s="10" t="s">
        <v>302</v>
      </c>
      <c r="B95" s="10" t="s">
        <v>303</v>
      </c>
      <c r="C95" t="s">
        <v>21</v>
      </c>
      <c r="D95" s="2">
        <v>31031</v>
      </c>
      <c r="E95" s="1">
        <v>9532414268</v>
      </c>
      <c r="F95" t="s">
        <v>96</v>
      </c>
      <c r="G95" t="s">
        <v>177</v>
      </c>
      <c r="H95" t="s">
        <v>304</v>
      </c>
      <c r="I95" s="2">
        <v>46000</v>
      </c>
      <c r="J95" t="s">
        <v>25</v>
      </c>
      <c r="K95" s="6" t="s">
        <v>826</v>
      </c>
      <c r="L95" s="8">
        <f>VLOOKUP(A95,Sheet1!G:I,3,0)</f>
        <v>1</v>
      </c>
      <c r="M95" s="6" t="s">
        <v>838</v>
      </c>
    </row>
    <row r="96" spans="1:13" x14ac:dyDescent="0.25">
      <c r="A96" s="10" t="s">
        <v>305</v>
      </c>
      <c r="B96" s="10" t="s">
        <v>306</v>
      </c>
      <c r="C96" t="s">
        <v>21</v>
      </c>
      <c r="D96" s="2">
        <v>28712</v>
      </c>
      <c r="E96" s="1">
        <v>9358246506</v>
      </c>
      <c r="F96" t="s">
        <v>244</v>
      </c>
      <c r="G96" t="s">
        <v>270</v>
      </c>
      <c r="H96" t="s">
        <v>41</v>
      </c>
      <c r="I96" s="2">
        <v>46000</v>
      </c>
      <c r="J96" t="s">
        <v>25</v>
      </c>
      <c r="K96" s="6" t="s">
        <v>822</v>
      </c>
      <c r="L96" s="8">
        <f>VLOOKUP(A96,Sheet1!G:I,3,0)</f>
        <v>2</v>
      </c>
      <c r="M96" s="6" t="s">
        <v>846</v>
      </c>
    </row>
    <row r="97" spans="1:13" x14ac:dyDescent="0.25">
      <c r="A97" s="10" t="s">
        <v>307</v>
      </c>
      <c r="B97" s="10" t="s">
        <v>308</v>
      </c>
      <c r="C97" t="s">
        <v>21</v>
      </c>
      <c r="D97" s="2">
        <v>32225</v>
      </c>
      <c r="E97" s="1">
        <v>9279411780</v>
      </c>
      <c r="F97" t="s">
        <v>244</v>
      </c>
      <c r="G97" t="s">
        <v>270</v>
      </c>
      <c r="H97" t="s">
        <v>309</v>
      </c>
      <c r="I97" s="2">
        <v>46000</v>
      </c>
      <c r="J97" t="s">
        <v>25</v>
      </c>
      <c r="K97" s="6" t="s">
        <v>826</v>
      </c>
      <c r="L97" s="8">
        <f>VLOOKUP(A97,Sheet1!G:I,3,0)</f>
        <v>1</v>
      </c>
      <c r="M97" s="6" t="s">
        <v>838</v>
      </c>
    </row>
    <row r="98" spans="1:13" x14ac:dyDescent="0.25">
      <c r="A98" s="10" t="s">
        <v>310</v>
      </c>
      <c r="B98" s="10" t="s">
        <v>311</v>
      </c>
      <c r="C98" t="s">
        <v>21</v>
      </c>
      <c r="D98" s="2">
        <v>29367</v>
      </c>
      <c r="F98" t="s">
        <v>131</v>
      </c>
      <c r="G98" t="s">
        <v>132</v>
      </c>
      <c r="H98" t="s">
        <v>249</v>
      </c>
      <c r="I98" s="2">
        <v>46006</v>
      </c>
      <c r="J98" t="s">
        <v>25</v>
      </c>
      <c r="K98" s="6" t="s">
        <v>823</v>
      </c>
      <c r="L98" s="8">
        <f>VLOOKUP(A98,Sheet1!G:I,3,0)</f>
        <v>2</v>
      </c>
      <c r="M98" s="6" t="s">
        <v>862</v>
      </c>
    </row>
    <row r="99" spans="1:13" x14ac:dyDescent="0.25">
      <c r="A99" s="10" t="s">
        <v>312</v>
      </c>
      <c r="B99" s="10" t="s">
        <v>313</v>
      </c>
      <c r="C99" t="s">
        <v>21</v>
      </c>
      <c r="D99" s="2">
        <v>33119</v>
      </c>
      <c r="E99" s="1">
        <v>9686572723</v>
      </c>
      <c r="F99" t="s">
        <v>131</v>
      </c>
      <c r="G99" t="s">
        <v>132</v>
      </c>
      <c r="H99" t="s">
        <v>314</v>
      </c>
      <c r="I99" s="2">
        <v>46006</v>
      </c>
      <c r="J99" t="s">
        <v>25</v>
      </c>
      <c r="K99" s="6" t="s">
        <v>823</v>
      </c>
      <c r="L99" s="8">
        <f>VLOOKUP(A99,Sheet1!G:I,3,0)</f>
        <v>2</v>
      </c>
      <c r="M99" s="6" t="s">
        <v>848</v>
      </c>
    </row>
    <row r="100" spans="1:13" x14ac:dyDescent="0.25">
      <c r="A100" s="10" t="s">
        <v>315</v>
      </c>
      <c r="B100" s="10" t="s">
        <v>316</v>
      </c>
      <c r="C100" t="s">
        <v>74</v>
      </c>
      <c r="D100" s="2">
        <v>32256</v>
      </c>
      <c r="E100" s="1">
        <v>9532740973</v>
      </c>
      <c r="F100" t="s">
        <v>131</v>
      </c>
      <c r="G100" t="s">
        <v>132</v>
      </c>
      <c r="H100" t="s">
        <v>317</v>
      </c>
      <c r="I100" s="2">
        <v>46006</v>
      </c>
      <c r="J100" t="s">
        <v>25</v>
      </c>
      <c r="K100" s="6" t="s">
        <v>823</v>
      </c>
      <c r="L100" s="8">
        <f>VLOOKUP(A100,Sheet1!G:I,3,0)</f>
        <v>2</v>
      </c>
      <c r="M100" s="6" t="s">
        <v>836</v>
      </c>
    </row>
    <row r="101" spans="1:13" x14ac:dyDescent="0.25">
      <c r="A101" s="10" t="s">
        <v>318</v>
      </c>
      <c r="B101" s="10" t="s">
        <v>319</v>
      </c>
      <c r="C101" t="s">
        <v>21</v>
      </c>
      <c r="D101" s="2">
        <v>27760</v>
      </c>
      <c r="E101" s="1">
        <v>975896764</v>
      </c>
      <c r="F101" t="s">
        <v>131</v>
      </c>
      <c r="G101" t="s">
        <v>132</v>
      </c>
      <c r="H101" t="s">
        <v>320</v>
      </c>
      <c r="I101" s="2">
        <v>46006</v>
      </c>
      <c r="J101" t="s">
        <v>25</v>
      </c>
      <c r="K101" s="6" t="s">
        <v>823</v>
      </c>
      <c r="L101" s="8">
        <f>VLOOKUP(A101,Sheet1!G:I,3,0)</f>
        <v>2</v>
      </c>
      <c r="M101" s="6" t="s">
        <v>836</v>
      </c>
    </row>
    <row r="102" spans="1:13" x14ac:dyDescent="0.25">
      <c r="A102" s="10" t="s">
        <v>321</v>
      </c>
      <c r="B102" s="10" t="s">
        <v>322</v>
      </c>
      <c r="C102" t="s">
        <v>21</v>
      </c>
      <c r="D102" s="2">
        <v>29742</v>
      </c>
      <c r="E102" s="1">
        <v>9614603689</v>
      </c>
      <c r="F102" t="s">
        <v>131</v>
      </c>
      <c r="G102" t="s">
        <v>132</v>
      </c>
      <c r="H102" t="s">
        <v>323</v>
      </c>
      <c r="I102" s="2">
        <v>46006</v>
      </c>
      <c r="J102" t="s">
        <v>25</v>
      </c>
      <c r="K102" s="6" t="s">
        <v>823</v>
      </c>
      <c r="L102" s="8">
        <f>VLOOKUP(A102,Sheet1!G:I,3,0)</f>
        <v>2</v>
      </c>
      <c r="M102" s="6" t="s">
        <v>864</v>
      </c>
    </row>
    <row r="103" spans="1:13" x14ac:dyDescent="0.25">
      <c r="A103" s="10" t="s">
        <v>324</v>
      </c>
      <c r="B103" s="10" t="s">
        <v>325</v>
      </c>
      <c r="C103" t="s">
        <v>21</v>
      </c>
      <c r="D103" s="2">
        <v>33254</v>
      </c>
      <c r="E103" s="1">
        <v>9765094748</v>
      </c>
      <c r="F103" t="s">
        <v>326</v>
      </c>
      <c r="G103" t="s">
        <v>327</v>
      </c>
      <c r="H103" t="s">
        <v>328</v>
      </c>
      <c r="I103" s="2">
        <v>46006</v>
      </c>
      <c r="J103" t="s">
        <v>25</v>
      </c>
      <c r="K103" s="6" t="s">
        <v>822</v>
      </c>
      <c r="L103" s="8">
        <f>VLOOKUP(A103,Sheet1!G:I,3,0)</f>
        <v>2</v>
      </c>
      <c r="M103" s="6" t="s">
        <v>846</v>
      </c>
    </row>
    <row r="104" spans="1:13" x14ac:dyDescent="0.25">
      <c r="A104" s="10" t="s">
        <v>329</v>
      </c>
      <c r="B104" s="10" t="s">
        <v>330</v>
      </c>
      <c r="C104" t="s">
        <v>74</v>
      </c>
      <c r="D104" s="2">
        <v>35781</v>
      </c>
      <c r="F104" t="s">
        <v>293</v>
      </c>
      <c r="G104" t="s">
        <v>331</v>
      </c>
      <c r="I104" s="2">
        <v>46006</v>
      </c>
      <c r="J104" t="s">
        <v>25</v>
      </c>
      <c r="K104" s="6" t="s">
        <v>822</v>
      </c>
      <c r="L104" s="8">
        <f>VLOOKUP(A104,Sheet1!G:I,3,0)</f>
        <v>2</v>
      </c>
      <c r="M104" s="6" t="s">
        <v>846</v>
      </c>
    </row>
    <row r="105" spans="1:13" x14ac:dyDescent="0.25">
      <c r="A105" s="10" t="s">
        <v>332</v>
      </c>
      <c r="B105" s="10" t="s">
        <v>333</v>
      </c>
      <c r="C105" t="s">
        <v>21</v>
      </c>
      <c r="D105" s="2">
        <v>24861</v>
      </c>
      <c r="F105" t="s">
        <v>293</v>
      </c>
      <c r="G105" t="s">
        <v>331</v>
      </c>
      <c r="I105" s="2">
        <v>46006</v>
      </c>
      <c r="J105" t="s">
        <v>25</v>
      </c>
      <c r="K105" s="6" t="s">
        <v>822</v>
      </c>
      <c r="L105" s="8">
        <f>VLOOKUP(A105,Sheet1!G:I,3,0)</f>
        <v>2</v>
      </c>
      <c r="M105" s="6" t="s">
        <v>852</v>
      </c>
    </row>
    <row r="106" spans="1:13" x14ac:dyDescent="0.25">
      <c r="A106" s="10" t="s">
        <v>334</v>
      </c>
      <c r="B106" s="10" t="s">
        <v>335</v>
      </c>
      <c r="C106" t="s">
        <v>21</v>
      </c>
      <c r="D106" s="2">
        <v>32161</v>
      </c>
      <c r="E106" s="1">
        <v>9562380605</v>
      </c>
      <c r="F106" t="s">
        <v>293</v>
      </c>
      <c r="G106" t="s">
        <v>301</v>
      </c>
      <c r="I106" s="2">
        <v>46006</v>
      </c>
      <c r="J106" t="s">
        <v>25</v>
      </c>
      <c r="K106" s="6" t="s">
        <v>822</v>
      </c>
      <c r="L106" s="8">
        <f>VLOOKUP(A106,Sheet1!G:I,3,0)</f>
        <v>2</v>
      </c>
      <c r="M106" s="6" t="s">
        <v>840</v>
      </c>
    </row>
    <row r="107" spans="1:13" x14ac:dyDescent="0.25">
      <c r="A107" s="10" t="s">
        <v>336</v>
      </c>
      <c r="B107" s="10" t="s">
        <v>337</v>
      </c>
      <c r="C107" t="s">
        <v>21</v>
      </c>
      <c r="D107" s="2">
        <v>23369</v>
      </c>
      <c r="F107" t="s">
        <v>293</v>
      </c>
      <c r="G107" t="s">
        <v>301</v>
      </c>
      <c r="I107" s="2">
        <v>46006</v>
      </c>
      <c r="J107" t="s">
        <v>42</v>
      </c>
      <c r="K107" s="6" t="s">
        <v>822</v>
      </c>
      <c r="L107" s="8">
        <f>VLOOKUP(A107,Sheet1!G:I,3,0)</f>
        <v>1</v>
      </c>
      <c r="M107" s="6" t="s">
        <v>846</v>
      </c>
    </row>
    <row r="108" spans="1:13" x14ac:dyDescent="0.25">
      <c r="A108" s="10" t="s">
        <v>338</v>
      </c>
      <c r="B108" s="10" t="s">
        <v>339</v>
      </c>
      <c r="C108" t="s">
        <v>21</v>
      </c>
      <c r="D108" s="2">
        <v>33091</v>
      </c>
      <c r="E108" s="1">
        <v>9552938850</v>
      </c>
      <c r="F108" t="s">
        <v>118</v>
      </c>
      <c r="G108" t="s">
        <v>223</v>
      </c>
      <c r="I108" s="2">
        <v>46006</v>
      </c>
      <c r="J108" t="s">
        <v>42</v>
      </c>
      <c r="K108" s="6" t="s">
        <v>823</v>
      </c>
      <c r="L108" s="8">
        <f>VLOOKUP(A108,Sheet1!G:I,3,0)</f>
        <v>1</v>
      </c>
      <c r="M108" s="6" t="s">
        <v>838</v>
      </c>
    </row>
    <row r="109" spans="1:13" x14ac:dyDescent="0.25">
      <c r="A109" s="10" t="s">
        <v>340</v>
      </c>
      <c r="B109" s="10" t="s">
        <v>341</v>
      </c>
      <c r="C109" t="s">
        <v>21</v>
      </c>
      <c r="D109" s="2">
        <v>31126</v>
      </c>
      <c r="E109" s="1">
        <v>9568602616</v>
      </c>
      <c r="F109" t="s">
        <v>118</v>
      </c>
      <c r="G109" t="s">
        <v>342</v>
      </c>
      <c r="H109" t="s">
        <v>343</v>
      </c>
      <c r="I109" s="2">
        <v>46006</v>
      </c>
      <c r="J109" t="s">
        <v>25</v>
      </c>
      <c r="K109" s="6" t="s">
        <v>823</v>
      </c>
      <c r="L109" s="8">
        <f>VLOOKUP(A109,Sheet1!G:I,3,0)</f>
        <v>2</v>
      </c>
      <c r="M109" s="6" t="s">
        <v>846</v>
      </c>
    </row>
    <row r="110" spans="1:13" x14ac:dyDescent="0.25">
      <c r="A110" s="10" t="s">
        <v>344</v>
      </c>
      <c r="B110" s="10" t="s">
        <v>345</v>
      </c>
      <c r="C110" t="s">
        <v>21</v>
      </c>
      <c r="D110" s="2">
        <v>32672</v>
      </c>
      <c r="E110" s="1">
        <v>9930996084</v>
      </c>
      <c r="F110" t="s">
        <v>118</v>
      </c>
      <c r="G110" t="s">
        <v>230</v>
      </c>
      <c r="H110" t="s">
        <v>346</v>
      </c>
      <c r="I110" s="2">
        <v>46006</v>
      </c>
      <c r="J110" t="s">
        <v>25</v>
      </c>
      <c r="K110" s="6" t="s">
        <v>823</v>
      </c>
      <c r="L110" s="8">
        <f>VLOOKUP(A110,Sheet1!G:I,3,0)</f>
        <v>2</v>
      </c>
      <c r="M110" s="6" t="s">
        <v>844</v>
      </c>
    </row>
    <row r="111" spans="1:13" x14ac:dyDescent="0.25">
      <c r="A111" s="10" t="s">
        <v>347</v>
      </c>
      <c r="B111" s="10" t="s">
        <v>348</v>
      </c>
      <c r="C111" t="s">
        <v>21</v>
      </c>
      <c r="D111" s="2">
        <v>29480</v>
      </c>
      <c r="E111" s="1">
        <v>9677188804</v>
      </c>
      <c r="F111" t="s">
        <v>118</v>
      </c>
      <c r="G111" t="s">
        <v>349</v>
      </c>
      <c r="H111" t="s">
        <v>350</v>
      </c>
      <c r="I111" s="2">
        <v>46006</v>
      </c>
      <c r="J111" t="s">
        <v>25</v>
      </c>
      <c r="K111" s="6" t="s">
        <v>826</v>
      </c>
      <c r="L111" s="8">
        <f>VLOOKUP(A111,Sheet1!G:I,3,0)</f>
        <v>1</v>
      </c>
      <c r="M111" s="6" t="s">
        <v>838</v>
      </c>
    </row>
    <row r="112" spans="1:13" x14ac:dyDescent="0.25">
      <c r="A112" s="10" t="s">
        <v>351</v>
      </c>
      <c r="B112" s="10" t="s">
        <v>352</v>
      </c>
      <c r="C112" t="s">
        <v>21</v>
      </c>
      <c r="D112" s="2">
        <v>30667</v>
      </c>
      <c r="E112" s="1">
        <v>9752523975</v>
      </c>
      <c r="F112" t="s">
        <v>353</v>
      </c>
      <c r="G112" t="s">
        <v>354</v>
      </c>
      <c r="H112" t="s">
        <v>343</v>
      </c>
      <c r="I112" s="2">
        <v>46006</v>
      </c>
      <c r="J112" t="s">
        <v>25</v>
      </c>
      <c r="K112" s="6" t="s">
        <v>822</v>
      </c>
      <c r="L112" s="8">
        <f>VLOOKUP(A112,Sheet1!G:I,3,0)</f>
        <v>2</v>
      </c>
      <c r="M112" s="6" t="s">
        <v>846</v>
      </c>
    </row>
    <row r="113" spans="1:13" x14ac:dyDescent="0.25">
      <c r="A113" s="10" t="s">
        <v>355</v>
      </c>
      <c r="B113" s="10" t="s">
        <v>356</v>
      </c>
      <c r="C113" t="s">
        <v>74</v>
      </c>
      <c r="D113" s="2">
        <v>34058</v>
      </c>
      <c r="E113" s="1">
        <v>9108490337</v>
      </c>
      <c r="F113" t="s">
        <v>353</v>
      </c>
      <c r="G113" t="s">
        <v>357</v>
      </c>
      <c r="H113" t="s">
        <v>197</v>
      </c>
      <c r="I113" s="2">
        <v>46006</v>
      </c>
      <c r="J113" t="s">
        <v>25</v>
      </c>
      <c r="K113" s="6" t="s">
        <v>826</v>
      </c>
      <c r="L113" s="8">
        <f>VLOOKUP(A113,Sheet1!G:I,3,0)</f>
        <v>1</v>
      </c>
      <c r="M113" s="6" t="s">
        <v>838</v>
      </c>
    </row>
    <row r="114" spans="1:13" x14ac:dyDescent="0.25">
      <c r="A114" s="10" t="s">
        <v>358</v>
      </c>
      <c r="B114" s="10" t="s">
        <v>359</v>
      </c>
      <c r="C114" t="s">
        <v>21</v>
      </c>
      <c r="D114" s="2">
        <v>31007</v>
      </c>
      <c r="F114" t="s">
        <v>32</v>
      </c>
      <c r="G114" t="s">
        <v>360</v>
      </c>
      <c r="I114" s="2">
        <v>46006</v>
      </c>
      <c r="J114" t="s">
        <v>25</v>
      </c>
      <c r="K114" s="6" t="s">
        <v>822</v>
      </c>
      <c r="L114" s="8">
        <f>VLOOKUP(A114,Sheet1!G:I,3,0)</f>
        <v>2</v>
      </c>
      <c r="M114" s="6" t="s">
        <v>842</v>
      </c>
    </row>
    <row r="115" spans="1:13" x14ac:dyDescent="0.25">
      <c r="A115" s="10" t="s">
        <v>361</v>
      </c>
      <c r="B115" s="10" t="s">
        <v>362</v>
      </c>
      <c r="C115" t="s">
        <v>21</v>
      </c>
      <c r="D115" s="2">
        <v>21842</v>
      </c>
      <c r="E115" s="1">
        <v>9758749267</v>
      </c>
      <c r="F115" t="s">
        <v>122</v>
      </c>
      <c r="G115" t="s">
        <v>235</v>
      </c>
      <c r="H115" t="s">
        <v>41</v>
      </c>
      <c r="I115" s="2">
        <v>46006</v>
      </c>
      <c r="J115" t="s">
        <v>25</v>
      </c>
      <c r="K115" s="6" t="s">
        <v>822</v>
      </c>
      <c r="L115" s="8">
        <f>VLOOKUP(A115,Sheet1!G:I,3,0)</f>
        <v>2</v>
      </c>
      <c r="M115" s="6" t="s">
        <v>840</v>
      </c>
    </row>
    <row r="116" spans="1:13" x14ac:dyDescent="0.25">
      <c r="A116" s="10" t="s">
        <v>363</v>
      </c>
      <c r="B116" s="10" t="s">
        <v>364</v>
      </c>
      <c r="C116" t="s">
        <v>21</v>
      </c>
      <c r="D116" s="2">
        <v>31833</v>
      </c>
      <c r="E116" s="1">
        <v>9757589890</v>
      </c>
      <c r="F116" t="s">
        <v>365</v>
      </c>
      <c r="G116" t="s">
        <v>366</v>
      </c>
      <c r="H116" t="s">
        <v>367</v>
      </c>
      <c r="I116" s="2">
        <v>46014</v>
      </c>
      <c r="J116" t="s">
        <v>25</v>
      </c>
      <c r="K116" s="6" t="s">
        <v>822</v>
      </c>
      <c r="L116" s="8">
        <f>VLOOKUP(A116,Sheet1!G:I,3,0)</f>
        <v>2</v>
      </c>
      <c r="M116" s="6" t="s">
        <v>838</v>
      </c>
    </row>
    <row r="117" spans="1:13" x14ac:dyDescent="0.25">
      <c r="A117" s="10" t="s">
        <v>368</v>
      </c>
      <c r="B117" s="10" t="s">
        <v>369</v>
      </c>
      <c r="C117" t="s">
        <v>21</v>
      </c>
      <c r="D117" s="2">
        <v>26104</v>
      </c>
      <c r="F117" t="s">
        <v>118</v>
      </c>
      <c r="G117" t="s">
        <v>342</v>
      </c>
      <c r="H117" t="s">
        <v>370</v>
      </c>
      <c r="I117" s="2">
        <v>46014</v>
      </c>
      <c r="J117" t="s">
        <v>25</v>
      </c>
      <c r="K117" s="6" t="s">
        <v>823</v>
      </c>
      <c r="L117" s="8">
        <f>VLOOKUP(A117,Sheet1!G:I,3,0)</f>
        <v>2</v>
      </c>
      <c r="M117" s="6" t="s">
        <v>840</v>
      </c>
    </row>
    <row r="118" spans="1:13" x14ac:dyDescent="0.25">
      <c r="A118" s="10" t="s">
        <v>371</v>
      </c>
      <c r="B118" s="10" t="s">
        <v>372</v>
      </c>
      <c r="C118" t="s">
        <v>21</v>
      </c>
      <c r="D118" s="2">
        <v>21464</v>
      </c>
      <c r="E118" s="1">
        <v>9752524984</v>
      </c>
      <c r="F118" t="s">
        <v>118</v>
      </c>
      <c r="G118" t="s">
        <v>239</v>
      </c>
      <c r="H118" t="s">
        <v>373</v>
      </c>
      <c r="I118" s="2">
        <v>46014</v>
      </c>
      <c r="J118" t="s">
        <v>25</v>
      </c>
      <c r="K118" s="6" t="s">
        <v>826</v>
      </c>
      <c r="L118" s="8">
        <f>VLOOKUP(A118,Sheet1!G:I,3,0)</f>
        <v>1</v>
      </c>
      <c r="M118" s="6" t="s">
        <v>846</v>
      </c>
    </row>
    <row r="119" spans="1:13" x14ac:dyDescent="0.25">
      <c r="A119" s="10" t="s">
        <v>374</v>
      </c>
      <c r="B119" s="10" t="s">
        <v>375</v>
      </c>
      <c r="C119" t="s">
        <v>21</v>
      </c>
      <c r="E119" s="1">
        <v>9369491814</v>
      </c>
      <c r="F119" t="s">
        <v>118</v>
      </c>
      <c r="G119" t="s">
        <v>239</v>
      </c>
      <c r="I119" s="2">
        <v>46014</v>
      </c>
      <c r="J119" t="s">
        <v>25</v>
      </c>
      <c r="K119" s="6" t="s">
        <v>826</v>
      </c>
      <c r="L119" s="8">
        <f>VLOOKUP(A119,Sheet1!G:I,3,0)</f>
        <v>1</v>
      </c>
      <c r="M119" s="6" t="s">
        <v>846</v>
      </c>
    </row>
    <row r="120" spans="1:13" x14ac:dyDescent="0.25">
      <c r="A120" s="10" t="s">
        <v>376</v>
      </c>
      <c r="B120" s="10" t="s">
        <v>377</v>
      </c>
      <c r="C120" t="s">
        <v>21</v>
      </c>
      <c r="D120" s="2">
        <v>35276</v>
      </c>
      <c r="E120" s="1">
        <v>9772377670</v>
      </c>
      <c r="F120" t="s">
        <v>118</v>
      </c>
      <c r="G120" t="s">
        <v>239</v>
      </c>
      <c r="H120" t="s">
        <v>378</v>
      </c>
      <c r="I120" s="2">
        <v>46014</v>
      </c>
      <c r="J120" t="s">
        <v>25</v>
      </c>
      <c r="K120" s="6" t="s">
        <v>823</v>
      </c>
      <c r="L120" s="8">
        <f>VLOOKUP(A120,Sheet1!G:I,3,0)</f>
        <v>2</v>
      </c>
      <c r="M120" s="6" t="s">
        <v>838</v>
      </c>
    </row>
    <row r="121" spans="1:13" x14ac:dyDescent="0.25">
      <c r="A121" s="10" t="s">
        <v>379</v>
      </c>
      <c r="B121" s="10" t="s">
        <v>380</v>
      </c>
      <c r="C121" t="s">
        <v>21</v>
      </c>
      <c r="D121" s="2">
        <v>22338</v>
      </c>
      <c r="E121" s="1">
        <v>9063629573</v>
      </c>
      <c r="F121" t="s">
        <v>96</v>
      </c>
      <c r="G121" t="s">
        <v>97</v>
      </c>
      <c r="H121" t="s">
        <v>381</v>
      </c>
      <c r="I121" s="2">
        <v>46014</v>
      </c>
      <c r="J121" t="s">
        <v>42</v>
      </c>
      <c r="K121" s="6" t="s">
        <v>823</v>
      </c>
      <c r="L121" s="8">
        <f>VLOOKUP(A121,Sheet1!G:I,3,0)</f>
        <v>1</v>
      </c>
      <c r="M121" s="6" t="s">
        <v>846</v>
      </c>
    </row>
    <row r="122" spans="1:13" x14ac:dyDescent="0.25">
      <c r="A122" s="10" t="s">
        <v>382</v>
      </c>
      <c r="B122" s="10" t="s">
        <v>383</v>
      </c>
      <c r="C122" t="s">
        <v>21</v>
      </c>
      <c r="D122" s="2">
        <v>26022</v>
      </c>
      <c r="E122" s="1">
        <v>9452248612</v>
      </c>
      <c r="F122" t="s">
        <v>118</v>
      </c>
      <c r="G122" t="s">
        <v>384</v>
      </c>
      <c r="H122" t="s">
        <v>41</v>
      </c>
      <c r="I122" s="2">
        <v>46014</v>
      </c>
      <c r="J122" t="s">
        <v>25</v>
      </c>
      <c r="K122" s="6" t="s">
        <v>823</v>
      </c>
      <c r="L122" s="8">
        <f>VLOOKUP(A122,Sheet1!G:I,3,0)</f>
        <v>2</v>
      </c>
      <c r="M122" s="6" t="s">
        <v>838</v>
      </c>
    </row>
    <row r="123" spans="1:13" x14ac:dyDescent="0.25">
      <c r="A123" s="10" t="s">
        <v>385</v>
      </c>
      <c r="B123" s="10" t="s">
        <v>386</v>
      </c>
      <c r="C123" t="s">
        <v>21</v>
      </c>
      <c r="D123" s="2">
        <v>28166</v>
      </c>
      <c r="E123" s="1">
        <v>9550882648</v>
      </c>
      <c r="F123" t="s">
        <v>118</v>
      </c>
      <c r="G123" t="s">
        <v>342</v>
      </c>
      <c r="H123" t="s">
        <v>41</v>
      </c>
      <c r="I123" s="2">
        <v>46014</v>
      </c>
      <c r="J123" t="s">
        <v>25</v>
      </c>
      <c r="K123" s="6" t="s">
        <v>823</v>
      </c>
      <c r="L123" s="8">
        <f>VLOOKUP(A123,Sheet1!G:I,3,0)</f>
        <v>2</v>
      </c>
      <c r="M123" s="6" t="s">
        <v>838</v>
      </c>
    </row>
    <row r="124" spans="1:13" x14ac:dyDescent="0.25">
      <c r="A124" s="10" t="s">
        <v>387</v>
      </c>
      <c r="B124" s="10" t="s">
        <v>388</v>
      </c>
      <c r="C124" t="s">
        <v>74</v>
      </c>
      <c r="D124" s="2">
        <v>36060</v>
      </c>
      <c r="E124" s="1">
        <v>9650561092</v>
      </c>
      <c r="F124" t="s">
        <v>118</v>
      </c>
      <c r="G124" t="s">
        <v>230</v>
      </c>
      <c r="H124" t="s">
        <v>389</v>
      </c>
      <c r="I124" s="2">
        <v>46014</v>
      </c>
      <c r="J124" t="s">
        <v>25</v>
      </c>
      <c r="K124" s="6" t="s">
        <v>826</v>
      </c>
      <c r="L124" s="8">
        <f>VLOOKUP(A124,Sheet1!G:I,3,0)</f>
        <v>1</v>
      </c>
      <c r="M124" s="6" t="s">
        <v>842</v>
      </c>
    </row>
    <row r="125" spans="1:13" x14ac:dyDescent="0.25">
      <c r="A125" s="10" t="s">
        <v>390</v>
      </c>
      <c r="B125" s="10" t="s">
        <v>391</v>
      </c>
      <c r="C125" t="s">
        <v>21</v>
      </c>
      <c r="D125" s="2">
        <v>24139</v>
      </c>
      <c r="E125" s="1">
        <v>9535810129</v>
      </c>
      <c r="F125" t="s">
        <v>96</v>
      </c>
      <c r="G125" t="s">
        <v>392</v>
      </c>
      <c r="I125" s="2">
        <v>46014</v>
      </c>
      <c r="J125" t="s">
        <v>25</v>
      </c>
      <c r="K125" s="6" t="s">
        <v>826</v>
      </c>
      <c r="L125" s="8">
        <f>VLOOKUP(A125,Sheet1!G:I,3,0)</f>
        <v>1</v>
      </c>
      <c r="M125" s="6" t="s">
        <v>842</v>
      </c>
    </row>
    <row r="126" spans="1:13" x14ac:dyDescent="0.25">
      <c r="A126" s="10" t="s">
        <v>393</v>
      </c>
      <c r="B126" s="10" t="s">
        <v>394</v>
      </c>
      <c r="C126" t="s">
        <v>21</v>
      </c>
      <c r="D126" s="2">
        <v>27327</v>
      </c>
      <c r="E126" s="1">
        <v>9977848845</v>
      </c>
      <c r="F126" t="s">
        <v>395</v>
      </c>
      <c r="G126" t="s">
        <v>396</v>
      </c>
      <c r="H126" t="s">
        <v>397</v>
      </c>
      <c r="I126" s="2">
        <v>46014</v>
      </c>
      <c r="J126" t="s">
        <v>25</v>
      </c>
      <c r="K126" s="6" t="s">
        <v>826</v>
      </c>
      <c r="L126" s="8">
        <f>VLOOKUP(A126,Sheet1!G:I,3,0)</f>
        <v>1</v>
      </c>
      <c r="M126" s="6" t="s">
        <v>842</v>
      </c>
    </row>
    <row r="127" spans="1:13" x14ac:dyDescent="0.25">
      <c r="A127" s="10" t="s">
        <v>398</v>
      </c>
      <c r="B127" s="10" t="s">
        <v>399</v>
      </c>
      <c r="C127" t="s">
        <v>21</v>
      </c>
      <c r="D127" s="2">
        <v>29621</v>
      </c>
      <c r="F127" t="s">
        <v>293</v>
      </c>
      <c r="G127" t="s">
        <v>301</v>
      </c>
      <c r="H127" t="s">
        <v>41</v>
      </c>
      <c r="I127" s="2">
        <v>46014</v>
      </c>
      <c r="J127" t="s">
        <v>25</v>
      </c>
      <c r="K127" s="6" t="s">
        <v>826</v>
      </c>
      <c r="L127" s="8">
        <f>VLOOKUP(A127,Sheet1!G:I,3,0)</f>
        <v>1</v>
      </c>
      <c r="M127" s="6" t="s">
        <v>846</v>
      </c>
    </row>
    <row r="128" spans="1:13" x14ac:dyDescent="0.25">
      <c r="A128" s="10" t="s">
        <v>400</v>
      </c>
      <c r="B128" s="10" t="s">
        <v>401</v>
      </c>
      <c r="C128" t="s">
        <v>74</v>
      </c>
      <c r="F128" t="s">
        <v>293</v>
      </c>
      <c r="G128" t="s">
        <v>301</v>
      </c>
      <c r="I128" s="2">
        <v>46014</v>
      </c>
      <c r="J128" t="s">
        <v>25</v>
      </c>
      <c r="K128" s="6" t="s">
        <v>826</v>
      </c>
      <c r="L128" s="8">
        <f>VLOOKUP(A128,Sheet1!G:I,3,0)</f>
        <v>1</v>
      </c>
      <c r="M128" s="6" t="s">
        <v>846</v>
      </c>
    </row>
    <row r="129" spans="1:13" x14ac:dyDescent="0.25">
      <c r="A129" s="10" t="s">
        <v>402</v>
      </c>
      <c r="B129" s="10" t="s">
        <v>403</v>
      </c>
      <c r="C129" t="s">
        <v>74</v>
      </c>
      <c r="F129" t="s">
        <v>293</v>
      </c>
      <c r="G129" t="s">
        <v>301</v>
      </c>
      <c r="I129" s="2">
        <v>46014</v>
      </c>
      <c r="J129" t="s">
        <v>25</v>
      </c>
      <c r="K129" s="6" t="s">
        <v>826</v>
      </c>
      <c r="L129" s="8">
        <f>VLOOKUP(A129,Sheet1!G:I,3,0)</f>
        <v>1</v>
      </c>
      <c r="M129" s="6" t="s">
        <v>846</v>
      </c>
    </row>
    <row r="130" spans="1:13" x14ac:dyDescent="0.25">
      <c r="A130" s="10" t="s">
        <v>404</v>
      </c>
      <c r="B130" s="10" t="s">
        <v>405</v>
      </c>
      <c r="C130" t="s">
        <v>74</v>
      </c>
      <c r="D130" s="2">
        <v>35324</v>
      </c>
      <c r="E130" s="1">
        <v>9972583741</v>
      </c>
      <c r="F130" t="s">
        <v>293</v>
      </c>
      <c r="G130" t="s">
        <v>301</v>
      </c>
      <c r="H130" t="s">
        <v>406</v>
      </c>
      <c r="I130" s="2">
        <v>46014</v>
      </c>
      <c r="J130" t="s">
        <v>25</v>
      </c>
      <c r="K130" s="6" t="s">
        <v>826</v>
      </c>
      <c r="L130" s="8">
        <f>VLOOKUP(A130,Sheet1!G:I,3,0)</f>
        <v>1</v>
      </c>
      <c r="M130" s="6" t="s">
        <v>846</v>
      </c>
    </row>
    <row r="131" spans="1:13" x14ac:dyDescent="0.25">
      <c r="A131" s="10" t="s">
        <v>407</v>
      </c>
      <c r="B131" s="10" t="s">
        <v>408</v>
      </c>
      <c r="C131" t="s">
        <v>74</v>
      </c>
      <c r="F131" t="s">
        <v>293</v>
      </c>
      <c r="G131" t="s">
        <v>301</v>
      </c>
      <c r="I131" s="2">
        <v>46014</v>
      </c>
      <c r="J131" t="s">
        <v>25</v>
      </c>
      <c r="K131" s="6" t="s">
        <v>826</v>
      </c>
      <c r="L131" s="8">
        <f>VLOOKUP(A131,Sheet1!G:I,3,0)</f>
        <v>1</v>
      </c>
      <c r="M131" s="6" t="s">
        <v>846</v>
      </c>
    </row>
    <row r="132" spans="1:13" x14ac:dyDescent="0.25">
      <c r="A132" s="10" t="s">
        <v>409</v>
      </c>
      <c r="B132" s="10" t="s">
        <v>410</v>
      </c>
      <c r="C132" t="s">
        <v>74</v>
      </c>
      <c r="D132" s="2">
        <v>36013</v>
      </c>
      <c r="F132" t="s">
        <v>293</v>
      </c>
      <c r="G132" t="s">
        <v>301</v>
      </c>
      <c r="H132" t="s">
        <v>411</v>
      </c>
      <c r="I132" s="2">
        <v>46014</v>
      </c>
      <c r="J132" t="s">
        <v>25</v>
      </c>
      <c r="K132" s="6" t="s">
        <v>826</v>
      </c>
      <c r="L132" s="8">
        <f>VLOOKUP(A132,Sheet1!G:I,3,0)</f>
        <v>1</v>
      </c>
      <c r="M132" s="6" t="s">
        <v>842</v>
      </c>
    </row>
    <row r="133" spans="1:13" x14ac:dyDescent="0.25">
      <c r="A133" s="10" t="s">
        <v>412</v>
      </c>
      <c r="B133" s="10" t="s">
        <v>413</v>
      </c>
      <c r="C133" t="s">
        <v>74</v>
      </c>
      <c r="F133" t="s">
        <v>293</v>
      </c>
      <c r="G133" t="s">
        <v>301</v>
      </c>
      <c r="I133" s="2">
        <v>46014</v>
      </c>
      <c r="J133" t="s">
        <v>25</v>
      </c>
      <c r="K133" s="6" t="s">
        <v>826</v>
      </c>
      <c r="L133" s="8">
        <f>VLOOKUP(A133,Sheet1!G:I,3,0)</f>
        <v>1</v>
      </c>
      <c r="M133" s="6" t="s">
        <v>842</v>
      </c>
    </row>
    <row r="134" spans="1:13" x14ac:dyDescent="0.25">
      <c r="A134" s="10" t="s">
        <v>414</v>
      </c>
      <c r="B134" s="10" t="s">
        <v>415</v>
      </c>
      <c r="C134" t="s">
        <v>21</v>
      </c>
      <c r="D134" s="2">
        <v>38290</v>
      </c>
      <c r="E134" s="1">
        <v>9169418441</v>
      </c>
      <c r="F134" t="s">
        <v>293</v>
      </c>
      <c r="G134" t="s">
        <v>301</v>
      </c>
      <c r="I134" s="2">
        <v>46014</v>
      </c>
      <c r="J134" t="s">
        <v>25</v>
      </c>
      <c r="K134" s="6" t="s">
        <v>826</v>
      </c>
      <c r="L134" s="8">
        <f>VLOOKUP(A134,Sheet1!G:I,3,0)</f>
        <v>1</v>
      </c>
      <c r="M134" s="6" t="s">
        <v>846</v>
      </c>
    </row>
    <row r="135" spans="1:13" x14ac:dyDescent="0.25">
      <c r="A135" s="10" t="s">
        <v>416</v>
      </c>
      <c r="B135" s="10" t="s">
        <v>417</v>
      </c>
      <c r="C135" t="s">
        <v>21</v>
      </c>
      <c r="D135" s="2">
        <v>25627</v>
      </c>
      <c r="F135" t="s">
        <v>293</v>
      </c>
      <c r="G135" t="s">
        <v>301</v>
      </c>
      <c r="I135" s="2">
        <v>46014</v>
      </c>
      <c r="J135" t="s">
        <v>25</v>
      </c>
      <c r="K135" s="6" t="s">
        <v>822</v>
      </c>
      <c r="L135" s="8">
        <f>VLOOKUP(A135,Sheet1!G:I,3,0)</f>
        <v>1</v>
      </c>
      <c r="M135" s="6" t="s">
        <v>846</v>
      </c>
    </row>
    <row r="136" spans="1:13" x14ac:dyDescent="0.25">
      <c r="A136" s="10" t="s">
        <v>418</v>
      </c>
      <c r="B136" s="10" t="s">
        <v>419</v>
      </c>
      <c r="C136" t="s">
        <v>21</v>
      </c>
      <c r="F136" t="s">
        <v>96</v>
      </c>
      <c r="G136" t="s">
        <v>97</v>
      </c>
      <c r="I136" s="2">
        <v>46014</v>
      </c>
      <c r="J136" t="s">
        <v>25</v>
      </c>
      <c r="K136" s="6" t="s">
        <v>823</v>
      </c>
      <c r="L136" s="8">
        <f>VLOOKUP(A136,Sheet1!G:I,3,0)</f>
        <v>2</v>
      </c>
      <c r="M136" s="6" t="s">
        <v>854</v>
      </c>
    </row>
    <row r="137" spans="1:13" x14ac:dyDescent="0.25">
      <c r="A137" s="10" t="s">
        <v>420</v>
      </c>
      <c r="B137" s="10" t="s">
        <v>421</v>
      </c>
      <c r="C137" t="s">
        <v>74</v>
      </c>
      <c r="D137" s="2">
        <v>25553</v>
      </c>
      <c r="F137" t="s">
        <v>293</v>
      </c>
      <c r="G137" t="s">
        <v>301</v>
      </c>
      <c r="H137" t="s">
        <v>51</v>
      </c>
      <c r="I137" s="2">
        <v>46030</v>
      </c>
      <c r="J137" t="s">
        <v>25</v>
      </c>
      <c r="K137" s="6" t="s">
        <v>826</v>
      </c>
      <c r="L137" s="8">
        <f>VLOOKUP(A137,Sheet1!G:I,3,0)</f>
        <v>1</v>
      </c>
      <c r="M137" s="6" t="s">
        <v>846</v>
      </c>
    </row>
    <row r="138" spans="1:13" x14ac:dyDescent="0.25">
      <c r="A138" s="10" t="s">
        <v>422</v>
      </c>
      <c r="B138" s="10" t="s">
        <v>423</v>
      </c>
      <c r="C138" t="s">
        <v>21</v>
      </c>
      <c r="D138" s="2">
        <v>23599</v>
      </c>
      <c r="F138" t="s">
        <v>293</v>
      </c>
      <c r="G138" t="s">
        <v>301</v>
      </c>
      <c r="I138" s="2">
        <v>46030</v>
      </c>
      <c r="J138" t="s">
        <v>25</v>
      </c>
      <c r="K138" s="6" t="s">
        <v>822</v>
      </c>
      <c r="L138" s="8">
        <f>VLOOKUP(A138,Sheet1!G:I,3,0)</f>
        <v>2</v>
      </c>
      <c r="M138" s="6" t="s">
        <v>846</v>
      </c>
    </row>
    <row r="139" spans="1:13" x14ac:dyDescent="0.25">
      <c r="A139" s="10" t="s">
        <v>424</v>
      </c>
      <c r="B139" s="10" t="s">
        <v>425</v>
      </c>
      <c r="C139" t="s">
        <v>21</v>
      </c>
      <c r="D139" s="2">
        <v>25424</v>
      </c>
      <c r="E139" s="1">
        <v>9973477844</v>
      </c>
      <c r="F139" t="s">
        <v>122</v>
      </c>
      <c r="G139" t="s">
        <v>123</v>
      </c>
      <c r="I139" s="2">
        <v>46030</v>
      </c>
      <c r="J139" t="s">
        <v>25</v>
      </c>
      <c r="K139" s="6" t="s">
        <v>826</v>
      </c>
      <c r="L139" s="8">
        <f>VLOOKUP(A139,Sheet1!G:I,3,0)</f>
        <v>1</v>
      </c>
      <c r="M139" s="6" t="s">
        <v>838</v>
      </c>
    </row>
    <row r="140" spans="1:13" x14ac:dyDescent="0.25">
      <c r="A140" s="10" t="s">
        <v>426</v>
      </c>
      <c r="B140" s="10" t="s">
        <v>427</v>
      </c>
      <c r="C140" t="s">
        <v>21</v>
      </c>
      <c r="D140" s="2">
        <v>26293</v>
      </c>
      <c r="E140" s="1">
        <v>9623892025</v>
      </c>
      <c r="F140" t="s">
        <v>131</v>
      </c>
      <c r="G140" t="s">
        <v>132</v>
      </c>
      <c r="H140" t="s">
        <v>428</v>
      </c>
      <c r="I140" s="2">
        <v>46030</v>
      </c>
      <c r="J140" t="s">
        <v>25</v>
      </c>
      <c r="K140" s="6" t="s">
        <v>823</v>
      </c>
      <c r="L140" s="8">
        <f>VLOOKUP(A140,Sheet1!G:I,3,0)</f>
        <v>2</v>
      </c>
      <c r="M140" s="6" t="s">
        <v>846</v>
      </c>
    </row>
    <row r="141" spans="1:13" x14ac:dyDescent="0.25">
      <c r="A141" s="10" t="s">
        <v>429</v>
      </c>
      <c r="B141" s="10" t="s">
        <v>430</v>
      </c>
      <c r="C141" t="s">
        <v>74</v>
      </c>
      <c r="D141" s="2">
        <v>26963</v>
      </c>
      <c r="E141" s="1">
        <v>9056925512</v>
      </c>
      <c r="F141" t="s">
        <v>32</v>
      </c>
      <c r="G141" t="s">
        <v>431</v>
      </c>
      <c r="H141" t="s">
        <v>432</v>
      </c>
      <c r="I141" s="2">
        <v>46035</v>
      </c>
      <c r="J141" t="s">
        <v>25</v>
      </c>
      <c r="K141" s="6" t="s">
        <v>822</v>
      </c>
      <c r="L141" s="8">
        <f>VLOOKUP(A141,Sheet1!G:I,3,0)</f>
        <v>1</v>
      </c>
      <c r="M141" s="6" t="s">
        <v>836</v>
      </c>
    </row>
    <row r="142" spans="1:13" x14ac:dyDescent="0.25">
      <c r="A142" s="10" t="s">
        <v>433</v>
      </c>
      <c r="B142" s="10" t="s">
        <v>434</v>
      </c>
      <c r="C142" t="s">
        <v>74</v>
      </c>
      <c r="D142" s="2">
        <v>31445</v>
      </c>
      <c r="E142" s="1">
        <v>9686572723</v>
      </c>
      <c r="F142" t="s">
        <v>131</v>
      </c>
      <c r="G142" t="s">
        <v>132</v>
      </c>
      <c r="H142" t="s">
        <v>51</v>
      </c>
      <c r="I142" s="2">
        <v>46035</v>
      </c>
      <c r="J142" t="s">
        <v>25</v>
      </c>
      <c r="K142" s="6" t="s">
        <v>826</v>
      </c>
      <c r="L142" s="8">
        <f>VLOOKUP(A142,Sheet1!G:I,3,0)</f>
        <v>1</v>
      </c>
      <c r="M142" s="6" t="s">
        <v>842</v>
      </c>
    </row>
    <row r="143" spans="1:13" x14ac:dyDescent="0.25">
      <c r="A143" s="10" t="s">
        <v>435</v>
      </c>
      <c r="B143" s="10" t="s">
        <v>436</v>
      </c>
      <c r="C143" t="s">
        <v>21</v>
      </c>
      <c r="D143" s="2">
        <v>32893</v>
      </c>
      <c r="F143" t="s">
        <v>32</v>
      </c>
      <c r="G143" t="s">
        <v>437</v>
      </c>
      <c r="H143" t="s">
        <v>438</v>
      </c>
      <c r="I143" s="2">
        <v>46035</v>
      </c>
      <c r="J143" t="s">
        <v>25</v>
      </c>
      <c r="K143" s="6" t="s">
        <v>826</v>
      </c>
      <c r="L143" s="8">
        <f>VLOOKUP(A143,Sheet1!G:I,3,0)</f>
        <v>1</v>
      </c>
      <c r="M143" s="6" t="s">
        <v>836</v>
      </c>
    </row>
    <row r="144" spans="1:13" x14ac:dyDescent="0.25">
      <c r="A144" s="10" t="s">
        <v>439</v>
      </c>
      <c r="B144" s="10" t="s">
        <v>440</v>
      </c>
      <c r="C144" t="s">
        <v>74</v>
      </c>
      <c r="D144" s="2">
        <v>28767</v>
      </c>
      <c r="F144" t="s">
        <v>131</v>
      </c>
      <c r="G144" t="s">
        <v>132</v>
      </c>
      <c r="H144" t="s">
        <v>51</v>
      </c>
      <c r="I144" s="2">
        <v>46035</v>
      </c>
      <c r="J144" t="s">
        <v>25</v>
      </c>
      <c r="K144" s="6" t="s">
        <v>823</v>
      </c>
      <c r="L144" s="8">
        <f>VLOOKUP(A144,Sheet1!G:I,3,0)</f>
        <v>1</v>
      </c>
      <c r="M144" s="6" t="s">
        <v>842</v>
      </c>
    </row>
    <row r="145" spans="1:13" x14ac:dyDescent="0.25">
      <c r="A145" s="10" t="s">
        <v>441</v>
      </c>
      <c r="B145" s="10" t="s">
        <v>442</v>
      </c>
      <c r="C145" t="s">
        <v>74</v>
      </c>
      <c r="D145" s="2">
        <v>31210</v>
      </c>
      <c r="F145" t="s">
        <v>131</v>
      </c>
      <c r="G145" t="s">
        <v>132</v>
      </c>
      <c r="H145" t="s">
        <v>51</v>
      </c>
      <c r="I145" s="2">
        <v>46035</v>
      </c>
      <c r="J145" t="s">
        <v>25</v>
      </c>
      <c r="K145" s="6" t="s">
        <v>823</v>
      </c>
      <c r="L145" s="8">
        <f>VLOOKUP(A145,Sheet1!G:I,3,0)</f>
        <v>1</v>
      </c>
      <c r="M145" s="6" t="s">
        <v>846</v>
      </c>
    </row>
    <row r="146" spans="1:13" x14ac:dyDescent="0.25">
      <c r="A146" s="10" t="s">
        <v>443</v>
      </c>
      <c r="B146" s="10" t="s">
        <v>444</v>
      </c>
      <c r="C146" t="s">
        <v>74</v>
      </c>
      <c r="D146" s="2">
        <v>29168</v>
      </c>
      <c r="F146" t="s">
        <v>131</v>
      </c>
      <c r="G146" t="s">
        <v>132</v>
      </c>
      <c r="H146" t="s">
        <v>51</v>
      </c>
      <c r="I146" s="2">
        <v>46035</v>
      </c>
      <c r="J146" t="s">
        <v>25</v>
      </c>
      <c r="K146" s="6" t="s">
        <v>823</v>
      </c>
      <c r="L146" s="8">
        <f>VLOOKUP(A146,Sheet1!G:I,3,0)</f>
        <v>1</v>
      </c>
      <c r="M146" s="6" t="s">
        <v>840</v>
      </c>
    </row>
    <row r="147" spans="1:13" x14ac:dyDescent="0.25">
      <c r="A147" s="10" t="s">
        <v>445</v>
      </c>
      <c r="B147" s="10" t="s">
        <v>446</v>
      </c>
      <c r="C147" t="s">
        <v>21</v>
      </c>
      <c r="D147" s="2">
        <v>35908</v>
      </c>
      <c r="F147" t="s">
        <v>32</v>
      </c>
      <c r="G147" t="s">
        <v>437</v>
      </c>
      <c r="I147" s="2">
        <v>46035</v>
      </c>
      <c r="J147" t="s">
        <v>25</v>
      </c>
      <c r="K147" s="6" t="s">
        <v>822</v>
      </c>
      <c r="L147" s="8">
        <f>VLOOKUP(A147,Sheet1!G:I,3,0)</f>
        <v>2</v>
      </c>
      <c r="M147" s="6" t="s">
        <v>860</v>
      </c>
    </row>
    <row r="148" spans="1:13" x14ac:dyDescent="0.25">
      <c r="A148" s="10" t="s">
        <v>447</v>
      </c>
      <c r="B148" s="10" t="s">
        <v>448</v>
      </c>
      <c r="C148" t="s">
        <v>74</v>
      </c>
      <c r="F148" t="s">
        <v>131</v>
      </c>
      <c r="G148" t="s">
        <v>132</v>
      </c>
      <c r="I148" s="2">
        <v>46035</v>
      </c>
      <c r="J148" t="s">
        <v>25</v>
      </c>
      <c r="K148" s="6" t="s">
        <v>826</v>
      </c>
      <c r="L148" s="8">
        <f>VLOOKUP(A148,Sheet1!G:I,3,0)</f>
        <v>1</v>
      </c>
      <c r="M148" s="6" t="s">
        <v>854</v>
      </c>
    </row>
    <row r="149" spans="1:13" x14ac:dyDescent="0.25">
      <c r="A149" s="10" t="s">
        <v>449</v>
      </c>
      <c r="B149" s="10" t="s">
        <v>450</v>
      </c>
      <c r="C149" t="s">
        <v>21</v>
      </c>
      <c r="D149" s="2">
        <v>30007</v>
      </c>
      <c r="E149" s="1">
        <v>9677752947</v>
      </c>
      <c r="F149" t="s">
        <v>32</v>
      </c>
      <c r="G149" t="s">
        <v>437</v>
      </c>
      <c r="I149" s="2">
        <v>46035</v>
      </c>
      <c r="J149" t="s">
        <v>42</v>
      </c>
      <c r="K149" s="6" t="s">
        <v>822</v>
      </c>
      <c r="L149" s="8">
        <f>VLOOKUP(A149,Sheet1!G:I,3,0)</f>
        <v>1</v>
      </c>
      <c r="M149" s="6" t="s">
        <v>846</v>
      </c>
    </row>
    <row r="150" spans="1:13" x14ac:dyDescent="0.25">
      <c r="A150" s="10" t="s">
        <v>451</v>
      </c>
      <c r="B150" s="10" t="s">
        <v>452</v>
      </c>
      <c r="C150" t="s">
        <v>74</v>
      </c>
      <c r="D150" s="2">
        <v>22360</v>
      </c>
      <c r="F150" t="s">
        <v>293</v>
      </c>
      <c r="G150" t="s">
        <v>301</v>
      </c>
      <c r="I150" s="2">
        <v>46035</v>
      </c>
      <c r="J150" t="s">
        <v>25</v>
      </c>
      <c r="K150" s="6" t="s">
        <v>826</v>
      </c>
      <c r="L150" s="8">
        <f>VLOOKUP(A150,Sheet1!G:I,3,0)</f>
        <v>1</v>
      </c>
      <c r="M150" s="6" t="s">
        <v>846</v>
      </c>
    </row>
    <row r="151" spans="1:13" x14ac:dyDescent="0.25">
      <c r="A151" s="10" t="s">
        <v>453</v>
      </c>
      <c r="B151" s="10" t="s">
        <v>454</v>
      </c>
      <c r="C151" t="s">
        <v>21</v>
      </c>
      <c r="D151" s="2">
        <v>33804</v>
      </c>
      <c r="F151" t="s">
        <v>32</v>
      </c>
      <c r="G151" t="s">
        <v>455</v>
      </c>
      <c r="I151" s="2">
        <v>46035</v>
      </c>
      <c r="J151" t="s">
        <v>42</v>
      </c>
      <c r="K151" s="6" t="s">
        <v>822</v>
      </c>
      <c r="L151" s="8">
        <f>VLOOKUP(A151,Sheet1!G:I,3,0)</f>
        <v>1</v>
      </c>
      <c r="M151" s="6" t="s">
        <v>846</v>
      </c>
    </row>
    <row r="152" spans="1:13" x14ac:dyDescent="0.25">
      <c r="A152" s="10" t="s">
        <v>456</v>
      </c>
      <c r="B152" s="10" t="s">
        <v>457</v>
      </c>
      <c r="C152" t="s">
        <v>21</v>
      </c>
      <c r="D152" s="2">
        <v>34462</v>
      </c>
      <c r="E152" s="1">
        <v>9672741699</v>
      </c>
      <c r="F152" t="s">
        <v>32</v>
      </c>
      <c r="G152" t="s">
        <v>431</v>
      </c>
      <c r="I152" s="2">
        <v>46035</v>
      </c>
      <c r="J152" t="s">
        <v>25</v>
      </c>
      <c r="K152" s="6" t="s">
        <v>822</v>
      </c>
      <c r="L152" s="8">
        <f>VLOOKUP(A152,Sheet1!G:I,3,0)</f>
        <v>1</v>
      </c>
      <c r="M152" s="6" t="s">
        <v>846</v>
      </c>
    </row>
    <row r="153" spans="1:13" x14ac:dyDescent="0.25">
      <c r="A153" s="10" t="s">
        <v>458</v>
      </c>
      <c r="B153" s="10" t="s">
        <v>459</v>
      </c>
      <c r="C153" t="s">
        <v>21</v>
      </c>
      <c r="D153" s="2">
        <v>33674</v>
      </c>
      <c r="E153" s="1">
        <v>9068674865</v>
      </c>
      <c r="F153" t="s">
        <v>118</v>
      </c>
      <c r="G153" t="s">
        <v>384</v>
      </c>
      <c r="H153" t="s">
        <v>460</v>
      </c>
      <c r="I153" s="2">
        <v>46043</v>
      </c>
      <c r="J153" t="s">
        <v>25</v>
      </c>
      <c r="K153" s="6" t="s">
        <v>826</v>
      </c>
      <c r="L153" s="8">
        <f>VLOOKUP(A153,Sheet1!G:I,3,0)</f>
        <v>1</v>
      </c>
      <c r="M153" s="6" t="s">
        <v>858</v>
      </c>
    </row>
    <row r="154" spans="1:13" x14ac:dyDescent="0.25">
      <c r="A154" s="10" t="s">
        <v>461</v>
      </c>
      <c r="B154" s="10" t="s">
        <v>462</v>
      </c>
      <c r="C154" t="s">
        <v>21</v>
      </c>
      <c r="D154" s="2">
        <v>37345</v>
      </c>
      <c r="E154" s="1">
        <v>9948332600</v>
      </c>
      <c r="F154" t="s">
        <v>118</v>
      </c>
      <c r="G154" t="s">
        <v>384</v>
      </c>
      <c r="I154" s="2">
        <v>46043</v>
      </c>
      <c r="J154" t="s">
        <v>25</v>
      </c>
      <c r="K154" s="6" t="s">
        <v>826</v>
      </c>
      <c r="L154" s="8">
        <f>VLOOKUP(A154,Sheet1!G:I,3,0)</f>
        <v>1</v>
      </c>
      <c r="M154" s="6" t="s">
        <v>858</v>
      </c>
    </row>
    <row r="155" spans="1:13" x14ac:dyDescent="0.25">
      <c r="A155" s="10" t="s">
        <v>463</v>
      </c>
      <c r="B155" s="10" t="s">
        <v>464</v>
      </c>
      <c r="C155" t="s">
        <v>21</v>
      </c>
      <c r="D155" s="2">
        <v>28568</v>
      </c>
      <c r="E155" s="1">
        <v>9948332600</v>
      </c>
      <c r="F155" t="s">
        <v>118</v>
      </c>
      <c r="G155" t="s">
        <v>384</v>
      </c>
      <c r="H155" t="s">
        <v>465</v>
      </c>
      <c r="I155" s="2">
        <v>46043</v>
      </c>
      <c r="J155" t="s">
        <v>25</v>
      </c>
      <c r="K155" s="6" t="s">
        <v>826</v>
      </c>
      <c r="L155" s="8">
        <f>VLOOKUP(A155,Sheet1!G:I,3,0)</f>
        <v>1</v>
      </c>
      <c r="M155" s="6" t="s">
        <v>858</v>
      </c>
    </row>
    <row r="156" spans="1:13" x14ac:dyDescent="0.25">
      <c r="A156" s="10" t="s">
        <v>466</v>
      </c>
      <c r="B156" s="10" t="s">
        <v>467</v>
      </c>
      <c r="C156" t="s">
        <v>21</v>
      </c>
      <c r="D156" s="2">
        <v>23972</v>
      </c>
      <c r="E156" s="1">
        <v>9359327089</v>
      </c>
      <c r="F156" t="s">
        <v>32</v>
      </c>
      <c r="G156" t="s">
        <v>431</v>
      </c>
      <c r="I156" s="2">
        <v>46043</v>
      </c>
      <c r="J156" t="s">
        <v>42</v>
      </c>
      <c r="K156" s="6" t="s">
        <v>822</v>
      </c>
      <c r="L156" s="8">
        <f>VLOOKUP(A156,Sheet1!G:I,3,0)</f>
        <v>1</v>
      </c>
      <c r="M156" s="6" t="s">
        <v>838</v>
      </c>
    </row>
    <row r="157" spans="1:13" x14ac:dyDescent="0.25">
      <c r="A157" s="10" t="s">
        <v>468</v>
      </c>
      <c r="B157" s="10" t="s">
        <v>469</v>
      </c>
      <c r="C157" t="s">
        <v>74</v>
      </c>
      <c r="D157" s="2">
        <v>35606</v>
      </c>
      <c r="E157" s="1">
        <v>9352634478</v>
      </c>
      <c r="F157" t="s">
        <v>32</v>
      </c>
      <c r="G157" t="s">
        <v>431</v>
      </c>
      <c r="I157" s="2">
        <v>46043</v>
      </c>
      <c r="J157" t="s">
        <v>25</v>
      </c>
      <c r="K157" s="6" t="s">
        <v>826</v>
      </c>
      <c r="L157" s="8">
        <f>VLOOKUP(A157,Sheet1!G:I,3,0)</f>
        <v>1</v>
      </c>
      <c r="M157" s="6" t="s">
        <v>838</v>
      </c>
    </row>
    <row r="158" spans="1:13" x14ac:dyDescent="0.25">
      <c r="A158" s="10" t="s">
        <v>470</v>
      </c>
      <c r="B158" s="10" t="s">
        <v>471</v>
      </c>
      <c r="C158" t="s">
        <v>21</v>
      </c>
      <c r="D158" s="2">
        <v>34276</v>
      </c>
      <c r="E158" s="1">
        <v>9482051725</v>
      </c>
      <c r="F158" t="s">
        <v>131</v>
      </c>
      <c r="G158" t="s">
        <v>132</v>
      </c>
      <c r="I158" s="2">
        <v>46043</v>
      </c>
      <c r="J158" t="s">
        <v>25</v>
      </c>
      <c r="K158" s="6" t="s">
        <v>826</v>
      </c>
      <c r="L158" s="8">
        <f>VLOOKUP(A158,Sheet1!G:I,3,0)</f>
        <v>1</v>
      </c>
      <c r="M158" s="6" t="s">
        <v>846</v>
      </c>
    </row>
    <row r="159" spans="1:13" x14ac:dyDescent="0.25">
      <c r="A159" s="10" t="s">
        <v>472</v>
      </c>
      <c r="B159" s="10" t="s">
        <v>473</v>
      </c>
      <c r="C159" t="s">
        <v>21</v>
      </c>
      <c r="D159" s="2">
        <v>23723</v>
      </c>
      <c r="E159" s="1">
        <v>9050964081</v>
      </c>
      <c r="F159" t="s">
        <v>131</v>
      </c>
      <c r="G159" t="s">
        <v>132</v>
      </c>
      <c r="I159" s="2">
        <v>46043</v>
      </c>
      <c r="J159" t="s">
        <v>25</v>
      </c>
      <c r="K159" s="6" t="s">
        <v>823</v>
      </c>
      <c r="L159" s="8">
        <f>VLOOKUP(A159,Sheet1!G:I,3,0)</f>
        <v>2</v>
      </c>
      <c r="M159" s="6" t="s">
        <v>842</v>
      </c>
    </row>
    <row r="160" spans="1:13" x14ac:dyDescent="0.25">
      <c r="A160" s="10" t="s">
        <v>474</v>
      </c>
      <c r="B160" s="10" t="s">
        <v>475</v>
      </c>
      <c r="C160" t="s">
        <v>21</v>
      </c>
      <c r="D160" s="2">
        <v>30253</v>
      </c>
      <c r="F160" t="s">
        <v>131</v>
      </c>
      <c r="G160" t="s">
        <v>132</v>
      </c>
      <c r="I160" s="2">
        <v>46043</v>
      </c>
      <c r="J160" t="s">
        <v>25</v>
      </c>
      <c r="K160" s="6" t="s">
        <v>823</v>
      </c>
      <c r="L160" s="8">
        <f>VLOOKUP(A160,Sheet1!G:I,3,0)</f>
        <v>1</v>
      </c>
      <c r="M160" s="6" t="s">
        <v>846</v>
      </c>
    </row>
    <row r="161" spans="1:13" x14ac:dyDescent="0.25">
      <c r="A161" s="10" t="s">
        <v>476</v>
      </c>
      <c r="B161" s="10" t="s">
        <v>477</v>
      </c>
      <c r="C161" t="s">
        <v>21</v>
      </c>
      <c r="D161" s="2">
        <v>22037</v>
      </c>
      <c r="F161" t="s">
        <v>478</v>
      </c>
      <c r="G161" t="s">
        <v>187</v>
      </c>
      <c r="I161" s="2">
        <v>46043</v>
      </c>
      <c r="J161" t="s">
        <v>25</v>
      </c>
      <c r="K161" s="6" t="s">
        <v>826</v>
      </c>
      <c r="L161" s="8">
        <f>VLOOKUP(A161,Sheet1!G:I,3,0)</f>
        <v>1</v>
      </c>
      <c r="M161" s="6" t="s">
        <v>852</v>
      </c>
    </row>
    <row r="162" spans="1:13" x14ac:dyDescent="0.25">
      <c r="A162" s="10" t="s">
        <v>479</v>
      </c>
      <c r="B162" s="10" t="s">
        <v>480</v>
      </c>
      <c r="C162" t="s">
        <v>74</v>
      </c>
      <c r="D162" s="2">
        <v>38052</v>
      </c>
      <c r="F162" t="s">
        <v>293</v>
      </c>
      <c r="G162" t="s">
        <v>301</v>
      </c>
      <c r="I162" s="2">
        <v>46043</v>
      </c>
      <c r="J162" t="s">
        <v>25</v>
      </c>
      <c r="K162" s="6" t="s">
        <v>822</v>
      </c>
      <c r="L162" s="8">
        <f>VLOOKUP(A162,Sheet1!G:I,3,0)</f>
        <v>2</v>
      </c>
      <c r="M162" s="6" t="s">
        <v>840</v>
      </c>
    </row>
    <row r="163" spans="1:13" x14ac:dyDescent="0.25">
      <c r="A163" s="10" t="s">
        <v>481</v>
      </c>
      <c r="B163" s="10" t="s">
        <v>482</v>
      </c>
      <c r="C163" t="s">
        <v>74</v>
      </c>
      <c r="D163" s="2">
        <v>29992</v>
      </c>
      <c r="E163" s="1">
        <v>9367772003</v>
      </c>
      <c r="F163" t="s">
        <v>483</v>
      </c>
      <c r="G163" t="s">
        <v>484</v>
      </c>
      <c r="H163" t="s">
        <v>485</v>
      </c>
      <c r="I163" s="2">
        <v>46043</v>
      </c>
      <c r="J163" t="s">
        <v>25</v>
      </c>
      <c r="K163" s="6" t="s">
        <v>822</v>
      </c>
      <c r="L163" s="8">
        <f>VLOOKUP(A163,Sheet1!G:I,3,0)</f>
        <v>2</v>
      </c>
      <c r="M163" s="6" t="s">
        <v>848</v>
      </c>
    </row>
    <row r="164" spans="1:13" x14ac:dyDescent="0.25">
      <c r="A164" s="10" t="s">
        <v>486</v>
      </c>
      <c r="B164" s="10" t="s">
        <v>487</v>
      </c>
      <c r="C164" t="s">
        <v>21</v>
      </c>
      <c r="D164" s="2">
        <v>30456</v>
      </c>
      <c r="E164" s="1">
        <v>9532740973</v>
      </c>
      <c r="F164" t="s">
        <v>131</v>
      </c>
      <c r="G164" t="s">
        <v>132</v>
      </c>
      <c r="I164" s="2">
        <v>46043</v>
      </c>
      <c r="J164" t="s">
        <v>42</v>
      </c>
      <c r="K164" s="6" t="s">
        <v>823</v>
      </c>
      <c r="L164" s="8">
        <f>VLOOKUP(A164,Sheet1!G:I,3,0)</f>
        <v>1</v>
      </c>
      <c r="M164" s="6" t="s">
        <v>852</v>
      </c>
    </row>
    <row r="165" spans="1:13" x14ac:dyDescent="0.25">
      <c r="A165" s="10" t="s">
        <v>488</v>
      </c>
      <c r="B165" s="10" t="s">
        <v>489</v>
      </c>
      <c r="C165" t="s">
        <v>74</v>
      </c>
      <c r="D165" s="2">
        <v>32907</v>
      </c>
      <c r="E165" s="1">
        <v>9973619766</v>
      </c>
      <c r="F165" t="s">
        <v>293</v>
      </c>
      <c r="G165" t="s">
        <v>301</v>
      </c>
      <c r="I165" s="2">
        <v>46049</v>
      </c>
      <c r="J165" t="s">
        <v>25</v>
      </c>
      <c r="K165" s="6" t="s">
        <v>822</v>
      </c>
      <c r="L165" s="8">
        <f>VLOOKUP(A165,Sheet1!G:I,3,0)</f>
        <v>2</v>
      </c>
      <c r="M165" s="6" t="s">
        <v>840</v>
      </c>
    </row>
    <row r="166" spans="1:13" x14ac:dyDescent="0.25">
      <c r="A166" s="10" t="s">
        <v>490</v>
      </c>
      <c r="B166" s="10" t="s">
        <v>491</v>
      </c>
      <c r="C166" t="s">
        <v>74</v>
      </c>
      <c r="D166" s="2">
        <v>34591</v>
      </c>
      <c r="F166" t="s">
        <v>293</v>
      </c>
      <c r="G166" t="s">
        <v>301</v>
      </c>
      <c r="I166" s="2">
        <v>46049</v>
      </c>
      <c r="J166" t="s">
        <v>25</v>
      </c>
      <c r="K166" s="6" t="s">
        <v>822</v>
      </c>
      <c r="L166" s="8">
        <f>VLOOKUP(A166,Sheet1!G:I,3,0)</f>
        <v>1</v>
      </c>
      <c r="M166" s="6" t="s">
        <v>846</v>
      </c>
    </row>
    <row r="167" spans="1:13" x14ac:dyDescent="0.25">
      <c r="A167" s="10" t="s">
        <v>492</v>
      </c>
      <c r="B167" s="10" t="s">
        <v>493</v>
      </c>
      <c r="C167" t="s">
        <v>21</v>
      </c>
      <c r="F167" t="s">
        <v>293</v>
      </c>
      <c r="G167" t="s">
        <v>301</v>
      </c>
      <c r="I167" s="2">
        <v>46049</v>
      </c>
      <c r="J167" t="s">
        <v>25</v>
      </c>
      <c r="K167" s="6" t="s">
        <v>822</v>
      </c>
      <c r="L167" s="8">
        <f>VLOOKUP(A167,Sheet1!G:I,3,0)</f>
        <v>2</v>
      </c>
      <c r="M167" s="6" t="s">
        <v>840</v>
      </c>
    </row>
    <row r="168" spans="1:13" x14ac:dyDescent="0.25">
      <c r="A168" s="10" t="s">
        <v>494</v>
      </c>
      <c r="B168" s="10" t="s">
        <v>495</v>
      </c>
      <c r="C168" t="s">
        <v>21</v>
      </c>
      <c r="F168" t="s">
        <v>293</v>
      </c>
      <c r="G168" t="s">
        <v>301</v>
      </c>
      <c r="I168" s="2">
        <v>46049</v>
      </c>
      <c r="J168" t="s">
        <v>25</v>
      </c>
      <c r="K168" s="6" t="s">
        <v>822</v>
      </c>
      <c r="L168" s="8">
        <f>VLOOKUP(A168,Sheet1!G:I,3,0)</f>
        <v>1</v>
      </c>
      <c r="M168" s="6" t="s">
        <v>846</v>
      </c>
    </row>
    <row r="169" spans="1:13" x14ac:dyDescent="0.25">
      <c r="A169" s="10" t="s">
        <v>496</v>
      </c>
      <c r="B169" s="10" t="s">
        <v>497</v>
      </c>
      <c r="C169" t="s">
        <v>21</v>
      </c>
      <c r="D169" s="2">
        <v>25805</v>
      </c>
      <c r="E169" s="1">
        <v>9973697311</v>
      </c>
      <c r="F169" t="s">
        <v>32</v>
      </c>
      <c r="G169" t="s">
        <v>498</v>
      </c>
      <c r="I169" s="2">
        <v>46049</v>
      </c>
      <c r="J169" t="s">
        <v>25</v>
      </c>
      <c r="K169" s="6" t="s">
        <v>822</v>
      </c>
      <c r="L169" s="8">
        <f>VLOOKUP(A169,Sheet1!G:I,3,0)</f>
        <v>2</v>
      </c>
      <c r="M169" s="6" t="s">
        <v>842</v>
      </c>
    </row>
    <row r="170" spans="1:13" x14ac:dyDescent="0.25">
      <c r="A170" s="10" t="s">
        <v>499</v>
      </c>
      <c r="B170" s="10" t="s">
        <v>500</v>
      </c>
      <c r="C170" t="s">
        <v>21</v>
      </c>
      <c r="D170" s="2">
        <v>30939</v>
      </c>
      <c r="E170" s="1">
        <v>9609138201</v>
      </c>
      <c r="F170" t="s">
        <v>111</v>
      </c>
      <c r="G170" t="s">
        <v>112</v>
      </c>
      <c r="H170" t="s">
        <v>501</v>
      </c>
      <c r="I170" s="2">
        <v>46049</v>
      </c>
      <c r="J170" t="s">
        <v>25</v>
      </c>
      <c r="K170" s="6" t="s">
        <v>823</v>
      </c>
      <c r="L170" s="8">
        <f>VLOOKUP(A170,Sheet1!G:I,3,0)</f>
        <v>1</v>
      </c>
      <c r="M170" s="6" t="s">
        <v>838</v>
      </c>
    </row>
    <row r="171" spans="1:13" x14ac:dyDescent="0.25">
      <c r="A171" s="10" t="s">
        <v>502</v>
      </c>
      <c r="B171" s="10" t="s">
        <v>503</v>
      </c>
      <c r="C171" t="s">
        <v>21</v>
      </c>
      <c r="D171" s="2">
        <v>25542</v>
      </c>
      <c r="E171" s="1">
        <v>9062320207</v>
      </c>
      <c r="F171" t="s">
        <v>111</v>
      </c>
      <c r="G171" t="s">
        <v>112</v>
      </c>
      <c r="I171" s="2">
        <v>46049</v>
      </c>
      <c r="J171" t="s">
        <v>25</v>
      </c>
      <c r="K171" s="6" t="s">
        <v>823</v>
      </c>
      <c r="L171" s="8">
        <f>VLOOKUP(A171,Sheet1!G:I,3,0)</f>
        <v>2</v>
      </c>
      <c r="M171" s="6" t="s">
        <v>840</v>
      </c>
    </row>
    <row r="172" spans="1:13" x14ac:dyDescent="0.25">
      <c r="A172" s="10" t="s">
        <v>504</v>
      </c>
      <c r="B172" s="10" t="s">
        <v>505</v>
      </c>
      <c r="C172" t="s">
        <v>21</v>
      </c>
      <c r="D172" s="2">
        <v>34100</v>
      </c>
      <c r="E172" s="1">
        <v>9937113998</v>
      </c>
      <c r="F172" t="s">
        <v>111</v>
      </c>
      <c r="G172" t="s">
        <v>112</v>
      </c>
      <c r="I172" s="2">
        <v>46049</v>
      </c>
      <c r="J172" t="s">
        <v>25</v>
      </c>
      <c r="K172" s="6" t="s">
        <v>823</v>
      </c>
      <c r="L172" s="8">
        <f>VLOOKUP(A172,Sheet1!G:I,3,0)</f>
        <v>1</v>
      </c>
      <c r="M172" s="6" t="s">
        <v>838</v>
      </c>
    </row>
    <row r="173" spans="1:13" x14ac:dyDescent="0.25">
      <c r="A173" s="10" t="s">
        <v>506</v>
      </c>
      <c r="B173" s="10" t="s">
        <v>507</v>
      </c>
      <c r="C173" t="s">
        <v>74</v>
      </c>
      <c r="D173" s="2">
        <v>31715</v>
      </c>
      <c r="E173" s="1">
        <v>9756062589</v>
      </c>
      <c r="F173" t="s">
        <v>508</v>
      </c>
      <c r="G173" t="s">
        <v>509</v>
      </c>
      <c r="I173" s="2">
        <v>46049</v>
      </c>
      <c r="J173" t="s">
        <v>25</v>
      </c>
      <c r="K173" s="6" t="s">
        <v>822</v>
      </c>
      <c r="L173" s="8">
        <f>VLOOKUP(A173,Sheet1!G:I,3,0)</f>
        <v>2</v>
      </c>
      <c r="M173" s="6" t="s">
        <v>852</v>
      </c>
    </row>
    <row r="174" spans="1:13" x14ac:dyDescent="0.25">
      <c r="A174" s="10" t="s">
        <v>510</v>
      </c>
      <c r="B174" s="10" t="s">
        <v>511</v>
      </c>
      <c r="C174" t="s">
        <v>21</v>
      </c>
      <c r="D174" s="2">
        <v>36606</v>
      </c>
      <c r="E174" s="1">
        <v>9911916698</v>
      </c>
      <c r="F174" t="s">
        <v>131</v>
      </c>
      <c r="G174" t="s">
        <v>132</v>
      </c>
      <c r="I174" s="2">
        <v>46049</v>
      </c>
      <c r="J174" t="s">
        <v>25</v>
      </c>
      <c r="K174" s="6" t="s">
        <v>823</v>
      </c>
      <c r="L174" s="8">
        <f>VLOOKUP(A174,Sheet1!G:I,3,0)</f>
        <v>1</v>
      </c>
      <c r="M174" s="6" t="s">
        <v>846</v>
      </c>
    </row>
    <row r="175" spans="1:13" x14ac:dyDescent="0.25">
      <c r="A175" s="10" t="s">
        <v>512</v>
      </c>
      <c r="B175" s="10" t="s">
        <v>513</v>
      </c>
      <c r="C175" t="s">
        <v>21</v>
      </c>
      <c r="D175" s="2">
        <v>37362</v>
      </c>
      <c r="E175" s="1">
        <v>9911976698</v>
      </c>
      <c r="F175" t="s">
        <v>131</v>
      </c>
      <c r="G175" t="s">
        <v>132</v>
      </c>
      <c r="I175" s="2">
        <v>46049</v>
      </c>
      <c r="J175" t="s">
        <v>25</v>
      </c>
      <c r="K175" s="6" t="s">
        <v>823</v>
      </c>
      <c r="L175" s="8">
        <f>VLOOKUP(A175,Sheet1!G:I,3,0)</f>
        <v>1</v>
      </c>
      <c r="M175" s="6" t="s">
        <v>846</v>
      </c>
    </row>
    <row r="176" spans="1:13" x14ac:dyDescent="0.25">
      <c r="A176" s="10" t="s">
        <v>514</v>
      </c>
      <c r="B176" s="10" t="s">
        <v>515</v>
      </c>
      <c r="C176" t="s">
        <v>21</v>
      </c>
      <c r="D176" s="2">
        <v>23256</v>
      </c>
      <c r="E176" s="1">
        <v>9357275574</v>
      </c>
      <c r="F176" t="s">
        <v>516</v>
      </c>
      <c r="G176" t="s">
        <v>517</v>
      </c>
      <c r="H176" t="s">
        <v>29</v>
      </c>
      <c r="I176" s="2">
        <v>46049</v>
      </c>
      <c r="J176" t="s">
        <v>25</v>
      </c>
      <c r="K176" s="6" t="s">
        <v>822</v>
      </c>
      <c r="L176" s="8">
        <f>VLOOKUP(A176,Sheet1!G:I,3,0)</f>
        <v>2</v>
      </c>
      <c r="M176" s="6" t="s">
        <v>866</v>
      </c>
    </row>
    <row r="177" spans="1:13" x14ac:dyDescent="0.25">
      <c r="A177" s="10" t="s">
        <v>518</v>
      </c>
      <c r="B177" s="10" t="s">
        <v>519</v>
      </c>
      <c r="C177" t="s">
        <v>21</v>
      </c>
      <c r="D177" s="2">
        <v>26245</v>
      </c>
      <c r="E177" s="1">
        <v>9357275574</v>
      </c>
      <c r="F177" t="s">
        <v>516</v>
      </c>
      <c r="G177" t="s">
        <v>520</v>
      </c>
      <c r="I177" s="2">
        <v>46049</v>
      </c>
      <c r="J177" t="s">
        <v>25</v>
      </c>
      <c r="K177" s="6" t="s">
        <v>822</v>
      </c>
      <c r="L177" s="8">
        <f>VLOOKUP(A177,Sheet1!G:I,3,0)</f>
        <v>2</v>
      </c>
      <c r="M177" s="6" t="s">
        <v>868</v>
      </c>
    </row>
    <row r="178" spans="1:13" x14ac:dyDescent="0.25">
      <c r="A178" s="10" t="s">
        <v>521</v>
      </c>
      <c r="B178" s="10" t="s">
        <v>522</v>
      </c>
      <c r="C178" t="s">
        <v>21</v>
      </c>
      <c r="D178" s="2">
        <v>33279</v>
      </c>
      <c r="E178" s="1">
        <v>9920352056</v>
      </c>
      <c r="F178" t="s">
        <v>516</v>
      </c>
      <c r="G178" t="s">
        <v>520</v>
      </c>
      <c r="H178" t="s">
        <v>428</v>
      </c>
      <c r="I178" s="2">
        <v>46049</v>
      </c>
      <c r="J178" t="s">
        <v>25</v>
      </c>
      <c r="K178" s="6" t="s">
        <v>822</v>
      </c>
      <c r="L178" s="8">
        <f>VLOOKUP(A178,Sheet1!G:I,3,0)</f>
        <v>2</v>
      </c>
      <c r="M178" s="6" t="s">
        <v>846</v>
      </c>
    </row>
    <row r="179" spans="1:13" x14ac:dyDescent="0.25">
      <c r="A179" s="10" t="s">
        <v>523</v>
      </c>
      <c r="B179" s="10" t="s">
        <v>524</v>
      </c>
      <c r="C179" t="s">
        <v>21</v>
      </c>
      <c r="D179" t="s">
        <v>525</v>
      </c>
      <c r="F179" t="s">
        <v>516</v>
      </c>
      <c r="G179" t="s">
        <v>526</v>
      </c>
      <c r="H179" t="s">
        <v>41</v>
      </c>
      <c r="I179" s="2">
        <v>46049</v>
      </c>
      <c r="J179" t="s">
        <v>25</v>
      </c>
      <c r="K179" s="6" t="s">
        <v>822</v>
      </c>
      <c r="L179" s="8">
        <f>VLOOKUP(A179,Sheet1!G:I,3,0)</f>
        <v>1</v>
      </c>
      <c r="M179" s="6" t="s">
        <v>838</v>
      </c>
    </row>
    <row r="180" spans="1:13" x14ac:dyDescent="0.25">
      <c r="A180" s="10" t="s">
        <v>527</v>
      </c>
      <c r="B180" s="10" t="s">
        <v>528</v>
      </c>
      <c r="C180" t="s">
        <v>21</v>
      </c>
      <c r="D180" s="2">
        <v>25642</v>
      </c>
      <c r="F180" t="s">
        <v>516</v>
      </c>
      <c r="G180" t="s">
        <v>529</v>
      </c>
      <c r="H180" t="s">
        <v>530</v>
      </c>
      <c r="I180" s="2">
        <v>46049</v>
      </c>
      <c r="J180" t="s">
        <v>25</v>
      </c>
      <c r="K180" s="6" t="s">
        <v>822</v>
      </c>
      <c r="L180" s="8">
        <f>VLOOKUP(A180,Sheet1!G:I,3,0)</f>
        <v>1</v>
      </c>
      <c r="M180" s="6" t="s">
        <v>838</v>
      </c>
    </row>
    <row r="181" spans="1:13" x14ac:dyDescent="0.25">
      <c r="A181" s="10" t="s">
        <v>531</v>
      </c>
      <c r="B181" s="10" t="s">
        <v>532</v>
      </c>
      <c r="C181" t="s">
        <v>21</v>
      </c>
      <c r="D181" s="2">
        <v>28347</v>
      </c>
      <c r="E181" s="1">
        <v>9273925852</v>
      </c>
      <c r="F181" t="s">
        <v>516</v>
      </c>
      <c r="G181" t="s">
        <v>517</v>
      </c>
      <c r="I181" s="2">
        <v>46049</v>
      </c>
      <c r="J181" t="s">
        <v>25</v>
      </c>
      <c r="K181" s="6" t="s">
        <v>822</v>
      </c>
      <c r="L181" s="8">
        <f>VLOOKUP(A181,Sheet1!G:I,3,0)</f>
        <v>1</v>
      </c>
      <c r="M181" s="6" t="s">
        <v>846</v>
      </c>
    </row>
    <row r="182" spans="1:13" x14ac:dyDescent="0.25">
      <c r="A182" s="10" t="s">
        <v>533</v>
      </c>
      <c r="B182" s="10" t="s">
        <v>534</v>
      </c>
      <c r="C182" t="s">
        <v>21</v>
      </c>
      <c r="D182" s="2">
        <v>29393</v>
      </c>
      <c r="E182" s="1">
        <v>9368570244</v>
      </c>
      <c r="F182" t="s">
        <v>535</v>
      </c>
      <c r="G182" t="s">
        <v>536</v>
      </c>
      <c r="H182" t="s">
        <v>29</v>
      </c>
      <c r="I182" s="2">
        <v>46057</v>
      </c>
      <c r="J182" t="s">
        <v>25</v>
      </c>
      <c r="K182" s="6" t="s">
        <v>823</v>
      </c>
      <c r="L182" s="8">
        <f>VLOOKUP(A182,Sheet1!G:I,3,0)</f>
        <v>2</v>
      </c>
      <c r="M182" s="6" t="s">
        <v>846</v>
      </c>
    </row>
    <row r="183" spans="1:13" x14ac:dyDescent="0.25">
      <c r="A183" s="10" t="s">
        <v>537</v>
      </c>
      <c r="B183" s="10" t="s">
        <v>538</v>
      </c>
      <c r="C183" t="s">
        <v>21</v>
      </c>
      <c r="D183" s="2">
        <v>29671</v>
      </c>
      <c r="E183" s="1">
        <v>9930517336</v>
      </c>
      <c r="F183" t="s">
        <v>535</v>
      </c>
      <c r="G183" t="s">
        <v>539</v>
      </c>
      <c r="I183" s="2">
        <v>46057</v>
      </c>
      <c r="J183" t="s">
        <v>25</v>
      </c>
      <c r="K183" s="6" t="s">
        <v>823</v>
      </c>
      <c r="L183" s="8">
        <f>VLOOKUP(A183,Sheet1!G:I,3,0)</f>
        <v>1</v>
      </c>
      <c r="M183" s="6" t="s">
        <v>846</v>
      </c>
    </row>
    <row r="184" spans="1:13" x14ac:dyDescent="0.25">
      <c r="A184" s="10" t="s">
        <v>540</v>
      </c>
      <c r="B184" s="10" t="s">
        <v>541</v>
      </c>
      <c r="C184" t="s">
        <v>21</v>
      </c>
      <c r="D184" s="2">
        <v>28469</v>
      </c>
      <c r="E184" s="1">
        <v>9050467909</v>
      </c>
      <c r="F184" t="s">
        <v>535</v>
      </c>
      <c r="G184" t="s">
        <v>536</v>
      </c>
      <c r="H184" t="s">
        <v>501</v>
      </c>
      <c r="I184" s="2">
        <v>46057</v>
      </c>
      <c r="J184" t="s">
        <v>25</v>
      </c>
      <c r="K184" s="6" t="s">
        <v>823</v>
      </c>
      <c r="L184" s="8">
        <f>VLOOKUP(A184,Sheet1!G:I,3,0)</f>
        <v>2</v>
      </c>
      <c r="M184" s="6" t="s">
        <v>846</v>
      </c>
    </row>
    <row r="185" spans="1:13" x14ac:dyDescent="0.25">
      <c r="A185" s="10" t="s">
        <v>542</v>
      </c>
      <c r="B185" s="10" t="s">
        <v>543</v>
      </c>
      <c r="C185" t="s">
        <v>21</v>
      </c>
      <c r="D185" s="2">
        <v>24050</v>
      </c>
      <c r="F185" t="s">
        <v>535</v>
      </c>
      <c r="G185" t="s">
        <v>536</v>
      </c>
      <c r="H185" t="s">
        <v>41</v>
      </c>
      <c r="I185" s="2">
        <v>46057</v>
      </c>
      <c r="J185" t="s">
        <v>25</v>
      </c>
      <c r="K185" s="6" t="s">
        <v>823</v>
      </c>
      <c r="L185" s="8">
        <f>VLOOKUP(A185,Sheet1!G:I,3,0)</f>
        <v>2</v>
      </c>
      <c r="M185" s="6" t="s">
        <v>842</v>
      </c>
    </row>
    <row r="186" spans="1:13" x14ac:dyDescent="0.25">
      <c r="A186" s="10" t="s">
        <v>544</v>
      </c>
      <c r="B186" s="10" t="s">
        <v>545</v>
      </c>
      <c r="C186" t="s">
        <v>21</v>
      </c>
      <c r="D186" s="2">
        <v>29409</v>
      </c>
      <c r="F186" t="s">
        <v>535</v>
      </c>
      <c r="G186" t="s">
        <v>546</v>
      </c>
      <c r="H186" t="s">
        <v>547</v>
      </c>
      <c r="I186" s="2">
        <v>46057</v>
      </c>
      <c r="J186" t="s">
        <v>25</v>
      </c>
      <c r="K186" s="6" t="s">
        <v>823</v>
      </c>
      <c r="L186" s="8">
        <f>VLOOKUP(A186,Sheet1!G:I,3,0)</f>
        <v>2</v>
      </c>
      <c r="M186" s="6" t="s">
        <v>870</v>
      </c>
    </row>
    <row r="187" spans="1:13" x14ac:dyDescent="0.25">
      <c r="A187" s="10" t="s">
        <v>548</v>
      </c>
      <c r="B187" s="10" t="s">
        <v>549</v>
      </c>
      <c r="C187" t="s">
        <v>21</v>
      </c>
      <c r="D187" s="2">
        <v>32448</v>
      </c>
      <c r="E187" s="1">
        <v>9350068454</v>
      </c>
      <c r="F187" t="s">
        <v>535</v>
      </c>
      <c r="G187" t="s">
        <v>550</v>
      </c>
      <c r="H187" t="s">
        <v>29</v>
      </c>
      <c r="I187" s="2">
        <v>46057</v>
      </c>
      <c r="J187" t="s">
        <v>25</v>
      </c>
      <c r="K187" s="6" t="s">
        <v>823</v>
      </c>
      <c r="L187" s="8">
        <f>VLOOKUP(A187,Sheet1!G:I,3,0)</f>
        <v>2</v>
      </c>
      <c r="M187" s="6" t="s">
        <v>838</v>
      </c>
    </row>
    <row r="188" spans="1:13" x14ac:dyDescent="0.25">
      <c r="A188" s="10" t="s">
        <v>551</v>
      </c>
      <c r="B188" s="10" t="s">
        <v>552</v>
      </c>
      <c r="C188" t="s">
        <v>21</v>
      </c>
      <c r="D188" s="2">
        <v>27027</v>
      </c>
      <c r="E188" s="1">
        <v>9551103579</v>
      </c>
      <c r="F188" t="s">
        <v>535</v>
      </c>
      <c r="G188" t="s">
        <v>536</v>
      </c>
      <c r="I188" s="2">
        <v>46057</v>
      </c>
      <c r="J188" t="s">
        <v>25</v>
      </c>
      <c r="K188" s="6" t="s">
        <v>823</v>
      </c>
      <c r="L188" s="8">
        <f>VLOOKUP(A188,Sheet1!G:I,3,0)</f>
        <v>1</v>
      </c>
      <c r="M188" s="6" t="s">
        <v>838</v>
      </c>
    </row>
    <row r="189" spans="1:13" x14ac:dyDescent="0.25">
      <c r="A189" s="10" t="s">
        <v>553</v>
      </c>
      <c r="B189" s="10" t="s">
        <v>554</v>
      </c>
      <c r="C189" t="s">
        <v>21</v>
      </c>
      <c r="D189" s="2">
        <v>27126</v>
      </c>
      <c r="E189" s="1">
        <v>9538277908</v>
      </c>
      <c r="F189" t="s">
        <v>535</v>
      </c>
      <c r="G189" t="s">
        <v>539</v>
      </c>
      <c r="H189" t="s">
        <v>41</v>
      </c>
      <c r="I189" s="2">
        <v>46057</v>
      </c>
      <c r="J189" t="s">
        <v>25</v>
      </c>
      <c r="K189" s="6" t="s">
        <v>823</v>
      </c>
      <c r="L189" s="8">
        <f>VLOOKUP(A189,Sheet1!G:I,3,0)</f>
        <v>2</v>
      </c>
      <c r="M189" s="6" t="s">
        <v>854</v>
      </c>
    </row>
    <row r="190" spans="1:13" x14ac:dyDescent="0.25">
      <c r="A190" s="10" t="s">
        <v>555</v>
      </c>
      <c r="B190" s="10" t="s">
        <v>556</v>
      </c>
      <c r="C190" t="s">
        <v>21</v>
      </c>
      <c r="D190" s="2">
        <v>27995</v>
      </c>
      <c r="E190" s="1">
        <v>9534423734</v>
      </c>
      <c r="F190" t="s">
        <v>244</v>
      </c>
      <c r="G190" t="s">
        <v>557</v>
      </c>
      <c r="H190" t="s">
        <v>181</v>
      </c>
      <c r="I190" s="2">
        <v>46057</v>
      </c>
      <c r="J190" t="s">
        <v>25</v>
      </c>
      <c r="K190" s="6" t="s">
        <v>822</v>
      </c>
      <c r="L190" s="8">
        <f>VLOOKUP(A190,Sheet1!G:I,3,0)</f>
        <v>1</v>
      </c>
      <c r="M190" s="6" t="s">
        <v>846</v>
      </c>
    </row>
    <row r="191" spans="1:13" x14ac:dyDescent="0.25">
      <c r="A191" s="10" t="s">
        <v>558</v>
      </c>
      <c r="B191" s="10" t="s">
        <v>559</v>
      </c>
      <c r="C191" t="s">
        <v>21</v>
      </c>
      <c r="D191" s="2">
        <v>32829</v>
      </c>
      <c r="E191" s="1">
        <v>9613057358</v>
      </c>
      <c r="F191" t="s">
        <v>96</v>
      </c>
      <c r="G191" t="s">
        <v>97</v>
      </c>
      <c r="I191" s="2">
        <v>46057</v>
      </c>
      <c r="J191" t="s">
        <v>25</v>
      </c>
      <c r="K191" s="6" t="s">
        <v>823</v>
      </c>
      <c r="L191" s="8">
        <f>VLOOKUP(A191,Sheet1!G:I,3,0)</f>
        <v>1</v>
      </c>
      <c r="M191" s="6" t="s">
        <v>846</v>
      </c>
    </row>
    <row r="192" spans="1:13" x14ac:dyDescent="0.25">
      <c r="A192" s="10" t="s">
        <v>560</v>
      </c>
      <c r="B192" s="10" t="s">
        <v>561</v>
      </c>
      <c r="C192" t="s">
        <v>21</v>
      </c>
      <c r="D192" s="2">
        <v>26877</v>
      </c>
      <c r="E192" s="1">
        <v>9153675040</v>
      </c>
      <c r="F192" t="s">
        <v>562</v>
      </c>
      <c r="G192" t="s">
        <v>563</v>
      </c>
      <c r="H192" t="s">
        <v>564</v>
      </c>
      <c r="I192" s="2">
        <v>46057</v>
      </c>
      <c r="J192" t="s">
        <v>25</v>
      </c>
      <c r="K192" s="6" t="s">
        <v>823</v>
      </c>
      <c r="L192" s="8">
        <f>VLOOKUP(A192,Sheet1!G:I,3,0)</f>
        <v>1</v>
      </c>
      <c r="M192" s="6" t="s">
        <v>846</v>
      </c>
    </row>
    <row r="193" spans="1:13" x14ac:dyDescent="0.25">
      <c r="A193" s="10" t="s">
        <v>565</v>
      </c>
      <c r="B193" s="10" t="s">
        <v>566</v>
      </c>
      <c r="C193" t="s">
        <v>21</v>
      </c>
      <c r="D193" s="2">
        <v>28036</v>
      </c>
      <c r="E193" s="1">
        <v>9945623958</v>
      </c>
      <c r="F193" t="s">
        <v>562</v>
      </c>
      <c r="G193" t="s">
        <v>567</v>
      </c>
      <c r="H193" t="s">
        <v>41</v>
      </c>
      <c r="I193" s="2">
        <v>46057</v>
      </c>
      <c r="J193" t="s">
        <v>25</v>
      </c>
      <c r="K193" s="6" t="s">
        <v>823</v>
      </c>
      <c r="L193" s="8">
        <f>VLOOKUP(A193,Sheet1!G:I,3,0)</f>
        <v>1</v>
      </c>
      <c r="M193" s="6" t="s">
        <v>846</v>
      </c>
    </row>
    <row r="194" spans="1:13" x14ac:dyDescent="0.25">
      <c r="A194" s="10" t="s">
        <v>568</v>
      </c>
      <c r="B194" s="10" t="s">
        <v>569</v>
      </c>
      <c r="C194" t="s">
        <v>21</v>
      </c>
      <c r="D194" s="2">
        <v>29843</v>
      </c>
      <c r="E194" s="1">
        <v>9194664456</v>
      </c>
      <c r="F194" t="s">
        <v>562</v>
      </c>
      <c r="G194" t="s">
        <v>570</v>
      </c>
      <c r="H194" t="s">
        <v>343</v>
      </c>
      <c r="I194" s="2">
        <v>46057</v>
      </c>
      <c r="J194" t="s">
        <v>25</v>
      </c>
      <c r="K194" s="6" t="s">
        <v>823</v>
      </c>
      <c r="L194" s="8">
        <f>VLOOKUP(A194,Sheet1!G:I,3,0)</f>
        <v>1</v>
      </c>
      <c r="M194" s="6" t="s">
        <v>846</v>
      </c>
    </row>
    <row r="195" spans="1:13" x14ac:dyDescent="0.25">
      <c r="A195" s="10" t="s">
        <v>571</v>
      </c>
      <c r="B195" s="10" t="s">
        <v>572</v>
      </c>
      <c r="C195" t="s">
        <v>21</v>
      </c>
      <c r="D195" s="2">
        <v>26343</v>
      </c>
      <c r="E195" s="1">
        <v>9172457404</v>
      </c>
      <c r="F195" t="s">
        <v>96</v>
      </c>
      <c r="G195" t="s">
        <v>97</v>
      </c>
      <c r="I195" s="2">
        <v>46057</v>
      </c>
      <c r="J195" t="s">
        <v>25</v>
      </c>
      <c r="K195" s="6" t="s">
        <v>823</v>
      </c>
      <c r="L195" s="8">
        <f>VLOOKUP(A195,Sheet1!G:I,3,0)</f>
        <v>1</v>
      </c>
      <c r="M195" s="6" t="s">
        <v>846</v>
      </c>
    </row>
    <row r="196" spans="1:13" x14ac:dyDescent="0.25">
      <c r="A196" s="10" t="s">
        <v>573</v>
      </c>
      <c r="B196" s="10" t="s">
        <v>574</v>
      </c>
      <c r="C196" t="s">
        <v>21</v>
      </c>
      <c r="D196" s="2">
        <v>24650</v>
      </c>
      <c r="E196" s="1">
        <v>9755300749</v>
      </c>
      <c r="F196" t="s">
        <v>118</v>
      </c>
      <c r="G196" t="s">
        <v>575</v>
      </c>
      <c r="I196" s="2">
        <v>46057</v>
      </c>
      <c r="J196" t="s">
        <v>25</v>
      </c>
      <c r="K196" s="6" t="s">
        <v>823</v>
      </c>
      <c r="L196" s="8">
        <f>VLOOKUP(A196,Sheet1!G:I,3,0)</f>
        <v>1</v>
      </c>
      <c r="M196" s="6" t="s">
        <v>838</v>
      </c>
    </row>
    <row r="197" spans="1:13" x14ac:dyDescent="0.25">
      <c r="A197" s="10" t="s">
        <v>576</v>
      </c>
      <c r="B197" s="10" t="s">
        <v>577</v>
      </c>
      <c r="C197" t="s">
        <v>21</v>
      </c>
      <c r="D197" s="2">
        <v>28654</v>
      </c>
      <c r="E197" s="1">
        <v>92623553837</v>
      </c>
      <c r="F197" t="s">
        <v>32</v>
      </c>
      <c r="G197" t="s">
        <v>455</v>
      </c>
      <c r="I197" s="2">
        <v>46057</v>
      </c>
      <c r="J197" t="s">
        <v>25</v>
      </c>
      <c r="K197" s="6" t="s">
        <v>822</v>
      </c>
      <c r="L197" s="8">
        <f>VLOOKUP(A197,Sheet1!G:I,3,0)</f>
        <v>2</v>
      </c>
      <c r="M197" s="6" t="s">
        <v>852</v>
      </c>
    </row>
    <row r="198" spans="1:13" x14ac:dyDescent="0.25">
      <c r="A198" s="10" t="s">
        <v>578</v>
      </c>
      <c r="B198" s="10" t="s">
        <v>579</v>
      </c>
      <c r="C198" t="s">
        <v>21</v>
      </c>
      <c r="D198" s="2">
        <v>31405</v>
      </c>
      <c r="F198" t="s">
        <v>118</v>
      </c>
      <c r="G198" t="s">
        <v>384</v>
      </c>
      <c r="I198" s="2">
        <v>46057</v>
      </c>
      <c r="J198" t="s">
        <v>25</v>
      </c>
      <c r="K198" s="6" t="s">
        <v>823</v>
      </c>
      <c r="L198" s="8">
        <f>VLOOKUP(A198,Sheet1!G:I,3,0)</f>
        <v>1</v>
      </c>
      <c r="M198" s="6" t="s">
        <v>846</v>
      </c>
    </row>
    <row r="199" spans="1:13" x14ac:dyDescent="0.25">
      <c r="A199" s="10" t="s">
        <v>580</v>
      </c>
      <c r="B199" s="10" t="s">
        <v>581</v>
      </c>
      <c r="C199" t="s">
        <v>21</v>
      </c>
      <c r="D199" s="2">
        <v>29216</v>
      </c>
      <c r="E199" s="1">
        <v>9061955651</v>
      </c>
      <c r="F199" t="s">
        <v>516</v>
      </c>
      <c r="G199" t="s">
        <v>526</v>
      </c>
      <c r="I199" s="2">
        <v>46064</v>
      </c>
      <c r="J199" t="s">
        <v>25</v>
      </c>
      <c r="K199" s="6" t="s">
        <v>822</v>
      </c>
      <c r="L199" s="8">
        <f>VLOOKUP(A199,Sheet1!G:I,3,0)</f>
        <v>2</v>
      </c>
      <c r="M199" s="6" t="s">
        <v>854</v>
      </c>
    </row>
    <row r="200" spans="1:13" x14ac:dyDescent="0.25">
      <c r="A200" s="10" t="s">
        <v>582</v>
      </c>
      <c r="B200" s="10" t="s">
        <v>583</v>
      </c>
      <c r="C200" t="s">
        <v>21</v>
      </c>
      <c r="D200" s="2">
        <v>27457</v>
      </c>
      <c r="F200" t="s">
        <v>516</v>
      </c>
      <c r="G200" t="s">
        <v>584</v>
      </c>
      <c r="I200" s="2">
        <v>46064</v>
      </c>
      <c r="J200" t="s">
        <v>25</v>
      </c>
      <c r="K200" s="6" t="s">
        <v>822</v>
      </c>
      <c r="L200" s="8">
        <f>VLOOKUP(A200,Sheet1!G:I,3,0)</f>
        <v>1</v>
      </c>
      <c r="M200" s="6" t="s">
        <v>838</v>
      </c>
    </row>
    <row r="201" spans="1:13" x14ac:dyDescent="0.25">
      <c r="A201" s="10" t="s">
        <v>585</v>
      </c>
      <c r="B201" s="10" t="s">
        <v>586</v>
      </c>
      <c r="C201" t="s">
        <v>74</v>
      </c>
      <c r="D201" s="2">
        <v>37624</v>
      </c>
      <c r="F201" t="s">
        <v>516</v>
      </c>
      <c r="G201" t="s">
        <v>587</v>
      </c>
      <c r="I201" s="2">
        <v>46064</v>
      </c>
      <c r="J201" t="s">
        <v>25</v>
      </c>
      <c r="K201" s="6" t="s">
        <v>822</v>
      </c>
      <c r="L201" s="8">
        <f>VLOOKUP(A201,Sheet1!G:I,3,0)</f>
        <v>1</v>
      </c>
      <c r="M201" s="6" t="s">
        <v>838</v>
      </c>
    </row>
    <row r="202" spans="1:13" x14ac:dyDescent="0.25">
      <c r="A202" s="10" t="s">
        <v>588</v>
      </c>
      <c r="B202" s="10" t="s">
        <v>589</v>
      </c>
      <c r="C202" t="s">
        <v>21</v>
      </c>
      <c r="D202" s="2">
        <v>26793</v>
      </c>
      <c r="E202" s="1">
        <v>9530764411</v>
      </c>
      <c r="F202" t="s">
        <v>118</v>
      </c>
      <c r="G202" t="s">
        <v>590</v>
      </c>
      <c r="I202" s="2">
        <v>46064</v>
      </c>
      <c r="J202" t="s">
        <v>25</v>
      </c>
      <c r="K202" s="6" t="s">
        <v>823</v>
      </c>
      <c r="L202" s="8">
        <f>VLOOKUP(A202,Sheet1!G:I,3,0)</f>
        <v>1</v>
      </c>
      <c r="M202" s="6" t="s">
        <v>838</v>
      </c>
    </row>
    <row r="203" spans="1:13" x14ac:dyDescent="0.25">
      <c r="A203" s="10" t="s">
        <v>591</v>
      </c>
      <c r="B203" s="10" t="s">
        <v>592</v>
      </c>
      <c r="C203" t="s">
        <v>21</v>
      </c>
      <c r="D203" s="2">
        <v>29710</v>
      </c>
      <c r="E203" s="1">
        <v>9634677359</v>
      </c>
      <c r="F203" t="s">
        <v>593</v>
      </c>
      <c r="G203" t="s">
        <v>594</v>
      </c>
      <c r="H203" t="s">
        <v>29</v>
      </c>
      <c r="I203" s="2">
        <v>46064</v>
      </c>
      <c r="J203" t="s">
        <v>25</v>
      </c>
      <c r="K203" s="6" t="s">
        <v>822</v>
      </c>
      <c r="L203" s="8">
        <f>VLOOKUP(A203,Sheet1!G:I,3,0)</f>
        <v>2</v>
      </c>
      <c r="M203" s="6" t="s">
        <v>842</v>
      </c>
    </row>
    <row r="204" spans="1:13" x14ac:dyDescent="0.25">
      <c r="A204" s="10" t="s">
        <v>595</v>
      </c>
      <c r="B204" s="10" t="s">
        <v>596</v>
      </c>
      <c r="C204" t="s">
        <v>74</v>
      </c>
      <c r="D204" s="2">
        <v>22119</v>
      </c>
      <c r="F204" t="s">
        <v>593</v>
      </c>
      <c r="G204" t="s">
        <v>594</v>
      </c>
      <c r="H204" t="s">
        <v>597</v>
      </c>
      <c r="I204" s="2">
        <v>46064</v>
      </c>
      <c r="J204" t="s">
        <v>25</v>
      </c>
      <c r="K204" s="6" t="s">
        <v>822</v>
      </c>
      <c r="L204" s="8">
        <f>VLOOKUP(A204,Sheet1!G:I,3,0)</f>
        <v>1</v>
      </c>
      <c r="M204" s="6" t="s">
        <v>844</v>
      </c>
    </row>
    <row r="205" spans="1:13" x14ac:dyDescent="0.25">
      <c r="A205" s="10" t="s">
        <v>598</v>
      </c>
      <c r="B205" s="10" t="s">
        <v>599</v>
      </c>
      <c r="C205" t="s">
        <v>21</v>
      </c>
      <c r="D205" s="2">
        <v>22235</v>
      </c>
      <c r="E205" s="1">
        <v>905440891</v>
      </c>
      <c r="F205" t="s">
        <v>593</v>
      </c>
      <c r="G205" t="s">
        <v>594</v>
      </c>
      <c r="I205" s="2">
        <v>46064</v>
      </c>
      <c r="J205" t="s">
        <v>25</v>
      </c>
      <c r="K205" s="6" t="s">
        <v>822</v>
      </c>
      <c r="L205" s="8">
        <f>VLOOKUP(A205,Sheet1!G:I,3,0)</f>
        <v>1</v>
      </c>
      <c r="M205" s="6" t="s">
        <v>858</v>
      </c>
    </row>
    <row r="206" spans="1:13" x14ac:dyDescent="0.25">
      <c r="A206" s="10" t="s">
        <v>600</v>
      </c>
      <c r="B206" s="10" t="s">
        <v>601</v>
      </c>
      <c r="C206" t="s">
        <v>21</v>
      </c>
      <c r="F206" t="s">
        <v>593</v>
      </c>
      <c r="G206" t="s">
        <v>602</v>
      </c>
      <c r="I206" s="2">
        <v>46064</v>
      </c>
      <c r="J206" t="s">
        <v>25</v>
      </c>
      <c r="K206" s="6" t="s">
        <v>822</v>
      </c>
      <c r="L206" s="8">
        <f>VLOOKUP(A206,Sheet1!G:I,3,0)</f>
        <v>1</v>
      </c>
      <c r="M206" s="6" t="s">
        <v>870</v>
      </c>
    </row>
    <row r="207" spans="1:13" x14ac:dyDescent="0.25">
      <c r="A207" s="10" t="s">
        <v>603</v>
      </c>
      <c r="B207" s="10" t="s">
        <v>604</v>
      </c>
      <c r="C207" t="s">
        <v>21</v>
      </c>
      <c r="D207" s="2">
        <v>24042</v>
      </c>
      <c r="F207" t="s">
        <v>593</v>
      </c>
      <c r="G207" t="s">
        <v>605</v>
      </c>
      <c r="I207" s="2">
        <v>46064</v>
      </c>
      <c r="J207" t="s">
        <v>25</v>
      </c>
      <c r="K207" s="6" t="s">
        <v>822</v>
      </c>
      <c r="L207" s="8">
        <f>VLOOKUP(A207,Sheet1!G:I,3,0)</f>
        <v>2</v>
      </c>
      <c r="M207" s="6" t="s">
        <v>844</v>
      </c>
    </row>
    <row r="208" spans="1:13" x14ac:dyDescent="0.25">
      <c r="A208" s="10" t="s">
        <v>606</v>
      </c>
      <c r="B208" s="10" t="s">
        <v>607</v>
      </c>
      <c r="C208" t="s">
        <v>21</v>
      </c>
      <c r="D208" s="2">
        <v>37928</v>
      </c>
      <c r="E208" s="1">
        <v>9755867805</v>
      </c>
      <c r="F208" t="s">
        <v>131</v>
      </c>
      <c r="G208" t="s">
        <v>132</v>
      </c>
      <c r="I208" s="2">
        <v>46064</v>
      </c>
      <c r="J208" t="s">
        <v>25</v>
      </c>
      <c r="K208" s="6" t="s">
        <v>823</v>
      </c>
      <c r="L208" s="8">
        <f>VLOOKUP(A208,Sheet1!G:I,3,0)</f>
        <v>1</v>
      </c>
      <c r="M208" s="6" t="s">
        <v>840</v>
      </c>
    </row>
    <row r="209" spans="1:13" x14ac:dyDescent="0.25">
      <c r="A209" s="10" t="s">
        <v>608</v>
      </c>
      <c r="B209" s="10" t="s">
        <v>609</v>
      </c>
      <c r="C209" t="s">
        <v>21</v>
      </c>
      <c r="D209" s="2">
        <v>20464</v>
      </c>
      <c r="F209" t="s">
        <v>293</v>
      </c>
      <c r="G209" t="s">
        <v>301</v>
      </c>
      <c r="I209" s="2">
        <v>46064</v>
      </c>
      <c r="J209" t="s">
        <v>25</v>
      </c>
      <c r="K209" s="6" t="s">
        <v>822</v>
      </c>
      <c r="L209" s="8">
        <f>VLOOKUP(A209,Sheet1!G:I,3,0)</f>
        <v>1</v>
      </c>
      <c r="M209" s="6" t="s">
        <v>840</v>
      </c>
    </row>
    <row r="210" spans="1:13" x14ac:dyDescent="0.25">
      <c r="A210" s="10" t="s">
        <v>610</v>
      </c>
      <c r="B210" s="10" t="s">
        <v>611</v>
      </c>
      <c r="C210" t="s">
        <v>21</v>
      </c>
      <c r="D210" s="2">
        <v>37745</v>
      </c>
      <c r="E210" s="1">
        <v>9617787917</v>
      </c>
      <c r="F210" t="s">
        <v>118</v>
      </c>
      <c r="G210" t="s">
        <v>384</v>
      </c>
      <c r="I210" s="2">
        <v>46064</v>
      </c>
      <c r="J210" t="s">
        <v>25</v>
      </c>
      <c r="K210" s="6" t="s">
        <v>823</v>
      </c>
      <c r="L210" s="8">
        <f>VLOOKUP(A210,Sheet1!G:I,3,0)</f>
        <v>1</v>
      </c>
      <c r="M210" s="6" t="s">
        <v>858</v>
      </c>
    </row>
    <row r="211" spans="1:13" x14ac:dyDescent="0.25">
      <c r="A211" s="10" t="s">
        <v>612</v>
      </c>
      <c r="B211" s="10" t="s">
        <v>613</v>
      </c>
      <c r="C211" t="s">
        <v>74</v>
      </c>
      <c r="D211" s="2">
        <v>34133</v>
      </c>
      <c r="E211" s="1">
        <v>9951341605</v>
      </c>
      <c r="F211" t="s">
        <v>32</v>
      </c>
      <c r="G211" t="s">
        <v>437</v>
      </c>
      <c r="I211" s="2">
        <v>46069</v>
      </c>
      <c r="J211" t="s">
        <v>25</v>
      </c>
      <c r="K211" s="6" t="s">
        <v>822</v>
      </c>
      <c r="L211" s="8">
        <f>VLOOKUP(A211,Sheet1!G:I,3,0)</f>
        <v>1</v>
      </c>
      <c r="M211" s="6" t="s">
        <v>846</v>
      </c>
    </row>
    <row r="212" spans="1:13" x14ac:dyDescent="0.25">
      <c r="A212" s="10" t="s">
        <v>614</v>
      </c>
      <c r="B212" s="10" t="s">
        <v>615</v>
      </c>
      <c r="C212" t="s">
        <v>74</v>
      </c>
      <c r="D212" s="2">
        <v>26696</v>
      </c>
      <c r="F212" t="s">
        <v>131</v>
      </c>
      <c r="G212" t="s">
        <v>132</v>
      </c>
      <c r="I212" s="2">
        <v>46071</v>
      </c>
      <c r="J212" t="s">
        <v>25</v>
      </c>
      <c r="K212" s="6" t="s">
        <v>823</v>
      </c>
      <c r="L212" s="8">
        <f>VLOOKUP(A212,Sheet1!G:I,3,0)</f>
        <v>1</v>
      </c>
      <c r="M212" s="6" t="s">
        <v>846</v>
      </c>
    </row>
    <row r="213" spans="1:13" x14ac:dyDescent="0.25">
      <c r="A213" s="10" t="s">
        <v>616</v>
      </c>
      <c r="B213" s="10" t="s">
        <v>617</v>
      </c>
      <c r="C213" t="s">
        <v>74</v>
      </c>
      <c r="D213" s="2">
        <v>27765</v>
      </c>
      <c r="E213" s="1">
        <v>9752524984</v>
      </c>
      <c r="F213" t="s">
        <v>118</v>
      </c>
      <c r="G213" t="s">
        <v>384</v>
      </c>
      <c r="I213" s="2">
        <v>46078</v>
      </c>
      <c r="J213" t="s">
        <v>25</v>
      </c>
      <c r="K213" s="6" t="s">
        <v>823</v>
      </c>
      <c r="L213" s="8">
        <f>VLOOKUP(A213,Sheet1!G:I,3,0)</f>
        <v>1</v>
      </c>
      <c r="M213" s="6" t="s">
        <v>852</v>
      </c>
    </row>
    <row r="214" spans="1:13" x14ac:dyDescent="0.25">
      <c r="A214" s="10" t="s">
        <v>618</v>
      </c>
      <c r="B214" s="10" t="s">
        <v>619</v>
      </c>
      <c r="C214" t="s">
        <v>21</v>
      </c>
      <c r="D214" s="2">
        <v>27632</v>
      </c>
      <c r="E214" s="1">
        <v>9068641241</v>
      </c>
      <c r="F214" t="s">
        <v>32</v>
      </c>
      <c r="G214" t="s">
        <v>455</v>
      </c>
      <c r="I214" s="2">
        <v>46083</v>
      </c>
      <c r="J214" t="s">
        <v>25</v>
      </c>
      <c r="K214" s="6" t="s">
        <v>822</v>
      </c>
      <c r="L214" s="8">
        <f>VLOOKUP(A214,Sheet1!G:I,3,0)</f>
        <v>1</v>
      </c>
      <c r="M214" s="6" t="s">
        <v>838</v>
      </c>
    </row>
    <row r="215" spans="1:13" x14ac:dyDescent="0.25">
      <c r="A215" s="10" t="s">
        <v>620</v>
      </c>
      <c r="B215" s="10" t="s">
        <v>621</v>
      </c>
      <c r="C215" t="s">
        <v>21</v>
      </c>
      <c r="D215" s="2">
        <v>32997</v>
      </c>
      <c r="F215" t="s">
        <v>32</v>
      </c>
      <c r="G215" t="s">
        <v>437</v>
      </c>
      <c r="I215" s="2">
        <v>46083</v>
      </c>
      <c r="J215" t="s">
        <v>25</v>
      </c>
      <c r="K215" s="6" t="s">
        <v>822</v>
      </c>
      <c r="L215" s="8">
        <f>VLOOKUP(A215,Sheet1!G:I,3,0)</f>
        <v>1</v>
      </c>
      <c r="M215" s="6" t="s">
        <v>838</v>
      </c>
    </row>
    <row r="216" spans="1:13" x14ac:dyDescent="0.25">
      <c r="A216" s="10" t="s">
        <v>622</v>
      </c>
      <c r="B216" s="10" t="s">
        <v>623</v>
      </c>
      <c r="C216" t="s">
        <v>21</v>
      </c>
      <c r="D216" s="2">
        <v>32595</v>
      </c>
      <c r="E216" s="1">
        <v>9916637609</v>
      </c>
      <c r="F216" t="s">
        <v>252</v>
      </c>
      <c r="G216" t="s">
        <v>624</v>
      </c>
      <c r="I216" s="2">
        <v>46083</v>
      </c>
      <c r="J216" t="s">
        <v>25</v>
      </c>
      <c r="K216" s="6" t="s">
        <v>823</v>
      </c>
      <c r="L216" s="8">
        <f>VLOOKUP(A216,Sheet1!G:I,3,0)</f>
        <v>1</v>
      </c>
      <c r="M216" s="6" t="s">
        <v>840</v>
      </c>
    </row>
    <row r="217" spans="1:13" x14ac:dyDescent="0.25">
      <c r="A217" s="10" t="s">
        <v>625</v>
      </c>
      <c r="B217" s="10" t="s">
        <v>626</v>
      </c>
      <c r="C217" t="s">
        <v>21</v>
      </c>
      <c r="D217" s="2">
        <v>29071</v>
      </c>
      <c r="F217" t="s">
        <v>252</v>
      </c>
      <c r="G217" t="s">
        <v>627</v>
      </c>
      <c r="I217" s="2">
        <v>46083</v>
      </c>
      <c r="J217" t="s">
        <v>25</v>
      </c>
      <c r="K217" s="6" t="s">
        <v>823</v>
      </c>
      <c r="L217" s="8">
        <f>VLOOKUP(A217,Sheet1!G:I,3,0)</f>
        <v>1</v>
      </c>
      <c r="M217" s="6" t="s">
        <v>858</v>
      </c>
    </row>
    <row r="218" spans="1:13" x14ac:dyDescent="0.25">
      <c r="A218" s="10" t="s">
        <v>628</v>
      </c>
      <c r="B218" s="10" t="s">
        <v>629</v>
      </c>
      <c r="C218" t="s">
        <v>21</v>
      </c>
      <c r="D218" s="2">
        <v>28474</v>
      </c>
      <c r="F218" t="s">
        <v>252</v>
      </c>
      <c r="G218" t="s">
        <v>627</v>
      </c>
      <c r="I218" s="2">
        <v>46083</v>
      </c>
      <c r="J218" t="s">
        <v>25</v>
      </c>
      <c r="K218" s="6" t="s">
        <v>823</v>
      </c>
      <c r="L218" s="8">
        <f>VLOOKUP(A218,Sheet1!G:I,3,0)</f>
        <v>1</v>
      </c>
      <c r="M218" s="6" t="s">
        <v>858</v>
      </c>
    </row>
    <row r="219" spans="1:13" x14ac:dyDescent="0.25">
      <c r="A219" s="10" t="s">
        <v>630</v>
      </c>
      <c r="B219" s="10" t="s">
        <v>631</v>
      </c>
      <c r="C219" t="s">
        <v>21</v>
      </c>
      <c r="D219" s="2">
        <v>30807</v>
      </c>
      <c r="E219" s="1">
        <v>9930872189</v>
      </c>
      <c r="F219" t="s">
        <v>252</v>
      </c>
      <c r="G219" t="s">
        <v>624</v>
      </c>
      <c r="I219" s="2">
        <v>46083</v>
      </c>
      <c r="J219" t="s">
        <v>25</v>
      </c>
      <c r="K219" s="6" t="s">
        <v>823</v>
      </c>
      <c r="L219" s="8">
        <f>VLOOKUP(A219,Sheet1!G:I,3,0)</f>
        <v>1</v>
      </c>
      <c r="M219" s="6" t="s">
        <v>858</v>
      </c>
    </row>
    <row r="220" spans="1:13" x14ac:dyDescent="0.25">
      <c r="A220" s="10" t="s">
        <v>632</v>
      </c>
      <c r="B220" s="10" t="s">
        <v>633</v>
      </c>
      <c r="C220" t="s">
        <v>21</v>
      </c>
      <c r="D220" s="2">
        <v>25892</v>
      </c>
      <c r="F220" t="s">
        <v>252</v>
      </c>
      <c r="G220" t="s">
        <v>634</v>
      </c>
      <c r="I220" s="2">
        <v>46083</v>
      </c>
      <c r="J220" t="s">
        <v>25</v>
      </c>
      <c r="K220" s="6" t="s">
        <v>823</v>
      </c>
      <c r="L220" s="8">
        <f>VLOOKUP(A220,Sheet1!G:I,3,0)</f>
        <v>1</v>
      </c>
      <c r="M220" s="6" t="s">
        <v>858</v>
      </c>
    </row>
    <row r="221" spans="1:13" x14ac:dyDescent="0.25">
      <c r="A221" s="10" t="s">
        <v>635</v>
      </c>
      <c r="B221" s="10" t="s">
        <v>636</v>
      </c>
      <c r="C221" t="s">
        <v>21</v>
      </c>
      <c r="D221" s="2">
        <v>28579</v>
      </c>
      <c r="E221" s="1">
        <v>9360574829</v>
      </c>
      <c r="F221" t="s">
        <v>118</v>
      </c>
      <c r="G221" t="s">
        <v>637</v>
      </c>
      <c r="I221" s="2">
        <v>46083</v>
      </c>
      <c r="J221" t="s">
        <v>25</v>
      </c>
      <c r="K221" s="6" t="s">
        <v>823</v>
      </c>
      <c r="L221" s="8">
        <f>VLOOKUP(A221,Sheet1!G:I,3,0)</f>
        <v>2</v>
      </c>
      <c r="M221" s="6" t="s">
        <v>838</v>
      </c>
    </row>
    <row r="222" spans="1:13" x14ac:dyDescent="0.25">
      <c r="A222" s="10" t="s">
        <v>638</v>
      </c>
      <c r="B222" s="10" t="s">
        <v>639</v>
      </c>
      <c r="C222" t="s">
        <v>21</v>
      </c>
      <c r="D222" s="2">
        <v>26656</v>
      </c>
      <c r="E222" s="1">
        <v>9360574829</v>
      </c>
      <c r="F222" t="s">
        <v>118</v>
      </c>
      <c r="G222" t="s">
        <v>637</v>
      </c>
      <c r="I222" s="2">
        <v>46083</v>
      </c>
      <c r="J222" t="s">
        <v>25</v>
      </c>
      <c r="K222" s="6" t="s">
        <v>823</v>
      </c>
      <c r="L222" s="8">
        <f>VLOOKUP(A222,Sheet1!G:I,3,0)</f>
        <v>2</v>
      </c>
      <c r="M222" s="6" t="s">
        <v>838</v>
      </c>
    </row>
    <row r="223" spans="1:13" x14ac:dyDescent="0.25">
      <c r="A223" s="10" t="s">
        <v>640</v>
      </c>
      <c r="B223" s="10" t="s">
        <v>641</v>
      </c>
      <c r="C223" t="s">
        <v>21</v>
      </c>
      <c r="D223" s="2">
        <v>29871</v>
      </c>
      <c r="E223" s="1">
        <v>9666586301</v>
      </c>
      <c r="F223" t="s">
        <v>32</v>
      </c>
      <c r="G223" t="s">
        <v>437</v>
      </c>
      <c r="I223" s="2">
        <v>46083</v>
      </c>
      <c r="J223" t="s">
        <v>25</v>
      </c>
      <c r="K223" s="6" t="s">
        <v>822</v>
      </c>
      <c r="L223" s="8">
        <f>VLOOKUP(A223,Sheet1!G:I,3,0)</f>
        <v>1</v>
      </c>
      <c r="M223" s="6" t="s">
        <v>842</v>
      </c>
    </row>
    <row r="224" spans="1:13" x14ac:dyDescent="0.25">
      <c r="A224" s="10" t="s">
        <v>642</v>
      </c>
      <c r="B224" s="10" t="s">
        <v>643</v>
      </c>
      <c r="C224" t="s">
        <v>21</v>
      </c>
      <c r="D224" s="2">
        <v>31066</v>
      </c>
      <c r="E224" s="1">
        <v>9552939447</v>
      </c>
      <c r="F224" t="s">
        <v>644</v>
      </c>
      <c r="G224" t="s">
        <v>645</v>
      </c>
      <c r="I224" s="2">
        <v>46083</v>
      </c>
      <c r="J224" t="s">
        <v>25</v>
      </c>
      <c r="K224" s="6" t="s">
        <v>823</v>
      </c>
      <c r="L224" s="8">
        <f>VLOOKUP(A224,Sheet1!G:I,3,0)</f>
        <v>1</v>
      </c>
      <c r="M224" s="6" t="s">
        <v>846</v>
      </c>
    </row>
    <row r="225" spans="1:13" x14ac:dyDescent="0.25">
      <c r="A225" s="10" t="s">
        <v>646</v>
      </c>
      <c r="B225" s="10" t="s">
        <v>647</v>
      </c>
      <c r="C225" t="s">
        <v>21</v>
      </c>
      <c r="D225" s="2">
        <v>31609</v>
      </c>
      <c r="F225" t="s">
        <v>131</v>
      </c>
      <c r="G225" t="s">
        <v>648</v>
      </c>
      <c r="I225" s="2">
        <v>46083</v>
      </c>
      <c r="J225" t="s">
        <v>25</v>
      </c>
      <c r="K225" s="6" t="s">
        <v>823</v>
      </c>
      <c r="L225" s="8">
        <f>VLOOKUP(A225,Sheet1!G:I,3,0)</f>
        <v>1</v>
      </c>
      <c r="M225" s="6" t="s">
        <v>842</v>
      </c>
    </row>
    <row r="226" spans="1:13" x14ac:dyDescent="0.25">
      <c r="A226" s="10" t="s">
        <v>649</v>
      </c>
      <c r="B226" s="10" t="s">
        <v>650</v>
      </c>
      <c r="C226" t="s">
        <v>21</v>
      </c>
      <c r="D226" s="2">
        <v>29052</v>
      </c>
      <c r="F226" t="s">
        <v>131</v>
      </c>
      <c r="G226" t="s">
        <v>648</v>
      </c>
      <c r="I226" s="2">
        <v>46083</v>
      </c>
      <c r="J226" t="s">
        <v>25</v>
      </c>
      <c r="K226" s="6" t="s">
        <v>823</v>
      </c>
      <c r="L226" s="8">
        <f>VLOOKUP(A226,Sheet1!G:I,3,0)</f>
        <v>1</v>
      </c>
      <c r="M226" s="6" t="s">
        <v>846</v>
      </c>
    </row>
    <row r="227" spans="1:13" x14ac:dyDescent="0.25">
      <c r="A227" s="10" t="s">
        <v>651</v>
      </c>
      <c r="B227" s="10" t="s">
        <v>652</v>
      </c>
      <c r="C227" t="s">
        <v>21</v>
      </c>
      <c r="D227" s="2">
        <v>25500</v>
      </c>
      <c r="E227" s="1">
        <v>9393008198</v>
      </c>
      <c r="F227" t="s">
        <v>131</v>
      </c>
      <c r="G227" t="s">
        <v>653</v>
      </c>
      <c r="I227" s="2">
        <v>46083</v>
      </c>
      <c r="J227" t="s">
        <v>25</v>
      </c>
      <c r="K227" s="6" t="s">
        <v>823</v>
      </c>
      <c r="L227" s="8">
        <f>VLOOKUP(A227,Sheet1!G:I,3,0)</f>
        <v>1</v>
      </c>
      <c r="M227" s="6" t="s">
        <v>846</v>
      </c>
    </row>
    <row r="228" spans="1:13" x14ac:dyDescent="0.25">
      <c r="A228" s="10" t="s">
        <v>654</v>
      </c>
      <c r="B228" s="10" t="s">
        <v>655</v>
      </c>
      <c r="C228" t="s">
        <v>21</v>
      </c>
      <c r="D228" s="2">
        <v>31204</v>
      </c>
      <c r="E228" s="1">
        <v>9942841493</v>
      </c>
      <c r="F228" t="s">
        <v>656</v>
      </c>
      <c r="G228" t="s">
        <v>657</v>
      </c>
      <c r="I228" s="2">
        <v>46083</v>
      </c>
      <c r="J228" t="s">
        <v>25</v>
      </c>
      <c r="K228" s="6" t="s">
        <v>822</v>
      </c>
      <c r="L228" s="8">
        <f>VLOOKUP(A228,Sheet1!G:I,3,0)</f>
        <v>1</v>
      </c>
      <c r="M228" s="6" t="s">
        <v>846</v>
      </c>
    </row>
    <row r="229" spans="1:13" x14ac:dyDescent="0.25">
      <c r="A229" s="10" t="s">
        <v>658</v>
      </c>
      <c r="B229" s="10" t="s">
        <v>659</v>
      </c>
      <c r="C229" t="s">
        <v>74</v>
      </c>
      <c r="D229" s="2">
        <v>25121</v>
      </c>
      <c r="E229" s="1">
        <v>9068641096</v>
      </c>
      <c r="F229" t="s">
        <v>118</v>
      </c>
      <c r="G229" t="s">
        <v>575</v>
      </c>
      <c r="I229" s="2">
        <v>46083</v>
      </c>
      <c r="J229" t="s">
        <v>25</v>
      </c>
      <c r="K229" s="6" t="s">
        <v>823</v>
      </c>
      <c r="L229" s="8">
        <f>VLOOKUP(A229,Sheet1!G:I,3,0)</f>
        <v>1</v>
      </c>
      <c r="M229" s="6" t="s">
        <v>846</v>
      </c>
    </row>
    <row r="230" spans="1:13" x14ac:dyDescent="0.25">
      <c r="A230" s="10" t="s">
        <v>660</v>
      </c>
      <c r="B230" s="10" t="s">
        <v>661</v>
      </c>
      <c r="C230" t="s">
        <v>74</v>
      </c>
      <c r="D230" s="2">
        <v>31446</v>
      </c>
      <c r="E230" s="1">
        <v>9354572869</v>
      </c>
      <c r="F230" t="s">
        <v>96</v>
      </c>
      <c r="G230" t="s">
        <v>662</v>
      </c>
      <c r="I230" s="2">
        <v>46083</v>
      </c>
      <c r="J230" t="s">
        <v>25</v>
      </c>
      <c r="K230" s="6" t="s">
        <v>823</v>
      </c>
      <c r="L230" s="8">
        <f>VLOOKUP(A230,Sheet1!G:I,3,0)</f>
        <v>1</v>
      </c>
      <c r="M230" s="6" t="s">
        <v>838</v>
      </c>
    </row>
    <row r="231" spans="1:13" x14ac:dyDescent="0.25">
      <c r="A231" s="10" t="s">
        <v>663</v>
      </c>
      <c r="B231" s="10" t="s">
        <v>664</v>
      </c>
      <c r="C231" t="s">
        <v>21</v>
      </c>
      <c r="D231" s="2">
        <v>36317</v>
      </c>
      <c r="E231" s="1">
        <v>9914169684</v>
      </c>
      <c r="F231" t="s">
        <v>516</v>
      </c>
      <c r="G231" t="s">
        <v>517</v>
      </c>
      <c r="I231" s="2">
        <v>46083</v>
      </c>
      <c r="J231" t="s">
        <v>25</v>
      </c>
      <c r="K231" s="6" t="s">
        <v>822</v>
      </c>
      <c r="L231" s="8">
        <f>VLOOKUP(A231,Sheet1!G:I,3,0)</f>
        <v>1</v>
      </c>
      <c r="M231" s="6" t="s">
        <v>846</v>
      </c>
    </row>
    <row r="232" spans="1:13" x14ac:dyDescent="0.25">
      <c r="A232" s="10" t="s">
        <v>665</v>
      </c>
      <c r="B232" s="10" t="s">
        <v>666</v>
      </c>
      <c r="C232" t="s">
        <v>21</v>
      </c>
      <c r="D232" s="2">
        <v>29796</v>
      </c>
      <c r="F232" t="s">
        <v>111</v>
      </c>
      <c r="G232" t="s">
        <v>667</v>
      </c>
      <c r="I232" s="2">
        <v>46083</v>
      </c>
      <c r="J232" t="s">
        <v>25</v>
      </c>
      <c r="K232" s="6" t="s">
        <v>823</v>
      </c>
      <c r="L232" s="8">
        <f>VLOOKUP(A232,Sheet1!G:I,3,0)</f>
        <v>1</v>
      </c>
      <c r="M232" s="6" t="s">
        <v>846</v>
      </c>
    </row>
    <row r="233" spans="1:13" x14ac:dyDescent="0.25">
      <c r="A233" s="10" t="s">
        <v>668</v>
      </c>
      <c r="B233" s="10" t="s">
        <v>669</v>
      </c>
      <c r="C233" t="s">
        <v>21</v>
      </c>
      <c r="D233" s="2">
        <v>33972</v>
      </c>
      <c r="E233" s="1">
        <v>9774531431</v>
      </c>
      <c r="F233" t="s">
        <v>562</v>
      </c>
      <c r="G233" t="s">
        <v>570</v>
      </c>
      <c r="H233" t="s">
        <v>670</v>
      </c>
      <c r="I233" s="2">
        <v>46093</v>
      </c>
      <c r="J233" t="s">
        <v>25</v>
      </c>
      <c r="K233" s="6" t="s">
        <v>823</v>
      </c>
      <c r="L233" s="8">
        <f>VLOOKUP(A233,Sheet1!G:I,3,0)</f>
        <v>1</v>
      </c>
      <c r="M233" s="6" t="s">
        <v>846</v>
      </c>
    </row>
    <row r="234" spans="1:13" x14ac:dyDescent="0.25">
      <c r="A234" s="10" t="s">
        <v>671</v>
      </c>
      <c r="B234" s="10" t="s">
        <v>672</v>
      </c>
      <c r="C234" t="s">
        <v>21</v>
      </c>
      <c r="D234" s="2">
        <v>36724</v>
      </c>
      <c r="E234" s="1">
        <v>9525630093</v>
      </c>
      <c r="F234" t="s">
        <v>32</v>
      </c>
      <c r="G234" t="s">
        <v>437</v>
      </c>
      <c r="I234" s="2">
        <v>46093</v>
      </c>
      <c r="J234" t="s">
        <v>25</v>
      </c>
      <c r="K234" s="6" t="s">
        <v>822</v>
      </c>
      <c r="L234" s="8">
        <f>VLOOKUP(A234,Sheet1!G:I,3,0)</f>
        <v>1</v>
      </c>
      <c r="M234" s="6" t="s">
        <v>838</v>
      </c>
    </row>
    <row r="235" spans="1:13" x14ac:dyDescent="0.25">
      <c r="A235" s="10" t="s">
        <v>673</v>
      </c>
      <c r="B235" s="10" t="s">
        <v>674</v>
      </c>
      <c r="C235" t="s">
        <v>21</v>
      </c>
      <c r="D235" s="2">
        <v>19354</v>
      </c>
      <c r="F235" t="s">
        <v>516</v>
      </c>
      <c r="G235" t="s">
        <v>529</v>
      </c>
      <c r="H235" t="s">
        <v>41</v>
      </c>
      <c r="I235" s="2">
        <v>46093</v>
      </c>
      <c r="J235" t="s">
        <v>25</v>
      </c>
      <c r="K235" s="6" t="s">
        <v>822</v>
      </c>
      <c r="L235" s="8">
        <f>VLOOKUP(A235,Sheet1!G:I,3,0)</f>
        <v>1</v>
      </c>
      <c r="M235" s="6" t="s">
        <v>838</v>
      </c>
    </row>
    <row r="236" spans="1:13" x14ac:dyDescent="0.25">
      <c r="A236" s="10" t="s">
        <v>675</v>
      </c>
      <c r="B236" s="10" t="s">
        <v>676</v>
      </c>
      <c r="C236" t="s">
        <v>21</v>
      </c>
      <c r="D236" s="2">
        <v>25834</v>
      </c>
      <c r="F236" t="s">
        <v>516</v>
      </c>
      <c r="G236" t="s">
        <v>526</v>
      </c>
      <c r="H236" t="s">
        <v>677</v>
      </c>
      <c r="I236" s="2">
        <v>46093</v>
      </c>
      <c r="J236" t="s">
        <v>25</v>
      </c>
      <c r="K236" s="6" t="s">
        <v>822</v>
      </c>
      <c r="L236" s="8">
        <f>VLOOKUP(A236,Sheet1!G:I,3,0)</f>
        <v>1</v>
      </c>
      <c r="M236" s="6" t="s">
        <v>838</v>
      </c>
    </row>
    <row r="237" spans="1:13" x14ac:dyDescent="0.25">
      <c r="A237" s="10" t="s">
        <v>678</v>
      </c>
      <c r="B237" s="10" t="s">
        <v>679</v>
      </c>
      <c r="C237" t="s">
        <v>21</v>
      </c>
      <c r="D237" s="2">
        <v>33040</v>
      </c>
      <c r="F237" t="s">
        <v>516</v>
      </c>
      <c r="G237" t="s">
        <v>584</v>
      </c>
      <c r="H237" t="s">
        <v>680</v>
      </c>
      <c r="I237" s="2">
        <v>46093</v>
      </c>
      <c r="J237" t="s">
        <v>25</v>
      </c>
      <c r="K237" s="6" t="s">
        <v>822</v>
      </c>
      <c r="L237" s="8">
        <f>VLOOKUP(A237,Sheet1!G:I,3,0)</f>
        <v>1</v>
      </c>
      <c r="M237" s="6" t="s">
        <v>838</v>
      </c>
    </row>
    <row r="238" spans="1:13" x14ac:dyDescent="0.25">
      <c r="A238" s="10" t="s">
        <v>681</v>
      </c>
      <c r="B238" s="10" t="s">
        <v>682</v>
      </c>
      <c r="C238" t="s">
        <v>21</v>
      </c>
      <c r="D238" s="2">
        <v>20970</v>
      </c>
      <c r="E238" s="1">
        <v>9929620768</v>
      </c>
      <c r="F238" t="s">
        <v>656</v>
      </c>
      <c r="G238" t="s">
        <v>683</v>
      </c>
      <c r="I238" s="2">
        <v>46093</v>
      </c>
      <c r="J238" t="s">
        <v>25</v>
      </c>
      <c r="K238" s="6" t="s">
        <v>822</v>
      </c>
      <c r="L238" s="8">
        <f>VLOOKUP(A238,Sheet1!G:I,3,0)</f>
        <v>1</v>
      </c>
      <c r="M238" s="6" t="s">
        <v>858</v>
      </c>
    </row>
    <row r="239" spans="1:13" x14ac:dyDescent="0.25">
      <c r="A239" s="10" t="s">
        <v>684</v>
      </c>
      <c r="B239" s="10" t="s">
        <v>685</v>
      </c>
      <c r="C239" t="s">
        <v>21</v>
      </c>
      <c r="D239" s="2">
        <v>32031</v>
      </c>
      <c r="E239" s="1">
        <v>9755638157</v>
      </c>
      <c r="F239" t="s">
        <v>656</v>
      </c>
      <c r="G239" t="s">
        <v>657</v>
      </c>
      <c r="I239" s="2">
        <v>46093</v>
      </c>
      <c r="J239" t="s">
        <v>25</v>
      </c>
      <c r="K239" s="6" t="s">
        <v>822</v>
      </c>
      <c r="L239" s="8">
        <f>VLOOKUP(A239,Sheet1!G:I,3,0)</f>
        <v>1</v>
      </c>
      <c r="M239" s="6" t="s">
        <v>858</v>
      </c>
    </row>
    <row r="240" spans="1:13" x14ac:dyDescent="0.25">
      <c r="A240" s="10" t="s">
        <v>686</v>
      </c>
      <c r="B240" s="10" t="s">
        <v>687</v>
      </c>
      <c r="C240" t="s">
        <v>21</v>
      </c>
      <c r="D240" s="2">
        <v>26446</v>
      </c>
      <c r="F240" t="s">
        <v>656</v>
      </c>
      <c r="G240" t="s">
        <v>657</v>
      </c>
      <c r="I240" s="2">
        <v>46093</v>
      </c>
      <c r="J240" t="s">
        <v>25</v>
      </c>
      <c r="K240" s="6" t="s">
        <v>822</v>
      </c>
      <c r="L240" s="8">
        <f>VLOOKUP(A240,Sheet1!G:I,3,0)</f>
        <v>1</v>
      </c>
      <c r="M240" s="6" t="s">
        <v>838</v>
      </c>
    </row>
    <row r="241" spans="1:13" x14ac:dyDescent="0.25">
      <c r="A241" s="10" t="s">
        <v>688</v>
      </c>
      <c r="B241" s="10" t="s">
        <v>689</v>
      </c>
      <c r="C241" t="s">
        <v>21</v>
      </c>
      <c r="D241" s="2">
        <v>22962</v>
      </c>
      <c r="F241" t="s">
        <v>593</v>
      </c>
      <c r="G241" t="s">
        <v>690</v>
      </c>
      <c r="H241" t="s">
        <v>677</v>
      </c>
      <c r="I241" s="2">
        <v>46093</v>
      </c>
      <c r="J241" t="s">
        <v>25</v>
      </c>
      <c r="K241" s="6" t="s">
        <v>822</v>
      </c>
      <c r="L241" s="8">
        <f>VLOOKUP(A241,Sheet1!G:I,3,0)</f>
        <v>1</v>
      </c>
      <c r="M241" s="6" t="s">
        <v>838</v>
      </c>
    </row>
    <row r="242" spans="1:13" x14ac:dyDescent="0.25">
      <c r="A242" s="10" t="s">
        <v>691</v>
      </c>
      <c r="B242" s="10" t="s">
        <v>692</v>
      </c>
      <c r="C242" t="s">
        <v>21</v>
      </c>
      <c r="D242" s="2">
        <v>34927</v>
      </c>
      <c r="F242" t="s">
        <v>535</v>
      </c>
      <c r="G242" t="s">
        <v>539</v>
      </c>
      <c r="H242" t="s">
        <v>693</v>
      </c>
      <c r="I242" s="2">
        <v>46093</v>
      </c>
      <c r="J242" t="s">
        <v>25</v>
      </c>
      <c r="K242" s="6" t="s">
        <v>823</v>
      </c>
      <c r="L242" s="8">
        <f>VLOOKUP(A242,Sheet1!G:I,3,0)</f>
        <v>1</v>
      </c>
      <c r="M242" s="6" t="s">
        <v>838</v>
      </c>
    </row>
    <row r="243" spans="1:13" x14ac:dyDescent="0.25">
      <c r="A243" s="10" t="s">
        <v>694</v>
      </c>
      <c r="B243" s="10" t="s">
        <v>695</v>
      </c>
      <c r="C243" t="s">
        <v>21</v>
      </c>
      <c r="D243" s="2">
        <v>30363</v>
      </c>
      <c r="E243" s="1">
        <v>9050467909</v>
      </c>
      <c r="F243" t="s">
        <v>535</v>
      </c>
      <c r="G243" t="s">
        <v>546</v>
      </c>
      <c r="I243" s="2">
        <v>46093</v>
      </c>
      <c r="J243" t="s">
        <v>25</v>
      </c>
      <c r="K243" s="6" t="s">
        <v>823</v>
      </c>
      <c r="L243" s="8">
        <f>VLOOKUP(A243,Sheet1!G:I,3,0)</f>
        <v>1</v>
      </c>
      <c r="M243" s="6" t="s">
        <v>838</v>
      </c>
    </row>
    <row r="244" spans="1:13" x14ac:dyDescent="0.25">
      <c r="A244" s="10" t="s">
        <v>696</v>
      </c>
      <c r="B244" s="10" t="s">
        <v>697</v>
      </c>
      <c r="C244" t="s">
        <v>21</v>
      </c>
      <c r="D244" s="2">
        <v>23568</v>
      </c>
      <c r="E244" s="1">
        <v>9545394994</v>
      </c>
      <c r="F244" t="s">
        <v>535</v>
      </c>
      <c r="G244" t="s">
        <v>698</v>
      </c>
      <c r="H244" t="s">
        <v>103</v>
      </c>
      <c r="I244" s="2">
        <v>46093</v>
      </c>
      <c r="J244" t="s">
        <v>25</v>
      </c>
      <c r="K244" s="6" t="s">
        <v>823</v>
      </c>
      <c r="L244" s="8">
        <f>VLOOKUP(A244,Sheet1!G:I,3,0)</f>
        <v>1</v>
      </c>
      <c r="M244" s="6" t="s">
        <v>838</v>
      </c>
    </row>
    <row r="245" spans="1:13" x14ac:dyDescent="0.25">
      <c r="A245" s="10" t="s">
        <v>699</v>
      </c>
      <c r="B245" s="10" t="s">
        <v>700</v>
      </c>
      <c r="C245" t="s">
        <v>21</v>
      </c>
      <c r="D245" s="2">
        <v>32643</v>
      </c>
      <c r="E245" s="1">
        <v>9750027088</v>
      </c>
      <c r="F245" t="s">
        <v>535</v>
      </c>
      <c r="G245" t="s">
        <v>536</v>
      </c>
      <c r="H245" t="s">
        <v>701</v>
      </c>
      <c r="I245" s="2">
        <v>46093</v>
      </c>
      <c r="J245" t="s">
        <v>25</v>
      </c>
      <c r="K245" s="6" t="s">
        <v>823</v>
      </c>
      <c r="L245" s="8">
        <f>VLOOKUP(A245,Sheet1!G:I,3,0)</f>
        <v>1</v>
      </c>
      <c r="M245" s="6" t="s">
        <v>846</v>
      </c>
    </row>
    <row r="246" spans="1:13" x14ac:dyDescent="0.25">
      <c r="A246" s="10" t="s">
        <v>702</v>
      </c>
      <c r="B246" s="10" t="s">
        <v>703</v>
      </c>
      <c r="C246" t="s">
        <v>21</v>
      </c>
      <c r="D246" s="2">
        <v>21072</v>
      </c>
      <c r="F246" t="s">
        <v>118</v>
      </c>
      <c r="G246" t="s">
        <v>704</v>
      </c>
      <c r="H246" t="s">
        <v>103</v>
      </c>
      <c r="I246" s="2">
        <v>46093</v>
      </c>
      <c r="J246" t="s">
        <v>25</v>
      </c>
      <c r="K246" s="6" t="s">
        <v>823</v>
      </c>
      <c r="L246" s="8">
        <f>VLOOKUP(A246,Sheet1!G:I,3,0)</f>
        <v>1</v>
      </c>
      <c r="M246" s="6" t="s">
        <v>858</v>
      </c>
    </row>
    <row r="247" spans="1:13" x14ac:dyDescent="0.25">
      <c r="A247" s="10" t="s">
        <v>705</v>
      </c>
      <c r="B247" s="10" t="s">
        <v>706</v>
      </c>
      <c r="C247" t="s">
        <v>21</v>
      </c>
      <c r="D247" s="2">
        <v>19905</v>
      </c>
      <c r="E247" s="1">
        <v>9543451287</v>
      </c>
      <c r="F247" t="s">
        <v>96</v>
      </c>
      <c r="G247" t="s">
        <v>707</v>
      </c>
      <c r="H247" t="s">
        <v>708</v>
      </c>
      <c r="I247" s="2">
        <v>46093</v>
      </c>
      <c r="J247" t="s">
        <v>25</v>
      </c>
      <c r="K247" s="6" t="s">
        <v>823</v>
      </c>
      <c r="L247" s="8">
        <f>VLOOKUP(A247,Sheet1!G:I,3,0)</f>
        <v>1</v>
      </c>
      <c r="M247" s="6" t="s">
        <v>858</v>
      </c>
    </row>
    <row r="248" spans="1:13" x14ac:dyDescent="0.25">
      <c r="A248" s="10" t="s">
        <v>709</v>
      </c>
      <c r="B248" s="10" t="s">
        <v>710</v>
      </c>
      <c r="C248" t="s">
        <v>21</v>
      </c>
      <c r="D248" s="2">
        <v>33644</v>
      </c>
      <c r="E248" s="1">
        <v>9917333589</v>
      </c>
      <c r="F248" t="s">
        <v>535</v>
      </c>
      <c r="G248" t="s">
        <v>539</v>
      </c>
      <c r="H248" t="s">
        <v>501</v>
      </c>
      <c r="I248" s="2">
        <v>46093</v>
      </c>
      <c r="J248" t="s">
        <v>25</v>
      </c>
      <c r="K248" s="6" t="s">
        <v>823</v>
      </c>
      <c r="L248" s="8">
        <f>VLOOKUP(A248,Sheet1!G:I,3,0)</f>
        <v>1</v>
      </c>
      <c r="M248" s="6" t="s">
        <v>838</v>
      </c>
    </row>
    <row r="249" spans="1:13" x14ac:dyDescent="0.25">
      <c r="A249" s="10" t="s">
        <v>711</v>
      </c>
      <c r="B249" s="10" t="s">
        <v>712</v>
      </c>
      <c r="C249" t="s">
        <v>21</v>
      </c>
      <c r="D249" s="2">
        <v>31866</v>
      </c>
      <c r="F249" t="s">
        <v>131</v>
      </c>
      <c r="G249" t="s">
        <v>713</v>
      </c>
      <c r="H249" t="s">
        <v>428</v>
      </c>
      <c r="I249" s="2">
        <v>46094</v>
      </c>
      <c r="J249" t="s">
        <v>25</v>
      </c>
      <c r="K249" s="6" t="s">
        <v>823</v>
      </c>
      <c r="L249" s="8">
        <f>VLOOKUP(A249,Sheet1!G:I,3,0)</f>
        <v>1</v>
      </c>
      <c r="M249" s="6" t="s">
        <v>842</v>
      </c>
    </row>
    <row r="250" spans="1:13" x14ac:dyDescent="0.25">
      <c r="A250" s="10" t="s">
        <v>714</v>
      </c>
      <c r="B250" s="10" t="s">
        <v>715</v>
      </c>
      <c r="C250" t="s">
        <v>74</v>
      </c>
      <c r="D250" s="2">
        <v>28933</v>
      </c>
      <c r="E250" s="1">
        <v>9068678369</v>
      </c>
      <c r="F250" t="s">
        <v>131</v>
      </c>
      <c r="G250" t="s">
        <v>132</v>
      </c>
      <c r="I250" s="2">
        <v>46100</v>
      </c>
      <c r="J250" t="s">
        <v>25</v>
      </c>
      <c r="K250" s="6" t="s">
        <v>823</v>
      </c>
      <c r="L250" s="8">
        <f>VLOOKUP(A250,Sheet1!G:I,3,0)</f>
        <v>1</v>
      </c>
      <c r="M250" s="6" t="s">
        <v>856</v>
      </c>
    </row>
    <row r="251" spans="1:13" x14ac:dyDescent="0.25">
      <c r="A251" s="10" t="s">
        <v>716</v>
      </c>
      <c r="B251" s="10" t="s">
        <v>717</v>
      </c>
      <c r="C251" t="s">
        <v>74</v>
      </c>
      <c r="D251" s="2">
        <v>36610</v>
      </c>
      <c r="E251" s="1">
        <v>9764897422</v>
      </c>
      <c r="F251" t="s">
        <v>718</v>
      </c>
      <c r="G251" t="s">
        <v>719</v>
      </c>
      <c r="H251" t="s">
        <v>720</v>
      </c>
      <c r="I251" s="2">
        <v>46106</v>
      </c>
      <c r="J251" t="s">
        <v>25</v>
      </c>
      <c r="K251" s="6" t="s">
        <v>822</v>
      </c>
      <c r="L251" s="8">
        <f>VLOOKUP(A251,Sheet1!G:I,3,0)</f>
        <v>1</v>
      </c>
      <c r="M251" s="6" t="s">
        <v>838</v>
      </c>
    </row>
    <row r="252" spans="1:13" x14ac:dyDescent="0.25">
      <c r="A252" s="10" t="s">
        <v>721</v>
      </c>
      <c r="B252" s="10" t="s">
        <v>722</v>
      </c>
      <c r="C252" t="s">
        <v>21</v>
      </c>
      <c r="D252" s="2">
        <v>33974</v>
      </c>
      <c r="E252" s="1">
        <v>9286957478</v>
      </c>
      <c r="F252" t="s">
        <v>353</v>
      </c>
      <c r="G252" t="s">
        <v>723</v>
      </c>
      <c r="H252" t="s">
        <v>724</v>
      </c>
      <c r="I252" s="2">
        <v>46118</v>
      </c>
      <c r="J252" t="s">
        <v>25</v>
      </c>
      <c r="K252" s="6" t="s">
        <v>822</v>
      </c>
      <c r="L252" s="8">
        <f>VLOOKUP(A252,Sheet1!G:I,3,0)</f>
        <v>1</v>
      </c>
      <c r="M252" s="6" t="s">
        <v>842</v>
      </c>
    </row>
    <row r="253" spans="1:13" x14ac:dyDescent="0.25">
      <c r="A253" s="10" t="s">
        <v>725</v>
      </c>
      <c r="B253" s="10" t="s">
        <v>726</v>
      </c>
      <c r="C253" t="s">
        <v>21</v>
      </c>
      <c r="D253" s="2">
        <v>27790</v>
      </c>
      <c r="F253" t="s">
        <v>111</v>
      </c>
      <c r="G253" t="s">
        <v>727</v>
      </c>
      <c r="H253" t="s">
        <v>46</v>
      </c>
      <c r="I253" s="2">
        <v>46120</v>
      </c>
      <c r="J253" t="s">
        <v>25</v>
      </c>
      <c r="K253" s="6" t="s">
        <v>823</v>
      </c>
      <c r="L253" s="8">
        <f>VLOOKUP(A253,Sheet1!G:I,3,0)</f>
        <v>1</v>
      </c>
      <c r="M253" s="6" t="s">
        <v>838</v>
      </c>
    </row>
    <row r="254" spans="1:13" x14ac:dyDescent="0.25">
      <c r="A254" s="10" t="s">
        <v>728</v>
      </c>
      <c r="B254" s="10" t="s">
        <v>729</v>
      </c>
      <c r="C254" t="s">
        <v>21</v>
      </c>
      <c r="D254" s="2">
        <v>26757</v>
      </c>
      <c r="F254" t="s">
        <v>535</v>
      </c>
      <c r="G254" t="s">
        <v>730</v>
      </c>
      <c r="H254" t="s">
        <v>249</v>
      </c>
      <c r="I254" s="2">
        <v>46120</v>
      </c>
      <c r="J254" t="s">
        <v>25</v>
      </c>
      <c r="K254" s="6" t="s">
        <v>823</v>
      </c>
      <c r="L254" s="8">
        <f>VLOOKUP(A254,Sheet1!G:I,3,0)</f>
        <v>1</v>
      </c>
      <c r="M254" s="6" t="s">
        <v>858</v>
      </c>
    </row>
    <row r="255" spans="1:13" x14ac:dyDescent="0.25">
      <c r="A255" s="10" t="s">
        <v>731</v>
      </c>
      <c r="B255" s="10" t="s">
        <v>732</v>
      </c>
      <c r="C255" t="s">
        <v>21</v>
      </c>
      <c r="D255" s="2">
        <v>24739</v>
      </c>
      <c r="F255" t="s">
        <v>535</v>
      </c>
      <c r="G255" t="s">
        <v>733</v>
      </c>
      <c r="H255" t="s">
        <v>323</v>
      </c>
      <c r="I255" s="2">
        <v>46120</v>
      </c>
      <c r="J255" t="s">
        <v>25</v>
      </c>
      <c r="K255" s="6" t="s">
        <v>823</v>
      </c>
      <c r="L255" s="8">
        <f>VLOOKUP(A255,Sheet1!G:I,3,0)</f>
        <v>1</v>
      </c>
      <c r="M255" s="6" t="s">
        <v>838</v>
      </c>
    </row>
    <row r="256" spans="1:13" x14ac:dyDescent="0.25">
      <c r="A256" s="10" t="s">
        <v>734</v>
      </c>
      <c r="B256" s="10" t="s">
        <v>735</v>
      </c>
      <c r="C256" t="s">
        <v>21</v>
      </c>
      <c r="D256" s="2">
        <v>27799</v>
      </c>
      <c r="E256" s="1">
        <v>9916018706</v>
      </c>
      <c r="F256" t="s">
        <v>535</v>
      </c>
      <c r="G256" t="s">
        <v>736</v>
      </c>
      <c r="H256" t="s">
        <v>737</v>
      </c>
      <c r="I256" s="2">
        <v>46120</v>
      </c>
      <c r="J256" t="s">
        <v>25</v>
      </c>
      <c r="K256" s="6" t="s">
        <v>823</v>
      </c>
      <c r="L256" s="8">
        <f>VLOOKUP(A256,Sheet1!G:I,3,0)</f>
        <v>1</v>
      </c>
      <c r="M256" s="6" t="s">
        <v>846</v>
      </c>
    </row>
    <row r="257" spans="1:13" x14ac:dyDescent="0.25">
      <c r="A257" s="10" t="s">
        <v>738</v>
      </c>
      <c r="B257" s="10" t="s">
        <v>739</v>
      </c>
      <c r="C257" t="s">
        <v>21</v>
      </c>
      <c r="D257" s="2">
        <v>24270</v>
      </c>
      <c r="E257" s="1">
        <v>9365359501</v>
      </c>
      <c r="F257" t="s">
        <v>562</v>
      </c>
      <c r="G257" t="s">
        <v>740</v>
      </c>
      <c r="H257" t="s">
        <v>741</v>
      </c>
      <c r="I257" s="2">
        <v>46120</v>
      </c>
      <c r="J257" t="s">
        <v>25</v>
      </c>
      <c r="K257" s="6" t="s">
        <v>823</v>
      </c>
      <c r="L257" s="8">
        <f>VLOOKUP(A257,Sheet1!G:I,3,0)</f>
        <v>1</v>
      </c>
      <c r="M257" s="6" t="s">
        <v>858</v>
      </c>
    </row>
    <row r="258" spans="1:13" x14ac:dyDescent="0.25">
      <c r="A258" s="10" t="s">
        <v>742</v>
      </c>
      <c r="B258" s="10" t="s">
        <v>743</v>
      </c>
      <c r="C258" t="s">
        <v>21</v>
      </c>
      <c r="D258" s="2">
        <v>26223</v>
      </c>
      <c r="E258" s="1">
        <v>9653160539</v>
      </c>
      <c r="F258" t="s">
        <v>562</v>
      </c>
      <c r="G258" t="s">
        <v>740</v>
      </c>
      <c r="H258" t="s">
        <v>103</v>
      </c>
      <c r="I258" s="2">
        <v>46120</v>
      </c>
      <c r="J258" t="s">
        <v>25</v>
      </c>
      <c r="K258" s="6" t="s">
        <v>823</v>
      </c>
      <c r="L258" s="8">
        <f>VLOOKUP(A258,Sheet1!G:I,3,0)</f>
        <v>1</v>
      </c>
      <c r="M258" s="6" t="s">
        <v>858</v>
      </c>
    </row>
    <row r="259" spans="1:13" x14ac:dyDescent="0.25">
      <c r="A259" s="10" t="s">
        <v>744</v>
      </c>
      <c r="B259" s="10" t="s">
        <v>745</v>
      </c>
      <c r="C259" t="s">
        <v>21</v>
      </c>
      <c r="D259" s="2">
        <v>30870</v>
      </c>
      <c r="E259" s="1">
        <v>9929150560</v>
      </c>
      <c r="F259" t="s">
        <v>562</v>
      </c>
      <c r="G259" t="s">
        <v>746</v>
      </c>
      <c r="I259" s="2">
        <v>46120</v>
      </c>
      <c r="J259" t="s">
        <v>25</v>
      </c>
      <c r="K259" s="6" t="s">
        <v>823</v>
      </c>
      <c r="L259" s="8">
        <f>VLOOKUP(A259,Sheet1!G:I,3,0)</f>
        <v>1</v>
      </c>
      <c r="M259" s="6" t="s">
        <v>850</v>
      </c>
    </row>
    <row r="260" spans="1:13" x14ac:dyDescent="0.25">
      <c r="A260" s="10" t="s">
        <v>747</v>
      </c>
      <c r="B260" s="10" t="s">
        <v>748</v>
      </c>
      <c r="C260" t="s">
        <v>21</v>
      </c>
      <c r="D260" s="2">
        <v>26596</v>
      </c>
      <c r="E260" s="1">
        <v>9756055804</v>
      </c>
      <c r="F260" t="s">
        <v>562</v>
      </c>
      <c r="G260" t="s">
        <v>746</v>
      </c>
      <c r="I260" s="2">
        <v>46120</v>
      </c>
      <c r="J260" t="s">
        <v>25</v>
      </c>
      <c r="K260" s="6" t="s">
        <v>823</v>
      </c>
      <c r="L260" s="8">
        <f>VLOOKUP(A260,Sheet1!G:I,3,0)</f>
        <v>1</v>
      </c>
      <c r="M260" s="6" t="s">
        <v>850</v>
      </c>
    </row>
    <row r="261" spans="1:13" x14ac:dyDescent="0.25">
      <c r="A261" s="10" t="s">
        <v>749</v>
      </c>
      <c r="B261" s="10" t="s">
        <v>750</v>
      </c>
      <c r="C261" t="s">
        <v>21</v>
      </c>
      <c r="D261" s="2">
        <v>31846</v>
      </c>
      <c r="F261" t="s">
        <v>562</v>
      </c>
      <c r="G261" t="s">
        <v>746</v>
      </c>
      <c r="I261" s="2">
        <v>46120</v>
      </c>
      <c r="J261" t="s">
        <v>25</v>
      </c>
      <c r="K261" s="6" t="s">
        <v>823</v>
      </c>
      <c r="L261" s="8">
        <f>VLOOKUP(A261,Sheet1!G:I,3,0)</f>
        <v>1</v>
      </c>
      <c r="M261" s="6" t="s">
        <v>850</v>
      </c>
    </row>
    <row r="262" spans="1:13" x14ac:dyDescent="0.25">
      <c r="A262" s="10" t="s">
        <v>751</v>
      </c>
      <c r="B262" s="10" t="s">
        <v>752</v>
      </c>
      <c r="C262" t="s">
        <v>21</v>
      </c>
      <c r="D262" s="2">
        <v>33020</v>
      </c>
      <c r="E262" s="1">
        <v>9150713195</v>
      </c>
      <c r="F262" t="s">
        <v>656</v>
      </c>
      <c r="G262" t="s">
        <v>753</v>
      </c>
      <c r="H262" t="s">
        <v>46</v>
      </c>
      <c r="I262" s="2">
        <v>46120</v>
      </c>
      <c r="J262" t="s">
        <v>25</v>
      </c>
      <c r="K262" s="6" t="s">
        <v>822</v>
      </c>
      <c r="L262" s="8">
        <f>VLOOKUP(A262,Sheet1!G:I,3,0)</f>
        <v>1</v>
      </c>
      <c r="M262" s="6" t="s">
        <v>838</v>
      </c>
    </row>
    <row r="263" spans="1:13" x14ac:dyDescent="0.25">
      <c r="A263" s="10" t="s">
        <v>754</v>
      </c>
      <c r="B263" s="10" t="s">
        <v>755</v>
      </c>
      <c r="C263" t="s">
        <v>21</v>
      </c>
      <c r="D263" s="2">
        <v>30260</v>
      </c>
      <c r="E263" s="1">
        <v>9264637986</v>
      </c>
      <c r="F263" t="s">
        <v>478</v>
      </c>
      <c r="G263" t="s">
        <v>756</v>
      </c>
      <c r="H263" t="s">
        <v>757</v>
      </c>
      <c r="I263" s="2">
        <v>46120</v>
      </c>
      <c r="J263" t="s">
        <v>25</v>
      </c>
      <c r="K263" s="6" t="s">
        <v>822</v>
      </c>
      <c r="L263" s="8">
        <f>VLOOKUP(A263,Sheet1!G:I,3,0)</f>
        <v>1</v>
      </c>
      <c r="M263" s="6" t="s">
        <v>858</v>
      </c>
    </row>
    <row r="264" spans="1:13" x14ac:dyDescent="0.25">
      <c r="A264" s="10" t="s">
        <v>758</v>
      </c>
      <c r="B264" s="10" t="s">
        <v>759</v>
      </c>
      <c r="C264" t="s">
        <v>21</v>
      </c>
      <c r="D264" s="2">
        <v>27941</v>
      </c>
      <c r="E264" s="1">
        <v>9367873681</v>
      </c>
      <c r="F264" t="s">
        <v>32</v>
      </c>
      <c r="G264" t="s">
        <v>437</v>
      </c>
      <c r="H264" t="s">
        <v>760</v>
      </c>
      <c r="I264" s="2">
        <v>46122</v>
      </c>
      <c r="J264" t="s">
        <v>25</v>
      </c>
      <c r="K264" s="6" t="s">
        <v>822</v>
      </c>
      <c r="L264" s="8">
        <f>VLOOKUP(A264,Sheet1!G:I,3,0)</f>
        <v>1</v>
      </c>
      <c r="M264" s="6" t="s">
        <v>842</v>
      </c>
    </row>
    <row r="265" spans="1:13" x14ac:dyDescent="0.25">
      <c r="A265" s="10" t="s">
        <v>761</v>
      </c>
      <c r="B265" s="10" t="s">
        <v>762</v>
      </c>
      <c r="C265" t="s">
        <v>21</v>
      </c>
      <c r="E265" s="1">
        <v>9532997664</v>
      </c>
      <c r="F265" t="s">
        <v>118</v>
      </c>
      <c r="G265" t="s">
        <v>384</v>
      </c>
      <c r="I265" s="2">
        <v>46127</v>
      </c>
      <c r="J265" t="s">
        <v>25</v>
      </c>
      <c r="K265" s="6" t="s">
        <v>823</v>
      </c>
      <c r="L265" s="8">
        <f>VLOOKUP(A265,Sheet1!G:I,3,0)</f>
        <v>1</v>
      </c>
      <c r="M265" s="6" t="s">
        <v>858</v>
      </c>
    </row>
    <row r="266" spans="1:13" x14ac:dyDescent="0.25">
      <c r="A266" s="10" t="s">
        <v>763</v>
      </c>
      <c r="B266" s="10" t="s">
        <v>764</v>
      </c>
      <c r="C266" t="s">
        <v>74</v>
      </c>
      <c r="E266" s="1">
        <v>9394125752</v>
      </c>
      <c r="F266" t="s">
        <v>656</v>
      </c>
      <c r="G266" t="s">
        <v>765</v>
      </c>
      <c r="H266" t="s">
        <v>75</v>
      </c>
      <c r="I266" s="2">
        <v>46127</v>
      </c>
      <c r="J266" t="s">
        <v>25</v>
      </c>
      <c r="K266" s="6" t="s">
        <v>822</v>
      </c>
      <c r="L266" s="8">
        <f>VLOOKUP(A266,Sheet1!G:I,3,0)</f>
        <v>1</v>
      </c>
      <c r="M266" s="6" t="s">
        <v>852</v>
      </c>
    </row>
    <row r="267" spans="1:13" x14ac:dyDescent="0.25">
      <c r="A267" s="10" t="s">
        <v>766</v>
      </c>
      <c r="B267" s="10" t="s">
        <v>767</v>
      </c>
      <c r="C267" t="s">
        <v>74</v>
      </c>
      <c r="D267" s="2">
        <v>36072</v>
      </c>
      <c r="E267" s="1">
        <v>9979859554</v>
      </c>
      <c r="F267" t="s">
        <v>656</v>
      </c>
      <c r="G267" t="s">
        <v>765</v>
      </c>
      <c r="H267" t="s">
        <v>75</v>
      </c>
      <c r="I267" s="2">
        <v>46148</v>
      </c>
      <c r="J267" t="s">
        <v>25</v>
      </c>
      <c r="K267" s="6" t="s">
        <v>822</v>
      </c>
      <c r="L267" s="8">
        <f>VLOOKUP(A267,Sheet1!G:I,3,0)</f>
        <v>1</v>
      </c>
      <c r="M267" s="6" t="s">
        <v>846</v>
      </c>
    </row>
    <row r="268" spans="1:13" x14ac:dyDescent="0.25">
      <c r="A268" s="10" t="s">
        <v>768</v>
      </c>
      <c r="B268" s="10" t="s">
        <v>769</v>
      </c>
      <c r="C268" t="s">
        <v>21</v>
      </c>
      <c r="D268" s="2">
        <v>23779</v>
      </c>
      <c r="E268" s="1">
        <v>9364026285</v>
      </c>
      <c r="F268" t="s">
        <v>131</v>
      </c>
      <c r="G268" t="s">
        <v>770</v>
      </c>
      <c r="H268" t="s">
        <v>428</v>
      </c>
      <c r="I268" s="2">
        <v>46150</v>
      </c>
      <c r="J268" t="s">
        <v>25</v>
      </c>
      <c r="K268" s="6" t="s">
        <v>823</v>
      </c>
      <c r="L268" s="8">
        <f>VLOOKUP(A268,Sheet1!G:I,3,0)</f>
        <v>1</v>
      </c>
      <c r="M268" s="6" t="s">
        <v>840</v>
      </c>
    </row>
    <row r="269" spans="1:13" x14ac:dyDescent="0.25">
      <c r="A269" s="10" t="s">
        <v>771</v>
      </c>
      <c r="B269" s="10" t="s">
        <v>772</v>
      </c>
      <c r="C269" t="s">
        <v>21</v>
      </c>
      <c r="D269" s="2">
        <v>30058</v>
      </c>
      <c r="E269" s="1">
        <v>9369689653</v>
      </c>
      <c r="F269" t="s">
        <v>96</v>
      </c>
      <c r="G269" t="s">
        <v>773</v>
      </c>
      <c r="H269" t="s">
        <v>774</v>
      </c>
      <c r="I269" s="2">
        <v>46162</v>
      </c>
      <c r="J269" t="s">
        <v>25</v>
      </c>
      <c r="K269" s="6" t="s">
        <v>823</v>
      </c>
      <c r="L269" s="8">
        <f>VLOOKUP(A269,Sheet1!G:I,3,0)</f>
        <v>1</v>
      </c>
      <c r="M269" s="6" t="s">
        <v>842</v>
      </c>
    </row>
    <row r="270" spans="1:13" x14ac:dyDescent="0.25">
      <c r="A270" s="10" t="s">
        <v>775</v>
      </c>
      <c r="B270" s="10" t="s">
        <v>776</v>
      </c>
      <c r="C270" t="s">
        <v>21</v>
      </c>
      <c r="D270" s="2">
        <v>27520</v>
      </c>
      <c r="E270" s="1">
        <v>9917279657</v>
      </c>
      <c r="F270" t="s">
        <v>252</v>
      </c>
      <c r="G270" t="s">
        <v>627</v>
      </c>
      <c r="H270" t="s">
        <v>777</v>
      </c>
      <c r="I270" s="2">
        <v>46162</v>
      </c>
      <c r="J270" t="s">
        <v>25</v>
      </c>
      <c r="K270" s="6" t="s">
        <v>823</v>
      </c>
      <c r="L270" s="8">
        <f>VLOOKUP(A270,Sheet1!G:I,3,0)</f>
        <v>1</v>
      </c>
      <c r="M270" s="6" t="s">
        <v>870</v>
      </c>
    </row>
    <row r="271" spans="1:13" x14ac:dyDescent="0.25">
      <c r="A271" s="10" t="s">
        <v>778</v>
      </c>
      <c r="B271" s="10" t="s">
        <v>779</v>
      </c>
      <c r="C271" t="s">
        <v>21</v>
      </c>
      <c r="D271" s="2">
        <v>33867</v>
      </c>
      <c r="E271" s="1">
        <v>9936207716</v>
      </c>
      <c r="F271" t="s">
        <v>252</v>
      </c>
      <c r="G271" t="s">
        <v>627</v>
      </c>
      <c r="H271" t="s">
        <v>780</v>
      </c>
      <c r="I271" s="2">
        <v>46162</v>
      </c>
      <c r="J271" t="s">
        <v>25</v>
      </c>
      <c r="K271" s="6" t="s">
        <v>823</v>
      </c>
      <c r="L271" s="8">
        <f>VLOOKUP(A271,Sheet1!G:I,3,0)</f>
        <v>1</v>
      </c>
      <c r="M271" s="6" t="s">
        <v>870</v>
      </c>
    </row>
    <row r="272" spans="1:13" x14ac:dyDescent="0.25">
      <c r="A272" s="10" t="s">
        <v>781</v>
      </c>
      <c r="B272" s="10" t="s">
        <v>782</v>
      </c>
      <c r="C272" t="s">
        <v>21</v>
      </c>
      <c r="D272" s="2">
        <v>37235</v>
      </c>
      <c r="E272" s="1">
        <v>9942917067</v>
      </c>
      <c r="F272" t="s">
        <v>656</v>
      </c>
      <c r="G272" t="s">
        <v>783</v>
      </c>
      <c r="H272" t="s">
        <v>784</v>
      </c>
      <c r="I272" s="2">
        <v>46162</v>
      </c>
      <c r="J272" t="s">
        <v>25</v>
      </c>
      <c r="K272" s="6" t="s">
        <v>822</v>
      </c>
      <c r="L272" s="8">
        <f>VLOOKUP(A272,Sheet1!G:I,3,0)</f>
        <v>1</v>
      </c>
      <c r="M272" s="6" t="s">
        <v>870</v>
      </c>
    </row>
    <row r="273" spans="1:13" x14ac:dyDescent="0.25">
      <c r="A273" s="10" t="s">
        <v>785</v>
      </c>
      <c r="B273" s="10" t="s">
        <v>786</v>
      </c>
      <c r="C273" t="s">
        <v>21</v>
      </c>
      <c r="D273" s="2">
        <v>28135</v>
      </c>
      <c r="F273" t="s">
        <v>656</v>
      </c>
      <c r="G273" t="s">
        <v>683</v>
      </c>
      <c r="H273" t="s">
        <v>787</v>
      </c>
      <c r="I273" s="2">
        <v>46162</v>
      </c>
      <c r="J273" t="s">
        <v>25</v>
      </c>
      <c r="K273" s="6" t="s">
        <v>822</v>
      </c>
      <c r="L273" s="8">
        <f>VLOOKUP(A273,Sheet1!G:I,3,0)</f>
        <v>1</v>
      </c>
      <c r="M273" s="6" t="s">
        <v>870</v>
      </c>
    </row>
    <row r="274" spans="1:13" x14ac:dyDescent="0.25">
      <c r="A274" s="10" t="s">
        <v>788</v>
      </c>
      <c r="B274" s="10" t="s">
        <v>789</v>
      </c>
      <c r="C274" t="s">
        <v>21</v>
      </c>
      <c r="D274" s="2">
        <v>25113</v>
      </c>
      <c r="E274" s="1">
        <v>9263931129</v>
      </c>
      <c r="F274" t="s">
        <v>656</v>
      </c>
      <c r="G274" t="s">
        <v>790</v>
      </c>
      <c r="H274" t="s">
        <v>791</v>
      </c>
      <c r="I274" s="2">
        <v>46162</v>
      </c>
      <c r="J274" t="s">
        <v>25</v>
      </c>
      <c r="K274" s="6" t="s">
        <v>822</v>
      </c>
      <c r="L274" s="8">
        <f>VLOOKUP(A274,Sheet1!G:I,3,0)</f>
        <v>1</v>
      </c>
      <c r="M274" s="6" t="s">
        <v>850</v>
      </c>
    </row>
    <row r="275" spans="1:13" x14ac:dyDescent="0.25">
      <c r="A275" s="10" t="s">
        <v>792</v>
      </c>
      <c r="B275" s="10" t="s">
        <v>793</v>
      </c>
      <c r="C275" t="s">
        <v>21</v>
      </c>
      <c r="D275" s="2">
        <v>24464</v>
      </c>
      <c r="E275" s="1">
        <v>9948327785</v>
      </c>
      <c r="F275" t="s">
        <v>656</v>
      </c>
      <c r="G275" t="s">
        <v>783</v>
      </c>
      <c r="H275" t="s">
        <v>428</v>
      </c>
      <c r="I275" s="2">
        <v>46162</v>
      </c>
      <c r="J275" t="s">
        <v>25</v>
      </c>
      <c r="K275" s="6" t="s">
        <v>822</v>
      </c>
      <c r="L275" s="8">
        <f>VLOOKUP(A275,Sheet1!G:I,3,0)</f>
        <v>1</v>
      </c>
      <c r="M275" s="6" t="s">
        <v>850</v>
      </c>
    </row>
    <row r="276" spans="1:13" x14ac:dyDescent="0.25">
      <c r="A276" s="10" t="s">
        <v>794</v>
      </c>
      <c r="B276" s="10" t="s">
        <v>795</v>
      </c>
      <c r="C276" t="s">
        <v>21</v>
      </c>
      <c r="D276" s="2">
        <v>22354</v>
      </c>
      <c r="E276" s="1">
        <v>9929174172</v>
      </c>
      <c r="F276" t="s">
        <v>656</v>
      </c>
      <c r="G276" t="s">
        <v>783</v>
      </c>
      <c r="H276" t="s">
        <v>796</v>
      </c>
      <c r="I276" s="2">
        <v>46162</v>
      </c>
      <c r="J276" t="s">
        <v>25</v>
      </c>
      <c r="K276" s="6" t="s">
        <v>822</v>
      </c>
      <c r="L276" s="8">
        <f>VLOOKUP(A276,Sheet1!G:I,3,0)</f>
        <v>1</v>
      </c>
      <c r="M276" s="6" t="s">
        <v>850</v>
      </c>
    </row>
    <row r="277" spans="1:13" x14ac:dyDescent="0.25">
      <c r="A277" s="10" t="s">
        <v>797</v>
      </c>
      <c r="B277" s="10" t="s">
        <v>798</v>
      </c>
      <c r="C277" t="s">
        <v>21</v>
      </c>
      <c r="F277" t="s">
        <v>131</v>
      </c>
      <c r="G277" t="s">
        <v>648</v>
      </c>
      <c r="I277" s="2">
        <v>46162</v>
      </c>
      <c r="J277" t="s">
        <v>25</v>
      </c>
      <c r="K277" s="6" t="s">
        <v>823</v>
      </c>
      <c r="L277" s="8">
        <f>VLOOKUP(A277,Sheet1!G:I,3,0)</f>
        <v>1</v>
      </c>
      <c r="M277" s="6" t="s">
        <v>838</v>
      </c>
    </row>
    <row r="278" spans="1:13" x14ac:dyDescent="0.25">
      <c r="A278" s="10" t="s">
        <v>799</v>
      </c>
      <c r="B278" s="10" t="s">
        <v>800</v>
      </c>
      <c r="C278" t="s">
        <v>21</v>
      </c>
      <c r="D278" s="2">
        <v>23693</v>
      </c>
      <c r="F278" t="s">
        <v>516</v>
      </c>
      <c r="G278" t="s">
        <v>520</v>
      </c>
      <c r="I278" s="2">
        <v>46168</v>
      </c>
      <c r="J278" t="s">
        <v>25</v>
      </c>
      <c r="K278" s="6" t="s">
        <v>822</v>
      </c>
      <c r="L278" s="8">
        <f>VLOOKUP(A278,Sheet1!G:I,3,0)</f>
        <v>1</v>
      </c>
      <c r="M278" s="6" t="s">
        <v>838</v>
      </c>
    </row>
    <row r="279" spans="1:13" x14ac:dyDescent="0.25">
      <c r="A279" s="10" t="s">
        <v>801</v>
      </c>
      <c r="B279" s="10" t="s">
        <v>802</v>
      </c>
      <c r="C279" t="s">
        <v>74</v>
      </c>
      <c r="D279" s="2">
        <v>26787</v>
      </c>
      <c r="E279" s="1">
        <v>9563563125</v>
      </c>
      <c r="F279" t="s">
        <v>96</v>
      </c>
      <c r="G279" t="s">
        <v>97</v>
      </c>
      <c r="I279" s="2">
        <v>46174</v>
      </c>
      <c r="J279" t="s">
        <v>25</v>
      </c>
      <c r="K279" s="6" t="s">
        <v>823</v>
      </c>
      <c r="L279" s="8">
        <f>VLOOKUP(A279,Sheet1!G:I,3,0)</f>
        <v>1</v>
      </c>
      <c r="M279" s="6" t="s">
        <v>858</v>
      </c>
    </row>
    <row r="280" spans="1:13" x14ac:dyDescent="0.25">
      <c r="A280" s="10" t="s">
        <v>803</v>
      </c>
      <c r="B280" s="10" t="s">
        <v>804</v>
      </c>
      <c r="C280" t="s">
        <v>74</v>
      </c>
      <c r="D280" s="2">
        <v>32967</v>
      </c>
      <c r="E280" s="1">
        <v>9568335105</v>
      </c>
      <c r="F280" t="s">
        <v>244</v>
      </c>
      <c r="G280" t="s">
        <v>805</v>
      </c>
      <c r="I280" s="2">
        <v>46178</v>
      </c>
      <c r="J280" t="s">
        <v>25</v>
      </c>
      <c r="K280" s="6" t="s">
        <v>822</v>
      </c>
      <c r="L280" s="8">
        <f>VLOOKUP(A280,Sheet1!G:I,3,0)</f>
        <v>1</v>
      </c>
      <c r="M280" s="6" t="s">
        <v>858</v>
      </c>
    </row>
    <row r="281" spans="1:13" x14ac:dyDescent="0.25">
      <c r="A281" s="10" t="s">
        <v>806</v>
      </c>
      <c r="B281" s="10" t="s">
        <v>807</v>
      </c>
      <c r="C281" t="s">
        <v>21</v>
      </c>
      <c r="D281" s="2">
        <v>25273</v>
      </c>
      <c r="E281" s="1">
        <v>9533142344</v>
      </c>
      <c r="F281" t="s">
        <v>718</v>
      </c>
      <c r="G281" t="s">
        <v>808</v>
      </c>
      <c r="H281" t="s">
        <v>428</v>
      </c>
      <c r="I281" s="2">
        <v>46178</v>
      </c>
      <c r="J281" t="s">
        <v>25</v>
      </c>
      <c r="K281" s="6" t="s">
        <v>822</v>
      </c>
      <c r="L281" s="8">
        <f>VLOOKUP(A281,Sheet1!G:I,3,0)</f>
        <v>1</v>
      </c>
      <c r="M281" s="6" t="s">
        <v>846</v>
      </c>
    </row>
    <row r="282" spans="1:13" x14ac:dyDescent="0.25">
      <c r="A282" s="10" t="s">
        <v>809</v>
      </c>
      <c r="B282" s="10" t="s">
        <v>810</v>
      </c>
      <c r="C282" t="s">
        <v>21</v>
      </c>
      <c r="D282" t="s">
        <v>811</v>
      </c>
      <c r="E282" s="1">
        <v>9365357996</v>
      </c>
      <c r="F282" t="s">
        <v>718</v>
      </c>
      <c r="G282" t="s">
        <v>719</v>
      </c>
      <c r="I282" s="2">
        <v>46181</v>
      </c>
      <c r="J282" t="s">
        <v>25</v>
      </c>
      <c r="K282" s="6" t="s">
        <v>822</v>
      </c>
      <c r="L282" s="8">
        <f>VLOOKUP(A282,Sheet1!G:I,3,0)</f>
        <v>1</v>
      </c>
      <c r="M282" s="6" t="s">
        <v>846</v>
      </c>
    </row>
    <row r="283" spans="1:13" x14ac:dyDescent="0.25">
      <c r="A283" s="10" t="s">
        <v>812</v>
      </c>
      <c r="B283" s="10" t="s">
        <v>813</v>
      </c>
      <c r="C283" t="s">
        <v>74</v>
      </c>
      <c r="D283" s="2">
        <v>35322</v>
      </c>
      <c r="F283" t="s">
        <v>122</v>
      </c>
      <c r="G283" t="s">
        <v>123</v>
      </c>
      <c r="I283" s="2">
        <v>46183</v>
      </c>
      <c r="J283" t="s">
        <v>25</v>
      </c>
      <c r="K283" s="6" t="s">
        <v>822</v>
      </c>
      <c r="L283" s="8">
        <f>VLOOKUP(A283,Sheet1!G:I,3,0)</f>
        <v>1</v>
      </c>
      <c r="M283" s="6" t="s">
        <v>846</v>
      </c>
    </row>
    <row r="284" spans="1:13" x14ac:dyDescent="0.25">
      <c r="A284" s="10" t="s">
        <v>814</v>
      </c>
      <c r="B284" s="10" t="s">
        <v>815</v>
      </c>
      <c r="C284" t="s">
        <v>21</v>
      </c>
      <c r="D284" s="2">
        <v>23877</v>
      </c>
      <c r="F284" t="s">
        <v>535</v>
      </c>
      <c r="G284" t="s">
        <v>816</v>
      </c>
      <c r="H284" t="s">
        <v>817</v>
      </c>
      <c r="I284" s="2">
        <v>46183</v>
      </c>
      <c r="J284" t="s">
        <v>25</v>
      </c>
      <c r="K284" s="6" t="s">
        <v>823</v>
      </c>
      <c r="L284" s="8">
        <f>VLOOKUP(A284,Sheet1!G:I,3,0)</f>
        <v>1</v>
      </c>
      <c r="M284" s="6" t="s">
        <v>850</v>
      </c>
    </row>
    <row r="285" spans="1:13" x14ac:dyDescent="0.25">
      <c r="A285" s="10" t="s">
        <v>818</v>
      </c>
      <c r="B285" s="10" t="s">
        <v>819</v>
      </c>
      <c r="C285" t="s">
        <v>74</v>
      </c>
      <c r="E285" s="1">
        <v>9535873063</v>
      </c>
      <c r="F285" t="s">
        <v>118</v>
      </c>
      <c r="G285" t="s">
        <v>230</v>
      </c>
      <c r="I285" s="2">
        <v>46183</v>
      </c>
      <c r="J285" t="s">
        <v>25</v>
      </c>
      <c r="K285" s="6" t="s">
        <v>823</v>
      </c>
      <c r="L285" s="8">
        <f>VLOOKUP(A285,Sheet1!G:I,3,0)</f>
        <v>1</v>
      </c>
      <c r="M285" s="6" t="s">
        <v>858</v>
      </c>
    </row>
    <row r="286" spans="1:13" x14ac:dyDescent="0.25">
      <c r="A286" s="10" t="s">
        <v>820</v>
      </c>
      <c r="B286" s="10" t="s">
        <v>821</v>
      </c>
      <c r="C286" t="s">
        <v>21</v>
      </c>
      <c r="D286" s="2">
        <v>24778</v>
      </c>
      <c r="E286" s="1">
        <v>9165959720</v>
      </c>
      <c r="F286" t="s">
        <v>365</v>
      </c>
      <c r="G286" t="s">
        <v>366</v>
      </c>
      <c r="I286" s="2">
        <v>46184</v>
      </c>
      <c r="J286" t="s">
        <v>25</v>
      </c>
      <c r="K286" s="6" t="s">
        <v>822</v>
      </c>
      <c r="L286" s="8">
        <f>VLOOKUP(A286,Sheet1!G:I,3,0)</f>
        <v>1</v>
      </c>
      <c r="M286" s="6" t="s">
        <v>852</v>
      </c>
    </row>
  </sheetData>
  <autoFilter ref="A1:N286" xr:uid="{347A77C9-CFDB-4816-BCE8-C118183991A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667D-8D29-45CD-83C2-C4C134A75385}">
  <dimension ref="A1:M289"/>
  <sheetViews>
    <sheetView workbookViewId="0">
      <selection activeCell="G1" sqref="G1:M289"/>
    </sheetView>
  </sheetViews>
  <sheetFormatPr defaultRowHeight="15" x14ac:dyDescent="0.25"/>
  <cols>
    <col min="4" max="4" width="10.42578125" style="7" bestFit="1" customWidth="1"/>
  </cols>
  <sheetData>
    <row r="1" spans="1:13" x14ac:dyDescent="0.25">
      <c r="A1" t="s">
        <v>19</v>
      </c>
      <c r="B1" t="s">
        <v>20</v>
      </c>
      <c r="D1" s="7">
        <f>VLOOKUP(A1,SUMMARY!A:I,9,0)</f>
        <v>45919</v>
      </c>
      <c r="G1" t="s">
        <v>8</v>
      </c>
      <c r="H1" t="s">
        <v>830</v>
      </c>
      <c r="I1" t="s">
        <v>831</v>
      </c>
      <c r="J1" t="s">
        <v>832</v>
      </c>
      <c r="K1" t="s">
        <v>833</v>
      </c>
      <c r="L1" t="s">
        <v>834</v>
      </c>
      <c r="M1" t="s">
        <v>828</v>
      </c>
    </row>
    <row r="2" spans="1:13" x14ac:dyDescent="0.25">
      <c r="A2" t="s">
        <v>27</v>
      </c>
      <c r="B2" t="s">
        <v>28</v>
      </c>
      <c r="D2" s="7">
        <f>VLOOKUP(A2,SUMMARY!A:I,9,0)</f>
        <v>45924</v>
      </c>
      <c r="G2" t="s">
        <v>19</v>
      </c>
      <c r="H2" t="s">
        <v>20</v>
      </c>
      <c r="I2">
        <v>1</v>
      </c>
      <c r="J2" t="s">
        <v>26</v>
      </c>
      <c r="K2" t="s">
        <v>22</v>
      </c>
      <c r="L2" t="s">
        <v>835</v>
      </c>
      <c r="M2" t="s">
        <v>836</v>
      </c>
    </row>
    <row r="3" spans="1:13" x14ac:dyDescent="0.25">
      <c r="A3" t="s">
        <v>30</v>
      </c>
      <c r="B3" t="s">
        <v>31</v>
      </c>
      <c r="D3" s="7">
        <f>VLOOKUP(A3,SUMMARY!A:I,9,0)</f>
        <v>45934</v>
      </c>
      <c r="G3" t="s">
        <v>27</v>
      </c>
      <c r="H3" t="s">
        <v>28</v>
      </c>
      <c r="I3">
        <v>1</v>
      </c>
      <c r="J3" t="s">
        <v>26</v>
      </c>
      <c r="K3" t="s">
        <v>22</v>
      </c>
      <c r="L3" t="s">
        <v>837</v>
      </c>
      <c r="M3" t="s">
        <v>838</v>
      </c>
    </row>
    <row r="4" spans="1:13" x14ac:dyDescent="0.25">
      <c r="A4" t="s">
        <v>35</v>
      </c>
      <c r="B4" t="s">
        <v>36</v>
      </c>
      <c r="D4" s="7">
        <f>VLOOKUP(A4,SUMMARY!A:I,9,0)</f>
        <v>45934</v>
      </c>
      <c r="G4" t="s">
        <v>30</v>
      </c>
      <c r="H4" t="s">
        <v>31</v>
      </c>
      <c r="I4">
        <v>1</v>
      </c>
      <c r="J4" t="s">
        <v>26</v>
      </c>
      <c r="K4" t="s">
        <v>32</v>
      </c>
      <c r="L4" t="s">
        <v>835</v>
      </c>
      <c r="M4" t="s">
        <v>836</v>
      </c>
    </row>
    <row r="5" spans="1:13" x14ac:dyDescent="0.25">
      <c r="A5" t="s">
        <v>39</v>
      </c>
      <c r="B5" t="s">
        <v>40</v>
      </c>
      <c r="D5" s="7">
        <f>VLOOKUP(A5,SUMMARY!A:I,9,0)</f>
        <v>45934</v>
      </c>
      <c r="G5" t="s">
        <v>35</v>
      </c>
      <c r="H5" t="s">
        <v>36</v>
      </c>
      <c r="I5">
        <v>2</v>
      </c>
      <c r="J5" t="s">
        <v>26</v>
      </c>
      <c r="K5" t="s">
        <v>32</v>
      </c>
      <c r="L5" t="s">
        <v>835</v>
      </c>
      <c r="M5" t="s">
        <v>836</v>
      </c>
    </row>
    <row r="6" spans="1:13" x14ac:dyDescent="0.25">
      <c r="A6" t="s">
        <v>43</v>
      </c>
      <c r="B6" t="s">
        <v>44</v>
      </c>
      <c r="D6" s="7">
        <f>VLOOKUP(A6,SUMMARY!A:I,9,0)</f>
        <v>45934</v>
      </c>
      <c r="G6" t="s">
        <v>39</v>
      </c>
      <c r="H6" t="s">
        <v>40</v>
      </c>
      <c r="I6">
        <v>1</v>
      </c>
      <c r="J6" t="s">
        <v>26</v>
      </c>
      <c r="K6" t="s">
        <v>32</v>
      </c>
      <c r="L6" t="s">
        <v>835</v>
      </c>
      <c r="M6" t="s">
        <v>836</v>
      </c>
    </row>
    <row r="7" spans="1:13" x14ac:dyDescent="0.25">
      <c r="A7" t="s">
        <v>47</v>
      </c>
      <c r="B7" t="s">
        <v>48</v>
      </c>
      <c r="D7" s="7">
        <f>VLOOKUP(A7,SUMMARY!A:I,9,0)</f>
        <v>45934</v>
      </c>
      <c r="G7" t="s">
        <v>43</v>
      </c>
      <c r="H7" t="s">
        <v>44</v>
      </c>
      <c r="I7">
        <v>2</v>
      </c>
      <c r="J7" t="s">
        <v>26</v>
      </c>
      <c r="K7" t="s">
        <v>32</v>
      </c>
      <c r="L7" t="s">
        <v>839</v>
      </c>
      <c r="M7" t="s">
        <v>840</v>
      </c>
    </row>
    <row r="8" spans="1:13" x14ac:dyDescent="0.25">
      <c r="A8" t="s">
        <v>49</v>
      </c>
      <c r="B8" t="s">
        <v>50</v>
      </c>
      <c r="D8" s="7">
        <f>VLOOKUP(A8,SUMMARY!A:I,9,0)</f>
        <v>45934</v>
      </c>
      <c r="G8" t="s">
        <v>47</v>
      </c>
      <c r="H8" t="s">
        <v>48</v>
      </c>
      <c r="I8">
        <v>3</v>
      </c>
      <c r="J8" t="s">
        <v>26</v>
      </c>
      <c r="K8" t="s">
        <v>32</v>
      </c>
      <c r="L8" t="s">
        <v>841</v>
      </c>
      <c r="M8" t="s">
        <v>842</v>
      </c>
    </row>
    <row r="9" spans="1:13" x14ac:dyDescent="0.25">
      <c r="A9" t="s">
        <v>52</v>
      </c>
      <c r="B9" t="s">
        <v>53</v>
      </c>
      <c r="D9" s="7">
        <f>VLOOKUP(A9,SUMMARY!A:I,9,0)</f>
        <v>45941</v>
      </c>
      <c r="G9" t="s">
        <v>49</v>
      </c>
      <c r="H9" t="s">
        <v>50</v>
      </c>
      <c r="I9">
        <v>2</v>
      </c>
      <c r="J9" t="s">
        <v>26</v>
      </c>
      <c r="K9" t="s">
        <v>32</v>
      </c>
      <c r="L9" t="s">
        <v>843</v>
      </c>
      <c r="M9" t="s">
        <v>844</v>
      </c>
    </row>
    <row r="10" spans="1:13" x14ac:dyDescent="0.25">
      <c r="A10" t="s">
        <v>56</v>
      </c>
      <c r="B10" t="s">
        <v>57</v>
      </c>
      <c r="D10" s="7">
        <f>VLOOKUP(A10,SUMMARY!A:I,9,0)</f>
        <v>45941</v>
      </c>
      <c r="G10" t="s">
        <v>52</v>
      </c>
      <c r="H10" t="s">
        <v>53</v>
      </c>
      <c r="I10">
        <v>2</v>
      </c>
      <c r="J10" t="s">
        <v>26</v>
      </c>
      <c r="K10" t="s">
        <v>32</v>
      </c>
      <c r="L10" t="s">
        <v>845</v>
      </c>
      <c r="M10" t="s">
        <v>846</v>
      </c>
    </row>
    <row r="11" spans="1:13" x14ac:dyDescent="0.25">
      <c r="A11" t="s">
        <v>58</v>
      </c>
      <c r="B11" t="s">
        <v>59</v>
      </c>
      <c r="D11" s="7">
        <f>VLOOKUP(A11,SUMMARY!A:I,9,0)</f>
        <v>45941</v>
      </c>
      <c r="G11" t="s">
        <v>56</v>
      </c>
      <c r="H11" t="s">
        <v>57</v>
      </c>
      <c r="I11">
        <v>2</v>
      </c>
      <c r="J11" t="s">
        <v>26</v>
      </c>
      <c r="K11" t="s">
        <v>32</v>
      </c>
      <c r="L11" t="s">
        <v>845</v>
      </c>
      <c r="M11" t="s">
        <v>846</v>
      </c>
    </row>
    <row r="12" spans="1:13" x14ac:dyDescent="0.25">
      <c r="A12" t="s">
        <v>60</v>
      </c>
      <c r="B12" t="s">
        <v>61</v>
      </c>
      <c r="D12" s="7">
        <f>VLOOKUP(A12,SUMMARY!A:I,9,0)</f>
        <v>45941</v>
      </c>
      <c r="G12" t="s">
        <v>58</v>
      </c>
      <c r="H12" t="s">
        <v>59</v>
      </c>
      <c r="I12">
        <v>2</v>
      </c>
      <c r="J12" t="s">
        <v>26</v>
      </c>
      <c r="K12" t="s">
        <v>32</v>
      </c>
      <c r="L12" t="s">
        <v>847</v>
      </c>
      <c r="M12" t="s">
        <v>848</v>
      </c>
    </row>
    <row r="13" spans="1:13" x14ac:dyDescent="0.25">
      <c r="A13" t="s">
        <v>62</v>
      </c>
      <c r="B13" t="s">
        <v>63</v>
      </c>
      <c r="D13" s="7">
        <f>VLOOKUP(A13,SUMMARY!A:I,9,0)</f>
        <v>45941</v>
      </c>
      <c r="G13" t="s">
        <v>60</v>
      </c>
      <c r="H13" t="s">
        <v>61</v>
      </c>
      <c r="I13">
        <v>1</v>
      </c>
      <c r="J13" t="s">
        <v>26</v>
      </c>
      <c r="K13" t="s">
        <v>32</v>
      </c>
      <c r="L13" t="s">
        <v>849</v>
      </c>
      <c r="M13" t="s">
        <v>850</v>
      </c>
    </row>
    <row r="14" spans="1:13" x14ac:dyDescent="0.25">
      <c r="A14" t="s">
        <v>65</v>
      </c>
      <c r="B14" t="s">
        <v>66</v>
      </c>
      <c r="D14" s="7">
        <f>VLOOKUP(A14,SUMMARY!A:I,9,0)</f>
        <v>45941</v>
      </c>
      <c r="G14" t="s">
        <v>62</v>
      </c>
      <c r="H14" t="s">
        <v>63</v>
      </c>
      <c r="I14">
        <v>2</v>
      </c>
      <c r="J14" t="s">
        <v>26</v>
      </c>
      <c r="K14" t="s">
        <v>32</v>
      </c>
      <c r="L14" t="s">
        <v>849</v>
      </c>
      <c r="M14" t="s">
        <v>850</v>
      </c>
    </row>
    <row r="15" spans="1:13" x14ac:dyDescent="0.25">
      <c r="A15" t="s">
        <v>68</v>
      </c>
      <c r="B15" t="s">
        <v>69</v>
      </c>
      <c r="D15" s="7">
        <f>VLOOKUP(A15,SUMMARY!A:I,9,0)</f>
        <v>45941</v>
      </c>
      <c r="G15" t="s">
        <v>65</v>
      </c>
      <c r="H15" t="s">
        <v>66</v>
      </c>
      <c r="I15">
        <v>2</v>
      </c>
      <c r="J15" t="s">
        <v>26</v>
      </c>
      <c r="K15" t="s">
        <v>32</v>
      </c>
      <c r="L15" t="s">
        <v>851</v>
      </c>
      <c r="M15" t="s">
        <v>852</v>
      </c>
    </row>
    <row r="16" spans="1:13" x14ac:dyDescent="0.25">
      <c r="A16" t="s">
        <v>72</v>
      </c>
      <c r="B16" t="s">
        <v>73</v>
      </c>
      <c r="D16" s="7">
        <f>VLOOKUP(A16,SUMMARY!A:I,9,0)</f>
        <v>45941</v>
      </c>
      <c r="G16" t="s">
        <v>68</v>
      </c>
      <c r="H16" t="s">
        <v>69</v>
      </c>
      <c r="I16">
        <v>1</v>
      </c>
      <c r="J16" t="s">
        <v>26</v>
      </c>
      <c r="K16" t="s">
        <v>70</v>
      </c>
      <c r="L16" t="s">
        <v>841</v>
      </c>
      <c r="M16" t="s">
        <v>842</v>
      </c>
    </row>
    <row r="17" spans="1:13" x14ac:dyDescent="0.25">
      <c r="A17" t="s">
        <v>76</v>
      </c>
      <c r="B17" t="s">
        <v>77</v>
      </c>
      <c r="D17" s="7">
        <f>VLOOKUP(A17,SUMMARY!A:I,9,0)</f>
        <v>45941</v>
      </c>
      <c r="G17" t="s">
        <v>72</v>
      </c>
      <c r="H17" t="s">
        <v>73</v>
      </c>
      <c r="I17">
        <v>2</v>
      </c>
      <c r="J17" t="s">
        <v>26</v>
      </c>
      <c r="K17" t="s">
        <v>32</v>
      </c>
      <c r="L17" t="s">
        <v>841</v>
      </c>
      <c r="M17" t="s">
        <v>842</v>
      </c>
    </row>
    <row r="18" spans="1:13" x14ac:dyDescent="0.25">
      <c r="A18" t="s">
        <v>78</v>
      </c>
      <c r="B18" t="s">
        <v>79</v>
      </c>
      <c r="D18" s="7">
        <f>VLOOKUP(A18,SUMMARY!A:I,9,0)</f>
        <v>45941</v>
      </c>
      <c r="G18" t="s">
        <v>76</v>
      </c>
      <c r="H18" t="s">
        <v>77</v>
      </c>
      <c r="I18">
        <v>2</v>
      </c>
      <c r="J18" t="s">
        <v>26</v>
      </c>
      <c r="K18" t="s">
        <v>32</v>
      </c>
      <c r="L18" t="s">
        <v>841</v>
      </c>
      <c r="M18" t="s">
        <v>842</v>
      </c>
    </row>
    <row r="19" spans="1:13" x14ac:dyDescent="0.25">
      <c r="A19" t="s">
        <v>81</v>
      </c>
      <c r="B19" t="s">
        <v>82</v>
      </c>
      <c r="D19" s="7">
        <f>VLOOKUP(A19,SUMMARY!A:I,9,0)</f>
        <v>45941</v>
      </c>
      <c r="G19" t="s">
        <v>78</v>
      </c>
      <c r="H19" t="s">
        <v>79</v>
      </c>
      <c r="I19">
        <v>2</v>
      </c>
      <c r="J19" t="s">
        <v>26</v>
      </c>
      <c r="K19" t="s">
        <v>32</v>
      </c>
      <c r="L19" t="s">
        <v>843</v>
      </c>
      <c r="M19" t="s">
        <v>844</v>
      </c>
    </row>
    <row r="20" spans="1:13" x14ac:dyDescent="0.25">
      <c r="A20" t="s">
        <v>84</v>
      </c>
      <c r="B20" t="s">
        <v>85</v>
      </c>
      <c r="D20" s="7">
        <f>VLOOKUP(A20,SUMMARY!A:I,9,0)</f>
        <v>45948</v>
      </c>
      <c r="G20" t="s">
        <v>81</v>
      </c>
      <c r="H20" t="s">
        <v>82</v>
      </c>
      <c r="I20">
        <v>2</v>
      </c>
      <c r="J20" t="s">
        <v>26</v>
      </c>
      <c r="K20" t="s">
        <v>32</v>
      </c>
      <c r="L20" t="s">
        <v>839</v>
      </c>
      <c r="M20" t="s">
        <v>840</v>
      </c>
    </row>
    <row r="21" spans="1:13" x14ac:dyDescent="0.25">
      <c r="A21" t="s">
        <v>87</v>
      </c>
      <c r="B21" t="s">
        <v>88</v>
      </c>
      <c r="D21" s="7">
        <f>VLOOKUP(A21,SUMMARY!A:I,9,0)</f>
        <v>45948</v>
      </c>
      <c r="G21" t="s">
        <v>84</v>
      </c>
      <c r="H21" t="s">
        <v>85</v>
      </c>
      <c r="I21">
        <v>2</v>
      </c>
      <c r="J21" t="s">
        <v>26</v>
      </c>
      <c r="K21" t="s">
        <v>32</v>
      </c>
      <c r="L21" t="s">
        <v>841</v>
      </c>
      <c r="M21" t="s">
        <v>842</v>
      </c>
    </row>
    <row r="22" spans="1:13" x14ac:dyDescent="0.25">
      <c r="A22" t="s">
        <v>89</v>
      </c>
      <c r="B22" t="s">
        <v>90</v>
      </c>
      <c r="D22" s="7">
        <f>VLOOKUP(A22,SUMMARY!A:I,9,0)</f>
        <v>45948</v>
      </c>
      <c r="G22" t="s">
        <v>87</v>
      </c>
      <c r="H22" t="s">
        <v>88</v>
      </c>
      <c r="I22">
        <v>2</v>
      </c>
      <c r="J22" t="s">
        <v>26</v>
      </c>
      <c r="K22" t="s">
        <v>32</v>
      </c>
      <c r="L22" t="s">
        <v>835</v>
      </c>
      <c r="M22" t="s">
        <v>836</v>
      </c>
    </row>
    <row r="23" spans="1:13" x14ac:dyDescent="0.25">
      <c r="A23" t="s">
        <v>92</v>
      </c>
      <c r="B23" t="s">
        <v>93</v>
      </c>
      <c r="D23" s="7">
        <f>VLOOKUP(A23,SUMMARY!A:I,9,0)</f>
        <v>45962</v>
      </c>
      <c r="G23" t="s">
        <v>89</v>
      </c>
      <c r="H23" t="s">
        <v>90</v>
      </c>
      <c r="I23">
        <v>1</v>
      </c>
      <c r="J23" t="s">
        <v>26</v>
      </c>
      <c r="K23" t="s">
        <v>32</v>
      </c>
      <c r="L23" t="s">
        <v>849</v>
      </c>
      <c r="M23" t="s">
        <v>850</v>
      </c>
    </row>
    <row r="24" spans="1:13" x14ac:dyDescent="0.25">
      <c r="A24" t="s">
        <v>94</v>
      </c>
      <c r="B24" t="s">
        <v>95</v>
      </c>
      <c r="D24" s="7">
        <f>VLOOKUP(A24,SUMMARY!A:I,9,0)</f>
        <v>45969</v>
      </c>
      <c r="G24" t="s">
        <v>92</v>
      </c>
      <c r="H24" t="s">
        <v>93</v>
      </c>
      <c r="I24">
        <v>3</v>
      </c>
      <c r="J24" t="s">
        <v>26</v>
      </c>
      <c r="K24" t="s">
        <v>32</v>
      </c>
      <c r="L24" t="s">
        <v>853</v>
      </c>
      <c r="M24" t="s">
        <v>854</v>
      </c>
    </row>
    <row r="25" spans="1:13" x14ac:dyDescent="0.25">
      <c r="A25" t="s">
        <v>99</v>
      </c>
      <c r="B25" t="s">
        <v>100</v>
      </c>
      <c r="D25" s="7">
        <f>VLOOKUP(A25,SUMMARY!A:I,9,0)</f>
        <v>45969</v>
      </c>
      <c r="G25" t="s">
        <v>94</v>
      </c>
      <c r="H25" t="s">
        <v>95</v>
      </c>
      <c r="I25">
        <v>1</v>
      </c>
      <c r="J25" t="s">
        <v>26</v>
      </c>
      <c r="K25" t="s">
        <v>96</v>
      </c>
      <c r="L25" t="s">
        <v>835</v>
      </c>
      <c r="M25" t="s">
        <v>836</v>
      </c>
    </row>
    <row r="26" spans="1:13" x14ac:dyDescent="0.25">
      <c r="A26" t="s">
        <v>101</v>
      </c>
      <c r="B26" t="s">
        <v>102</v>
      </c>
      <c r="D26" s="7">
        <f>VLOOKUP(A26,SUMMARY!A:I,9,0)</f>
        <v>45969</v>
      </c>
      <c r="G26" t="s">
        <v>99</v>
      </c>
      <c r="H26" t="s">
        <v>100</v>
      </c>
      <c r="I26">
        <v>1</v>
      </c>
      <c r="J26" t="s">
        <v>26</v>
      </c>
      <c r="K26" t="s">
        <v>96</v>
      </c>
      <c r="L26" t="s">
        <v>845</v>
      </c>
      <c r="M26" t="s">
        <v>846</v>
      </c>
    </row>
    <row r="27" spans="1:13" x14ac:dyDescent="0.25">
      <c r="A27" t="s">
        <v>104</v>
      </c>
      <c r="B27" t="s">
        <v>105</v>
      </c>
      <c r="D27" s="7">
        <f>VLOOKUP(A27,SUMMARY!A:I,9,0)</f>
        <v>45969</v>
      </c>
      <c r="G27" t="s">
        <v>101</v>
      </c>
      <c r="H27" t="s">
        <v>102</v>
      </c>
      <c r="I27">
        <v>2</v>
      </c>
      <c r="J27" t="s">
        <v>26</v>
      </c>
      <c r="K27" t="s">
        <v>96</v>
      </c>
      <c r="L27" t="s">
        <v>837</v>
      </c>
      <c r="M27" t="s">
        <v>838</v>
      </c>
    </row>
    <row r="28" spans="1:13" x14ac:dyDescent="0.25">
      <c r="A28" t="s">
        <v>107</v>
      </c>
      <c r="B28" t="s">
        <v>108</v>
      </c>
      <c r="D28" s="7">
        <f>VLOOKUP(A28,SUMMARY!A:I,9,0)</f>
        <v>45969</v>
      </c>
      <c r="G28" t="s">
        <v>104</v>
      </c>
      <c r="H28" t="s">
        <v>105</v>
      </c>
      <c r="I28">
        <v>2</v>
      </c>
      <c r="J28" t="s">
        <v>26</v>
      </c>
      <c r="K28" t="s">
        <v>96</v>
      </c>
      <c r="L28" t="s">
        <v>845</v>
      </c>
      <c r="M28" t="s">
        <v>846</v>
      </c>
    </row>
    <row r="29" spans="1:13" x14ac:dyDescent="0.25">
      <c r="A29" t="s">
        <v>109</v>
      </c>
      <c r="B29" t="s">
        <v>110</v>
      </c>
      <c r="D29" s="7">
        <f>VLOOKUP(A29,SUMMARY!A:I,9,0)</f>
        <v>45969</v>
      </c>
      <c r="G29" t="s">
        <v>107</v>
      </c>
      <c r="H29" t="s">
        <v>108</v>
      </c>
      <c r="I29">
        <v>2</v>
      </c>
      <c r="J29" t="s">
        <v>26</v>
      </c>
      <c r="K29" t="s">
        <v>32</v>
      </c>
      <c r="L29" t="s">
        <v>853</v>
      </c>
      <c r="M29" t="s">
        <v>854</v>
      </c>
    </row>
    <row r="30" spans="1:13" x14ac:dyDescent="0.25">
      <c r="A30" t="s">
        <v>114</v>
      </c>
      <c r="B30" t="s">
        <v>115</v>
      </c>
      <c r="D30" s="7">
        <f>VLOOKUP(A30,SUMMARY!A:I,9,0)</f>
        <v>45969</v>
      </c>
      <c r="G30" t="s">
        <v>109</v>
      </c>
      <c r="H30" t="s">
        <v>110</v>
      </c>
      <c r="I30">
        <v>2</v>
      </c>
      <c r="J30" t="s">
        <v>26</v>
      </c>
      <c r="K30" t="s">
        <v>111</v>
      </c>
      <c r="L30" t="s">
        <v>835</v>
      </c>
      <c r="M30" t="s">
        <v>836</v>
      </c>
    </row>
    <row r="31" spans="1:13" x14ac:dyDescent="0.25">
      <c r="A31" t="s">
        <v>116</v>
      </c>
      <c r="B31" t="s">
        <v>117</v>
      </c>
      <c r="D31" s="7">
        <f>VLOOKUP(A31,SUMMARY!A:I,9,0)</f>
        <v>45969</v>
      </c>
      <c r="G31" t="s">
        <v>114</v>
      </c>
      <c r="H31" t="s">
        <v>115</v>
      </c>
      <c r="I31">
        <v>2</v>
      </c>
      <c r="J31" t="s">
        <v>26</v>
      </c>
      <c r="K31" t="s">
        <v>32</v>
      </c>
      <c r="L31" t="s">
        <v>841</v>
      </c>
      <c r="M31" t="s">
        <v>842</v>
      </c>
    </row>
    <row r="32" spans="1:13" x14ac:dyDescent="0.25">
      <c r="A32" t="s">
        <v>120</v>
      </c>
      <c r="B32" t="s">
        <v>121</v>
      </c>
      <c r="D32" s="7">
        <f>VLOOKUP(A32,SUMMARY!A:I,9,0)</f>
        <v>45969</v>
      </c>
      <c r="G32" t="s">
        <v>116</v>
      </c>
      <c r="H32" t="s">
        <v>117</v>
      </c>
      <c r="I32">
        <v>2</v>
      </c>
      <c r="J32" t="s">
        <v>26</v>
      </c>
      <c r="K32" t="s">
        <v>118</v>
      </c>
      <c r="L32" t="s">
        <v>835</v>
      </c>
      <c r="M32" t="s">
        <v>836</v>
      </c>
    </row>
    <row r="33" spans="1:13" x14ac:dyDescent="0.25">
      <c r="A33" t="s">
        <v>124</v>
      </c>
      <c r="B33" t="s">
        <v>125</v>
      </c>
      <c r="D33" s="7">
        <f>VLOOKUP(A33,SUMMARY!A:I,9,0)</f>
        <v>45969</v>
      </c>
      <c r="G33" t="s">
        <v>120</v>
      </c>
      <c r="H33" t="s">
        <v>121</v>
      </c>
      <c r="I33">
        <v>1</v>
      </c>
      <c r="J33" t="s">
        <v>26</v>
      </c>
      <c r="K33" t="s">
        <v>122</v>
      </c>
      <c r="L33" t="s">
        <v>841</v>
      </c>
      <c r="M33" t="s">
        <v>842</v>
      </c>
    </row>
    <row r="34" spans="1:13" x14ac:dyDescent="0.25">
      <c r="A34" t="s">
        <v>126</v>
      </c>
      <c r="B34" t="s">
        <v>127</v>
      </c>
      <c r="D34" s="7">
        <f>VLOOKUP(A34,SUMMARY!A:I,9,0)</f>
        <v>45975</v>
      </c>
      <c r="G34" t="s">
        <v>124</v>
      </c>
      <c r="H34" t="s">
        <v>125</v>
      </c>
      <c r="I34">
        <v>1</v>
      </c>
      <c r="J34" t="s">
        <v>26</v>
      </c>
      <c r="K34" t="s">
        <v>22</v>
      </c>
      <c r="L34" t="s">
        <v>841</v>
      </c>
      <c r="M34" t="s">
        <v>842</v>
      </c>
    </row>
    <row r="35" spans="1:13" x14ac:dyDescent="0.25">
      <c r="A35" t="s">
        <v>129</v>
      </c>
      <c r="B35" t="s">
        <v>130</v>
      </c>
      <c r="D35" s="7">
        <f>VLOOKUP(A35,SUMMARY!A:I,9,0)</f>
        <v>45975</v>
      </c>
      <c r="G35" t="s">
        <v>126</v>
      </c>
      <c r="H35" t="s">
        <v>127</v>
      </c>
      <c r="I35">
        <v>1</v>
      </c>
      <c r="J35" t="s">
        <v>26</v>
      </c>
      <c r="K35" t="s">
        <v>128</v>
      </c>
      <c r="L35" t="s">
        <v>841</v>
      </c>
      <c r="M35" t="s">
        <v>842</v>
      </c>
    </row>
    <row r="36" spans="1:13" x14ac:dyDescent="0.25">
      <c r="A36" t="s">
        <v>134</v>
      </c>
      <c r="B36" t="s">
        <v>135</v>
      </c>
      <c r="D36" s="7">
        <f>VLOOKUP(A36,SUMMARY!A:I,9,0)</f>
        <v>45975</v>
      </c>
      <c r="G36" t="s">
        <v>129</v>
      </c>
      <c r="H36" t="s">
        <v>130</v>
      </c>
      <c r="I36">
        <v>2</v>
      </c>
      <c r="J36" t="s">
        <v>26</v>
      </c>
      <c r="K36" t="s">
        <v>131</v>
      </c>
      <c r="L36" t="s">
        <v>855</v>
      </c>
      <c r="M36" t="s">
        <v>856</v>
      </c>
    </row>
    <row r="37" spans="1:13" x14ac:dyDescent="0.25">
      <c r="A37" t="s">
        <v>136</v>
      </c>
      <c r="B37" t="s">
        <v>137</v>
      </c>
      <c r="D37" s="7">
        <f>VLOOKUP(A37,SUMMARY!A:I,9,0)</f>
        <v>45975</v>
      </c>
      <c r="G37" t="s">
        <v>134</v>
      </c>
      <c r="H37" t="s">
        <v>135</v>
      </c>
      <c r="I37">
        <v>2</v>
      </c>
      <c r="J37" t="s">
        <v>26</v>
      </c>
      <c r="K37" t="s">
        <v>131</v>
      </c>
      <c r="L37" t="s">
        <v>853</v>
      </c>
      <c r="M37" t="s">
        <v>854</v>
      </c>
    </row>
    <row r="38" spans="1:13" x14ac:dyDescent="0.25">
      <c r="A38" t="s">
        <v>138</v>
      </c>
      <c r="B38" t="s">
        <v>139</v>
      </c>
      <c r="D38" s="7">
        <f>VLOOKUP(A38,SUMMARY!A:I,9,0)</f>
        <v>45975</v>
      </c>
      <c r="G38" t="s">
        <v>136</v>
      </c>
      <c r="H38" t="s">
        <v>137</v>
      </c>
      <c r="I38">
        <v>2</v>
      </c>
      <c r="J38" t="s">
        <v>26</v>
      </c>
      <c r="K38" t="s">
        <v>131</v>
      </c>
      <c r="L38" t="s">
        <v>835</v>
      </c>
      <c r="M38" t="s">
        <v>836</v>
      </c>
    </row>
    <row r="39" spans="1:13" x14ac:dyDescent="0.25">
      <c r="A39" t="s">
        <v>140</v>
      </c>
      <c r="B39" t="s">
        <v>141</v>
      </c>
      <c r="D39" s="7">
        <f>VLOOKUP(A39,SUMMARY!A:I,9,0)</f>
        <v>45982</v>
      </c>
      <c r="G39" t="s">
        <v>138</v>
      </c>
      <c r="H39" t="s">
        <v>139</v>
      </c>
      <c r="I39">
        <v>1</v>
      </c>
      <c r="J39" t="s">
        <v>26</v>
      </c>
      <c r="K39" t="s">
        <v>131</v>
      </c>
      <c r="L39" t="s">
        <v>841</v>
      </c>
      <c r="M39" t="s">
        <v>842</v>
      </c>
    </row>
    <row r="40" spans="1:13" x14ac:dyDescent="0.25">
      <c r="A40" t="s">
        <v>143</v>
      </c>
      <c r="B40" t="s">
        <v>144</v>
      </c>
      <c r="D40" s="7">
        <f>VLOOKUP(A40,SUMMARY!A:I,9,0)</f>
        <v>45982</v>
      </c>
      <c r="G40" t="s">
        <v>140</v>
      </c>
      <c r="H40" t="s">
        <v>141</v>
      </c>
      <c r="I40">
        <v>2</v>
      </c>
      <c r="J40" t="s">
        <v>26</v>
      </c>
      <c r="K40" t="s">
        <v>131</v>
      </c>
      <c r="L40" t="s">
        <v>853</v>
      </c>
      <c r="M40" t="s">
        <v>854</v>
      </c>
    </row>
    <row r="41" spans="1:13" x14ac:dyDescent="0.25">
      <c r="A41" t="s">
        <v>146</v>
      </c>
      <c r="B41" t="s">
        <v>147</v>
      </c>
      <c r="D41" s="7">
        <f>VLOOKUP(A41,SUMMARY!A:I,9,0)</f>
        <v>45982</v>
      </c>
      <c r="G41" t="s">
        <v>143</v>
      </c>
      <c r="H41" t="s">
        <v>144</v>
      </c>
      <c r="I41">
        <v>2</v>
      </c>
      <c r="J41" t="s">
        <v>26</v>
      </c>
      <c r="K41" t="s">
        <v>131</v>
      </c>
      <c r="L41" t="s">
        <v>853</v>
      </c>
      <c r="M41" t="s">
        <v>854</v>
      </c>
    </row>
    <row r="42" spans="1:13" x14ac:dyDescent="0.25">
      <c r="A42" t="s">
        <v>148</v>
      </c>
      <c r="B42" t="s">
        <v>149</v>
      </c>
      <c r="D42" s="7">
        <f>VLOOKUP(A42,SUMMARY!A:I,9,0)</f>
        <v>45982</v>
      </c>
      <c r="G42" t="s">
        <v>146</v>
      </c>
      <c r="H42" t="s">
        <v>147</v>
      </c>
      <c r="I42">
        <v>2</v>
      </c>
      <c r="J42" t="s">
        <v>26</v>
      </c>
      <c r="K42" t="s">
        <v>131</v>
      </c>
      <c r="L42" t="s">
        <v>841</v>
      </c>
      <c r="M42" t="s">
        <v>842</v>
      </c>
    </row>
    <row r="43" spans="1:13" x14ac:dyDescent="0.25">
      <c r="A43" t="s">
        <v>151</v>
      </c>
      <c r="B43" t="s">
        <v>152</v>
      </c>
      <c r="D43" s="7">
        <f>VLOOKUP(A43,SUMMARY!A:I,9,0)</f>
        <v>45982</v>
      </c>
      <c r="G43" t="s">
        <v>148</v>
      </c>
      <c r="H43" t="s">
        <v>149</v>
      </c>
      <c r="I43">
        <v>2</v>
      </c>
      <c r="J43" t="s">
        <v>26</v>
      </c>
      <c r="K43" t="s">
        <v>131</v>
      </c>
      <c r="L43" t="s">
        <v>847</v>
      </c>
      <c r="M43" t="s">
        <v>848</v>
      </c>
    </row>
    <row r="44" spans="1:13" x14ac:dyDescent="0.25">
      <c r="A44" t="s">
        <v>154</v>
      </c>
      <c r="B44" t="s">
        <v>155</v>
      </c>
      <c r="D44" s="7">
        <f>VLOOKUP(A44,SUMMARY!A:I,9,0)</f>
        <v>45982</v>
      </c>
      <c r="G44" t="s">
        <v>151</v>
      </c>
      <c r="H44" t="s">
        <v>152</v>
      </c>
      <c r="I44">
        <v>2</v>
      </c>
      <c r="J44" t="s">
        <v>26</v>
      </c>
      <c r="K44" t="s">
        <v>131</v>
      </c>
      <c r="L44" t="s">
        <v>835</v>
      </c>
      <c r="M44" t="s">
        <v>836</v>
      </c>
    </row>
    <row r="45" spans="1:13" x14ac:dyDescent="0.25">
      <c r="A45" t="s">
        <v>157</v>
      </c>
      <c r="B45" t="s">
        <v>158</v>
      </c>
      <c r="D45" s="7">
        <f>VLOOKUP(A45,SUMMARY!A:I,9,0)</f>
        <v>45982</v>
      </c>
      <c r="G45" t="s">
        <v>154</v>
      </c>
      <c r="H45" t="s">
        <v>155</v>
      </c>
      <c r="I45">
        <v>2</v>
      </c>
      <c r="J45" t="s">
        <v>26</v>
      </c>
      <c r="K45" t="s">
        <v>131</v>
      </c>
      <c r="L45" t="s">
        <v>841</v>
      </c>
      <c r="M45" t="s">
        <v>842</v>
      </c>
    </row>
    <row r="46" spans="1:13" x14ac:dyDescent="0.25">
      <c r="A46" t="s">
        <v>159</v>
      </c>
      <c r="B46" t="s">
        <v>160</v>
      </c>
      <c r="D46" s="7">
        <f>VLOOKUP(A46,SUMMARY!A:I,9,0)</f>
        <v>45982</v>
      </c>
      <c r="G46" t="s">
        <v>157</v>
      </c>
      <c r="H46" t="s">
        <v>158</v>
      </c>
      <c r="I46">
        <v>2</v>
      </c>
      <c r="J46" t="s">
        <v>26</v>
      </c>
      <c r="K46" t="s">
        <v>131</v>
      </c>
      <c r="L46" t="s">
        <v>841</v>
      </c>
      <c r="M46" t="s">
        <v>842</v>
      </c>
    </row>
    <row r="47" spans="1:13" x14ac:dyDescent="0.25">
      <c r="A47" t="s">
        <v>163</v>
      </c>
      <c r="B47" t="s">
        <v>164</v>
      </c>
      <c r="D47" s="7">
        <f>VLOOKUP(A47,SUMMARY!A:I,9,0)</f>
        <v>45982</v>
      </c>
      <c r="G47" t="s">
        <v>159</v>
      </c>
      <c r="H47" t="s">
        <v>160</v>
      </c>
      <c r="I47">
        <v>1</v>
      </c>
      <c r="J47" t="s">
        <v>26</v>
      </c>
      <c r="K47" t="s">
        <v>32</v>
      </c>
      <c r="L47" t="s">
        <v>841</v>
      </c>
      <c r="M47" t="s">
        <v>842</v>
      </c>
    </row>
    <row r="48" spans="1:13" x14ac:dyDescent="0.25">
      <c r="A48" t="s">
        <v>165</v>
      </c>
      <c r="B48" t="s">
        <v>166</v>
      </c>
      <c r="D48" s="7">
        <f>VLOOKUP(A48,SUMMARY!A:I,9,0)</f>
        <v>45982</v>
      </c>
      <c r="G48" t="s">
        <v>163</v>
      </c>
      <c r="H48" t="s">
        <v>164</v>
      </c>
      <c r="I48">
        <v>2</v>
      </c>
      <c r="J48" t="s">
        <v>26</v>
      </c>
      <c r="K48" t="s">
        <v>131</v>
      </c>
      <c r="L48" t="s">
        <v>841</v>
      </c>
      <c r="M48" t="s">
        <v>842</v>
      </c>
    </row>
    <row r="49" spans="1:13" x14ac:dyDescent="0.25">
      <c r="A49" t="s">
        <v>167</v>
      </c>
      <c r="B49" t="s">
        <v>168</v>
      </c>
      <c r="D49" s="7">
        <f>VLOOKUP(A49,SUMMARY!A:I,9,0)</f>
        <v>45992</v>
      </c>
      <c r="G49" t="s">
        <v>165</v>
      </c>
      <c r="H49" t="s">
        <v>166</v>
      </c>
      <c r="I49">
        <v>2</v>
      </c>
      <c r="J49" t="s">
        <v>26</v>
      </c>
      <c r="K49" t="s">
        <v>111</v>
      </c>
      <c r="L49" t="s">
        <v>841</v>
      </c>
      <c r="M49" t="s">
        <v>842</v>
      </c>
    </row>
    <row r="50" spans="1:13" x14ac:dyDescent="0.25">
      <c r="A50" t="s">
        <v>169</v>
      </c>
      <c r="B50" t="s">
        <v>170</v>
      </c>
      <c r="D50" s="7">
        <f>VLOOKUP(A50,SUMMARY!A:I,9,0)</f>
        <v>45992</v>
      </c>
      <c r="G50" t="s">
        <v>167</v>
      </c>
      <c r="H50" t="s">
        <v>168</v>
      </c>
      <c r="I50">
        <v>2</v>
      </c>
      <c r="J50" t="s">
        <v>26</v>
      </c>
      <c r="K50" t="s">
        <v>131</v>
      </c>
      <c r="L50" t="s">
        <v>841</v>
      </c>
      <c r="M50" t="s">
        <v>842</v>
      </c>
    </row>
    <row r="51" spans="1:13" x14ac:dyDescent="0.25">
      <c r="A51" t="s">
        <v>171</v>
      </c>
      <c r="B51" t="s">
        <v>172</v>
      </c>
      <c r="D51" s="7">
        <f>VLOOKUP(A51,SUMMARY!A:I,9,0)</f>
        <v>45992</v>
      </c>
      <c r="G51" t="s">
        <v>169</v>
      </c>
      <c r="H51" t="s">
        <v>170</v>
      </c>
      <c r="I51">
        <v>1</v>
      </c>
      <c r="J51" t="s">
        <v>26</v>
      </c>
      <c r="K51" t="s">
        <v>131</v>
      </c>
      <c r="L51" t="s">
        <v>853</v>
      </c>
      <c r="M51" t="s">
        <v>854</v>
      </c>
    </row>
    <row r="52" spans="1:13" x14ac:dyDescent="0.25">
      <c r="A52" t="s">
        <v>175</v>
      </c>
      <c r="B52" t="s">
        <v>176</v>
      </c>
      <c r="D52" s="7">
        <f>VLOOKUP(A52,SUMMARY!A:I,9,0)</f>
        <v>45992</v>
      </c>
      <c r="G52" t="s">
        <v>171</v>
      </c>
      <c r="H52" t="s">
        <v>172</v>
      </c>
      <c r="I52">
        <v>1</v>
      </c>
      <c r="J52" t="s">
        <v>26</v>
      </c>
      <c r="K52" t="s">
        <v>32</v>
      </c>
      <c r="L52" t="s">
        <v>845</v>
      </c>
      <c r="M52" t="s">
        <v>846</v>
      </c>
    </row>
    <row r="53" spans="1:13" x14ac:dyDescent="0.25">
      <c r="A53" t="s">
        <v>179</v>
      </c>
      <c r="B53" t="s">
        <v>180</v>
      </c>
      <c r="D53" s="7">
        <f>VLOOKUP(A53,SUMMARY!A:I,9,0)</f>
        <v>45992</v>
      </c>
      <c r="G53" t="s">
        <v>175</v>
      </c>
      <c r="H53" t="s">
        <v>176</v>
      </c>
      <c r="I53">
        <v>1</v>
      </c>
      <c r="J53" t="s">
        <v>26</v>
      </c>
      <c r="K53" t="s">
        <v>96</v>
      </c>
      <c r="L53" t="s">
        <v>845</v>
      </c>
      <c r="M53" t="s">
        <v>846</v>
      </c>
    </row>
    <row r="54" spans="1:13" x14ac:dyDescent="0.25">
      <c r="A54" t="s">
        <v>182</v>
      </c>
      <c r="B54" t="s">
        <v>183</v>
      </c>
      <c r="D54" s="7">
        <f>VLOOKUP(A54,SUMMARY!A:I,9,0)</f>
        <v>45992</v>
      </c>
      <c r="G54" t="s">
        <v>179</v>
      </c>
      <c r="H54" t="s">
        <v>180</v>
      </c>
      <c r="I54">
        <v>1</v>
      </c>
      <c r="J54" t="s">
        <v>26</v>
      </c>
      <c r="K54" t="s">
        <v>96</v>
      </c>
      <c r="L54" t="s">
        <v>845</v>
      </c>
      <c r="M54" t="s">
        <v>846</v>
      </c>
    </row>
    <row r="55" spans="1:13" x14ac:dyDescent="0.25">
      <c r="A55" t="s">
        <v>185</v>
      </c>
      <c r="B55" t="s">
        <v>186</v>
      </c>
      <c r="D55" s="7">
        <f>VLOOKUP(A55,SUMMARY!A:I,9,0)</f>
        <v>45992</v>
      </c>
      <c r="G55" t="s">
        <v>182</v>
      </c>
      <c r="H55" t="s">
        <v>183</v>
      </c>
      <c r="I55">
        <v>1</v>
      </c>
      <c r="J55" t="s">
        <v>26</v>
      </c>
      <c r="K55" t="s">
        <v>96</v>
      </c>
      <c r="L55" t="s">
        <v>845</v>
      </c>
      <c r="M55" t="s">
        <v>846</v>
      </c>
    </row>
    <row r="56" spans="1:13" x14ac:dyDescent="0.25">
      <c r="A56" t="s">
        <v>189</v>
      </c>
      <c r="B56" t="s">
        <v>190</v>
      </c>
      <c r="D56" s="7">
        <f>VLOOKUP(A56,SUMMARY!A:I,9,0)</f>
        <v>45992</v>
      </c>
      <c r="G56" t="s">
        <v>185</v>
      </c>
      <c r="H56" t="s">
        <v>186</v>
      </c>
      <c r="I56">
        <v>1</v>
      </c>
      <c r="J56" t="s">
        <v>26</v>
      </c>
      <c r="K56" t="s">
        <v>96</v>
      </c>
      <c r="L56" t="s">
        <v>837</v>
      </c>
      <c r="M56" t="s">
        <v>838</v>
      </c>
    </row>
    <row r="57" spans="1:13" x14ac:dyDescent="0.25">
      <c r="A57" t="s">
        <v>193</v>
      </c>
      <c r="B57" t="s">
        <v>194</v>
      </c>
      <c r="D57" s="7">
        <f>VLOOKUP(A57,SUMMARY!A:I,9,0)</f>
        <v>45992</v>
      </c>
      <c r="G57" t="s">
        <v>189</v>
      </c>
      <c r="H57" t="s">
        <v>190</v>
      </c>
      <c r="I57">
        <v>1</v>
      </c>
      <c r="J57" t="s">
        <v>26</v>
      </c>
      <c r="K57" t="s">
        <v>96</v>
      </c>
      <c r="L57" t="s">
        <v>857</v>
      </c>
      <c r="M57" t="s">
        <v>858</v>
      </c>
    </row>
    <row r="58" spans="1:13" x14ac:dyDescent="0.25">
      <c r="A58" t="s">
        <v>195</v>
      </c>
      <c r="B58" t="s">
        <v>196</v>
      </c>
      <c r="D58" s="7">
        <f>VLOOKUP(A58,SUMMARY!A:I,9,0)</f>
        <v>45992</v>
      </c>
      <c r="G58" t="s">
        <v>193</v>
      </c>
      <c r="H58" t="s">
        <v>194</v>
      </c>
      <c r="I58">
        <v>1</v>
      </c>
      <c r="J58" t="s">
        <v>26</v>
      </c>
      <c r="K58" t="s">
        <v>96</v>
      </c>
      <c r="L58" t="s">
        <v>845</v>
      </c>
      <c r="M58" t="s">
        <v>846</v>
      </c>
    </row>
    <row r="59" spans="1:13" x14ac:dyDescent="0.25">
      <c r="A59" t="s">
        <v>198</v>
      </c>
      <c r="B59" t="s">
        <v>199</v>
      </c>
      <c r="D59" s="7">
        <f>VLOOKUP(A59,SUMMARY!A:I,9,0)</f>
        <v>45992</v>
      </c>
      <c r="G59" t="s">
        <v>195</v>
      </c>
      <c r="H59" t="s">
        <v>196</v>
      </c>
      <c r="I59">
        <v>1</v>
      </c>
      <c r="J59" t="s">
        <v>26</v>
      </c>
      <c r="K59" t="s">
        <v>96</v>
      </c>
      <c r="L59" t="s">
        <v>845</v>
      </c>
      <c r="M59" t="s">
        <v>846</v>
      </c>
    </row>
    <row r="60" spans="1:13" x14ac:dyDescent="0.25">
      <c r="A60" t="s">
        <v>202</v>
      </c>
      <c r="B60" t="s">
        <v>203</v>
      </c>
      <c r="D60" s="7">
        <f>VLOOKUP(A60,SUMMARY!A:I,9,0)</f>
        <v>45992</v>
      </c>
      <c r="G60" t="s">
        <v>198</v>
      </c>
      <c r="H60" t="s">
        <v>199</v>
      </c>
      <c r="I60">
        <v>1</v>
      </c>
      <c r="J60" t="s">
        <v>26</v>
      </c>
      <c r="K60" t="s">
        <v>96</v>
      </c>
      <c r="L60" t="s">
        <v>837</v>
      </c>
      <c r="M60" t="s">
        <v>838</v>
      </c>
    </row>
    <row r="61" spans="1:13" x14ac:dyDescent="0.25">
      <c r="A61" t="s">
        <v>205</v>
      </c>
      <c r="B61" t="s">
        <v>206</v>
      </c>
      <c r="D61" s="7">
        <f>VLOOKUP(A61,SUMMARY!A:I,9,0)</f>
        <v>45992</v>
      </c>
      <c r="G61" t="s">
        <v>202</v>
      </c>
      <c r="H61" t="s">
        <v>203</v>
      </c>
      <c r="I61">
        <v>1</v>
      </c>
      <c r="J61" t="s">
        <v>26</v>
      </c>
      <c r="K61" t="s">
        <v>96</v>
      </c>
      <c r="L61" t="s">
        <v>841</v>
      </c>
      <c r="M61" t="s">
        <v>842</v>
      </c>
    </row>
    <row r="62" spans="1:13" x14ac:dyDescent="0.25">
      <c r="A62" t="s">
        <v>208</v>
      </c>
      <c r="B62" t="s">
        <v>209</v>
      </c>
      <c r="D62" s="7">
        <f>VLOOKUP(A62,SUMMARY!A:I,9,0)</f>
        <v>45992</v>
      </c>
      <c r="G62" t="s">
        <v>205</v>
      </c>
      <c r="H62" t="s">
        <v>206</v>
      </c>
      <c r="I62">
        <v>1</v>
      </c>
      <c r="J62" t="s">
        <v>26</v>
      </c>
      <c r="K62" t="s">
        <v>96</v>
      </c>
      <c r="L62" t="s">
        <v>845</v>
      </c>
      <c r="M62" t="s">
        <v>846</v>
      </c>
    </row>
    <row r="63" spans="1:13" x14ac:dyDescent="0.25">
      <c r="A63" t="s">
        <v>210</v>
      </c>
      <c r="B63" t="s">
        <v>211</v>
      </c>
      <c r="D63" s="7">
        <f>VLOOKUP(A63,SUMMARY!A:I,9,0)</f>
        <v>45992</v>
      </c>
      <c r="G63" t="s">
        <v>208</v>
      </c>
      <c r="H63" t="s">
        <v>209</v>
      </c>
      <c r="I63">
        <v>2</v>
      </c>
      <c r="J63" t="s">
        <v>26</v>
      </c>
      <c r="K63" t="s">
        <v>96</v>
      </c>
      <c r="L63" t="s">
        <v>841</v>
      </c>
      <c r="M63" t="s">
        <v>842</v>
      </c>
    </row>
    <row r="64" spans="1:13" x14ac:dyDescent="0.25">
      <c r="A64" t="s">
        <v>213</v>
      </c>
      <c r="B64" t="s">
        <v>214</v>
      </c>
      <c r="D64" s="7">
        <f>VLOOKUP(A64,SUMMARY!A:I,9,0)</f>
        <v>45992</v>
      </c>
      <c r="G64" t="s">
        <v>210</v>
      </c>
      <c r="H64" t="s">
        <v>211</v>
      </c>
      <c r="I64">
        <v>1</v>
      </c>
      <c r="J64" t="s">
        <v>26</v>
      </c>
      <c r="K64" t="s">
        <v>96</v>
      </c>
      <c r="L64" t="s">
        <v>843</v>
      </c>
      <c r="M64" t="s">
        <v>844</v>
      </c>
    </row>
    <row r="65" spans="1:13" x14ac:dyDescent="0.25">
      <c r="A65" t="s">
        <v>216</v>
      </c>
      <c r="B65" t="s">
        <v>217</v>
      </c>
      <c r="D65" s="7">
        <f>VLOOKUP(A65,SUMMARY!A:I,9,0)</f>
        <v>45992</v>
      </c>
      <c r="G65" t="s">
        <v>213</v>
      </c>
      <c r="H65" t="s">
        <v>214</v>
      </c>
      <c r="I65">
        <v>2</v>
      </c>
      <c r="J65" t="s">
        <v>26</v>
      </c>
      <c r="K65" t="s">
        <v>96</v>
      </c>
      <c r="L65" t="s">
        <v>837</v>
      </c>
      <c r="M65" t="s">
        <v>838</v>
      </c>
    </row>
    <row r="66" spans="1:13" x14ac:dyDescent="0.25">
      <c r="A66" t="s">
        <v>218</v>
      </c>
      <c r="B66" t="s">
        <v>219</v>
      </c>
      <c r="D66" s="7">
        <f>VLOOKUP(A66,SUMMARY!A:I,9,0)</f>
        <v>45992</v>
      </c>
      <c r="G66" t="s">
        <v>216</v>
      </c>
      <c r="H66" t="s">
        <v>217</v>
      </c>
      <c r="I66">
        <v>2</v>
      </c>
      <c r="J66" t="s">
        <v>26</v>
      </c>
      <c r="K66" t="s">
        <v>96</v>
      </c>
      <c r="L66" t="s">
        <v>857</v>
      </c>
      <c r="M66" t="s">
        <v>858</v>
      </c>
    </row>
    <row r="67" spans="1:13" x14ac:dyDescent="0.25">
      <c r="A67" t="s">
        <v>221</v>
      </c>
      <c r="B67" t="s">
        <v>222</v>
      </c>
      <c r="D67" s="7">
        <f>VLOOKUP(A67,SUMMARY!A:I,9,0)</f>
        <v>45992</v>
      </c>
      <c r="G67" t="s">
        <v>218</v>
      </c>
      <c r="H67" t="s">
        <v>219</v>
      </c>
      <c r="I67">
        <v>2</v>
      </c>
      <c r="J67" t="s">
        <v>26</v>
      </c>
      <c r="K67" t="s">
        <v>96</v>
      </c>
      <c r="L67" t="s">
        <v>853</v>
      </c>
      <c r="M67" t="s">
        <v>854</v>
      </c>
    </row>
    <row r="68" spans="1:13" x14ac:dyDescent="0.25">
      <c r="A68" t="s">
        <v>225</v>
      </c>
      <c r="B68" t="s">
        <v>226</v>
      </c>
      <c r="D68" s="7">
        <f>VLOOKUP(A68,SUMMARY!A:I,9,0)</f>
        <v>45992</v>
      </c>
      <c r="G68" t="s">
        <v>221</v>
      </c>
      <c r="H68" t="s">
        <v>222</v>
      </c>
      <c r="I68">
        <v>2</v>
      </c>
      <c r="J68" t="s">
        <v>26</v>
      </c>
      <c r="K68" t="s">
        <v>118</v>
      </c>
      <c r="L68" t="s">
        <v>837</v>
      </c>
      <c r="M68" t="s">
        <v>838</v>
      </c>
    </row>
    <row r="69" spans="1:13" x14ac:dyDescent="0.25">
      <c r="A69" t="s">
        <v>228</v>
      </c>
      <c r="B69" t="s">
        <v>229</v>
      </c>
      <c r="D69" s="7">
        <f>VLOOKUP(A69,SUMMARY!A:I,9,0)</f>
        <v>45992</v>
      </c>
      <c r="G69" t="s">
        <v>225</v>
      </c>
      <c r="H69" t="s">
        <v>226</v>
      </c>
      <c r="I69">
        <v>2</v>
      </c>
      <c r="J69" t="s">
        <v>26</v>
      </c>
      <c r="K69" t="s">
        <v>118</v>
      </c>
      <c r="L69" t="s">
        <v>843</v>
      </c>
      <c r="M69" t="s">
        <v>844</v>
      </c>
    </row>
    <row r="70" spans="1:13" x14ac:dyDescent="0.25">
      <c r="A70" t="s">
        <v>231</v>
      </c>
      <c r="B70" t="s">
        <v>232</v>
      </c>
      <c r="D70" s="7">
        <f>VLOOKUP(A70,SUMMARY!A:I,9,0)</f>
        <v>45992</v>
      </c>
      <c r="G70" t="s">
        <v>228</v>
      </c>
      <c r="H70" t="s">
        <v>229</v>
      </c>
      <c r="I70">
        <v>2</v>
      </c>
      <c r="J70" t="s">
        <v>26</v>
      </c>
      <c r="K70" t="s">
        <v>118</v>
      </c>
      <c r="L70" t="s">
        <v>843</v>
      </c>
      <c r="M70" t="s">
        <v>844</v>
      </c>
    </row>
    <row r="71" spans="1:13" x14ac:dyDescent="0.25">
      <c r="A71" t="s">
        <v>233</v>
      </c>
      <c r="B71" t="s">
        <v>234</v>
      </c>
      <c r="D71" s="7">
        <f>VLOOKUP(A71,SUMMARY!A:I,9,0)</f>
        <v>45992</v>
      </c>
      <c r="G71" t="s">
        <v>231</v>
      </c>
      <c r="H71" t="s">
        <v>232</v>
      </c>
      <c r="I71">
        <v>2</v>
      </c>
      <c r="J71" t="s">
        <v>26</v>
      </c>
      <c r="K71" t="s">
        <v>118</v>
      </c>
      <c r="L71" t="s">
        <v>843</v>
      </c>
      <c r="M71" t="s">
        <v>844</v>
      </c>
    </row>
    <row r="72" spans="1:13" x14ac:dyDescent="0.25">
      <c r="A72" t="s">
        <v>237</v>
      </c>
      <c r="B72" t="s">
        <v>238</v>
      </c>
      <c r="D72" s="7">
        <f>VLOOKUP(A72,SUMMARY!A:I,9,0)</f>
        <v>45992</v>
      </c>
      <c r="G72" t="s">
        <v>233</v>
      </c>
      <c r="H72" t="s">
        <v>234</v>
      </c>
      <c r="I72">
        <v>2</v>
      </c>
      <c r="J72" t="s">
        <v>26</v>
      </c>
      <c r="K72" t="s">
        <v>122</v>
      </c>
      <c r="L72" t="s">
        <v>837</v>
      </c>
      <c r="M72" t="s">
        <v>838</v>
      </c>
    </row>
    <row r="73" spans="1:13" x14ac:dyDescent="0.25">
      <c r="A73" t="s">
        <v>240</v>
      </c>
      <c r="B73" t="s">
        <v>241</v>
      </c>
      <c r="D73" s="7">
        <f>VLOOKUP(A73,SUMMARY!A:I,9,0)</f>
        <v>45992</v>
      </c>
      <c r="G73" t="s">
        <v>237</v>
      </c>
      <c r="H73" t="s">
        <v>238</v>
      </c>
      <c r="I73">
        <v>2</v>
      </c>
      <c r="J73" t="s">
        <v>26</v>
      </c>
      <c r="K73" t="s">
        <v>118</v>
      </c>
      <c r="L73" t="s">
        <v>841</v>
      </c>
      <c r="M73" t="s">
        <v>842</v>
      </c>
    </row>
    <row r="74" spans="1:13" x14ac:dyDescent="0.25">
      <c r="A74" t="s">
        <v>242</v>
      </c>
      <c r="B74" t="s">
        <v>243</v>
      </c>
      <c r="D74" s="7">
        <f>VLOOKUP(A74,SUMMARY!A:I,9,0)</f>
        <v>45992</v>
      </c>
      <c r="G74" t="s">
        <v>240</v>
      </c>
      <c r="H74" t="s">
        <v>241</v>
      </c>
      <c r="I74">
        <v>2</v>
      </c>
      <c r="J74" t="s">
        <v>26</v>
      </c>
      <c r="K74" t="s">
        <v>118</v>
      </c>
      <c r="L74" t="s">
        <v>853</v>
      </c>
      <c r="M74" t="s">
        <v>854</v>
      </c>
    </row>
    <row r="75" spans="1:13" x14ac:dyDescent="0.25">
      <c r="A75" t="s">
        <v>247</v>
      </c>
      <c r="B75" t="s">
        <v>248</v>
      </c>
      <c r="D75" s="7">
        <f>VLOOKUP(A75,SUMMARY!A:I,9,0)</f>
        <v>45992</v>
      </c>
      <c r="G75" t="s">
        <v>242</v>
      </c>
      <c r="H75" t="s">
        <v>243</v>
      </c>
      <c r="I75">
        <v>1</v>
      </c>
      <c r="J75" t="s">
        <v>26</v>
      </c>
      <c r="K75" t="s">
        <v>244</v>
      </c>
      <c r="L75" t="s">
        <v>837</v>
      </c>
      <c r="M75" t="s">
        <v>838</v>
      </c>
    </row>
    <row r="76" spans="1:13" x14ac:dyDescent="0.25">
      <c r="A76" t="s">
        <v>250</v>
      </c>
      <c r="B76" t="s">
        <v>251</v>
      </c>
      <c r="D76" s="7">
        <f>VLOOKUP(A76,SUMMARY!A:I,9,0)</f>
        <v>46000</v>
      </c>
      <c r="G76" t="s">
        <v>247</v>
      </c>
      <c r="H76" t="s">
        <v>248</v>
      </c>
      <c r="I76">
        <v>2</v>
      </c>
      <c r="J76" t="s">
        <v>26</v>
      </c>
      <c r="K76" t="s">
        <v>118</v>
      </c>
      <c r="L76" t="s">
        <v>837</v>
      </c>
      <c r="M76" t="s">
        <v>838</v>
      </c>
    </row>
    <row r="77" spans="1:13" x14ac:dyDescent="0.25">
      <c r="A77" t="s">
        <v>254</v>
      </c>
      <c r="B77" t="s">
        <v>255</v>
      </c>
      <c r="D77" s="7">
        <f>VLOOKUP(A77,SUMMARY!A:I,9,0)</f>
        <v>46000</v>
      </c>
      <c r="G77" t="s">
        <v>250</v>
      </c>
      <c r="H77" t="s">
        <v>251</v>
      </c>
      <c r="I77">
        <v>1</v>
      </c>
      <c r="J77" t="s">
        <v>26</v>
      </c>
      <c r="K77" t="s">
        <v>252</v>
      </c>
      <c r="L77" t="s">
        <v>837</v>
      </c>
      <c r="M77" t="s">
        <v>838</v>
      </c>
    </row>
    <row r="78" spans="1:13" x14ac:dyDescent="0.25">
      <c r="A78" t="s">
        <v>256</v>
      </c>
      <c r="B78" t="s">
        <v>257</v>
      </c>
      <c r="D78" s="7">
        <f>VLOOKUP(A78,SUMMARY!A:I,9,0)</f>
        <v>46000</v>
      </c>
      <c r="G78" t="s">
        <v>254</v>
      </c>
      <c r="H78" t="s">
        <v>255</v>
      </c>
      <c r="I78">
        <v>1</v>
      </c>
      <c r="J78" t="s">
        <v>26</v>
      </c>
      <c r="K78" t="s">
        <v>96</v>
      </c>
      <c r="L78" t="s">
        <v>837</v>
      </c>
      <c r="M78" t="s">
        <v>838</v>
      </c>
    </row>
    <row r="79" spans="1:13" x14ac:dyDescent="0.25">
      <c r="A79" t="s">
        <v>259</v>
      </c>
      <c r="B79" t="s">
        <v>260</v>
      </c>
      <c r="D79" s="7">
        <f>VLOOKUP(A79,SUMMARY!A:I,9,0)</f>
        <v>46000</v>
      </c>
      <c r="G79" t="s">
        <v>256</v>
      </c>
      <c r="H79" t="s">
        <v>257</v>
      </c>
      <c r="I79">
        <v>2</v>
      </c>
      <c r="J79" t="s">
        <v>26</v>
      </c>
      <c r="K79" t="s">
        <v>96</v>
      </c>
      <c r="L79" t="s">
        <v>847</v>
      </c>
      <c r="M79" t="s">
        <v>848</v>
      </c>
    </row>
    <row r="80" spans="1:13" x14ac:dyDescent="0.25">
      <c r="A80" t="s">
        <v>263</v>
      </c>
      <c r="B80" t="s">
        <v>264</v>
      </c>
      <c r="D80" s="7">
        <f>VLOOKUP(A80,SUMMARY!A:I,9,0)</f>
        <v>46000</v>
      </c>
      <c r="G80" t="s">
        <v>259</v>
      </c>
      <c r="H80" t="s">
        <v>260</v>
      </c>
      <c r="I80">
        <v>2</v>
      </c>
      <c r="J80" t="s">
        <v>26</v>
      </c>
      <c r="K80" t="s">
        <v>122</v>
      </c>
      <c r="L80" t="s">
        <v>837</v>
      </c>
      <c r="M80" t="s">
        <v>838</v>
      </c>
    </row>
    <row r="81" spans="1:13" x14ac:dyDescent="0.25">
      <c r="A81" t="s">
        <v>266</v>
      </c>
      <c r="B81" t="s">
        <v>267</v>
      </c>
      <c r="D81" s="7">
        <f>VLOOKUP(A81,SUMMARY!A:I,9,0)</f>
        <v>46000</v>
      </c>
      <c r="G81" t="s">
        <v>263</v>
      </c>
      <c r="H81" t="s">
        <v>264</v>
      </c>
      <c r="I81">
        <v>2</v>
      </c>
      <c r="J81" t="s">
        <v>26</v>
      </c>
      <c r="K81" t="s">
        <v>118</v>
      </c>
      <c r="L81" t="s">
        <v>859</v>
      </c>
      <c r="M81" t="s">
        <v>860</v>
      </c>
    </row>
    <row r="82" spans="1:13" x14ac:dyDescent="0.25">
      <c r="A82" t="s">
        <v>268</v>
      </c>
      <c r="B82" t="s">
        <v>269</v>
      </c>
      <c r="D82" s="7">
        <f>VLOOKUP(A82,SUMMARY!A:I,9,0)</f>
        <v>46000</v>
      </c>
      <c r="G82" t="s">
        <v>266</v>
      </c>
      <c r="H82" t="s">
        <v>267</v>
      </c>
      <c r="I82">
        <v>1</v>
      </c>
      <c r="J82" t="s">
        <v>26</v>
      </c>
      <c r="K82" t="s">
        <v>118</v>
      </c>
      <c r="L82" t="s">
        <v>839</v>
      </c>
      <c r="M82" t="s">
        <v>840</v>
      </c>
    </row>
    <row r="83" spans="1:13" x14ac:dyDescent="0.25">
      <c r="A83" t="s">
        <v>272</v>
      </c>
      <c r="B83" t="s">
        <v>273</v>
      </c>
      <c r="D83" s="7">
        <f>VLOOKUP(A83,SUMMARY!A:I,9,0)</f>
        <v>46000</v>
      </c>
      <c r="G83" t="s">
        <v>268</v>
      </c>
      <c r="H83" t="s">
        <v>269</v>
      </c>
      <c r="I83">
        <v>1</v>
      </c>
      <c r="J83" t="s">
        <v>26</v>
      </c>
      <c r="K83" t="s">
        <v>244</v>
      </c>
      <c r="L83" t="s">
        <v>837</v>
      </c>
      <c r="M83" t="s">
        <v>838</v>
      </c>
    </row>
    <row r="84" spans="1:13" x14ac:dyDescent="0.25">
      <c r="A84" t="s">
        <v>275</v>
      </c>
      <c r="B84" t="s">
        <v>276</v>
      </c>
      <c r="D84" s="7">
        <f>VLOOKUP(A84,SUMMARY!A:I,9,0)</f>
        <v>46000</v>
      </c>
      <c r="G84" t="s">
        <v>272</v>
      </c>
      <c r="H84" t="s">
        <v>273</v>
      </c>
      <c r="I84">
        <v>2</v>
      </c>
      <c r="J84" t="s">
        <v>26</v>
      </c>
      <c r="K84" t="s">
        <v>96</v>
      </c>
      <c r="L84" t="s">
        <v>841</v>
      </c>
      <c r="M84" t="s">
        <v>842</v>
      </c>
    </row>
    <row r="85" spans="1:13" x14ac:dyDescent="0.25">
      <c r="A85" t="s">
        <v>278</v>
      </c>
      <c r="B85" t="s">
        <v>279</v>
      </c>
      <c r="D85" s="7">
        <f>VLOOKUP(A85,SUMMARY!A:I,9,0)</f>
        <v>46000</v>
      </c>
      <c r="G85" t="s">
        <v>275</v>
      </c>
      <c r="H85" t="s">
        <v>276</v>
      </c>
      <c r="I85">
        <v>2</v>
      </c>
      <c r="J85" t="s">
        <v>26</v>
      </c>
      <c r="K85" t="s">
        <v>96</v>
      </c>
      <c r="L85" t="s">
        <v>837</v>
      </c>
      <c r="M85" t="s">
        <v>838</v>
      </c>
    </row>
    <row r="86" spans="1:13" x14ac:dyDescent="0.25">
      <c r="A86" t="s">
        <v>281</v>
      </c>
      <c r="B86" t="s">
        <v>282</v>
      </c>
      <c r="D86" s="7">
        <f>VLOOKUP(A86,SUMMARY!A:I,9,0)</f>
        <v>46000</v>
      </c>
      <c r="G86" t="s">
        <v>278</v>
      </c>
      <c r="H86" t="s">
        <v>279</v>
      </c>
      <c r="I86">
        <v>2</v>
      </c>
      <c r="J86" t="s">
        <v>26</v>
      </c>
      <c r="K86" t="s">
        <v>122</v>
      </c>
      <c r="L86" t="s">
        <v>837</v>
      </c>
      <c r="M86" t="s">
        <v>838</v>
      </c>
    </row>
    <row r="87" spans="1:13" x14ac:dyDescent="0.25">
      <c r="A87" t="s">
        <v>284</v>
      </c>
      <c r="B87" t="s">
        <v>285</v>
      </c>
      <c r="D87" s="7">
        <f>VLOOKUP(A87,SUMMARY!A:I,9,0)</f>
        <v>46000</v>
      </c>
      <c r="G87" t="s">
        <v>281</v>
      </c>
      <c r="H87" t="s">
        <v>282</v>
      </c>
      <c r="I87">
        <v>2</v>
      </c>
      <c r="J87" t="s">
        <v>26</v>
      </c>
      <c r="K87" t="s">
        <v>122</v>
      </c>
      <c r="L87" t="s">
        <v>837</v>
      </c>
      <c r="M87" t="s">
        <v>838</v>
      </c>
    </row>
    <row r="88" spans="1:13" x14ac:dyDescent="0.25">
      <c r="A88" t="s">
        <v>287</v>
      </c>
      <c r="B88" t="s">
        <v>288</v>
      </c>
      <c r="D88" s="7">
        <f>VLOOKUP(A88,SUMMARY!A:I,9,0)</f>
        <v>46000</v>
      </c>
      <c r="G88" t="s">
        <v>284</v>
      </c>
      <c r="H88" t="s">
        <v>285</v>
      </c>
      <c r="I88">
        <v>1</v>
      </c>
      <c r="J88" t="s">
        <v>26</v>
      </c>
      <c r="K88" t="s">
        <v>32</v>
      </c>
      <c r="L88" t="s">
        <v>845</v>
      </c>
      <c r="M88" t="s">
        <v>846</v>
      </c>
    </row>
    <row r="89" spans="1:13" x14ac:dyDescent="0.25">
      <c r="A89" t="s">
        <v>289</v>
      </c>
      <c r="B89" t="s">
        <v>290</v>
      </c>
      <c r="D89" s="7">
        <f>VLOOKUP(A89,SUMMARY!A:I,9,0)</f>
        <v>46000</v>
      </c>
      <c r="G89" t="s">
        <v>287</v>
      </c>
      <c r="H89" t="s">
        <v>288</v>
      </c>
      <c r="I89">
        <v>1</v>
      </c>
      <c r="J89" t="s">
        <v>26</v>
      </c>
      <c r="K89" t="s">
        <v>32</v>
      </c>
      <c r="L89" t="s">
        <v>839</v>
      </c>
      <c r="M89" t="s">
        <v>840</v>
      </c>
    </row>
    <row r="90" spans="1:13" x14ac:dyDescent="0.25">
      <c r="A90" t="s">
        <v>291</v>
      </c>
      <c r="B90" t="s">
        <v>292</v>
      </c>
      <c r="D90" s="7">
        <f>VLOOKUP(A90,SUMMARY!A:I,9,0)</f>
        <v>46000</v>
      </c>
      <c r="G90" t="s">
        <v>289</v>
      </c>
      <c r="H90" t="s">
        <v>290</v>
      </c>
      <c r="I90">
        <v>1</v>
      </c>
      <c r="J90" t="s">
        <v>26</v>
      </c>
      <c r="K90" t="s">
        <v>32</v>
      </c>
      <c r="L90" t="s">
        <v>843</v>
      </c>
      <c r="M90" t="s">
        <v>844</v>
      </c>
    </row>
    <row r="91" spans="1:13" x14ac:dyDescent="0.25">
      <c r="A91" t="s">
        <v>295</v>
      </c>
      <c r="B91" t="s">
        <v>296</v>
      </c>
      <c r="D91" s="7">
        <f>VLOOKUP(A91,SUMMARY!A:I,9,0)</f>
        <v>46000</v>
      </c>
      <c r="G91" t="s">
        <v>291</v>
      </c>
      <c r="H91" t="s">
        <v>292</v>
      </c>
      <c r="I91">
        <v>2</v>
      </c>
      <c r="J91" t="s">
        <v>26</v>
      </c>
      <c r="K91" t="s">
        <v>293</v>
      </c>
      <c r="L91" t="s">
        <v>835</v>
      </c>
      <c r="M91" t="s">
        <v>836</v>
      </c>
    </row>
    <row r="92" spans="1:13" x14ac:dyDescent="0.25">
      <c r="A92" t="s">
        <v>297</v>
      </c>
      <c r="B92" t="s">
        <v>298</v>
      </c>
      <c r="D92" s="7">
        <f>VLOOKUP(A92,SUMMARY!A:I,9,0)</f>
        <v>46000</v>
      </c>
      <c r="G92" t="s">
        <v>295</v>
      </c>
      <c r="H92" t="s">
        <v>296</v>
      </c>
      <c r="I92">
        <v>2</v>
      </c>
      <c r="J92" t="s">
        <v>26</v>
      </c>
      <c r="K92" t="s">
        <v>293</v>
      </c>
      <c r="L92" t="s">
        <v>835</v>
      </c>
      <c r="M92" t="s">
        <v>836</v>
      </c>
    </row>
    <row r="93" spans="1:13" x14ac:dyDescent="0.25">
      <c r="A93" t="s">
        <v>299</v>
      </c>
      <c r="B93" t="s">
        <v>300</v>
      </c>
      <c r="D93" s="7">
        <f>VLOOKUP(A93,SUMMARY!A:I,9,0)</f>
        <v>46000</v>
      </c>
      <c r="G93" t="s">
        <v>297</v>
      </c>
      <c r="H93" t="s">
        <v>298</v>
      </c>
      <c r="I93">
        <v>2</v>
      </c>
      <c r="J93" t="s">
        <v>26</v>
      </c>
      <c r="K93" t="s">
        <v>293</v>
      </c>
      <c r="L93" t="s">
        <v>835</v>
      </c>
      <c r="M93" t="s">
        <v>836</v>
      </c>
    </row>
    <row r="94" spans="1:13" x14ac:dyDescent="0.25">
      <c r="A94" t="s">
        <v>302</v>
      </c>
      <c r="B94" t="s">
        <v>303</v>
      </c>
      <c r="D94" s="7">
        <f>VLOOKUP(A94,SUMMARY!A:I,9,0)</f>
        <v>46000</v>
      </c>
      <c r="G94" t="s">
        <v>299</v>
      </c>
      <c r="H94" t="s">
        <v>300</v>
      </c>
      <c r="I94">
        <v>1</v>
      </c>
      <c r="J94" t="s">
        <v>26</v>
      </c>
      <c r="K94" t="s">
        <v>293</v>
      </c>
      <c r="L94" t="s">
        <v>845</v>
      </c>
      <c r="M94" t="s">
        <v>846</v>
      </c>
    </row>
    <row r="95" spans="1:13" x14ac:dyDescent="0.25">
      <c r="A95" t="s">
        <v>305</v>
      </c>
      <c r="B95" t="s">
        <v>306</v>
      </c>
      <c r="D95" s="7">
        <f>VLOOKUP(A95,SUMMARY!A:I,9,0)</f>
        <v>46000</v>
      </c>
      <c r="G95" t="s">
        <v>302</v>
      </c>
      <c r="H95" t="s">
        <v>303</v>
      </c>
      <c r="I95">
        <v>1</v>
      </c>
      <c r="J95" t="s">
        <v>26</v>
      </c>
      <c r="K95" t="s">
        <v>96</v>
      </c>
      <c r="L95" t="s">
        <v>837</v>
      </c>
      <c r="M95" t="s">
        <v>838</v>
      </c>
    </row>
    <row r="96" spans="1:13" x14ac:dyDescent="0.25">
      <c r="A96" t="s">
        <v>307</v>
      </c>
      <c r="B96" t="s">
        <v>308</v>
      </c>
      <c r="D96" s="7">
        <f>VLOOKUP(A96,SUMMARY!A:I,9,0)</f>
        <v>46000</v>
      </c>
      <c r="G96" t="s">
        <v>305</v>
      </c>
      <c r="H96" t="s">
        <v>306</v>
      </c>
      <c r="I96">
        <v>2</v>
      </c>
      <c r="J96" t="s">
        <v>26</v>
      </c>
      <c r="K96" t="s">
        <v>244</v>
      </c>
      <c r="L96" t="s">
        <v>845</v>
      </c>
      <c r="M96" t="s">
        <v>846</v>
      </c>
    </row>
    <row r="97" spans="1:13" x14ac:dyDescent="0.25">
      <c r="A97" t="s">
        <v>310</v>
      </c>
      <c r="B97" t="s">
        <v>311</v>
      </c>
      <c r="D97" s="7">
        <f>VLOOKUP(A97,SUMMARY!A:I,9,0)</f>
        <v>46006</v>
      </c>
      <c r="G97" t="s">
        <v>307</v>
      </c>
      <c r="H97" t="s">
        <v>308</v>
      </c>
      <c r="I97">
        <v>1</v>
      </c>
      <c r="J97" t="s">
        <v>26</v>
      </c>
      <c r="K97" t="s">
        <v>244</v>
      </c>
      <c r="L97" t="s">
        <v>837</v>
      </c>
      <c r="M97" t="s">
        <v>838</v>
      </c>
    </row>
    <row r="98" spans="1:13" x14ac:dyDescent="0.25">
      <c r="A98" t="s">
        <v>312</v>
      </c>
      <c r="B98" t="s">
        <v>313</v>
      </c>
      <c r="D98" s="7">
        <f>VLOOKUP(A98,SUMMARY!A:I,9,0)</f>
        <v>46006</v>
      </c>
      <c r="G98" t="s">
        <v>310</v>
      </c>
      <c r="H98" t="s">
        <v>311</v>
      </c>
      <c r="I98">
        <v>2</v>
      </c>
      <c r="J98" t="s">
        <v>26</v>
      </c>
      <c r="K98" t="s">
        <v>131</v>
      </c>
      <c r="L98" t="s">
        <v>861</v>
      </c>
      <c r="M98" t="s">
        <v>862</v>
      </c>
    </row>
    <row r="99" spans="1:13" x14ac:dyDescent="0.25">
      <c r="A99" t="s">
        <v>315</v>
      </c>
      <c r="B99" t="s">
        <v>316</v>
      </c>
      <c r="D99" s="7">
        <f>VLOOKUP(A99,SUMMARY!A:I,9,0)</f>
        <v>46006</v>
      </c>
      <c r="G99" t="s">
        <v>312</v>
      </c>
      <c r="H99" t="s">
        <v>313</v>
      </c>
      <c r="I99">
        <v>2</v>
      </c>
      <c r="J99" t="s">
        <v>26</v>
      </c>
      <c r="K99" t="s">
        <v>131</v>
      </c>
      <c r="L99" t="s">
        <v>847</v>
      </c>
      <c r="M99" t="s">
        <v>848</v>
      </c>
    </row>
    <row r="100" spans="1:13" x14ac:dyDescent="0.25">
      <c r="A100" t="s">
        <v>318</v>
      </c>
      <c r="B100" t="s">
        <v>319</v>
      </c>
      <c r="D100" s="7">
        <f>VLOOKUP(A100,SUMMARY!A:I,9,0)</f>
        <v>46006</v>
      </c>
      <c r="G100" t="s">
        <v>315</v>
      </c>
      <c r="H100" t="s">
        <v>316</v>
      </c>
      <c r="I100">
        <v>2</v>
      </c>
      <c r="J100" t="s">
        <v>26</v>
      </c>
      <c r="K100" t="s">
        <v>131</v>
      </c>
      <c r="L100" t="s">
        <v>835</v>
      </c>
      <c r="M100" t="s">
        <v>836</v>
      </c>
    </row>
    <row r="101" spans="1:13" x14ac:dyDescent="0.25">
      <c r="A101" t="s">
        <v>321</v>
      </c>
      <c r="B101" t="s">
        <v>322</v>
      </c>
      <c r="D101" s="7">
        <f>VLOOKUP(A101,SUMMARY!A:I,9,0)</f>
        <v>46006</v>
      </c>
      <c r="G101" t="s">
        <v>318</v>
      </c>
      <c r="H101" t="s">
        <v>319</v>
      </c>
      <c r="I101">
        <v>2</v>
      </c>
      <c r="J101" t="s">
        <v>26</v>
      </c>
      <c r="K101" t="s">
        <v>131</v>
      </c>
      <c r="L101" t="s">
        <v>835</v>
      </c>
      <c r="M101" t="s">
        <v>836</v>
      </c>
    </row>
    <row r="102" spans="1:13" x14ac:dyDescent="0.25">
      <c r="A102" t="s">
        <v>324</v>
      </c>
      <c r="B102" t="s">
        <v>325</v>
      </c>
      <c r="D102" s="7">
        <f>VLOOKUP(A102,SUMMARY!A:I,9,0)</f>
        <v>46006</v>
      </c>
      <c r="G102" t="s">
        <v>321</v>
      </c>
      <c r="H102" t="s">
        <v>322</v>
      </c>
      <c r="I102">
        <v>2</v>
      </c>
      <c r="J102" t="s">
        <v>26</v>
      </c>
      <c r="K102" t="s">
        <v>131</v>
      </c>
      <c r="L102" t="s">
        <v>863</v>
      </c>
      <c r="M102" t="s">
        <v>864</v>
      </c>
    </row>
    <row r="103" spans="1:13" x14ac:dyDescent="0.25">
      <c r="A103" t="s">
        <v>329</v>
      </c>
      <c r="B103" t="s">
        <v>330</v>
      </c>
      <c r="D103" s="7">
        <f>VLOOKUP(A103,SUMMARY!A:I,9,0)</f>
        <v>46006</v>
      </c>
      <c r="G103" t="s">
        <v>324</v>
      </c>
      <c r="H103" t="s">
        <v>325</v>
      </c>
      <c r="I103">
        <v>2</v>
      </c>
      <c r="J103" t="s">
        <v>26</v>
      </c>
      <c r="K103" t="s">
        <v>326</v>
      </c>
      <c r="L103" t="s">
        <v>845</v>
      </c>
      <c r="M103" t="s">
        <v>846</v>
      </c>
    </row>
    <row r="104" spans="1:13" x14ac:dyDescent="0.25">
      <c r="A104" t="s">
        <v>332</v>
      </c>
      <c r="B104" t="s">
        <v>333</v>
      </c>
      <c r="D104" s="7">
        <f>VLOOKUP(A104,SUMMARY!A:I,9,0)</f>
        <v>46006</v>
      </c>
      <c r="G104" t="s">
        <v>329</v>
      </c>
      <c r="H104" t="s">
        <v>330</v>
      </c>
      <c r="I104">
        <v>2</v>
      </c>
      <c r="J104" t="s">
        <v>26</v>
      </c>
      <c r="K104" t="s">
        <v>293</v>
      </c>
      <c r="L104" t="s">
        <v>845</v>
      </c>
      <c r="M104" t="s">
        <v>846</v>
      </c>
    </row>
    <row r="105" spans="1:13" x14ac:dyDescent="0.25">
      <c r="A105" t="s">
        <v>334</v>
      </c>
      <c r="B105" t="s">
        <v>335</v>
      </c>
      <c r="D105" s="7">
        <f>VLOOKUP(A105,SUMMARY!A:I,9,0)</f>
        <v>46006</v>
      </c>
      <c r="G105" t="s">
        <v>332</v>
      </c>
      <c r="H105" t="s">
        <v>333</v>
      </c>
      <c r="I105">
        <v>2</v>
      </c>
      <c r="J105" t="s">
        <v>26</v>
      </c>
      <c r="K105" t="s">
        <v>293</v>
      </c>
      <c r="L105" t="s">
        <v>851</v>
      </c>
      <c r="M105" t="s">
        <v>852</v>
      </c>
    </row>
    <row r="106" spans="1:13" x14ac:dyDescent="0.25">
      <c r="A106" t="s">
        <v>336</v>
      </c>
      <c r="B106" t="s">
        <v>337</v>
      </c>
      <c r="D106" s="7">
        <f>VLOOKUP(A106,SUMMARY!A:I,9,0)</f>
        <v>46006</v>
      </c>
      <c r="G106" t="s">
        <v>334</v>
      </c>
      <c r="H106" t="s">
        <v>335</v>
      </c>
      <c r="I106">
        <v>2</v>
      </c>
      <c r="J106" t="s">
        <v>26</v>
      </c>
      <c r="K106" t="s">
        <v>293</v>
      </c>
      <c r="L106" t="s">
        <v>839</v>
      </c>
      <c r="M106" t="s">
        <v>840</v>
      </c>
    </row>
    <row r="107" spans="1:13" x14ac:dyDescent="0.25">
      <c r="A107" t="s">
        <v>338</v>
      </c>
      <c r="B107" t="s">
        <v>339</v>
      </c>
      <c r="D107" s="7">
        <f>VLOOKUP(A107,SUMMARY!A:I,9,0)</f>
        <v>46006</v>
      </c>
      <c r="G107" t="s">
        <v>336</v>
      </c>
      <c r="H107" t="s">
        <v>337</v>
      </c>
      <c r="I107">
        <v>1</v>
      </c>
      <c r="J107" t="s">
        <v>26</v>
      </c>
      <c r="K107" t="s">
        <v>293</v>
      </c>
      <c r="L107" t="s">
        <v>845</v>
      </c>
      <c r="M107" t="s">
        <v>846</v>
      </c>
    </row>
    <row r="108" spans="1:13" x14ac:dyDescent="0.25">
      <c r="A108" t="s">
        <v>340</v>
      </c>
      <c r="B108" t="s">
        <v>341</v>
      </c>
      <c r="D108" s="7">
        <f>VLOOKUP(A108,SUMMARY!A:I,9,0)</f>
        <v>46006</v>
      </c>
      <c r="G108" t="s">
        <v>338</v>
      </c>
      <c r="H108" t="s">
        <v>339</v>
      </c>
      <c r="I108">
        <v>1</v>
      </c>
      <c r="J108" t="s">
        <v>26</v>
      </c>
      <c r="K108" t="s">
        <v>118</v>
      </c>
      <c r="L108" t="s">
        <v>837</v>
      </c>
      <c r="M108" t="s">
        <v>838</v>
      </c>
    </row>
    <row r="109" spans="1:13" x14ac:dyDescent="0.25">
      <c r="A109" t="s">
        <v>344</v>
      </c>
      <c r="B109" t="s">
        <v>345</v>
      </c>
      <c r="D109" s="7">
        <f>VLOOKUP(A109,SUMMARY!A:I,9,0)</f>
        <v>46006</v>
      </c>
      <c r="G109" t="s">
        <v>340</v>
      </c>
      <c r="H109" t="s">
        <v>341</v>
      </c>
      <c r="I109">
        <v>2</v>
      </c>
      <c r="J109" t="s">
        <v>26</v>
      </c>
      <c r="K109" t="s">
        <v>118</v>
      </c>
      <c r="L109" t="s">
        <v>845</v>
      </c>
      <c r="M109" t="s">
        <v>846</v>
      </c>
    </row>
    <row r="110" spans="1:13" x14ac:dyDescent="0.25">
      <c r="A110" t="s">
        <v>347</v>
      </c>
      <c r="B110" t="s">
        <v>348</v>
      </c>
      <c r="D110" s="7">
        <f>VLOOKUP(A110,SUMMARY!A:I,9,0)</f>
        <v>46006</v>
      </c>
      <c r="G110" t="s">
        <v>344</v>
      </c>
      <c r="H110" t="s">
        <v>345</v>
      </c>
      <c r="I110">
        <v>2</v>
      </c>
      <c r="J110" t="s">
        <v>26</v>
      </c>
      <c r="K110" t="s">
        <v>118</v>
      </c>
      <c r="L110" t="s">
        <v>843</v>
      </c>
      <c r="M110" t="s">
        <v>844</v>
      </c>
    </row>
    <row r="111" spans="1:13" x14ac:dyDescent="0.25">
      <c r="A111" t="s">
        <v>351</v>
      </c>
      <c r="B111" t="s">
        <v>352</v>
      </c>
      <c r="D111" s="7">
        <f>VLOOKUP(A111,SUMMARY!A:I,9,0)</f>
        <v>46006</v>
      </c>
      <c r="G111" t="s">
        <v>347</v>
      </c>
      <c r="H111" t="s">
        <v>348</v>
      </c>
      <c r="I111">
        <v>1</v>
      </c>
      <c r="J111" t="s">
        <v>26</v>
      </c>
      <c r="K111" t="s">
        <v>118</v>
      </c>
      <c r="L111" t="s">
        <v>837</v>
      </c>
      <c r="M111" t="s">
        <v>838</v>
      </c>
    </row>
    <row r="112" spans="1:13" x14ac:dyDescent="0.25">
      <c r="A112" t="s">
        <v>355</v>
      </c>
      <c r="B112" t="s">
        <v>356</v>
      </c>
      <c r="D112" s="7">
        <f>VLOOKUP(A112,SUMMARY!A:I,9,0)</f>
        <v>46006</v>
      </c>
      <c r="G112" t="s">
        <v>351</v>
      </c>
      <c r="H112" t="s">
        <v>352</v>
      </c>
      <c r="I112">
        <v>2</v>
      </c>
      <c r="J112" t="s">
        <v>26</v>
      </c>
      <c r="K112" t="s">
        <v>353</v>
      </c>
      <c r="L112" t="s">
        <v>845</v>
      </c>
      <c r="M112" t="s">
        <v>846</v>
      </c>
    </row>
    <row r="113" spans="1:13" x14ac:dyDescent="0.25">
      <c r="A113" t="s">
        <v>358</v>
      </c>
      <c r="B113" t="s">
        <v>359</v>
      </c>
      <c r="D113" s="7">
        <f>VLOOKUP(A113,SUMMARY!A:I,9,0)</f>
        <v>46006</v>
      </c>
      <c r="G113" t="s">
        <v>355</v>
      </c>
      <c r="H113" t="s">
        <v>356</v>
      </c>
      <c r="I113">
        <v>1</v>
      </c>
      <c r="J113" t="s">
        <v>26</v>
      </c>
      <c r="K113" t="s">
        <v>353</v>
      </c>
      <c r="L113" t="s">
        <v>837</v>
      </c>
      <c r="M113" t="s">
        <v>838</v>
      </c>
    </row>
    <row r="114" spans="1:13" x14ac:dyDescent="0.25">
      <c r="A114" t="s">
        <v>361</v>
      </c>
      <c r="B114" t="s">
        <v>362</v>
      </c>
      <c r="D114" s="7">
        <f>VLOOKUP(A114,SUMMARY!A:I,9,0)</f>
        <v>46006</v>
      </c>
      <c r="G114" t="s">
        <v>358</v>
      </c>
      <c r="H114" t="s">
        <v>359</v>
      </c>
      <c r="I114">
        <v>2</v>
      </c>
      <c r="J114" t="s">
        <v>26</v>
      </c>
      <c r="K114" t="s">
        <v>32</v>
      </c>
      <c r="L114" t="s">
        <v>841</v>
      </c>
      <c r="M114" t="s">
        <v>842</v>
      </c>
    </row>
    <row r="115" spans="1:13" x14ac:dyDescent="0.25">
      <c r="A115" t="s">
        <v>363</v>
      </c>
      <c r="B115" t="s">
        <v>364</v>
      </c>
      <c r="D115" s="7">
        <f>VLOOKUP(A115,SUMMARY!A:I,9,0)</f>
        <v>46014</v>
      </c>
      <c r="G115" t="s">
        <v>361</v>
      </c>
      <c r="H115" t="s">
        <v>362</v>
      </c>
      <c r="I115">
        <v>2</v>
      </c>
      <c r="J115" t="s">
        <v>26</v>
      </c>
      <c r="K115" t="s">
        <v>122</v>
      </c>
      <c r="L115" t="s">
        <v>839</v>
      </c>
      <c r="M115" t="s">
        <v>840</v>
      </c>
    </row>
    <row r="116" spans="1:13" x14ac:dyDescent="0.25">
      <c r="A116" t="s">
        <v>368</v>
      </c>
      <c r="B116" t="s">
        <v>369</v>
      </c>
      <c r="D116" s="7">
        <f>VLOOKUP(A116,SUMMARY!A:I,9,0)</f>
        <v>46014</v>
      </c>
      <c r="G116" t="s">
        <v>363</v>
      </c>
      <c r="H116" t="s">
        <v>364</v>
      </c>
      <c r="I116">
        <v>2</v>
      </c>
      <c r="J116" t="s">
        <v>26</v>
      </c>
      <c r="K116" t="s">
        <v>365</v>
      </c>
      <c r="L116" t="s">
        <v>837</v>
      </c>
      <c r="M116" t="s">
        <v>838</v>
      </c>
    </row>
    <row r="117" spans="1:13" x14ac:dyDescent="0.25">
      <c r="A117" t="s">
        <v>371</v>
      </c>
      <c r="B117" t="s">
        <v>372</v>
      </c>
      <c r="D117" s="7">
        <f>VLOOKUP(A117,SUMMARY!A:I,9,0)</f>
        <v>46014</v>
      </c>
      <c r="G117" t="s">
        <v>368</v>
      </c>
      <c r="H117" t="s">
        <v>369</v>
      </c>
      <c r="I117">
        <v>2</v>
      </c>
      <c r="J117" t="s">
        <v>26</v>
      </c>
      <c r="K117" t="s">
        <v>118</v>
      </c>
      <c r="L117" t="s">
        <v>839</v>
      </c>
      <c r="M117" t="s">
        <v>840</v>
      </c>
    </row>
    <row r="118" spans="1:13" x14ac:dyDescent="0.25">
      <c r="A118" t="s">
        <v>374</v>
      </c>
      <c r="B118" t="s">
        <v>375</v>
      </c>
      <c r="D118" s="7">
        <f>VLOOKUP(A118,SUMMARY!A:I,9,0)</f>
        <v>46014</v>
      </c>
      <c r="G118" t="s">
        <v>371</v>
      </c>
      <c r="H118" t="s">
        <v>372</v>
      </c>
      <c r="I118">
        <v>1</v>
      </c>
      <c r="J118" t="s">
        <v>26</v>
      </c>
      <c r="K118" t="s">
        <v>118</v>
      </c>
      <c r="L118" t="s">
        <v>845</v>
      </c>
      <c r="M118" t="s">
        <v>846</v>
      </c>
    </row>
    <row r="119" spans="1:13" x14ac:dyDescent="0.25">
      <c r="A119" t="s">
        <v>376</v>
      </c>
      <c r="B119" t="s">
        <v>377</v>
      </c>
      <c r="D119" s="7">
        <f>VLOOKUP(A119,SUMMARY!A:I,9,0)</f>
        <v>46014</v>
      </c>
      <c r="G119" t="s">
        <v>374</v>
      </c>
      <c r="H119" t="s">
        <v>375</v>
      </c>
      <c r="I119">
        <v>1</v>
      </c>
      <c r="J119" t="s">
        <v>26</v>
      </c>
      <c r="K119" t="s">
        <v>118</v>
      </c>
      <c r="L119" t="s">
        <v>845</v>
      </c>
      <c r="M119" t="s">
        <v>846</v>
      </c>
    </row>
    <row r="120" spans="1:13" x14ac:dyDescent="0.25">
      <c r="A120" t="s">
        <v>379</v>
      </c>
      <c r="B120" t="s">
        <v>380</v>
      </c>
      <c r="D120" s="7">
        <f>VLOOKUP(A120,SUMMARY!A:I,9,0)</f>
        <v>46014</v>
      </c>
      <c r="G120" t="s">
        <v>376</v>
      </c>
      <c r="H120" t="s">
        <v>377</v>
      </c>
      <c r="I120">
        <v>2</v>
      </c>
      <c r="J120" t="s">
        <v>26</v>
      </c>
      <c r="K120" t="s">
        <v>118</v>
      </c>
      <c r="L120" t="s">
        <v>837</v>
      </c>
      <c r="M120" t="s">
        <v>838</v>
      </c>
    </row>
    <row r="121" spans="1:13" x14ac:dyDescent="0.25">
      <c r="A121" t="s">
        <v>382</v>
      </c>
      <c r="B121" t="s">
        <v>383</v>
      </c>
      <c r="D121" s="7">
        <f>VLOOKUP(A121,SUMMARY!A:I,9,0)</f>
        <v>46014</v>
      </c>
      <c r="G121" t="s">
        <v>379</v>
      </c>
      <c r="H121" t="s">
        <v>380</v>
      </c>
      <c r="I121">
        <v>1</v>
      </c>
      <c r="J121" t="s">
        <v>26</v>
      </c>
      <c r="K121" t="s">
        <v>96</v>
      </c>
      <c r="L121" t="s">
        <v>845</v>
      </c>
      <c r="M121" t="s">
        <v>846</v>
      </c>
    </row>
    <row r="122" spans="1:13" x14ac:dyDescent="0.25">
      <c r="A122" t="s">
        <v>385</v>
      </c>
      <c r="B122" t="s">
        <v>386</v>
      </c>
      <c r="D122" s="7">
        <f>VLOOKUP(A122,SUMMARY!A:I,9,0)</f>
        <v>46014</v>
      </c>
      <c r="G122" t="s">
        <v>382</v>
      </c>
      <c r="H122" t="s">
        <v>383</v>
      </c>
      <c r="I122">
        <v>2</v>
      </c>
      <c r="J122" t="s">
        <v>26</v>
      </c>
      <c r="K122" t="s">
        <v>118</v>
      </c>
      <c r="L122" t="s">
        <v>837</v>
      </c>
      <c r="M122" t="s">
        <v>838</v>
      </c>
    </row>
    <row r="123" spans="1:13" x14ac:dyDescent="0.25">
      <c r="A123" t="s">
        <v>387</v>
      </c>
      <c r="B123" t="s">
        <v>388</v>
      </c>
      <c r="D123" s="7">
        <f>VLOOKUP(A123,SUMMARY!A:I,9,0)</f>
        <v>46014</v>
      </c>
      <c r="G123" t="s">
        <v>385</v>
      </c>
      <c r="H123" t="s">
        <v>386</v>
      </c>
      <c r="I123">
        <v>2</v>
      </c>
      <c r="J123" t="s">
        <v>26</v>
      </c>
      <c r="K123" t="s">
        <v>118</v>
      </c>
      <c r="L123" t="s">
        <v>837</v>
      </c>
      <c r="M123" t="s">
        <v>838</v>
      </c>
    </row>
    <row r="124" spans="1:13" x14ac:dyDescent="0.25">
      <c r="A124" t="s">
        <v>390</v>
      </c>
      <c r="B124" t="s">
        <v>391</v>
      </c>
      <c r="D124" s="7">
        <f>VLOOKUP(A124,SUMMARY!A:I,9,0)</f>
        <v>46014</v>
      </c>
      <c r="G124" t="s">
        <v>387</v>
      </c>
      <c r="H124" t="s">
        <v>388</v>
      </c>
      <c r="I124">
        <v>1</v>
      </c>
      <c r="J124" t="s">
        <v>26</v>
      </c>
      <c r="K124" t="s">
        <v>118</v>
      </c>
      <c r="L124" t="s">
        <v>841</v>
      </c>
      <c r="M124" t="s">
        <v>842</v>
      </c>
    </row>
    <row r="125" spans="1:13" x14ac:dyDescent="0.25">
      <c r="A125" t="s">
        <v>393</v>
      </c>
      <c r="B125" t="s">
        <v>394</v>
      </c>
      <c r="D125" s="7">
        <f>VLOOKUP(A125,SUMMARY!A:I,9,0)</f>
        <v>46014</v>
      </c>
      <c r="G125" t="s">
        <v>390</v>
      </c>
      <c r="H125" t="s">
        <v>391</v>
      </c>
      <c r="I125">
        <v>1</v>
      </c>
      <c r="J125" t="s">
        <v>26</v>
      </c>
      <c r="K125" t="s">
        <v>96</v>
      </c>
      <c r="L125" t="s">
        <v>841</v>
      </c>
      <c r="M125" t="s">
        <v>842</v>
      </c>
    </row>
    <row r="126" spans="1:13" x14ac:dyDescent="0.25">
      <c r="A126" t="s">
        <v>398</v>
      </c>
      <c r="B126" t="s">
        <v>399</v>
      </c>
      <c r="D126" s="7">
        <f>VLOOKUP(A126,SUMMARY!A:I,9,0)</f>
        <v>46014</v>
      </c>
      <c r="G126" t="s">
        <v>393</v>
      </c>
      <c r="H126" t="s">
        <v>394</v>
      </c>
      <c r="I126">
        <v>1</v>
      </c>
      <c r="J126" t="s">
        <v>26</v>
      </c>
      <c r="K126" t="s">
        <v>395</v>
      </c>
      <c r="L126" t="s">
        <v>841</v>
      </c>
      <c r="M126" t="s">
        <v>842</v>
      </c>
    </row>
    <row r="127" spans="1:13" x14ac:dyDescent="0.25">
      <c r="A127" t="s">
        <v>400</v>
      </c>
      <c r="B127" t="s">
        <v>401</v>
      </c>
      <c r="D127" s="7">
        <f>VLOOKUP(A127,SUMMARY!A:I,9,0)</f>
        <v>46014</v>
      </c>
      <c r="G127" t="s">
        <v>398</v>
      </c>
      <c r="H127" t="s">
        <v>399</v>
      </c>
      <c r="I127">
        <v>1</v>
      </c>
      <c r="J127" t="s">
        <v>26</v>
      </c>
      <c r="K127" t="s">
        <v>293</v>
      </c>
      <c r="L127" t="s">
        <v>845</v>
      </c>
      <c r="M127" t="s">
        <v>846</v>
      </c>
    </row>
    <row r="128" spans="1:13" x14ac:dyDescent="0.25">
      <c r="A128" t="s">
        <v>402</v>
      </c>
      <c r="B128" t="s">
        <v>403</v>
      </c>
      <c r="D128" s="7">
        <f>VLOOKUP(A128,SUMMARY!A:I,9,0)</f>
        <v>46014</v>
      </c>
      <c r="G128" t="s">
        <v>400</v>
      </c>
      <c r="H128" t="s">
        <v>401</v>
      </c>
      <c r="I128">
        <v>1</v>
      </c>
      <c r="J128" t="s">
        <v>26</v>
      </c>
      <c r="K128" t="s">
        <v>293</v>
      </c>
      <c r="L128" t="s">
        <v>845</v>
      </c>
      <c r="M128" t="s">
        <v>846</v>
      </c>
    </row>
    <row r="129" spans="1:13" x14ac:dyDescent="0.25">
      <c r="A129" t="s">
        <v>404</v>
      </c>
      <c r="B129" t="s">
        <v>405</v>
      </c>
      <c r="D129" s="7">
        <f>VLOOKUP(A129,SUMMARY!A:I,9,0)</f>
        <v>46014</v>
      </c>
      <c r="G129" t="s">
        <v>402</v>
      </c>
      <c r="H129" t="s">
        <v>403</v>
      </c>
      <c r="I129">
        <v>1</v>
      </c>
      <c r="J129" t="s">
        <v>26</v>
      </c>
      <c r="K129" t="s">
        <v>293</v>
      </c>
      <c r="L129" t="s">
        <v>845</v>
      </c>
      <c r="M129" t="s">
        <v>846</v>
      </c>
    </row>
    <row r="130" spans="1:13" x14ac:dyDescent="0.25">
      <c r="A130" t="s">
        <v>407</v>
      </c>
      <c r="B130" t="s">
        <v>408</v>
      </c>
      <c r="D130" s="7">
        <f>VLOOKUP(A130,SUMMARY!A:I,9,0)</f>
        <v>46014</v>
      </c>
      <c r="G130" t="s">
        <v>404</v>
      </c>
      <c r="H130" t="s">
        <v>405</v>
      </c>
      <c r="I130">
        <v>1</v>
      </c>
      <c r="J130" t="s">
        <v>26</v>
      </c>
      <c r="K130" t="s">
        <v>293</v>
      </c>
      <c r="L130" t="s">
        <v>845</v>
      </c>
      <c r="M130" t="s">
        <v>846</v>
      </c>
    </row>
    <row r="131" spans="1:13" x14ac:dyDescent="0.25">
      <c r="A131" t="s">
        <v>409</v>
      </c>
      <c r="B131" t="s">
        <v>410</v>
      </c>
      <c r="D131" s="7">
        <f>VLOOKUP(A131,SUMMARY!A:I,9,0)</f>
        <v>46014</v>
      </c>
      <c r="G131" t="s">
        <v>407</v>
      </c>
      <c r="H131" t="s">
        <v>408</v>
      </c>
      <c r="I131">
        <v>1</v>
      </c>
      <c r="J131" t="s">
        <v>26</v>
      </c>
      <c r="K131" t="s">
        <v>293</v>
      </c>
      <c r="L131" t="s">
        <v>845</v>
      </c>
      <c r="M131" t="s">
        <v>846</v>
      </c>
    </row>
    <row r="132" spans="1:13" x14ac:dyDescent="0.25">
      <c r="A132" t="s">
        <v>412</v>
      </c>
      <c r="B132" t="s">
        <v>413</v>
      </c>
      <c r="D132" s="7">
        <f>VLOOKUP(A132,SUMMARY!A:I,9,0)</f>
        <v>46014</v>
      </c>
      <c r="G132" t="s">
        <v>409</v>
      </c>
      <c r="H132" t="s">
        <v>410</v>
      </c>
      <c r="I132">
        <v>1</v>
      </c>
      <c r="J132" t="s">
        <v>26</v>
      </c>
      <c r="K132" t="s">
        <v>293</v>
      </c>
      <c r="L132" t="s">
        <v>841</v>
      </c>
      <c r="M132" t="s">
        <v>842</v>
      </c>
    </row>
    <row r="133" spans="1:13" x14ac:dyDescent="0.25">
      <c r="A133" t="s">
        <v>414</v>
      </c>
      <c r="B133" t="s">
        <v>415</v>
      </c>
      <c r="D133" s="7">
        <f>VLOOKUP(A133,SUMMARY!A:I,9,0)</f>
        <v>46014</v>
      </c>
      <c r="G133" t="s">
        <v>412</v>
      </c>
      <c r="H133" t="s">
        <v>413</v>
      </c>
      <c r="I133">
        <v>1</v>
      </c>
      <c r="J133" t="s">
        <v>26</v>
      </c>
      <c r="K133" t="s">
        <v>293</v>
      </c>
      <c r="L133" t="s">
        <v>841</v>
      </c>
      <c r="M133" t="s">
        <v>842</v>
      </c>
    </row>
    <row r="134" spans="1:13" x14ac:dyDescent="0.25">
      <c r="A134" t="s">
        <v>416</v>
      </c>
      <c r="B134" t="s">
        <v>417</v>
      </c>
      <c r="D134" s="7">
        <f>VLOOKUP(A134,SUMMARY!A:I,9,0)</f>
        <v>46014</v>
      </c>
      <c r="G134" t="s">
        <v>414</v>
      </c>
      <c r="H134" t="s">
        <v>415</v>
      </c>
      <c r="I134">
        <v>1</v>
      </c>
      <c r="J134" t="s">
        <v>26</v>
      </c>
      <c r="K134" t="s">
        <v>293</v>
      </c>
      <c r="L134" t="s">
        <v>845</v>
      </c>
      <c r="M134" t="s">
        <v>846</v>
      </c>
    </row>
    <row r="135" spans="1:13" x14ac:dyDescent="0.25">
      <c r="A135" t="s">
        <v>418</v>
      </c>
      <c r="B135" t="s">
        <v>419</v>
      </c>
      <c r="D135" s="7">
        <f>VLOOKUP(A135,SUMMARY!A:I,9,0)</f>
        <v>46014</v>
      </c>
      <c r="G135" t="s">
        <v>416</v>
      </c>
      <c r="H135" t="s">
        <v>417</v>
      </c>
      <c r="I135">
        <v>1</v>
      </c>
      <c r="J135" t="s">
        <v>26</v>
      </c>
      <c r="K135" t="s">
        <v>293</v>
      </c>
      <c r="L135" t="s">
        <v>845</v>
      </c>
      <c r="M135" t="s">
        <v>846</v>
      </c>
    </row>
    <row r="136" spans="1:13" x14ac:dyDescent="0.25">
      <c r="A136" t="s">
        <v>420</v>
      </c>
      <c r="B136" t="s">
        <v>421</v>
      </c>
      <c r="D136" s="7">
        <f>VLOOKUP(A136,SUMMARY!A:I,9,0)</f>
        <v>46030</v>
      </c>
      <c r="G136" t="s">
        <v>418</v>
      </c>
      <c r="H136" t="s">
        <v>419</v>
      </c>
      <c r="I136">
        <v>2</v>
      </c>
      <c r="J136" t="s">
        <v>26</v>
      </c>
      <c r="K136" t="s">
        <v>96</v>
      </c>
      <c r="L136" t="s">
        <v>853</v>
      </c>
      <c r="M136" t="s">
        <v>854</v>
      </c>
    </row>
    <row r="137" spans="1:13" x14ac:dyDescent="0.25">
      <c r="A137" t="s">
        <v>422</v>
      </c>
      <c r="B137" t="s">
        <v>423</v>
      </c>
      <c r="D137" s="7">
        <f>VLOOKUP(A137,SUMMARY!A:I,9,0)</f>
        <v>46030</v>
      </c>
      <c r="G137" t="s">
        <v>420</v>
      </c>
      <c r="H137" t="s">
        <v>421</v>
      </c>
      <c r="I137">
        <v>1</v>
      </c>
      <c r="J137" t="s">
        <v>26</v>
      </c>
      <c r="K137" t="s">
        <v>293</v>
      </c>
      <c r="L137" t="s">
        <v>845</v>
      </c>
      <c r="M137" t="s">
        <v>846</v>
      </c>
    </row>
    <row r="138" spans="1:13" x14ac:dyDescent="0.25">
      <c r="A138" t="s">
        <v>424</v>
      </c>
      <c r="B138" t="s">
        <v>425</v>
      </c>
      <c r="D138" s="7">
        <f>VLOOKUP(A138,SUMMARY!A:I,9,0)</f>
        <v>46030</v>
      </c>
      <c r="G138" t="s">
        <v>422</v>
      </c>
      <c r="H138" t="s">
        <v>423</v>
      </c>
      <c r="I138">
        <v>2</v>
      </c>
      <c r="J138" t="s">
        <v>26</v>
      </c>
      <c r="K138" t="s">
        <v>293</v>
      </c>
      <c r="L138" t="s">
        <v>845</v>
      </c>
      <c r="M138" t="s">
        <v>846</v>
      </c>
    </row>
    <row r="139" spans="1:13" x14ac:dyDescent="0.25">
      <c r="A139" t="s">
        <v>426</v>
      </c>
      <c r="B139" t="s">
        <v>427</v>
      </c>
      <c r="D139" s="7">
        <f>VLOOKUP(A139,SUMMARY!A:I,9,0)</f>
        <v>46030</v>
      </c>
      <c r="G139" t="s">
        <v>424</v>
      </c>
      <c r="H139" t="s">
        <v>425</v>
      </c>
      <c r="I139">
        <v>1</v>
      </c>
      <c r="J139" t="s">
        <v>26</v>
      </c>
      <c r="K139" t="s">
        <v>122</v>
      </c>
      <c r="L139" t="s">
        <v>837</v>
      </c>
      <c r="M139" t="s">
        <v>838</v>
      </c>
    </row>
    <row r="140" spans="1:13" x14ac:dyDescent="0.25">
      <c r="A140" t="s">
        <v>429</v>
      </c>
      <c r="B140" t="s">
        <v>430</v>
      </c>
      <c r="D140" s="7">
        <f>VLOOKUP(A140,SUMMARY!A:I,9,0)</f>
        <v>46035</v>
      </c>
      <c r="G140" t="s">
        <v>426</v>
      </c>
      <c r="H140" t="s">
        <v>427</v>
      </c>
      <c r="I140">
        <v>2</v>
      </c>
      <c r="J140" t="s">
        <v>26</v>
      </c>
      <c r="K140" t="s">
        <v>131</v>
      </c>
      <c r="L140" t="s">
        <v>845</v>
      </c>
      <c r="M140" t="s">
        <v>846</v>
      </c>
    </row>
    <row r="141" spans="1:13" x14ac:dyDescent="0.25">
      <c r="A141" t="s">
        <v>433</v>
      </c>
      <c r="B141" t="s">
        <v>434</v>
      </c>
      <c r="D141" s="7">
        <f>VLOOKUP(A141,SUMMARY!A:I,9,0)</f>
        <v>46035</v>
      </c>
      <c r="G141" t="s">
        <v>429</v>
      </c>
      <c r="H141" t="s">
        <v>430</v>
      </c>
      <c r="I141">
        <v>1</v>
      </c>
      <c r="J141" t="s">
        <v>26</v>
      </c>
      <c r="K141" t="s">
        <v>32</v>
      </c>
      <c r="L141" t="s">
        <v>835</v>
      </c>
      <c r="M141" t="s">
        <v>836</v>
      </c>
    </row>
    <row r="142" spans="1:13" x14ac:dyDescent="0.25">
      <c r="A142" t="s">
        <v>435</v>
      </c>
      <c r="B142" t="s">
        <v>436</v>
      </c>
      <c r="D142" s="7">
        <f>VLOOKUP(A142,SUMMARY!A:I,9,0)</f>
        <v>46035</v>
      </c>
      <c r="G142" t="s">
        <v>433</v>
      </c>
      <c r="H142" t="s">
        <v>434</v>
      </c>
      <c r="I142">
        <v>1</v>
      </c>
      <c r="J142" t="s">
        <v>26</v>
      </c>
      <c r="K142" t="s">
        <v>131</v>
      </c>
      <c r="L142" t="s">
        <v>841</v>
      </c>
      <c r="M142" t="s">
        <v>842</v>
      </c>
    </row>
    <row r="143" spans="1:13" x14ac:dyDescent="0.25">
      <c r="A143" t="s">
        <v>439</v>
      </c>
      <c r="B143" t="s">
        <v>440</v>
      </c>
      <c r="D143" s="7">
        <f>VLOOKUP(A143,SUMMARY!A:I,9,0)</f>
        <v>46035</v>
      </c>
      <c r="G143" t="s">
        <v>435</v>
      </c>
      <c r="H143" t="s">
        <v>436</v>
      </c>
      <c r="I143">
        <v>1</v>
      </c>
      <c r="J143" t="s">
        <v>26</v>
      </c>
      <c r="K143" t="s">
        <v>32</v>
      </c>
      <c r="L143" t="s">
        <v>835</v>
      </c>
      <c r="M143" t="s">
        <v>836</v>
      </c>
    </row>
    <row r="144" spans="1:13" x14ac:dyDescent="0.25">
      <c r="A144" t="s">
        <v>441</v>
      </c>
      <c r="B144" t="s">
        <v>442</v>
      </c>
      <c r="D144" s="7">
        <f>VLOOKUP(A144,SUMMARY!A:I,9,0)</f>
        <v>46035</v>
      </c>
      <c r="G144" t="s">
        <v>439</v>
      </c>
      <c r="H144" t="s">
        <v>440</v>
      </c>
      <c r="I144">
        <v>1</v>
      </c>
      <c r="J144" t="s">
        <v>26</v>
      </c>
      <c r="K144" t="s">
        <v>131</v>
      </c>
      <c r="L144" t="s">
        <v>841</v>
      </c>
      <c r="M144" t="s">
        <v>842</v>
      </c>
    </row>
    <row r="145" spans="1:13" x14ac:dyDescent="0.25">
      <c r="A145" t="s">
        <v>443</v>
      </c>
      <c r="B145" t="s">
        <v>444</v>
      </c>
      <c r="D145" s="7">
        <f>VLOOKUP(A145,SUMMARY!A:I,9,0)</f>
        <v>46035</v>
      </c>
      <c r="G145" t="s">
        <v>441</v>
      </c>
      <c r="H145" t="s">
        <v>442</v>
      </c>
      <c r="I145">
        <v>1</v>
      </c>
      <c r="J145" t="s">
        <v>26</v>
      </c>
      <c r="K145" t="s">
        <v>131</v>
      </c>
      <c r="L145" t="s">
        <v>845</v>
      </c>
      <c r="M145" t="s">
        <v>846</v>
      </c>
    </row>
    <row r="146" spans="1:13" x14ac:dyDescent="0.25">
      <c r="A146" t="s">
        <v>445</v>
      </c>
      <c r="B146" t="s">
        <v>446</v>
      </c>
      <c r="D146" s="7">
        <f>VLOOKUP(A146,SUMMARY!A:I,9,0)</f>
        <v>46035</v>
      </c>
      <c r="G146" t="s">
        <v>443</v>
      </c>
      <c r="H146" t="s">
        <v>444</v>
      </c>
      <c r="I146">
        <v>1</v>
      </c>
      <c r="J146" t="s">
        <v>26</v>
      </c>
      <c r="K146" t="s">
        <v>131</v>
      </c>
      <c r="L146" t="s">
        <v>839</v>
      </c>
      <c r="M146" t="s">
        <v>840</v>
      </c>
    </row>
    <row r="147" spans="1:13" x14ac:dyDescent="0.25">
      <c r="A147" t="s">
        <v>447</v>
      </c>
      <c r="B147" t="s">
        <v>448</v>
      </c>
      <c r="D147" s="7">
        <f>VLOOKUP(A147,SUMMARY!A:I,9,0)</f>
        <v>46035</v>
      </c>
      <c r="G147" t="s">
        <v>445</v>
      </c>
      <c r="H147" t="s">
        <v>446</v>
      </c>
      <c r="I147">
        <v>2</v>
      </c>
      <c r="J147" t="s">
        <v>26</v>
      </c>
      <c r="K147" t="s">
        <v>32</v>
      </c>
      <c r="L147" t="s">
        <v>859</v>
      </c>
      <c r="M147" t="s">
        <v>860</v>
      </c>
    </row>
    <row r="148" spans="1:13" x14ac:dyDescent="0.25">
      <c r="A148" t="s">
        <v>449</v>
      </c>
      <c r="B148" t="s">
        <v>450</v>
      </c>
      <c r="D148" s="7">
        <f>VLOOKUP(A148,SUMMARY!A:I,9,0)</f>
        <v>46035</v>
      </c>
      <c r="G148" t="s">
        <v>447</v>
      </c>
      <c r="H148" t="s">
        <v>448</v>
      </c>
      <c r="I148">
        <v>1</v>
      </c>
      <c r="J148" t="s">
        <v>26</v>
      </c>
      <c r="K148" t="s">
        <v>131</v>
      </c>
      <c r="L148" t="s">
        <v>853</v>
      </c>
      <c r="M148" t="s">
        <v>854</v>
      </c>
    </row>
    <row r="149" spans="1:13" x14ac:dyDescent="0.25">
      <c r="A149" t="s">
        <v>451</v>
      </c>
      <c r="B149" t="s">
        <v>452</v>
      </c>
      <c r="D149" s="7">
        <f>VLOOKUP(A149,SUMMARY!A:I,9,0)</f>
        <v>46035</v>
      </c>
      <c r="G149" t="s">
        <v>449</v>
      </c>
      <c r="H149" t="s">
        <v>450</v>
      </c>
      <c r="I149">
        <v>1</v>
      </c>
      <c r="J149" t="s">
        <v>26</v>
      </c>
      <c r="K149" t="s">
        <v>32</v>
      </c>
      <c r="L149" t="s">
        <v>845</v>
      </c>
      <c r="M149" t="s">
        <v>846</v>
      </c>
    </row>
    <row r="150" spans="1:13" x14ac:dyDescent="0.25">
      <c r="A150" t="s">
        <v>453</v>
      </c>
      <c r="B150" t="s">
        <v>454</v>
      </c>
      <c r="D150" s="7">
        <f>VLOOKUP(A150,SUMMARY!A:I,9,0)</f>
        <v>46035</v>
      </c>
      <c r="G150" t="s">
        <v>451</v>
      </c>
      <c r="H150" t="s">
        <v>452</v>
      </c>
      <c r="I150">
        <v>1</v>
      </c>
      <c r="J150" t="s">
        <v>26</v>
      </c>
      <c r="K150" t="s">
        <v>293</v>
      </c>
      <c r="L150" t="s">
        <v>845</v>
      </c>
      <c r="M150" t="s">
        <v>846</v>
      </c>
    </row>
    <row r="151" spans="1:13" x14ac:dyDescent="0.25">
      <c r="A151" t="s">
        <v>456</v>
      </c>
      <c r="B151" t="s">
        <v>457</v>
      </c>
      <c r="D151" s="7">
        <f>VLOOKUP(A151,SUMMARY!A:I,9,0)</f>
        <v>46035</v>
      </c>
      <c r="G151" t="s">
        <v>453</v>
      </c>
      <c r="H151" t="s">
        <v>454</v>
      </c>
      <c r="I151">
        <v>1</v>
      </c>
      <c r="J151" t="s">
        <v>26</v>
      </c>
      <c r="K151" t="s">
        <v>32</v>
      </c>
      <c r="L151" t="s">
        <v>845</v>
      </c>
      <c r="M151" t="s">
        <v>846</v>
      </c>
    </row>
    <row r="152" spans="1:13" x14ac:dyDescent="0.25">
      <c r="G152" t="s">
        <v>456</v>
      </c>
      <c r="H152" t="s">
        <v>457</v>
      </c>
      <c r="I152">
        <v>1</v>
      </c>
      <c r="J152" t="s">
        <v>26</v>
      </c>
      <c r="K152" t="s">
        <v>32</v>
      </c>
      <c r="L152" t="s">
        <v>845</v>
      </c>
      <c r="M152" t="s">
        <v>846</v>
      </c>
    </row>
    <row r="153" spans="1:13" x14ac:dyDescent="0.25">
      <c r="A153" t="s">
        <v>78</v>
      </c>
      <c r="B153" t="s">
        <v>79</v>
      </c>
      <c r="D153" s="7">
        <f>VLOOKUP(A153,SUMMARY!A:I,9,0)</f>
        <v>45941</v>
      </c>
    </row>
    <row r="154" spans="1:13" x14ac:dyDescent="0.25">
      <c r="A154" t="s">
        <v>458</v>
      </c>
      <c r="B154" t="s">
        <v>459</v>
      </c>
      <c r="D154" s="7">
        <f>VLOOKUP(A154,SUMMARY!A:I,9,0)</f>
        <v>46043</v>
      </c>
    </row>
    <row r="155" spans="1:13" x14ac:dyDescent="0.25">
      <c r="A155" t="s">
        <v>461</v>
      </c>
      <c r="B155" t="s">
        <v>462</v>
      </c>
      <c r="D155" s="7">
        <f>VLOOKUP(A155,SUMMARY!A:I,9,0)</f>
        <v>46043</v>
      </c>
      <c r="G155" t="s">
        <v>458</v>
      </c>
      <c r="H155" t="s">
        <v>459</v>
      </c>
      <c r="I155">
        <v>1</v>
      </c>
      <c r="J155" t="s">
        <v>26</v>
      </c>
      <c r="K155" t="s">
        <v>118</v>
      </c>
      <c r="L155" t="s">
        <v>857</v>
      </c>
      <c r="M155" t="s">
        <v>858</v>
      </c>
    </row>
    <row r="156" spans="1:13" x14ac:dyDescent="0.25">
      <c r="A156" t="s">
        <v>463</v>
      </c>
      <c r="B156" t="s">
        <v>464</v>
      </c>
      <c r="D156" s="7">
        <f>VLOOKUP(A156,SUMMARY!A:I,9,0)</f>
        <v>46043</v>
      </c>
      <c r="G156" t="s">
        <v>461</v>
      </c>
      <c r="H156" t="s">
        <v>462</v>
      </c>
      <c r="I156">
        <v>1</v>
      </c>
      <c r="J156" t="s">
        <v>26</v>
      </c>
      <c r="K156" t="s">
        <v>118</v>
      </c>
      <c r="L156" t="s">
        <v>857</v>
      </c>
      <c r="M156" t="s">
        <v>858</v>
      </c>
    </row>
    <row r="157" spans="1:13" x14ac:dyDescent="0.25">
      <c r="A157" t="s">
        <v>466</v>
      </c>
      <c r="B157" t="s">
        <v>467</v>
      </c>
      <c r="D157" s="7">
        <f>VLOOKUP(A157,SUMMARY!A:I,9,0)</f>
        <v>46043</v>
      </c>
      <c r="G157" t="s">
        <v>463</v>
      </c>
      <c r="H157" t="s">
        <v>464</v>
      </c>
      <c r="I157">
        <v>1</v>
      </c>
      <c r="J157" t="s">
        <v>26</v>
      </c>
      <c r="K157" t="s">
        <v>118</v>
      </c>
      <c r="L157" t="s">
        <v>857</v>
      </c>
      <c r="M157" t="s">
        <v>858</v>
      </c>
    </row>
    <row r="158" spans="1:13" x14ac:dyDescent="0.25">
      <c r="A158" t="s">
        <v>468</v>
      </c>
      <c r="B158" t="s">
        <v>469</v>
      </c>
      <c r="D158" s="7">
        <f>VLOOKUP(A158,SUMMARY!A:I,9,0)</f>
        <v>46043</v>
      </c>
      <c r="G158" t="s">
        <v>466</v>
      </c>
      <c r="H158" t="s">
        <v>467</v>
      </c>
      <c r="I158">
        <v>1</v>
      </c>
      <c r="J158" t="s">
        <v>26</v>
      </c>
      <c r="K158" t="s">
        <v>32</v>
      </c>
      <c r="L158" t="s">
        <v>837</v>
      </c>
      <c r="M158" t="s">
        <v>838</v>
      </c>
    </row>
    <row r="159" spans="1:13" x14ac:dyDescent="0.25">
      <c r="A159" t="s">
        <v>470</v>
      </c>
      <c r="B159" t="s">
        <v>471</v>
      </c>
      <c r="D159" s="7">
        <f>VLOOKUP(A159,SUMMARY!A:I,9,0)</f>
        <v>46043</v>
      </c>
      <c r="G159" t="s">
        <v>468</v>
      </c>
      <c r="H159" t="s">
        <v>469</v>
      </c>
      <c r="I159">
        <v>1</v>
      </c>
      <c r="J159" t="s">
        <v>26</v>
      </c>
      <c r="K159" t="s">
        <v>32</v>
      </c>
      <c r="L159" t="s">
        <v>837</v>
      </c>
      <c r="M159" t="s">
        <v>838</v>
      </c>
    </row>
    <row r="160" spans="1:13" x14ac:dyDescent="0.25">
      <c r="A160" t="s">
        <v>472</v>
      </c>
      <c r="B160" t="s">
        <v>473</v>
      </c>
      <c r="D160" s="7">
        <f>VLOOKUP(A160,SUMMARY!A:I,9,0)</f>
        <v>46043</v>
      </c>
      <c r="G160" t="s">
        <v>470</v>
      </c>
      <c r="H160" t="s">
        <v>471</v>
      </c>
      <c r="I160">
        <v>1</v>
      </c>
      <c r="J160" t="s">
        <v>26</v>
      </c>
      <c r="K160" t="s">
        <v>131</v>
      </c>
      <c r="L160" t="s">
        <v>845</v>
      </c>
      <c r="M160" t="s">
        <v>846</v>
      </c>
    </row>
    <row r="161" spans="1:13" x14ac:dyDescent="0.25">
      <c r="A161" t="s">
        <v>474</v>
      </c>
      <c r="B161" t="s">
        <v>475</v>
      </c>
      <c r="D161" s="7">
        <f>VLOOKUP(A161,SUMMARY!A:I,9,0)</f>
        <v>46043</v>
      </c>
      <c r="G161" t="s">
        <v>472</v>
      </c>
      <c r="H161" t="s">
        <v>473</v>
      </c>
      <c r="I161">
        <v>2</v>
      </c>
      <c r="J161" t="s">
        <v>26</v>
      </c>
      <c r="K161" t="s">
        <v>131</v>
      </c>
      <c r="L161" t="s">
        <v>841</v>
      </c>
      <c r="M161" t="s">
        <v>842</v>
      </c>
    </row>
    <row r="162" spans="1:13" x14ac:dyDescent="0.25">
      <c r="A162" t="s">
        <v>476</v>
      </c>
      <c r="B162" t="s">
        <v>477</v>
      </c>
      <c r="D162" s="7">
        <f>VLOOKUP(A162,SUMMARY!A:I,9,0)</f>
        <v>46043</v>
      </c>
      <c r="G162" t="s">
        <v>474</v>
      </c>
      <c r="H162" t="s">
        <v>475</v>
      </c>
      <c r="I162">
        <v>1</v>
      </c>
      <c r="J162" t="s">
        <v>26</v>
      </c>
      <c r="K162" t="s">
        <v>131</v>
      </c>
      <c r="L162" t="s">
        <v>845</v>
      </c>
      <c r="M162" t="s">
        <v>846</v>
      </c>
    </row>
    <row r="163" spans="1:13" x14ac:dyDescent="0.25">
      <c r="A163" t="s">
        <v>479</v>
      </c>
      <c r="B163" t="s">
        <v>480</v>
      </c>
      <c r="D163" s="7">
        <f>VLOOKUP(A163,SUMMARY!A:I,9,0)</f>
        <v>46043</v>
      </c>
      <c r="G163" t="s">
        <v>476</v>
      </c>
      <c r="H163" t="s">
        <v>477</v>
      </c>
      <c r="I163">
        <v>1</v>
      </c>
      <c r="J163" t="s">
        <v>26</v>
      </c>
      <c r="K163" t="s">
        <v>478</v>
      </c>
      <c r="L163" t="s">
        <v>851</v>
      </c>
      <c r="M163" t="s">
        <v>852</v>
      </c>
    </row>
    <row r="164" spans="1:13" x14ac:dyDescent="0.25">
      <c r="A164" t="s">
        <v>481</v>
      </c>
      <c r="B164" t="s">
        <v>482</v>
      </c>
      <c r="D164" s="7">
        <f>VLOOKUP(A164,SUMMARY!A:I,9,0)</f>
        <v>46043</v>
      </c>
      <c r="G164" t="s">
        <v>479</v>
      </c>
      <c r="H164" t="s">
        <v>480</v>
      </c>
      <c r="I164">
        <v>2</v>
      </c>
      <c r="J164" t="s">
        <v>26</v>
      </c>
      <c r="K164" t="s">
        <v>293</v>
      </c>
      <c r="L164" t="s">
        <v>839</v>
      </c>
      <c r="M164" t="s">
        <v>840</v>
      </c>
    </row>
    <row r="165" spans="1:13" x14ac:dyDescent="0.25">
      <c r="A165" t="s">
        <v>486</v>
      </c>
      <c r="B165" t="s">
        <v>487</v>
      </c>
      <c r="D165" s="7">
        <f>VLOOKUP(A165,SUMMARY!A:I,9,0)</f>
        <v>46043</v>
      </c>
      <c r="G165" t="s">
        <v>481</v>
      </c>
      <c r="H165" t="s">
        <v>482</v>
      </c>
      <c r="I165">
        <v>2</v>
      </c>
      <c r="J165" t="s">
        <v>26</v>
      </c>
      <c r="K165" t="s">
        <v>483</v>
      </c>
      <c r="L165" t="s">
        <v>847</v>
      </c>
      <c r="M165" t="s">
        <v>848</v>
      </c>
    </row>
    <row r="166" spans="1:13" x14ac:dyDescent="0.25">
      <c r="A166" t="s">
        <v>488</v>
      </c>
      <c r="B166" t="s">
        <v>489</v>
      </c>
      <c r="D166" s="7">
        <f>VLOOKUP(A166,SUMMARY!A:I,9,0)</f>
        <v>46049</v>
      </c>
      <c r="G166" t="s">
        <v>486</v>
      </c>
      <c r="H166" t="s">
        <v>487</v>
      </c>
      <c r="I166">
        <v>1</v>
      </c>
      <c r="J166" t="s">
        <v>26</v>
      </c>
      <c r="K166" t="s">
        <v>131</v>
      </c>
      <c r="L166" t="s">
        <v>851</v>
      </c>
      <c r="M166" t="s">
        <v>852</v>
      </c>
    </row>
    <row r="167" spans="1:13" x14ac:dyDescent="0.25">
      <c r="A167" t="s">
        <v>490</v>
      </c>
      <c r="B167" t="s">
        <v>491</v>
      </c>
      <c r="D167" s="7">
        <f>VLOOKUP(A167,SUMMARY!A:I,9,0)</f>
        <v>46049</v>
      </c>
      <c r="G167" t="s">
        <v>488</v>
      </c>
      <c r="H167" t="s">
        <v>489</v>
      </c>
      <c r="I167">
        <v>2</v>
      </c>
      <c r="J167" t="s">
        <v>26</v>
      </c>
      <c r="K167" t="s">
        <v>293</v>
      </c>
      <c r="L167" t="s">
        <v>839</v>
      </c>
      <c r="M167" t="s">
        <v>840</v>
      </c>
    </row>
    <row r="168" spans="1:13" x14ac:dyDescent="0.25">
      <c r="A168" t="s">
        <v>492</v>
      </c>
      <c r="B168" t="s">
        <v>493</v>
      </c>
      <c r="D168" s="7">
        <f>VLOOKUP(A168,SUMMARY!A:I,9,0)</f>
        <v>46049</v>
      </c>
      <c r="G168" t="s">
        <v>490</v>
      </c>
      <c r="H168" t="s">
        <v>491</v>
      </c>
      <c r="I168">
        <v>1</v>
      </c>
      <c r="J168" t="s">
        <v>26</v>
      </c>
      <c r="K168" t="s">
        <v>293</v>
      </c>
      <c r="L168" t="s">
        <v>845</v>
      </c>
      <c r="M168" t="s">
        <v>846</v>
      </c>
    </row>
    <row r="169" spans="1:13" x14ac:dyDescent="0.25">
      <c r="A169" t="s">
        <v>494</v>
      </c>
      <c r="B169" t="s">
        <v>495</v>
      </c>
      <c r="D169" s="7">
        <f>VLOOKUP(A169,SUMMARY!A:I,9,0)</f>
        <v>46049</v>
      </c>
      <c r="G169" t="s">
        <v>492</v>
      </c>
      <c r="H169" t="s">
        <v>493</v>
      </c>
      <c r="I169">
        <v>2</v>
      </c>
      <c r="J169" t="s">
        <v>26</v>
      </c>
      <c r="K169" t="s">
        <v>293</v>
      </c>
      <c r="L169" t="s">
        <v>839</v>
      </c>
      <c r="M169" t="s">
        <v>840</v>
      </c>
    </row>
    <row r="170" spans="1:13" x14ac:dyDescent="0.25">
      <c r="A170" t="s">
        <v>496</v>
      </c>
      <c r="B170" t="s">
        <v>497</v>
      </c>
      <c r="D170" s="7">
        <f>VLOOKUP(A170,SUMMARY!A:I,9,0)</f>
        <v>46049</v>
      </c>
      <c r="G170" t="s">
        <v>494</v>
      </c>
      <c r="H170" t="s">
        <v>495</v>
      </c>
      <c r="I170">
        <v>1</v>
      </c>
      <c r="J170" t="s">
        <v>26</v>
      </c>
      <c r="K170" t="s">
        <v>293</v>
      </c>
      <c r="L170" t="s">
        <v>845</v>
      </c>
      <c r="M170" t="s">
        <v>846</v>
      </c>
    </row>
    <row r="171" spans="1:13" x14ac:dyDescent="0.25">
      <c r="A171" t="s">
        <v>499</v>
      </c>
      <c r="B171" t="s">
        <v>500</v>
      </c>
      <c r="D171" s="7">
        <f>VLOOKUP(A171,SUMMARY!A:I,9,0)</f>
        <v>46049</v>
      </c>
      <c r="G171" t="s">
        <v>496</v>
      </c>
      <c r="H171" t="s">
        <v>497</v>
      </c>
      <c r="I171">
        <v>2</v>
      </c>
      <c r="J171" t="s">
        <v>26</v>
      </c>
      <c r="K171" t="s">
        <v>32</v>
      </c>
      <c r="L171" t="s">
        <v>841</v>
      </c>
      <c r="M171" t="s">
        <v>842</v>
      </c>
    </row>
    <row r="172" spans="1:13" x14ac:dyDescent="0.25">
      <c r="A172" t="s">
        <v>502</v>
      </c>
      <c r="B172" t="s">
        <v>503</v>
      </c>
      <c r="D172" s="7">
        <f>VLOOKUP(A172,SUMMARY!A:I,9,0)</f>
        <v>46049</v>
      </c>
      <c r="G172" t="s">
        <v>499</v>
      </c>
      <c r="H172" t="s">
        <v>500</v>
      </c>
      <c r="I172">
        <v>1</v>
      </c>
      <c r="J172" t="s">
        <v>26</v>
      </c>
      <c r="K172" t="s">
        <v>111</v>
      </c>
      <c r="L172" t="s">
        <v>837</v>
      </c>
      <c r="M172" t="s">
        <v>838</v>
      </c>
    </row>
    <row r="173" spans="1:13" x14ac:dyDescent="0.25">
      <c r="A173" t="s">
        <v>504</v>
      </c>
      <c r="B173" t="s">
        <v>505</v>
      </c>
      <c r="D173" s="7">
        <f>VLOOKUP(A173,SUMMARY!A:I,9,0)</f>
        <v>46049</v>
      </c>
      <c r="G173" t="s">
        <v>502</v>
      </c>
      <c r="H173" t="s">
        <v>503</v>
      </c>
      <c r="I173">
        <v>2</v>
      </c>
      <c r="J173" t="s">
        <v>26</v>
      </c>
      <c r="K173" t="s">
        <v>111</v>
      </c>
      <c r="L173" t="s">
        <v>839</v>
      </c>
      <c r="M173" t="s">
        <v>840</v>
      </c>
    </row>
    <row r="174" spans="1:13" x14ac:dyDescent="0.25">
      <c r="A174" t="s">
        <v>506</v>
      </c>
      <c r="B174" t="s">
        <v>507</v>
      </c>
      <c r="D174" s="7">
        <f>VLOOKUP(A174,SUMMARY!A:I,9,0)</f>
        <v>46049</v>
      </c>
      <c r="G174" t="s">
        <v>504</v>
      </c>
      <c r="H174" t="s">
        <v>505</v>
      </c>
      <c r="I174">
        <v>1</v>
      </c>
      <c r="J174" t="s">
        <v>26</v>
      </c>
      <c r="K174" t="s">
        <v>111</v>
      </c>
      <c r="L174" t="s">
        <v>837</v>
      </c>
      <c r="M174" t="s">
        <v>838</v>
      </c>
    </row>
    <row r="175" spans="1:13" x14ac:dyDescent="0.25">
      <c r="A175" t="s">
        <v>510</v>
      </c>
      <c r="B175" t="s">
        <v>511</v>
      </c>
      <c r="D175" s="7">
        <f>VLOOKUP(A175,SUMMARY!A:I,9,0)</f>
        <v>46049</v>
      </c>
      <c r="G175" t="s">
        <v>506</v>
      </c>
      <c r="H175" t="s">
        <v>507</v>
      </c>
      <c r="I175">
        <v>2</v>
      </c>
      <c r="J175" t="s">
        <v>26</v>
      </c>
      <c r="K175" t="s">
        <v>508</v>
      </c>
      <c r="L175" t="s">
        <v>851</v>
      </c>
      <c r="M175" t="s">
        <v>852</v>
      </c>
    </row>
    <row r="176" spans="1:13" x14ac:dyDescent="0.25">
      <c r="A176" t="s">
        <v>512</v>
      </c>
      <c r="B176" t="s">
        <v>513</v>
      </c>
      <c r="D176" s="7">
        <f>VLOOKUP(A176,SUMMARY!A:I,9,0)</f>
        <v>46049</v>
      </c>
      <c r="G176" t="s">
        <v>510</v>
      </c>
      <c r="H176" t="s">
        <v>511</v>
      </c>
      <c r="I176">
        <v>1</v>
      </c>
      <c r="J176" t="s">
        <v>26</v>
      </c>
      <c r="K176" t="s">
        <v>131</v>
      </c>
      <c r="L176" t="s">
        <v>845</v>
      </c>
      <c r="M176" t="s">
        <v>846</v>
      </c>
    </row>
    <row r="177" spans="1:13" x14ac:dyDescent="0.25">
      <c r="A177" t="s">
        <v>514</v>
      </c>
      <c r="B177" t="s">
        <v>515</v>
      </c>
      <c r="D177" s="7">
        <f>VLOOKUP(A177,SUMMARY!A:I,9,0)</f>
        <v>46049</v>
      </c>
      <c r="G177" t="s">
        <v>512</v>
      </c>
      <c r="H177" t="s">
        <v>513</v>
      </c>
      <c r="I177">
        <v>1</v>
      </c>
      <c r="J177" t="s">
        <v>26</v>
      </c>
      <c r="K177" t="s">
        <v>131</v>
      </c>
      <c r="L177" t="s">
        <v>845</v>
      </c>
      <c r="M177" t="s">
        <v>846</v>
      </c>
    </row>
    <row r="178" spans="1:13" x14ac:dyDescent="0.25">
      <c r="A178" t="s">
        <v>518</v>
      </c>
      <c r="B178" t="s">
        <v>519</v>
      </c>
      <c r="D178" s="7">
        <f>VLOOKUP(A178,SUMMARY!A:I,9,0)</f>
        <v>46049</v>
      </c>
      <c r="G178" t="s">
        <v>514</v>
      </c>
      <c r="H178" t="s">
        <v>515</v>
      </c>
      <c r="I178">
        <v>2</v>
      </c>
      <c r="J178" t="s">
        <v>26</v>
      </c>
      <c r="K178" t="s">
        <v>516</v>
      </c>
      <c r="L178" t="s">
        <v>865</v>
      </c>
      <c r="M178" t="s">
        <v>866</v>
      </c>
    </row>
    <row r="179" spans="1:13" x14ac:dyDescent="0.25">
      <c r="A179" t="s">
        <v>521</v>
      </c>
      <c r="B179" t="s">
        <v>522</v>
      </c>
      <c r="D179" s="7">
        <f>VLOOKUP(A179,SUMMARY!A:I,9,0)</f>
        <v>46049</v>
      </c>
      <c r="G179" t="s">
        <v>518</v>
      </c>
      <c r="H179" t="s">
        <v>519</v>
      </c>
      <c r="I179">
        <v>2</v>
      </c>
      <c r="J179" t="s">
        <v>26</v>
      </c>
      <c r="K179" t="s">
        <v>516</v>
      </c>
      <c r="L179" t="s">
        <v>867</v>
      </c>
      <c r="M179" t="s">
        <v>868</v>
      </c>
    </row>
    <row r="180" spans="1:13" x14ac:dyDescent="0.25">
      <c r="A180" t="s">
        <v>523</v>
      </c>
      <c r="B180" t="s">
        <v>524</v>
      </c>
      <c r="D180" s="7">
        <f>VLOOKUP(A180,SUMMARY!A:I,9,0)</f>
        <v>46049</v>
      </c>
      <c r="G180" t="s">
        <v>521</v>
      </c>
      <c r="H180" t="s">
        <v>522</v>
      </c>
      <c r="I180">
        <v>2</v>
      </c>
      <c r="J180" t="s">
        <v>26</v>
      </c>
      <c r="K180" t="s">
        <v>516</v>
      </c>
      <c r="L180" t="s">
        <v>845</v>
      </c>
      <c r="M180" t="s">
        <v>846</v>
      </c>
    </row>
    <row r="181" spans="1:13" x14ac:dyDescent="0.25">
      <c r="A181" t="s">
        <v>527</v>
      </c>
      <c r="B181" t="s">
        <v>528</v>
      </c>
      <c r="D181" s="7">
        <f>VLOOKUP(A181,SUMMARY!A:I,9,0)</f>
        <v>46049</v>
      </c>
      <c r="G181" t="s">
        <v>523</v>
      </c>
      <c r="H181" t="s">
        <v>524</v>
      </c>
      <c r="I181">
        <v>1</v>
      </c>
      <c r="J181" t="s">
        <v>26</v>
      </c>
      <c r="K181" t="s">
        <v>516</v>
      </c>
      <c r="L181" t="s">
        <v>837</v>
      </c>
      <c r="M181" t="s">
        <v>838</v>
      </c>
    </row>
    <row r="182" spans="1:13" x14ac:dyDescent="0.25">
      <c r="A182" t="s">
        <v>531</v>
      </c>
      <c r="B182" t="s">
        <v>532</v>
      </c>
      <c r="D182" s="7">
        <f>VLOOKUP(A182,SUMMARY!A:I,9,0)</f>
        <v>46049</v>
      </c>
      <c r="G182" t="s">
        <v>527</v>
      </c>
      <c r="H182" t="s">
        <v>528</v>
      </c>
      <c r="I182">
        <v>1</v>
      </c>
      <c r="J182" t="s">
        <v>26</v>
      </c>
      <c r="K182" t="s">
        <v>516</v>
      </c>
      <c r="L182" t="s">
        <v>837</v>
      </c>
      <c r="M182" t="s">
        <v>838</v>
      </c>
    </row>
    <row r="183" spans="1:13" x14ac:dyDescent="0.25">
      <c r="A183" t="s">
        <v>533</v>
      </c>
      <c r="B183" t="s">
        <v>534</v>
      </c>
      <c r="D183" s="7">
        <f>VLOOKUP(A183,SUMMARY!A:I,9,0)</f>
        <v>46057</v>
      </c>
      <c r="G183" t="s">
        <v>531</v>
      </c>
      <c r="H183" t="s">
        <v>532</v>
      </c>
      <c r="I183">
        <v>1</v>
      </c>
      <c r="J183" t="s">
        <v>26</v>
      </c>
      <c r="K183" t="s">
        <v>516</v>
      </c>
      <c r="L183" t="s">
        <v>845</v>
      </c>
      <c r="M183" t="s">
        <v>846</v>
      </c>
    </row>
    <row r="184" spans="1:13" x14ac:dyDescent="0.25">
      <c r="A184" t="s">
        <v>537</v>
      </c>
      <c r="B184" t="s">
        <v>538</v>
      </c>
      <c r="D184" s="7">
        <f>VLOOKUP(A184,SUMMARY!A:I,9,0)</f>
        <v>46057</v>
      </c>
      <c r="G184" t="s">
        <v>533</v>
      </c>
      <c r="H184" t="s">
        <v>534</v>
      </c>
      <c r="I184">
        <v>2</v>
      </c>
      <c r="J184" t="s">
        <v>26</v>
      </c>
      <c r="K184" t="s">
        <v>535</v>
      </c>
      <c r="L184" t="s">
        <v>845</v>
      </c>
      <c r="M184" t="s">
        <v>846</v>
      </c>
    </row>
    <row r="185" spans="1:13" x14ac:dyDescent="0.25">
      <c r="A185" t="s">
        <v>540</v>
      </c>
      <c r="B185" t="s">
        <v>541</v>
      </c>
      <c r="D185" s="7">
        <f>VLOOKUP(A185,SUMMARY!A:I,9,0)</f>
        <v>46057</v>
      </c>
      <c r="G185" t="s">
        <v>537</v>
      </c>
      <c r="H185" t="s">
        <v>538</v>
      </c>
      <c r="I185">
        <v>1</v>
      </c>
      <c r="J185" t="s">
        <v>26</v>
      </c>
      <c r="K185" t="s">
        <v>535</v>
      </c>
      <c r="L185" t="s">
        <v>845</v>
      </c>
      <c r="M185" t="s">
        <v>846</v>
      </c>
    </row>
    <row r="186" spans="1:13" x14ac:dyDescent="0.25">
      <c r="A186" t="s">
        <v>542</v>
      </c>
      <c r="B186" t="s">
        <v>543</v>
      </c>
      <c r="D186" s="7">
        <f>VLOOKUP(A186,SUMMARY!A:I,9,0)</f>
        <v>46057</v>
      </c>
      <c r="G186" t="s">
        <v>540</v>
      </c>
      <c r="H186" t="s">
        <v>541</v>
      </c>
      <c r="I186">
        <v>2</v>
      </c>
      <c r="J186" t="s">
        <v>26</v>
      </c>
      <c r="K186" t="s">
        <v>535</v>
      </c>
      <c r="L186" t="s">
        <v>845</v>
      </c>
      <c r="M186" t="s">
        <v>846</v>
      </c>
    </row>
    <row r="187" spans="1:13" x14ac:dyDescent="0.25">
      <c r="A187" t="s">
        <v>544</v>
      </c>
      <c r="B187" t="s">
        <v>545</v>
      </c>
      <c r="D187" s="7">
        <f>VLOOKUP(A187,SUMMARY!A:I,9,0)</f>
        <v>46057</v>
      </c>
      <c r="G187" t="s">
        <v>542</v>
      </c>
      <c r="H187" t="s">
        <v>543</v>
      </c>
      <c r="I187">
        <v>2</v>
      </c>
      <c r="J187" t="s">
        <v>26</v>
      </c>
      <c r="K187" t="s">
        <v>535</v>
      </c>
      <c r="L187" t="s">
        <v>841</v>
      </c>
      <c r="M187" t="s">
        <v>842</v>
      </c>
    </row>
    <row r="188" spans="1:13" x14ac:dyDescent="0.25">
      <c r="A188" t="s">
        <v>548</v>
      </c>
      <c r="B188" t="s">
        <v>549</v>
      </c>
      <c r="D188" s="7">
        <f>VLOOKUP(A188,SUMMARY!A:I,9,0)</f>
        <v>46057</v>
      </c>
      <c r="G188" t="s">
        <v>544</v>
      </c>
      <c r="H188" t="s">
        <v>545</v>
      </c>
      <c r="I188">
        <v>2</v>
      </c>
      <c r="J188" t="s">
        <v>26</v>
      </c>
      <c r="K188" t="s">
        <v>535</v>
      </c>
      <c r="L188" t="s">
        <v>869</v>
      </c>
      <c r="M188" t="s">
        <v>870</v>
      </c>
    </row>
    <row r="189" spans="1:13" x14ac:dyDescent="0.25">
      <c r="A189" t="s">
        <v>551</v>
      </c>
      <c r="B189" t="s">
        <v>552</v>
      </c>
      <c r="D189" s="7">
        <f>VLOOKUP(A189,SUMMARY!A:I,9,0)</f>
        <v>46057</v>
      </c>
      <c r="G189" t="s">
        <v>548</v>
      </c>
      <c r="H189" t="s">
        <v>549</v>
      </c>
      <c r="I189">
        <v>2</v>
      </c>
      <c r="J189" t="s">
        <v>26</v>
      </c>
      <c r="K189" t="s">
        <v>535</v>
      </c>
      <c r="L189" t="s">
        <v>837</v>
      </c>
      <c r="M189" t="s">
        <v>838</v>
      </c>
    </row>
    <row r="190" spans="1:13" x14ac:dyDescent="0.25">
      <c r="A190" t="s">
        <v>553</v>
      </c>
      <c r="B190" t="s">
        <v>554</v>
      </c>
      <c r="D190" s="7">
        <f>VLOOKUP(A190,SUMMARY!A:I,9,0)</f>
        <v>46057</v>
      </c>
      <c r="G190" t="s">
        <v>551</v>
      </c>
      <c r="H190" t="s">
        <v>552</v>
      </c>
      <c r="I190">
        <v>1</v>
      </c>
      <c r="J190" t="s">
        <v>26</v>
      </c>
      <c r="K190" t="s">
        <v>535</v>
      </c>
      <c r="L190" t="s">
        <v>837</v>
      </c>
      <c r="M190" t="s">
        <v>838</v>
      </c>
    </row>
    <row r="191" spans="1:13" x14ac:dyDescent="0.25">
      <c r="A191" t="s">
        <v>555</v>
      </c>
      <c r="B191" t="s">
        <v>556</v>
      </c>
      <c r="D191" s="7">
        <f>VLOOKUP(A191,SUMMARY!A:I,9,0)</f>
        <v>46057</v>
      </c>
      <c r="G191" t="s">
        <v>553</v>
      </c>
      <c r="H191" t="s">
        <v>554</v>
      </c>
      <c r="I191">
        <v>2</v>
      </c>
      <c r="J191" t="s">
        <v>26</v>
      </c>
      <c r="K191" t="s">
        <v>535</v>
      </c>
      <c r="L191" t="s">
        <v>853</v>
      </c>
      <c r="M191" t="s">
        <v>854</v>
      </c>
    </row>
    <row r="192" spans="1:13" x14ac:dyDescent="0.25">
      <c r="A192" t="s">
        <v>558</v>
      </c>
      <c r="B192" t="s">
        <v>559</v>
      </c>
      <c r="D192" s="7">
        <f>VLOOKUP(A192,SUMMARY!A:I,9,0)</f>
        <v>46057</v>
      </c>
      <c r="G192" t="s">
        <v>555</v>
      </c>
      <c r="H192" t="s">
        <v>556</v>
      </c>
      <c r="I192">
        <v>1</v>
      </c>
      <c r="J192" t="s">
        <v>26</v>
      </c>
      <c r="K192" t="s">
        <v>244</v>
      </c>
      <c r="L192" t="s">
        <v>845</v>
      </c>
      <c r="M192" t="s">
        <v>846</v>
      </c>
    </row>
    <row r="193" spans="1:13" x14ac:dyDescent="0.25">
      <c r="A193" t="s">
        <v>560</v>
      </c>
      <c r="B193" t="s">
        <v>561</v>
      </c>
      <c r="D193" s="7">
        <f>VLOOKUP(A193,SUMMARY!A:I,9,0)</f>
        <v>46057</v>
      </c>
      <c r="G193" t="s">
        <v>558</v>
      </c>
      <c r="H193" t="s">
        <v>559</v>
      </c>
      <c r="I193">
        <v>1</v>
      </c>
      <c r="J193" t="s">
        <v>26</v>
      </c>
      <c r="K193" t="s">
        <v>96</v>
      </c>
      <c r="L193" t="s">
        <v>845</v>
      </c>
      <c r="M193" t="s">
        <v>846</v>
      </c>
    </row>
    <row r="194" spans="1:13" x14ac:dyDescent="0.25">
      <c r="A194" t="s">
        <v>565</v>
      </c>
      <c r="B194" t="s">
        <v>566</v>
      </c>
      <c r="D194" s="7">
        <f>VLOOKUP(A194,SUMMARY!A:I,9,0)</f>
        <v>46057</v>
      </c>
      <c r="G194" t="s">
        <v>560</v>
      </c>
      <c r="H194" t="s">
        <v>561</v>
      </c>
      <c r="I194">
        <v>1</v>
      </c>
      <c r="J194" t="s">
        <v>26</v>
      </c>
      <c r="K194" t="s">
        <v>562</v>
      </c>
      <c r="L194" t="s">
        <v>845</v>
      </c>
      <c r="M194" t="s">
        <v>846</v>
      </c>
    </row>
    <row r="195" spans="1:13" x14ac:dyDescent="0.25">
      <c r="A195" t="s">
        <v>568</v>
      </c>
      <c r="B195" t="s">
        <v>569</v>
      </c>
      <c r="D195" s="7">
        <f>VLOOKUP(A195,SUMMARY!A:I,9,0)</f>
        <v>46057</v>
      </c>
      <c r="G195" t="s">
        <v>565</v>
      </c>
      <c r="H195" t="s">
        <v>566</v>
      </c>
      <c r="I195">
        <v>1</v>
      </c>
      <c r="J195" t="s">
        <v>26</v>
      </c>
      <c r="K195" t="s">
        <v>562</v>
      </c>
      <c r="L195" t="s">
        <v>845</v>
      </c>
      <c r="M195" t="s">
        <v>846</v>
      </c>
    </row>
    <row r="196" spans="1:13" x14ac:dyDescent="0.25">
      <c r="A196" t="s">
        <v>571</v>
      </c>
      <c r="B196" t="s">
        <v>572</v>
      </c>
      <c r="D196" s="7">
        <f>VLOOKUP(A196,SUMMARY!A:I,9,0)</f>
        <v>46057</v>
      </c>
      <c r="G196" t="s">
        <v>568</v>
      </c>
      <c r="H196" t="s">
        <v>569</v>
      </c>
      <c r="I196">
        <v>1</v>
      </c>
      <c r="J196" t="s">
        <v>26</v>
      </c>
      <c r="K196" t="s">
        <v>562</v>
      </c>
      <c r="L196" t="s">
        <v>845</v>
      </c>
      <c r="M196" t="s">
        <v>846</v>
      </c>
    </row>
    <row r="197" spans="1:13" x14ac:dyDescent="0.25">
      <c r="A197" t="s">
        <v>573</v>
      </c>
      <c r="B197" t="s">
        <v>574</v>
      </c>
      <c r="D197" s="7">
        <f>VLOOKUP(A197,SUMMARY!A:I,9,0)</f>
        <v>46057</v>
      </c>
      <c r="G197" t="s">
        <v>571</v>
      </c>
      <c r="H197" t="s">
        <v>572</v>
      </c>
      <c r="I197">
        <v>1</v>
      </c>
      <c r="J197" t="s">
        <v>26</v>
      </c>
      <c r="K197" t="s">
        <v>96</v>
      </c>
      <c r="L197" t="s">
        <v>845</v>
      </c>
      <c r="M197" t="s">
        <v>846</v>
      </c>
    </row>
    <row r="198" spans="1:13" x14ac:dyDescent="0.25">
      <c r="A198" t="s">
        <v>576</v>
      </c>
      <c r="B198" t="s">
        <v>577</v>
      </c>
      <c r="D198" s="7">
        <f>VLOOKUP(A198,SUMMARY!A:I,9,0)</f>
        <v>46057</v>
      </c>
      <c r="G198" t="s">
        <v>573</v>
      </c>
      <c r="H198" t="s">
        <v>574</v>
      </c>
      <c r="I198">
        <v>1</v>
      </c>
      <c r="J198" t="s">
        <v>26</v>
      </c>
      <c r="K198" t="s">
        <v>118</v>
      </c>
      <c r="L198" t="s">
        <v>837</v>
      </c>
      <c r="M198" t="s">
        <v>838</v>
      </c>
    </row>
    <row r="199" spans="1:13" x14ac:dyDescent="0.25">
      <c r="A199" t="s">
        <v>578</v>
      </c>
      <c r="B199" t="s">
        <v>579</v>
      </c>
      <c r="D199" s="7">
        <f>VLOOKUP(A199,SUMMARY!A:I,9,0)</f>
        <v>46057</v>
      </c>
      <c r="G199" t="s">
        <v>576</v>
      </c>
      <c r="H199" t="s">
        <v>577</v>
      </c>
      <c r="I199">
        <v>2</v>
      </c>
      <c r="J199" t="s">
        <v>26</v>
      </c>
      <c r="K199" t="s">
        <v>32</v>
      </c>
      <c r="L199" t="s">
        <v>851</v>
      </c>
      <c r="M199" t="s">
        <v>852</v>
      </c>
    </row>
    <row r="200" spans="1:13" x14ac:dyDescent="0.25">
      <c r="G200" t="s">
        <v>578</v>
      </c>
      <c r="H200" t="s">
        <v>579</v>
      </c>
      <c r="I200">
        <v>1</v>
      </c>
      <c r="J200" t="s">
        <v>26</v>
      </c>
      <c r="K200" t="s">
        <v>118</v>
      </c>
      <c r="L200" t="s">
        <v>845</v>
      </c>
      <c r="M200" t="s">
        <v>846</v>
      </c>
    </row>
    <row r="201" spans="1:13" x14ac:dyDescent="0.25">
      <c r="A201" t="s">
        <v>580</v>
      </c>
      <c r="B201" t="s">
        <v>581</v>
      </c>
      <c r="D201" s="7">
        <f>VLOOKUP(A201,SUMMARY!A:I,9,0)</f>
        <v>46064</v>
      </c>
    </row>
    <row r="202" spans="1:13" x14ac:dyDescent="0.25">
      <c r="A202" t="s">
        <v>582</v>
      </c>
      <c r="B202" t="s">
        <v>583</v>
      </c>
      <c r="D202" s="7">
        <f>VLOOKUP(A202,SUMMARY!A:I,9,0)</f>
        <v>46064</v>
      </c>
      <c r="G202" t="s">
        <v>580</v>
      </c>
      <c r="H202" t="s">
        <v>581</v>
      </c>
      <c r="I202">
        <v>2</v>
      </c>
      <c r="J202" t="s">
        <v>26</v>
      </c>
      <c r="K202" t="s">
        <v>516</v>
      </c>
      <c r="L202" t="s">
        <v>853</v>
      </c>
      <c r="M202" t="s">
        <v>854</v>
      </c>
    </row>
    <row r="203" spans="1:13" x14ac:dyDescent="0.25">
      <c r="A203" t="s">
        <v>585</v>
      </c>
      <c r="B203" t="s">
        <v>586</v>
      </c>
      <c r="D203" s="7">
        <f>VLOOKUP(A203,SUMMARY!A:I,9,0)</f>
        <v>46064</v>
      </c>
      <c r="G203" t="s">
        <v>582</v>
      </c>
      <c r="H203" t="s">
        <v>583</v>
      </c>
      <c r="I203">
        <v>1</v>
      </c>
      <c r="J203" t="s">
        <v>26</v>
      </c>
      <c r="K203" t="s">
        <v>516</v>
      </c>
      <c r="L203" t="s">
        <v>837</v>
      </c>
      <c r="M203" t="s">
        <v>838</v>
      </c>
    </row>
    <row r="204" spans="1:13" x14ac:dyDescent="0.25">
      <c r="A204" t="s">
        <v>588</v>
      </c>
      <c r="B204" t="s">
        <v>589</v>
      </c>
      <c r="D204" s="7">
        <f>VLOOKUP(A204,SUMMARY!A:I,9,0)</f>
        <v>46064</v>
      </c>
      <c r="G204" t="s">
        <v>585</v>
      </c>
      <c r="H204" t="s">
        <v>586</v>
      </c>
      <c r="I204">
        <v>1</v>
      </c>
      <c r="J204" t="s">
        <v>26</v>
      </c>
      <c r="K204" t="s">
        <v>516</v>
      </c>
      <c r="L204" t="s">
        <v>837</v>
      </c>
      <c r="M204" t="s">
        <v>838</v>
      </c>
    </row>
    <row r="205" spans="1:13" x14ac:dyDescent="0.25">
      <c r="A205" t="s">
        <v>591</v>
      </c>
      <c r="B205" t="s">
        <v>592</v>
      </c>
      <c r="D205" s="7">
        <f>VLOOKUP(A205,SUMMARY!A:I,9,0)</f>
        <v>46064</v>
      </c>
      <c r="G205" t="s">
        <v>588</v>
      </c>
      <c r="H205" t="s">
        <v>589</v>
      </c>
      <c r="I205">
        <v>1</v>
      </c>
      <c r="J205" t="s">
        <v>26</v>
      </c>
      <c r="K205" t="s">
        <v>118</v>
      </c>
      <c r="L205" t="s">
        <v>837</v>
      </c>
      <c r="M205" t="s">
        <v>838</v>
      </c>
    </row>
    <row r="206" spans="1:13" x14ac:dyDescent="0.25">
      <c r="A206" t="s">
        <v>595</v>
      </c>
      <c r="B206" t="s">
        <v>596</v>
      </c>
      <c r="D206" s="7">
        <f>VLOOKUP(A206,SUMMARY!A:I,9,0)</f>
        <v>46064</v>
      </c>
      <c r="G206" t="s">
        <v>591</v>
      </c>
      <c r="H206" t="s">
        <v>592</v>
      </c>
      <c r="I206">
        <v>2</v>
      </c>
      <c r="J206" t="s">
        <v>26</v>
      </c>
      <c r="K206" t="s">
        <v>593</v>
      </c>
      <c r="L206" t="s">
        <v>841</v>
      </c>
      <c r="M206" t="s">
        <v>842</v>
      </c>
    </row>
    <row r="207" spans="1:13" x14ac:dyDescent="0.25">
      <c r="A207" t="s">
        <v>598</v>
      </c>
      <c r="B207" t="s">
        <v>599</v>
      </c>
      <c r="D207" s="7">
        <f>VLOOKUP(A207,SUMMARY!A:I,9,0)</f>
        <v>46064</v>
      </c>
      <c r="G207" t="s">
        <v>595</v>
      </c>
      <c r="H207" t="s">
        <v>596</v>
      </c>
      <c r="I207">
        <v>1</v>
      </c>
      <c r="J207" t="s">
        <v>26</v>
      </c>
      <c r="K207" t="s">
        <v>593</v>
      </c>
      <c r="L207" t="s">
        <v>843</v>
      </c>
      <c r="M207" t="s">
        <v>844</v>
      </c>
    </row>
    <row r="208" spans="1:13" x14ac:dyDescent="0.25">
      <c r="A208" t="s">
        <v>600</v>
      </c>
      <c r="B208" t="s">
        <v>601</v>
      </c>
      <c r="D208" s="7">
        <f>VLOOKUP(A208,SUMMARY!A:I,9,0)</f>
        <v>46064</v>
      </c>
      <c r="G208" t="s">
        <v>598</v>
      </c>
      <c r="H208" t="s">
        <v>599</v>
      </c>
      <c r="I208">
        <v>1</v>
      </c>
      <c r="J208" t="s">
        <v>26</v>
      </c>
      <c r="K208" t="s">
        <v>593</v>
      </c>
      <c r="L208" t="s">
        <v>857</v>
      </c>
      <c r="M208" t="s">
        <v>858</v>
      </c>
    </row>
    <row r="209" spans="1:13" x14ac:dyDescent="0.25">
      <c r="A209" t="s">
        <v>603</v>
      </c>
      <c r="B209" t="s">
        <v>604</v>
      </c>
      <c r="D209" s="7">
        <f>VLOOKUP(A209,SUMMARY!A:I,9,0)</f>
        <v>46064</v>
      </c>
      <c r="G209" t="s">
        <v>600</v>
      </c>
      <c r="H209" t="s">
        <v>601</v>
      </c>
      <c r="I209">
        <v>1</v>
      </c>
      <c r="J209" t="s">
        <v>26</v>
      </c>
      <c r="K209" t="s">
        <v>593</v>
      </c>
      <c r="L209" t="s">
        <v>869</v>
      </c>
      <c r="M209" t="s">
        <v>870</v>
      </c>
    </row>
    <row r="210" spans="1:13" x14ac:dyDescent="0.25">
      <c r="A210" t="s">
        <v>606</v>
      </c>
      <c r="B210" t="s">
        <v>607</v>
      </c>
      <c r="D210" s="7">
        <f>VLOOKUP(A210,SUMMARY!A:I,9,0)</f>
        <v>46064</v>
      </c>
      <c r="G210" t="s">
        <v>603</v>
      </c>
      <c r="H210" t="s">
        <v>604</v>
      </c>
      <c r="I210">
        <v>2</v>
      </c>
      <c r="J210" t="s">
        <v>26</v>
      </c>
      <c r="K210" t="s">
        <v>593</v>
      </c>
      <c r="L210" t="s">
        <v>843</v>
      </c>
      <c r="M210" t="s">
        <v>844</v>
      </c>
    </row>
    <row r="211" spans="1:13" x14ac:dyDescent="0.25">
      <c r="A211" t="s">
        <v>608</v>
      </c>
      <c r="B211" t="s">
        <v>609</v>
      </c>
      <c r="D211" s="7">
        <f>VLOOKUP(A211,SUMMARY!A:I,9,0)</f>
        <v>46064</v>
      </c>
      <c r="G211" t="s">
        <v>606</v>
      </c>
      <c r="H211" t="s">
        <v>607</v>
      </c>
      <c r="I211">
        <v>1</v>
      </c>
      <c r="J211" t="s">
        <v>26</v>
      </c>
      <c r="K211" t="s">
        <v>131</v>
      </c>
      <c r="L211" t="s">
        <v>839</v>
      </c>
      <c r="M211" t="s">
        <v>840</v>
      </c>
    </row>
    <row r="212" spans="1:13" x14ac:dyDescent="0.25">
      <c r="A212" t="s">
        <v>610</v>
      </c>
      <c r="B212" t="s">
        <v>611</v>
      </c>
      <c r="D212" s="7">
        <f>VLOOKUP(A212,SUMMARY!A:I,9,0)</f>
        <v>46064</v>
      </c>
      <c r="G212" t="s">
        <v>608</v>
      </c>
      <c r="H212" t="s">
        <v>609</v>
      </c>
      <c r="I212">
        <v>1</v>
      </c>
      <c r="J212" t="s">
        <v>26</v>
      </c>
      <c r="K212" t="s">
        <v>293</v>
      </c>
      <c r="L212" t="s">
        <v>839</v>
      </c>
      <c r="M212" t="s">
        <v>840</v>
      </c>
    </row>
    <row r="213" spans="1:13" x14ac:dyDescent="0.25">
      <c r="A213" t="s">
        <v>612</v>
      </c>
      <c r="B213" t="s">
        <v>613</v>
      </c>
      <c r="D213" s="7">
        <f>VLOOKUP(A213,SUMMARY!A:I,9,0)</f>
        <v>46069</v>
      </c>
      <c r="G213" t="s">
        <v>610</v>
      </c>
      <c r="H213" t="s">
        <v>611</v>
      </c>
      <c r="I213">
        <v>1</v>
      </c>
      <c r="J213" t="s">
        <v>26</v>
      </c>
      <c r="K213" t="s">
        <v>118</v>
      </c>
      <c r="L213" t="s">
        <v>857</v>
      </c>
      <c r="M213" t="s">
        <v>858</v>
      </c>
    </row>
    <row r="214" spans="1:13" x14ac:dyDescent="0.25">
      <c r="A214" t="s">
        <v>614</v>
      </c>
      <c r="B214" t="s">
        <v>615</v>
      </c>
      <c r="D214" s="7">
        <f>VLOOKUP(A214,SUMMARY!A:I,9,0)</f>
        <v>46071</v>
      </c>
      <c r="G214" t="s">
        <v>612</v>
      </c>
      <c r="H214" t="s">
        <v>613</v>
      </c>
      <c r="I214">
        <v>1</v>
      </c>
      <c r="J214" t="s">
        <v>26</v>
      </c>
      <c r="K214" t="s">
        <v>32</v>
      </c>
      <c r="L214" t="s">
        <v>845</v>
      </c>
      <c r="M214" t="s">
        <v>846</v>
      </c>
    </row>
    <row r="215" spans="1:13" x14ac:dyDescent="0.25">
      <c r="A215" t="s">
        <v>616</v>
      </c>
      <c r="B215" t="s">
        <v>617</v>
      </c>
      <c r="D215" s="7">
        <f>VLOOKUP(A215,SUMMARY!A:I,9,0)</f>
        <v>46078</v>
      </c>
      <c r="G215" t="s">
        <v>614</v>
      </c>
      <c r="H215" t="s">
        <v>615</v>
      </c>
      <c r="I215">
        <v>1</v>
      </c>
      <c r="J215" t="s">
        <v>26</v>
      </c>
      <c r="K215" t="s">
        <v>131</v>
      </c>
      <c r="L215" t="s">
        <v>845</v>
      </c>
      <c r="M215" t="s">
        <v>846</v>
      </c>
    </row>
    <row r="216" spans="1:13" x14ac:dyDescent="0.25">
      <c r="A216" t="s">
        <v>618</v>
      </c>
      <c r="B216" t="s">
        <v>619</v>
      </c>
      <c r="D216" s="7">
        <f>VLOOKUP(A216,SUMMARY!A:I,9,0)</f>
        <v>46083</v>
      </c>
      <c r="G216" t="s">
        <v>616</v>
      </c>
      <c r="H216" t="s">
        <v>617</v>
      </c>
      <c r="I216">
        <v>1</v>
      </c>
      <c r="J216" t="s">
        <v>26</v>
      </c>
      <c r="K216" t="s">
        <v>118</v>
      </c>
      <c r="L216" t="s">
        <v>851</v>
      </c>
      <c r="M216" t="s">
        <v>852</v>
      </c>
    </row>
    <row r="217" spans="1:13" x14ac:dyDescent="0.25">
      <c r="A217" t="s">
        <v>620</v>
      </c>
      <c r="B217" t="s">
        <v>621</v>
      </c>
      <c r="D217" s="7">
        <f>VLOOKUP(A217,SUMMARY!A:I,9,0)</f>
        <v>46083</v>
      </c>
      <c r="G217" t="s">
        <v>618</v>
      </c>
      <c r="H217" t="s">
        <v>619</v>
      </c>
      <c r="I217">
        <v>1</v>
      </c>
      <c r="J217" t="s">
        <v>26</v>
      </c>
      <c r="K217" t="s">
        <v>32</v>
      </c>
      <c r="L217" t="s">
        <v>837</v>
      </c>
      <c r="M217" t="s">
        <v>838</v>
      </c>
    </row>
    <row r="218" spans="1:13" x14ac:dyDescent="0.25">
      <c r="A218" t="s">
        <v>622</v>
      </c>
      <c r="B218" t="s">
        <v>623</v>
      </c>
      <c r="D218" s="7">
        <f>VLOOKUP(A218,SUMMARY!A:I,9,0)</f>
        <v>46083</v>
      </c>
      <c r="G218" t="s">
        <v>620</v>
      </c>
      <c r="H218" t="s">
        <v>621</v>
      </c>
      <c r="I218">
        <v>1</v>
      </c>
      <c r="J218" t="s">
        <v>26</v>
      </c>
      <c r="K218" t="s">
        <v>32</v>
      </c>
      <c r="L218" t="s">
        <v>837</v>
      </c>
      <c r="M218" t="s">
        <v>838</v>
      </c>
    </row>
    <row r="219" spans="1:13" x14ac:dyDescent="0.25">
      <c r="A219" t="s">
        <v>625</v>
      </c>
      <c r="B219" t="s">
        <v>626</v>
      </c>
      <c r="D219" s="7">
        <f>VLOOKUP(A219,SUMMARY!A:I,9,0)</f>
        <v>46083</v>
      </c>
      <c r="G219" t="s">
        <v>622</v>
      </c>
      <c r="H219" t="s">
        <v>623</v>
      </c>
      <c r="I219">
        <v>1</v>
      </c>
      <c r="J219" t="s">
        <v>26</v>
      </c>
      <c r="K219" t="s">
        <v>252</v>
      </c>
      <c r="L219" t="s">
        <v>839</v>
      </c>
      <c r="M219" t="s">
        <v>840</v>
      </c>
    </row>
    <row r="220" spans="1:13" x14ac:dyDescent="0.25">
      <c r="A220" t="s">
        <v>628</v>
      </c>
      <c r="B220" t="s">
        <v>629</v>
      </c>
      <c r="D220" s="7">
        <f>VLOOKUP(A220,SUMMARY!A:I,9,0)</f>
        <v>46083</v>
      </c>
      <c r="G220" t="s">
        <v>625</v>
      </c>
      <c r="H220" t="s">
        <v>626</v>
      </c>
      <c r="I220">
        <v>1</v>
      </c>
      <c r="J220" t="s">
        <v>26</v>
      </c>
      <c r="K220" t="s">
        <v>252</v>
      </c>
      <c r="L220" t="s">
        <v>857</v>
      </c>
      <c r="M220" t="s">
        <v>858</v>
      </c>
    </row>
    <row r="221" spans="1:13" x14ac:dyDescent="0.25">
      <c r="A221" t="s">
        <v>630</v>
      </c>
      <c r="B221" t="s">
        <v>631</v>
      </c>
      <c r="D221" s="7">
        <f>VLOOKUP(A221,SUMMARY!A:I,9,0)</f>
        <v>46083</v>
      </c>
      <c r="G221" t="s">
        <v>628</v>
      </c>
      <c r="H221" t="s">
        <v>629</v>
      </c>
      <c r="I221">
        <v>1</v>
      </c>
      <c r="J221" t="s">
        <v>26</v>
      </c>
      <c r="K221" t="s">
        <v>252</v>
      </c>
      <c r="L221" t="s">
        <v>857</v>
      </c>
      <c r="M221" t="s">
        <v>858</v>
      </c>
    </row>
    <row r="222" spans="1:13" x14ac:dyDescent="0.25">
      <c r="A222" t="s">
        <v>632</v>
      </c>
      <c r="B222" t="s">
        <v>633</v>
      </c>
      <c r="D222" s="7">
        <f>VLOOKUP(A222,SUMMARY!A:I,9,0)</f>
        <v>46083</v>
      </c>
      <c r="G222" t="s">
        <v>630</v>
      </c>
      <c r="H222" t="s">
        <v>631</v>
      </c>
      <c r="I222">
        <v>1</v>
      </c>
      <c r="J222" t="s">
        <v>26</v>
      </c>
      <c r="K222" t="s">
        <v>252</v>
      </c>
      <c r="L222" t="s">
        <v>857</v>
      </c>
      <c r="M222" t="s">
        <v>858</v>
      </c>
    </row>
    <row r="223" spans="1:13" x14ac:dyDescent="0.25">
      <c r="A223" t="s">
        <v>635</v>
      </c>
      <c r="B223" t="s">
        <v>636</v>
      </c>
      <c r="D223" s="7">
        <f>VLOOKUP(A223,SUMMARY!A:I,9,0)</f>
        <v>46083</v>
      </c>
      <c r="G223" t="s">
        <v>632</v>
      </c>
      <c r="H223" t="s">
        <v>633</v>
      </c>
      <c r="I223">
        <v>1</v>
      </c>
      <c r="J223" t="s">
        <v>26</v>
      </c>
      <c r="K223" t="s">
        <v>252</v>
      </c>
      <c r="L223" t="s">
        <v>857</v>
      </c>
      <c r="M223" t="s">
        <v>858</v>
      </c>
    </row>
    <row r="224" spans="1:13" x14ac:dyDescent="0.25">
      <c r="A224" t="s">
        <v>638</v>
      </c>
      <c r="B224" t="s">
        <v>639</v>
      </c>
      <c r="D224" s="7">
        <f>VLOOKUP(A224,SUMMARY!A:I,9,0)</f>
        <v>46083</v>
      </c>
      <c r="G224" t="s">
        <v>635</v>
      </c>
      <c r="H224" t="s">
        <v>636</v>
      </c>
      <c r="I224">
        <v>2</v>
      </c>
      <c r="J224" t="s">
        <v>26</v>
      </c>
      <c r="K224" t="s">
        <v>118</v>
      </c>
      <c r="L224" t="s">
        <v>837</v>
      </c>
      <c r="M224" t="s">
        <v>838</v>
      </c>
    </row>
    <row r="225" spans="1:13" x14ac:dyDescent="0.25">
      <c r="A225" t="s">
        <v>640</v>
      </c>
      <c r="B225" t="s">
        <v>641</v>
      </c>
      <c r="D225" s="7">
        <f>VLOOKUP(A225,SUMMARY!A:I,9,0)</f>
        <v>46083</v>
      </c>
      <c r="G225" t="s">
        <v>638</v>
      </c>
      <c r="H225" t="s">
        <v>639</v>
      </c>
      <c r="I225">
        <v>2</v>
      </c>
      <c r="J225" t="s">
        <v>26</v>
      </c>
      <c r="K225" t="s">
        <v>118</v>
      </c>
      <c r="L225" t="s">
        <v>837</v>
      </c>
      <c r="M225" t="s">
        <v>838</v>
      </c>
    </row>
    <row r="226" spans="1:13" x14ac:dyDescent="0.25">
      <c r="A226" t="s">
        <v>642</v>
      </c>
      <c r="B226" t="s">
        <v>643</v>
      </c>
      <c r="D226" s="7">
        <f>VLOOKUP(A226,SUMMARY!A:I,9,0)</f>
        <v>46083</v>
      </c>
      <c r="G226" t="s">
        <v>640</v>
      </c>
      <c r="H226" t="s">
        <v>641</v>
      </c>
      <c r="I226">
        <v>1</v>
      </c>
      <c r="J226" t="s">
        <v>26</v>
      </c>
      <c r="K226" t="s">
        <v>32</v>
      </c>
      <c r="L226" t="s">
        <v>841</v>
      </c>
      <c r="M226" t="s">
        <v>842</v>
      </c>
    </row>
    <row r="227" spans="1:13" x14ac:dyDescent="0.25">
      <c r="A227" t="s">
        <v>646</v>
      </c>
      <c r="B227" t="s">
        <v>647</v>
      </c>
      <c r="D227" s="7">
        <f>VLOOKUP(A227,SUMMARY!A:I,9,0)</f>
        <v>46083</v>
      </c>
      <c r="G227" t="s">
        <v>642</v>
      </c>
      <c r="H227" t="s">
        <v>643</v>
      </c>
      <c r="I227">
        <v>1</v>
      </c>
      <c r="J227" t="s">
        <v>26</v>
      </c>
      <c r="K227" t="s">
        <v>644</v>
      </c>
      <c r="L227" t="s">
        <v>845</v>
      </c>
      <c r="M227" t="s">
        <v>846</v>
      </c>
    </row>
    <row r="228" spans="1:13" x14ac:dyDescent="0.25">
      <c r="A228" t="s">
        <v>649</v>
      </c>
      <c r="B228" t="s">
        <v>650</v>
      </c>
      <c r="D228" s="7">
        <f>VLOOKUP(A228,SUMMARY!A:I,9,0)</f>
        <v>46083</v>
      </c>
      <c r="G228" t="s">
        <v>646</v>
      </c>
      <c r="H228" t="s">
        <v>647</v>
      </c>
      <c r="I228">
        <v>1</v>
      </c>
      <c r="J228" t="s">
        <v>26</v>
      </c>
      <c r="K228" t="s">
        <v>131</v>
      </c>
      <c r="L228" t="s">
        <v>841</v>
      </c>
      <c r="M228" t="s">
        <v>842</v>
      </c>
    </row>
    <row r="229" spans="1:13" x14ac:dyDescent="0.25">
      <c r="A229" t="s">
        <v>651</v>
      </c>
      <c r="B229" t="s">
        <v>652</v>
      </c>
      <c r="D229" s="7">
        <f>VLOOKUP(A229,SUMMARY!A:I,9,0)</f>
        <v>46083</v>
      </c>
      <c r="G229" t="s">
        <v>649</v>
      </c>
      <c r="H229" t="s">
        <v>650</v>
      </c>
      <c r="I229">
        <v>1</v>
      </c>
      <c r="J229" t="s">
        <v>26</v>
      </c>
      <c r="K229" t="s">
        <v>131</v>
      </c>
      <c r="L229" t="s">
        <v>845</v>
      </c>
      <c r="M229" t="s">
        <v>846</v>
      </c>
    </row>
    <row r="230" spans="1:13" x14ac:dyDescent="0.25">
      <c r="A230" t="s">
        <v>654</v>
      </c>
      <c r="B230" t="s">
        <v>655</v>
      </c>
      <c r="D230" s="7">
        <f>VLOOKUP(A230,SUMMARY!A:I,9,0)</f>
        <v>46083</v>
      </c>
      <c r="G230" t="s">
        <v>651</v>
      </c>
      <c r="H230" t="s">
        <v>652</v>
      </c>
      <c r="I230">
        <v>1</v>
      </c>
      <c r="J230" t="s">
        <v>26</v>
      </c>
      <c r="K230" t="s">
        <v>131</v>
      </c>
      <c r="L230" t="s">
        <v>845</v>
      </c>
      <c r="M230" t="s">
        <v>846</v>
      </c>
    </row>
    <row r="231" spans="1:13" x14ac:dyDescent="0.25">
      <c r="A231" t="s">
        <v>658</v>
      </c>
      <c r="B231" t="s">
        <v>659</v>
      </c>
      <c r="D231" s="7">
        <f>VLOOKUP(A231,SUMMARY!A:I,9,0)</f>
        <v>46083</v>
      </c>
      <c r="G231" t="s">
        <v>654</v>
      </c>
      <c r="H231" t="s">
        <v>655</v>
      </c>
      <c r="I231">
        <v>1</v>
      </c>
      <c r="J231" t="s">
        <v>26</v>
      </c>
      <c r="K231" t="s">
        <v>656</v>
      </c>
      <c r="L231" t="s">
        <v>845</v>
      </c>
      <c r="M231" t="s">
        <v>846</v>
      </c>
    </row>
    <row r="232" spans="1:13" x14ac:dyDescent="0.25">
      <c r="A232" t="s">
        <v>660</v>
      </c>
      <c r="B232" t="s">
        <v>661</v>
      </c>
      <c r="D232" s="7">
        <f>VLOOKUP(A232,SUMMARY!A:I,9,0)</f>
        <v>46083</v>
      </c>
      <c r="G232" t="s">
        <v>658</v>
      </c>
      <c r="H232" t="s">
        <v>659</v>
      </c>
      <c r="I232">
        <v>1</v>
      </c>
      <c r="J232" t="s">
        <v>26</v>
      </c>
      <c r="K232" t="s">
        <v>118</v>
      </c>
      <c r="L232" t="s">
        <v>845</v>
      </c>
      <c r="M232" t="s">
        <v>846</v>
      </c>
    </row>
    <row r="233" spans="1:13" x14ac:dyDescent="0.25">
      <c r="A233" t="s">
        <v>663</v>
      </c>
      <c r="B233" t="s">
        <v>664</v>
      </c>
      <c r="D233" s="7">
        <f>VLOOKUP(A233,SUMMARY!A:I,9,0)</f>
        <v>46083</v>
      </c>
      <c r="G233" t="s">
        <v>660</v>
      </c>
      <c r="H233" t="s">
        <v>661</v>
      </c>
      <c r="I233">
        <v>1</v>
      </c>
      <c r="J233" t="s">
        <v>26</v>
      </c>
      <c r="K233" t="s">
        <v>96</v>
      </c>
      <c r="L233" t="s">
        <v>837</v>
      </c>
      <c r="M233" t="s">
        <v>838</v>
      </c>
    </row>
    <row r="234" spans="1:13" x14ac:dyDescent="0.25">
      <c r="A234" t="s">
        <v>665</v>
      </c>
      <c r="B234" t="s">
        <v>666</v>
      </c>
      <c r="D234" s="7">
        <f>VLOOKUP(A234,SUMMARY!A:I,9,0)</f>
        <v>46083</v>
      </c>
      <c r="G234" t="s">
        <v>663</v>
      </c>
      <c r="H234" t="s">
        <v>664</v>
      </c>
      <c r="I234">
        <v>1</v>
      </c>
      <c r="J234" t="s">
        <v>26</v>
      </c>
      <c r="K234" t="s">
        <v>516</v>
      </c>
      <c r="L234" t="s">
        <v>845</v>
      </c>
      <c r="M234" t="s">
        <v>846</v>
      </c>
    </row>
    <row r="235" spans="1:13" x14ac:dyDescent="0.25">
      <c r="A235" t="s">
        <v>668</v>
      </c>
      <c r="B235" t="s">
        <v>669</v>
      </c>
      <c r="D235" s="7">
        <f>VLOOKUP(A235,SUMMARY!A:I,9,0)</f>
        <v>46093</v>
      </c>
      <c r="G235" t="s">
        <v>665</v>
      </c>
      <c r="H235" t="s">
        <v>666</v>
      </c>
      <c r="I235">
        <v>1</v>
      </c>
      <c r="J235" t="s">
        <v>26</v>
      </c>
      <c r="K235" t="s">
        <v>111</v>
      </c>
      <c r="L235" t="s">
        <v>845</v>
      </c>
      <c r="M235" t="s">
        <v>846</v>
      </c>
    </row>
    <row r="236" spans="1:13" x14ac:dyDescent="0.25">
      <c r="A236" t="s">
        <v>671</v>
      </c>
      <c r="B236" t="s">
        <v>672</v>
      </c>
      <c r="D236" s="7">
        <f>VLOOKUP(A236,SUMMARY!A:I,9,0)</f>
        <v>46093</v>
      </c>
      <c r="G236" t="s">
        <v>668</v>
      </c>
      <c r="H236" t="s">
        <v>669</v>
      </c>
      <c r="I236">
        <v>1</v>
      </c>
      <c r="J236" t="s">
        <v>26</v>
      </c>
      <c r="K236" t="s">
        <v>562</v>
      </c>
      <c r="L236" t="s">
        <v>845</v>
      </c>
      <c r="M236" t="s">
        <v>846</v>
      </c>
    </row>
    <row r="237" spans="1:13" x14ac:dyDescent="0.25">
      <c r="A237" t="s">
        <v>673</v>
      </c>
      <c r="B237" t="s">
        <v>674</v>
      </c>
      <c r="D237" s="7">
        <f>VLOOKUP(A237,SUMMARY!A:I,9,0)</f>
        <v>46093</v>
      </c>
      <c r="G237" t="s">
        <v>671</v>
      </c>
      <c r="H237" t="s">
        <v>672</v>
      </c>
      <c r="I237">
        <v>1</v>
      </c>
      <c r="J237" t="s">
        <v>26</v>
      </c>
      <c r="K237" t="s">
        <v>32</v>
      </c>
      <c r="L237" t="s">
        <v>837</v>
      </c>
      <c r="M237" t="s">
        <v>838</v>
      </c>
    </row>
    <row r="238" spans="1:13" x14ac:dyDescent="0.25">
      <c r="A238" t="s">
        <v>675</v>
      </c>
      <c r="B238" t="s">
        <v>676</v>
      </c>
      <c r="D238" s="7">
        <f>VLOOKUP(A238,SUMMARY!A:I,9,0)</f>
        <v>46093</v>
      </c>
      <c r="G238" t="s">
        <v>673</v>
      </c>
      <c r="H238" t="s">
        <v>674</v>
      </c>
      <c r="I238">
        <v>1</v>
      </c>
      <c r="J238" t="s">
        <v>26</v>
      </c>
      <c r="K238" t="s">
        <v>516</v>
      </c>
      <c r="L238" t="s">
        <v>837</v>
      </c>
      <c r="M238" t="s">
        <v>838</v>
      </c>
    </row>
    <row r="239" spans="1:13" x14ac:dyDescent="0.25">
      <c r="A239" t="s">
        <v>678</v>
      </c>
      <c r="B239" t="s">
        <v>679</v>
      </c>
      <c r="D239" s="7">
        <f>VLOOKUP(A239,SUMMARY!A:I,9,0)</f>
        <v>46093</v>
      </c>
      <c r="G239" t="s">
        <v>675</v>
      </c>
      <c r="H239" t="s">
        <v>676</v>
      </c>
      <c r="I239">
        <v>1</v>
      </c>
      <c r="J239" t="s">
        <v>26</v>
      </c>
      <c r="K239" t="s">
        <v>516</v>
      </c>
      <c r="L239" t="s">
        <v>837</v>
      </c>
      <c r="M239" t="s">
        <v>838</v>
      </c>
    </row>
    <row r="240" spans="1:13" x14ac:dyDescent="0.25">
      <c r="A240" t="s">
        <v>681</v>
      </c>
      <c r="B240" t="s">
        <v>682</v>
      </c>
      <c r="D240" s="7">
        <f>VLOOKUP(A240,SUMMARY!A:I,9,0)</f>
        <v>46093</v>
      </c>
      <c r="G240" t="s">
        <v>678</v>
      </c>
      <c r="H240" t="s">
        <v>679</v>
      </c>
      <c r="I240">
        <v>1</v>
      </c>
      <c r="J240" t="s">
        <v>26</v>
      </c>
      <c r="K240" t="s">
        <v>516</v>
      </c>
      <c r="L240" t="s">
        <v>837</v>
      </c>
      <c r="M240" t="s">
        <v>838</v>
      </c>
    </row>
    <row r="241" spans="1:13" x14ac:dyDescent="0.25">
      <c r="A241" t="s">
        <v>684</v>
      </c>
      <c r="B241" t="s">
        <v>685</v>
      </c>
      <c r="D241" s="7">
        <f>VLOOKUP(A241,SUMMARY!A:I,9,0)</f>
        <v>46093</v>
      </c>
      <c r="G241" t="s">
        <v>681</v>
      </c>
      <c r="H241" t="s">
        <v>682</v>
      </c>
      <c r="I241">
        <v>1</v>
      </c>
      <c r="J241" t="s">
        <v>26</v>
      </c>
      <c r="K241" t="s">
        <v>656</v>
      </c>
      <c r="L241" t="s">
        <v>857</v>
      </c>
      <c r="M241" t="s">
        <v>858</v>
      </c>
    </row>
    <row r="242" spans="1:13" x14ac:dyDescent="0.25">
      <c r="A242" t="s">
        <v>686</v>
      </c>
      <c r="B242" t="s">
        <v>687</v>
      </c>
      <c r="D242" s="7">
        <f>VLOOKUP(A242,SUMMARY!A:I,9,0)</f>
        <v>46093</v>
      </c>
      <c r="G242" t="s">
        <v>684</v>
      </c>
      <c r="H242" t="s">
        <v>685</v>
      </c>
      <c r="I242">
        <v>1</v>
      </c>
      <c r="J242" t="s">
        <v>26</v>
      </c>
      <c r="K242" t="s">
        <v>656</v>
      </c>
      <c r="L242" t="s">
        <v>857</v>
      </c>
      <c r="M242" t="s">
        <v>858</v>
      </c>
    </row>
    <row r="243" spans="1:13" x14ac:dyDescent="0.25">
      <c r="A243" t="s">
        <v>688</v>
      </c>
      <c r="B243" t="s">
        <v>689</v>
      </c>
      <c r="D243" s="7">
        <f>VLOOKUP(A243,SUMMARY!A:I,9,0)</f>
        <v>46093</v>
      </c>
      <c r="G243" t="s">
        <v>686</v>
      </c>
      <c r="H243" t="s">
        <v>687</v>
      </c>
      <c r="I243">
        <v>1</v>
      </c>
      <c r="J243" t="s">
        <v>26</v>
      </c>
      <c r="K243" t="s">
        <v>656</v>
      </c>
      <c r="L243" t="s">
        <v>837</v>
      </c>
      <c r="M243" t="s">
        <v>838</v>
      </c>
    </row>
    <row r="244" spans="1:13" x14ac:dyDescent="0.25">
      <c r="A244" t="s">
        <v>691</v>
      </c>
      <c r="B244" t="s">
        <v>692</v>
      </c>
      <c r="D244" s="7">
        <f>VLOOKUP(A244,SUMMARY!A:I,9,0)</f>
        <v>46093</v>
      </c>
      <c r="G244" t="s">
        <v>688</v>
      </c>
      <c r="H244" t="s">
        <v>689</v>
      </c>
      <c r="I244">
        <v>1</v>
      </c>
      <c r="J244" t="s">
        <v>26</v>
      </c>
      <c r="K244" t="s">
        <v>593</v>
      </c>
      <c r="L244" t="s">
        <v>837</v>
      </c>
      <c r="M244" t="s">
        <v>838</v>
      </c>
    </row>
    <row r="245" spans="1:13" x14ac:dyDescent="0.25">
      <c r="A245" t="s">
        <v>694</v>
      </c>
      <c r="B245" t="s">
        <v>695</v>
      </c>
      <c r="D245" s="7">
        <f>VLOOKUP(A245,SUMMARY!A:I,9,0)</f>
        <v>46093</v>
      </c>
      <c r="G245" t="s">
        <v>691</v>
      </c>
      <c r="H245" t="s">
        <v>692</v>
      </c>
      <c r="I245">
        <v>1</v>
      </c>
      <c r="J245" t="s">
        <v>26</v>
      </c>
      <c r="K245" t="s">
        <v>535</v>
      </c>
      <c r="L245" t="s">
        <v>837</v>
      </c>
      <c r="M245" t="s">
        <v>838</v>
      </c>
    </row>
    <row r="246" spans="1:13" x14ac:dyDescent="0.25">
      <c r="A246" t="s">
        <v>696</v>
      </c>
      <c r="B246" t="s">
        <v>697</v>
      </c>
      <c r="D246" s="7">
        <f>VLOOKUP(A246,SUMMARY!A:I,9,0)</f>
        <v>46093</v>
      </c>
      <c r="G246" t="s">
        <v>694</v>
      </c>
      <c r="H246" t="s">
        <v>695</v>
      </c>
      <c r="I246">
        <v>1</v>
      </c>
      <c r="J246" t="s">
        <v>26</v>
      </c>
      <c r="K246" t="s">
        <v>535</v>
      </c>
      <c r="L246" t="s">
        <v>837</v>
      </c>
      <c r="M246" t="s">
        <v>838</v>
      </c>
    </row>
    <row r="247" spans="1:13" x14ac:dyDescent="0.25">
      <c r="A247" t="s">
        <v>699</v>
      </c>
      <c r="B247" t="s">
        <v>700</v>
      </c>
      <c r="D247" s="7">
        <f>VLOOKUP(A247,SUMMARY!A:I,9,0)</f>
        <v>46093</v>
      </c>
      <c r="G247" t="s">
        <v>696</v>
      </c>
      <c r="H247" t="s">
        <v>697</v>
      </c>
      <c r="I247">
        <v>1</v>
      </c>
      <c r="J247" t="s">
        <v>26</v>
      </c>
      <c r="K247" t="s">
        <v>535</v>
      </c>
      <c r="L247" t="s">
        <v>837</v>
      </c>
      <c r="M247" t="s">
        <v>838</v>
      </c>
    </row>
    <row r="248" spans="1:13" x14ac:dyDescent="0.25">
      <c r="A248" t="s">
        <v>702</v>
      </c>
      <c r="B248" t="s">
        <v>703</v>
      </c>
      <c r="D248" s="7">
        <f>VLOOKUP(A248,SUMMARY!A:I,9,0)</f>
        <v>46093</v>
      </c>
      <c r="G248" t="s">
        <v>699</v>
      </c>
      <c r="H248" t="s">
        <v>700</v>
      </c>
      <c r="I248">
        <v>1</v>
      </c>
      <c r="J248" t="s">
        <v>26</v>
      </c>
      <c r="K248" t="s">
        <v>535</v>
      </c>
      <c r="L248" t="s">
        <v>845</v>
      </c>
      <c r="M248" t="s">
        <v>846</v>
      </c>
    </row>
    <row r="249" spans="1:13" x14ac:dyDescent="0.25">
      <c r="A249" t="s">
        <v>705</v>
      </c>
      <c r="B249" t="s">
        <v>706</v>
      </c>
      <c r="D249" s="7">
        <f>VLOOKUP(A249,SUMMARY!A:I,9,0)</f>
        <v>46093</v>
      </c>
      <c r="G249" t="s">
        <v>702</v>
      </c>
      <c r="H249" t="s">
        <v>703</v>
      </c>
      <c r="I249">
        <v>1</v>
      </c>
      <c r="J249" t="s">
        <v>26</v>
      </c>
      <c r="K249" t="s">
        <v>118</v>
      </c>
      <c r="L249" t="s">
        <v>857</v>
      </c>
      <c r="M249" t="s">
        <v>858</v>
      </c>
    </row>
    <row r="250" spans="1:13" x14ac:dyDescent="0.25">
      <c r="A250" t="s">
        <v>709</v>
      </c>
      <c r="B250" t="s">
        <v>710</v>
      </c>
      <c r="D250" s="7">
        <f>VLOOKUP(A250,SUMMARY!A:I,9,0)</f>
        <v>46093</v>
      </c>
      <c r="G250" t="s">
        <v>705</v>
      </c>
      <c r="H250" t="s">
        <v>706</v>
      </c>
      <c r="I250">
        <v>1</v>
      </c>
      <c r="J250" t="s">
        <v>26</v>
      </c>
      <c r="K250" t="s">
        <v>96</v>
      </c>
      <c r="L250" t="s">
        <v>857</v>
      </c>
      <c r="M250" t="s">
        <v>858</v>
      </c>
    </row>
    <row r="251" spans="1:13" x14ac:dyDescent="0.25">
      <c r="A251" t="s">
        <v>711</v>
      </c>
      <c r="B251" t="s">
        <v>712</v>
      </c>
      <c r="D251" s="7">
        <f>VLOOKUP(A251,SUMMARY!A:I,9,0)</f>
        <v>46094</v>
      </c>
      <c r="G251" t="s">
        <v>709</v>
      </c>
      <c r="H251" t="s">
        <v>710</v>
      </c>
      <c r="I251">
        <v>1</v>
      </c>
      <c r="J251" t="s">
        <v>26</v>
      </c>
      <c r="K251" t="s">
        <v>535</v>
      </c>
      <c r="L251" t="s">
        <v>837</v>
      </c>
      <c r="M251" t="s">
        <v>838</v>
      </c>
    </row>
    <row r="252" spans="1:13" x14ac:dyDescent="0.25">
      <c r="A252" t="s">
        <v>714</v>
      </c>
      <c r="B252" t="s">
        <v>715</v>
      </c>
      <c r="D252" s="7">
        <f>VLOOKUP(A252,SUMMARY!A:I,9,0)</f>
        <v>46100</v>
      </c>
      <c r="G252" t="s">
        <v>711</v>
      </c>
      <c r="H252" t="s">
        <v>712</v>
      </c>
      <c r="I252">
        <v>1</v>
      </c>
      <c r="J252" t="s">
        <v>26</v>
      </c>
      <c r="K252" t="s">
        <v>131</v>
      </c>
      <c r="L252" t="s">
        <v>841</v>
      </c>
      <c r="M252" t="s">
        <v>842</v>
      </c>
    </row>
    <row r="253" spans="1:13" x14ac:dyDescent="0.25">
      <c r="A253" t="s">
        <v>716</v>
      </c>
      <c r="B253" t="s">
        <v>717</v>
      </c>
      <c r="D253" s="7">
        <f>VLOOKUP(A253,SUMMARY!A:I,9,0)</f>
        <v>46106</v>
      </c>
      <c r="G253" t="s">
        <v>714</v>
      </c>
      <c r="H253" t="s">
        <v>715</v>
      </c>
      <c r="I253">
        <v>1</v>
      </c>
      <c r="J253" t="s">
        <v>26</v>
      </c>
      <c r="K253" t="s">
        <v>131</v>
      </c>
      <c r="L253" t="s">
        <v>855</v>
      </c>
      <c r="M253" t="s">
        <v>856</v>
      </c>
    </row>
    <row r="254" spans="1:13" x14ac:dyDescent="0.25">
      <c r="A254" t="s">
        <v>721</v>
      </c>
      <c r="B254" t="s">
        <v>722</v>
      </c>
      <c r="D254" s="7">
        <f>VLOOKUP(A254,SUMMARY!A:I,9,0)</f>
        <v>46118</v>
      </c>
      <c r="G254" t="s">
        <v>716</v>
      </c>
      <c r="H254" t="s">
        <v>717</v>
      </c>
      <c r="I254">
        <v>1</v>
      </c>
      <c r="J254" t="s">
        <v>26</v>
      </c>
      <c r="K254" t="s">
        <v>718</v>
      </c>
      <c r="L254" t="s">
        <v>837</v>
      </c>
      <c r="M254" t="s">
        <v>838</v>
      </c>
    </row>
    <row r="255" spans="1:13" x14ac:dyDescent="0.25">
      <c r="A255" t="s">
        <v>725</v>
      </c>
      <c r="B255" t="s">
        <v>726</v>
      </c>
      <c r="D255" s="7">
        <f>VLOOKUP(A255,SUMMARY!A:I,9,0)</f>
        <v>46120</v>
      </c>
      <c r="G255" t="s">
        <v>721</v>
      </c>
      <c r="H255" t="s">
        <v>722</v>
      </c>
      <c r="I255">
        <v>1</v>
      </c>
      <c r="J255" t="s">
        <v>26</v>
      </c>
      <c r="K255" t="s">
        <v>353</v>
      </c>
      <c r="L255" t="s">
        <v>841</v>
      </c>
      <c r="M255" t="s">
        <v>842</v>
      </c>
    </row>
    <row r="256" spans="1:13" x14ac:dyDescent="0.25">
      <c r="A256" t="s">
        <v>728</v>
      </c>
      <c r="B256" t="s">
        <v>729</v>
      </c>
      <c r="D256" s="7">
        <f>VLOOKUP(A256,SUMMARY!A:I,9,0)</f>
        <v>46120</v>
      </c>
      <c r="G256" t="s">
        <v>725</v>
      </c>
      <c r="H256" t="s">
        <v>726</v>
      </c>
      <c r="I256">
        <v>1</v>
      </c>
      <c r="J256" t="s">
        <v>26</v>
      </c>
      <c r="K256" t="s">
        <v>111</v>
      </c>
      <c r="L256" t="s">
        <v>837</v>
      </c>
      <c r="M256" t="s">
        <v>838</v>
      </c>
    </row>
    <row r="257" spans="1:13" x14ac:dyDescent="0.25">
      <c r="A257" t="s">
        <v>731</v>
      </c>
      <c r="B257" t="s">
        <v>732</v>
      </c>
      <c r="D257" s="7">
        <f>VLOOKUP(A257,SUMMARY!A:I,9,0)</f>
        <v>46120</v>
      </c>
      <c r="G257" t="s">
        <v>728</v>
      </c>
      <c r="H257" t="s">
        <v>729</v>
      </c>
      <c r="I257">
        <v>1</v>
      </c>
      <c r="J257" t="s">
        <v>26</v>
      </c>
      <c r="K257" t="s">
        <v>535</v>
      </c>
      <c r="L257" t="s">
        <v>857</v>
      </c>
      <c r="M257" t="s">
        <v>858</v>
      </c>
    </row>
    <row r="258" spans="1:13" x14ac:dyDescent="0.25">
      <c r="A258" t="s">
        <v>734</v>
      </c>
      <c r="B258" t="s">
        <v>735</v>
      </c>
      <c r="D258" s="7">
        <f>VLOOKUP(A258,SUMMARY!A:I,9,0)</f>
        <v>46120</v>
      </c>
      <c r="G258" t="s">
        <v>731</v>
      </c>
      <c r="H258" t="s">
        <v>732</v>
      </c>
      <c r="I258">
        <v>1</v>
      </c>
      <c r="J258" t="s">
        <v>26</v>
      </c>
      <c r="K258" t="s">
        <v>535</v>
      </c>
      <c r="L258" t="s">
        <v>837</v>
      </c>
      <c r="M258" t="s">
        <v>838</v>
      </c>
    </row>
    <row r="259" spans="1:13" x14ac:dyDescent="0.25">
      <c r="A259" t="s">
        <v>738</v>
      </c>
      <c r="B259" t="s">
        <v>739</v>
      </c>
      <c r="D259" s="7">
        <f>VLOOKUP(A259,SUMMARY!A:I,9,0)</f>
        <v>46120</v>
      </c>
      <c r="G259" t="s">
        <v>734</v>
      </c>
      <c r="H259" t="s">
        <v>735</v>
      </c>
      <c r="I259">
        <v>1</v>
      </c>
      <c r="J259" t="s">
        <v>26</v>
      </c>
      <c r="K259" t="s">
        <v>535</v>
      </c>
      <c r="L259" t="s">
        <v>845</v>
      </c>
      <c r="M259" t="s">
        <v>846</v>
      </c>
    </row>
    <row r="260" spans="1:13" x14ac:dyDescent="0.25">
      <c r="A260" t="s">
        <v>742</v>
      </c>
      <c r="B260" t="s">
        <v>743</v>
      </c>
      <c r="D260" s="7">
        <f>VLOOKUP(A260,SUMMARY!A:I,9,0)</f>
        <v>46120</v>
      </c>
      <c r="G260" t="s">
        <v>738</v>
      </c>
      <c r="H260" t="s">
        <v>739</v>
      </c>
      <c r="I260">
        <v>1</v>
      </c>
      <c r="J260" t="s">
        <v>26</v>
      </c>
      <c r="K260" t="s">
        <v>562</v>
      </c>
      <c r="L260" t="s">
        <v>857</v>
      </c>
      <c r="M260" t="s">
        <v>858</v>
      </c>
    </row>
    <row r="261" spans="1:13" x14ac:dyDescent="0.25">
      <c r="A261" t="s">
        <v>744</v>
      </c>
      <c r="B261" t="s">
        <v>745</v>
      </c>
      <c r="D261" s="7">
        <f>VLOOKUP(A261,SUMMARY!A:I,9,0)</f>
        <v>46120</v>
      </c>
      <c r="G261" t="s">
        <v>742</v>
      </c>
      <c r="H261" t="s">
        <v>743</v>
      </c>
      <c r="I261">
        <v>1</v>
      </c>
      <c r="J261" t="s">
        <v>26</v>
      </c>
      <c r="K261" t="s">
        <v>562</v>
      </c>
      <c r="L261" t="s">
        <v>857</v>
      </c>
      <c r="M261" t="s">
        <v>858</v>
      </c>
    </row>
    <row r="262" spans="1:13" x14ac:dyDescent="0.25">
      <c r="A262" t="s">
        <v>747</v>
      </c>
      <c r="B262" t="s">
        <v>748</v>
      </c>
      <c r="D262" s="7">
        <f>VLOOKUP(A262,SUMMARY!A:I,9,0)</f>
        <v>46120</v>
      </c>
      <c r="G262" t="s">
        <v>744</v>
      </c>
      <c r="H262" t="s">
        <v>745</v>
      </c>
      <c r="I262">
        <v>1</v>
      </c>
      <c r="J262" t="s">
        <v>26</v>
      </c>
      <c r="K262" t="s">
        <v>562</v>
      </c>
      <c r="L262" t="s">
        <v>849</v>
      </c>
      <c r="M262" t="s">
        <v>850</v>
      </c>
    </row>
    <row r="263" spans="1:13" x14ac:dyDescent="0.25">
      <c r="A263" t="s">
        <v>749</v>
      </c>
      <c r="B263" t="s">
        <v>750</v>
      </c>
      <c r="D263" s="7">
        <f>VLOOKUP(A263,SUMMARY!A:I,9,0)</f>
        <v>46120</v>
      </c>
      <c r="G263" t="s">
        <v>747</v>
      </c>
      <c r="H263" t="s">
        <v>748</v>
      </c>
      <c r="I263">
        <v>1</v>
      </c>
      <c r="J263" t="s">
        <v>26</v>
      </c>
      <c r="K263" t="s">
        <v>562</v>
      </c>
      <c r="L263" t="s">
        <v>849</v>
      </c>
      <c r="M263" t="s">
        <v>850</v>
      </c>
    </row>
    <row r="264" spans="1:13" x14ac:dyDescent="0.25">
      <c r="A264" t="s">
        <v>751</v>
      </c>
      <c r="B264" t="s">
        <v>752</v>
      </c>
      <c r="D264" s="7">
        <f>VLOOKUP(A264,SUMMARY!A:I,9,0)</f>
        <v>46120</v>
      </c>
      <c r="G264" t="s">
        <v>749</v>
      </c>
      <c r="H264" t="s">
        <v>750</v>
      </c>
      <c r="I264">
        <v>1</v>
      </c>
      <c r="J264" t="s">
        <v>26</v>
      </c>
      <c r="K264" t="s">
        <v>562</v>
      </c>
      <c r="L264" t="s">
        <v>849</v>
      </c>
      <c r="M264" t="s">
        <v>850</v>
      </c>
    </row>
    <row r="265" spans="1:13" x14ac:dyDescent="0.25">
      <c r="A265" t="s">
        <v>754</v>
      </c>
      <c r="B265" t="s">
        <v>755</v>
      </c>
      <c r="D265" s="7">
        <f>VLOOKUP(A265,SUMMARY!A:I,9,0)</f>
        <v>46120</v>
      </c>
      <c r="G265" t="s">
        <v>751</v>
      </c>
      <c r="H265" t="s">
        <v>752</v>
      </c>
      <c r="I265">
        <v>1</v>
      </c>
      <c r="J265" t="s">
        <v>26</v>
      </c>
      <c r="K265" t="s">
        <v>656</v>
      </c>
      <c r="L265" t="s">
        <v>837</v>
      </c>
      <c r="M265" t="s">
        <v>838</v>
      </c>
    </row>
    <row r="266" spans="1:13" x14ac:dyDescent="0.25">
      <c r="A266" t="s">
        <v>758</v>
      </c>
      <c r="B266" t="s">
        <v>759</v>
      </c>
      <c r="D266" s="7">
        <f>VLOOKUP(A266,SUMMARY!A:I,9,0)</f>
        <v>46122</v>
      </c>
      <c r="G266" t="s">
        <v>754</v>
      </c>
      <c r="H266" t="s">
        <v>755</v>
      </c>
      <c r="I266">
        <v>1</v>
      </c>
      <c r="J266" t="s">
        <v>26</v>
      </c>
      <c r="K266" t="s">
        <v>478</v>
      </c>
      <c r="L266" t="s">
        <v>857</v>
      </c>
      <c r="M266" t="s">
        <v>858</v>
      </c>
    </row>
    <row r="267" spans="1:13" x14ac:dyDescent="0.25">
      <c r="A267" t="s">
        <v>761</v>
      </c>
      <c r="B267" t="s">
        <v>762</v>
      </c>
      <c r="D267" s="7">
        <f>VLOOKUP(A267,SUMMARY!A:I,9,0)</f>
        <v>46127</v>
      </c>
      <c r="G267" t="s">
        <v>758</v>
      </c>
      <c r="H267" t="s">
        <v>759</v>
      </c>
      <c r="I267">
        <v>1</v>
      </c>
      <c r="J267" t="s">
        <v>26</v>
      </c>
      <c r="K267" t="s">
        <v>32</v>
      </c>
      <c r="L267" t="s">
        <v>841</v>
      </c>
      <c r="M267" t="s">
        <v>842</v>
      </c>
    </row>
    <row r="268" spans="1:13" x14ac:dyDescent="0.25">
      <c r="A268" t="s">
        <v>763</v>
      </c>
      <c r="B268" t="s">
        <v>764</v>
      </c>
      <c r="D268" s="7">
        <f>VLOOKUP(A268,SUMMARY!A:I,9,0)</f>
        <v>46127</v>
      </c>
      <c r="G268" t="s">
        <v>761</v>
      </c>
      <c r="H268" t="s">
        <v>762</v>
      </c>
      <c r="I268">
        <v>1</v>
      </c>
      <c r="J268" t="s">
        <v>26</v>
      </c>
      <c r="K268" t="s">
        <v>118</v>
      </c>
      <c r="L268" t="s">
        <v>857</v>
      </c>
      <c r="M268" t="s">
        <v>858</v>
      </c>
    </row>
    <row r="269" spans="1:13" x14ac:dyDescent="0.25">
      <c r="A269" t="s">
        <v>766</v>
      </c>
      <c r="B269" t="s">
        <v>767</v>
      </c>
      <c r="D269" s="7">
        <f>VLOOKUP(A269,SUMMARY!A:I,9,0)</f>
        <v>46148</v>
      </c>
      <c r="G269" t="s">
        <v>763</v>
      </c>
      <c r="H269" t="s">
        <v>764</v>
      </c>
      <c r="I269">
        <v>1</v>
      </c>
      <c r="J269" t="s">
        <v>26</v>
      </c>
      <c r="K269" t="s">
        <v>656</v>
      </c>
      <c r="L269" t="s">
        <v>851</v>
      </c>
      <c r="M269" t="s">
        <v>852</v>
      </c>
    </row>
    <row r="270" spans="1:13" x14ac:dyDescent="0.25">
      <c r="A270" t="s">
        <v>768</v>
      </c>
      <c r="B270" t="s">
        <v>769</v>
      </c>
      <c r="D270" s="7">
        <f>VLOOKUP(A270,SUMMARY!A:I,9,0)</f>
        <v>46150</v>
      </c>
      <c r="G270" t="s">
        <v>766</v>
      </c>
      <c r="H270" t="s">
        <v>767</v>
      </c>
      <c r="I270">
        <v>1</v>
      </c>
      <c r="J270" t="s">
        <v>26</v>
      </c>
      <c r="K270" t="s">
        <v>656</v>
      </c>
      <c r="L270" t="s">
        <v>845</v>
      </c>
      <c r="M270" t="s">
        <v>846</v>
      </c>
    </row>
    <row r="271" spans="1:13" x14ac:dyDescent="0.25">
      <c r="A271" t="s">
        <v>771</v>
      </c>
      <c r="B271" t="s">
        <v>772</v>
      </c>
      <c r="D271" s="7">
        <f>VLOOKUP(A271,SUMMARY!A:I,9,0)</f>
        <v>46162</v>
      </c>
      <c r="G271" t="s">
        <v>768</v>
      </c>
      <c r="H271" t="s">
        <v>769</v>
      </c>
      <c r="I271">
        <v>1</v>
      </c>
      <c r="J271" t="s">
        <v>26</v>
      </c>
      <c r="K271" t="s">
        <v>131</v>
      </c>
      <c r="L271" t="s">
        <v>839</v>
      </c>
      <c r="M271" t="s">
        <v>840</v>
      </c>
    </row>
    <row r="272" spans="1:13" x14ac:dyDescent="0.25">
      <c r="A272" t="s">
        <v>775</v>
      </c>
      <c r="B272" t="s">
        <v>776</v>
      </c>
      <c r="D272" s="7">
        <f>VLOOKUP(A272,SUMMARY!A:I,9,0)</f>
        <v>46162</v>
      </c>
      <c r="G272" t="s">
        <v>771</v>
      </c>
      <c r="H272" t="s">
        <v>772</v>
      </c>
      <c r="I272">
        <v>1</v>
      </c>
      <c r="J272" t="s">
        <v>26</v>
      </c>
      <c r="K272" t="s">
        <v>96</v>
      </c>
      <c r="L272" t="s">
        <v>841</v>
      </c>
      <c r="M272" t="s">
        <v>842</v>
      </c>
    </row>
    <row r="273" spans="1:13" x14ac:dyDescent="0.25">
      <c r="A273" t="s">
        <v>778</v>
      </c>
      <c r="B273" t="s">
        <v>779</v>
      </c>
      <c r="D273" s="7">
        <f>VLOOKUP(A273,SUMMARY!A:I,9,0)</f>
        <v>46162</v>
      </c>
      <c r="G273" t="s">
        <v>775</v>
      </c>
      <c r="H273" t="s">
        <v>776</v>
      </c>
      <c r="I273">
        <v>1</v>
      </c>
      <c r="J273" t="s">
        <v>26</v>
      </c>
      <c r="K273" t="s">
        <v>252</v>
      </c>
      <c r="L273" t="s">
        <v>869</v>
      </c>
      <c r="M273" t="s">
        <v>870</v>
      </c>
    </row>
    <row r="274" spans="1:13" x14ac:dyDescent="0.25">
      <c r="A274" t="s">
        <v>781</v>
      </c>
      <c r="B274" t="s">
        <v>782</v>
      </c>
      <c r="D274" s="7">
        <f>VLOOKUP(A274,SUMMARY!A:I,9,0)</f>
        <v>46162</v>
      </c>
      <c r="G274" t="s">
        <v>778</v>
      </c>
      <c r="H274" t="s">
        <v>779</v>
      </c>
      <c r="I274">
        <v>1</v>
      </c>
      <c r="J274" t="s">
        <v>26</v>
      </c>
      <c r="K274" t="s">
        <v>252</v>
      </c>
      <c r="L274" t="s">
        <v>869</v>
      </c>
      <c r="M274" t="s">
        <v>870</v>
      </c>
    </row>
    <row r="275" spans="1:13" x14ac:dyDescent="0.25">
      <c r="A275" t="s">
        <v>785</v>
      </c>
      <c r="B275" t="s">
        <v>786</v>
      </c>
      <c r="D275" s="7">
        <f>VLOOKUP(A275,SUMMARY!A:I,9,0)</f>
        <v>46162</v>
      </c>
      <c r="G275" t="s">
        <v>781</v>
      </c>
      <c r="H275" t="s">
        <v>782</v>
      </c>
      <c r="I275">
        <v>1</v>
      </c>
      <c r="J275" t="s">
        <v>26</v>
      </c>
      <c r="K275" t="s">
        <v>656</v>
      </c>
      <c r="L275" t="s">
        <v>869</v>
      </c>
      <c r="M275" t="s">
        <v>870</v>
      </c>
    </row>
    <row r="276" spans="1:13" x14ac:dyDescent="0.25">
      <c r="A276" t="s">
        <v>788</v>
      </c>
      <c r="B276" t="s">
        <v>789</v>
      </c>
      <c r="D276" s="7">
        <f>VLOOKUP(A276,SUMMARY!A:I,9,0)</f>
        <v>46162</v>
      </c>
      <c r="G276" t="s">
        <v>785</v>
      </c>
      <c r="H276" t="s">
        <v>786</v>
      </c>
      <c r="I276">
        <v>1</v>
      </c>
      <c r="J276" t="s">
        <v>26</v>
      </c>
      <c r="K276" t="s">
        <v>656</v>
      </c>
      <c r="L276" t="s">
        <v>869</v>
      </c>
      <c r="M276" t="s">
        <v>870</v>
      </c>
    </row>
    <row r="277" spans="1:13" x14ac:dyDescent="0.25">
      <c r="A277" t="s">
        <v>792</v>
      </c>
      <c r="B277" t="s">
        <v>793</v>
      </c>
      <c r="D277" s="7">
        <f>VLOOKUP(A277,SUMMARY!A:I,9,0)</f>
        <v>46162</v>
      </c>
      <c r="G277" t="s">
        <v>788</v>
      </c>
      <c r="H277" t="s">
        <v>789</v>
      </c>
      <c r="I277">
        <v>1</v>
      </c>
      <c r="J277" t="s">
        <v>26</v>
      </c>
      <c r="K277" t="s">
        <v>656</v>
      </c>
      <c r="L277" t="s">
        <v>849</v>
      </c>
      <c r="M277" t="s">
        <v>850</v>
      </c>
    </row>
    <row r="278" spans="1:13" x14ac:dyDescent="0.25">
      <c r="A278" t="s">
        <v>794</v>
      </c>
      <c r="B278" t="s">
        <v>795</v>
      </c>
      <c r="D278" s="7">
        <f>VLOOKUP(A278,SUMMARY!A:I,9,0)</f>
        <v>46162</v>
      </c>
      <c r="G278" t="s">
        <v>792</v>
      </c>
      <c r="H278" t="s">
        <v>793</v>
      </c>
      <c r="I278">
        <v>1</v>
      </c>
      <c r="J278" t="s">
        <v>26</v>
      </c>
      <c r="K278" t="s">
        <v>656</v>
      </c>
      <c r="L278" t="s">
        <v>849</v>
      </c>
      <c r="M278" t="s">
        <v>850</v>
      </c>
    </row>
    <row r="279" spans="1:13" x14ac:dyDescent="0.25">
      <c r="A279" t="s">
        <v>797</v>
      </c>
      <c r="B279" t="s">
        <v>798</v>
      </c>
      <c r="D279" s="7">
        <f>VLOOKUP(A279,SUMMARY!A:I,9,0)</f>
        <v>46162</v>
      </c>
      <c r="G279" t="s">
        <v>794</v>
      </c>
      <c r="H279" t="s">
        <v>795</v>
      </c>
      <c r="I279">
        <v>1</v>
      </c>
      <c r="J279" t="s">
        <v>26</v>
      </c>
      <c r="K279" t="s">
        <v>656</v>
      </c>
      <c r="L279" t="s">
        <v>849</v>
      </c>
      <c r="M279" t="s">
        <v>850</v>
      </c>
    </row>
    <row r="280" spans="1:13" x14ac:dyDescent="0.25">
      <c r="A280" t="s">
        <v>799</v>
      </c>
      <c r="B280" t="s">
        <v>800</v>
      </c>
      <c r="D280" s="7">
        <f>VLOOKUP(A280,SUMMARY!A:I,9,0)</f>
        <v>46168</v>
      </c>
      <c r="G280" t="s">
        <v>797</v>
      </c>
      <c r="H280" t="s">
        <v>798</v>
      </c>
      <c r="I280">
        <v>1</v>
      </c>
      <c r="J280" t="s">
        <v>26</v>
      </c>
      <c r="K280" t="s">
        <v>131</v>
      </c>
      <c r="L280" t="s">
        <v>837</v>
      </c>
      <c r="M280" t="s">
        <v>838</v>
      </c>
    </row>
    <row r="281" spans="1:13" x14ac:dyDescent="0.25">
      <c r="A281" t="s">
        <v>801</v>
      </c>
      <c r="B281" t="s">
        <v>802</v>
      </c>
      <c r="D281" s="7">
        <f>VLOOKUP(A281,SUMMARY!A:I,9,0)</f>
        <v>46174</v>
      </c>
      <c r="G281" t="s">
        <v>799</v>
      </c>
      <c r="H281" t="s">
        <v>800</v>
      </c>
      <c r="I281">
        <v>1</v>
      </c>
      <c r="J281" t="s">
        <v>26</v>
      </c>
      <c r="K281" t="s">
        <v>516</v>
      </c>
      <c r="L281" t="s">
        <v>837</v>
      </c>
      <c r="M281" t="s">
        <v>838</v>
      </c>
    </row>
    <row r="282" spans="1:13" x14ac:dyDescent="0.25">
      <c r="A282" t="s">
        <v>803</v>
      </c>
      <c r="B282" t="s">
        <v>804</v>
      </c>
      <c r="D282" s="7">
        <f>VLOOKUP(A282,SUMMARY!A:I,9,0)</f>
        <v>46178</v>
      </c>
      <c r="G282" t="s">
        <v>801</v>
      </c>
      <c r="H282" t="s">
        <v>802</v>
      </c>
      <c r="I282">
        <v>1</v>
      </c>
      <c r="J282" t="s">
        <v>26</v>
      </c>
      <c r="K282" t="s">
        <v>96</v>
      </c>
      <c r="L282" t="s">
        <v>857</v>
      </c>
      <c r="M282" t="s">
        <v>858</v>
      </c>
    </row>
    <row r="283" spans="1:13" x14ac:dyDescent="0.25">
      <c r="A283" t="s">
        <v>806</v>
      </c>
      <c r="B283" t="s">
        <v>807</v>
      </c>
      <c r="D283" s="7">
        <f>VLOOKUP(A283,SUMMARY!A:I,9,0)</f>
        <v>46178</v>
      </c>
      <c r="G283" t="s">
        <v>803</v>
      </c>
      <c r="H283" t="s">
        <v>804</v>
      </c>
      <c r="I283">
        <v>1</v>
      </c>
      <c r="J283" t="s">
        <v>26</v>
      </c>
      <c r="K283" t="s">
        <v>244</v>
      </c>
      <c r="L283" t="s">
        <v>857</v>
      </c>
      <c r="M283" t="s">
        <v>858</v>
      </c>
    </row>
    <row r="284" spans="1:13" x14ac:dyDescent="0.25">
      <c r="A284" t="s">
        <v>809</v>
      </c>
      <c r="B284" t="s">
        <v>810</v>
      </c>
      <c r="D284" s="7">
        <f>VLOOKUP(A284,SUMMARY!A:I,9,0)</f>
        <v>46181</v>
      </c>
      <c r="G284" t="s">
        <v>806</v>
      </c>
      <c r="H284" t="s">
        <v>807</v>
      </c>
      <c r="I284">
        <v>1</v>
      </c>
      <c r="J284" t="s">
        <v>26</v>
      </c>
      <c r="K284" t="s">
        <v>718</v>
      </c>
      <c r="L284" t="s">
        <v>845</v>
      </c>
      <c r="M284" t="s">
        <v>846</v>
      </c>
    </row>
    <row r="285" spans="1:13" x14ac:dyDescent="0.25">
      <c r="A285" t="s">
        <v>812</v>
      </c>
      <c r="B285" t="s">
        <v>813</v>
      </c>
      <c r="D285" s="7">
        <f>VLOOKUP(A285,SUMMARY!A:I,9,0)</f>
        <v>46183</v>
      </c>
      <c r="G285" t="s">
        <v>809</v>
      </c>
      <c r="H285" t="s">
        <v>810</v>
      </c>
      <c r="I285">
        <v>1</v>
      </c>
      <c r="J285" t="s">
        <v>26</v>
      </c>
      <c r="K285" t="s">
        <v>718</v>
      </c>
      <c r="L285" t="s">
        <v>845</v>
      </c>
      <c r="M285" t="s">
        <v>846</v>
      </c>
    </row>
    <row r="286" spans="1:13" x14ac:dyDescent="0.25">
      <c r="A286" t="s">
        <v>814</v>
      </c>
      <c r="B286" t="s">
        <v>815</v>
      </c>
      <c r="D286" s="7">
        <f>VLOOKUP(A286,SUMMARY!A:I,9,0)</f>
        <v>46183</v>
      </c>
      <c r="G286" t="s">
        <v>812</v>
      </c>
      <c r="H286" t="s">
        <v>813</v>
      </c>
      <c r="I286">
        <v>1</v>
      </c>
      <c r="J286" t="s">
        <v>26</v>
      </c>
      <c r="K286" t="s">
        <v>122</v>
      </c>
      <c r="L286" t="s">
        <v>845</v>
      </c>
      <c r="M286" t="s">
        <v>846</v>
      </c>
    </row>
    <row r="287" spans="1:13" x14ac:dyDescent="0.25">
      <c r="A287" t="s">
        <v>818</v>
      </c>
      <c r="B287" t="s">
        <v>819</v>
      </c>
      <c r="D287" s="7">
        <f>VLOOKUP(A287,SUMMARY!A:I,9,0)</f>
        <v>46183</v>
      </c>
      <c r="G287" t="s">
        <v>814</v>
      </c>
      <c r="H287" t="s">
        <v>815</v>
      </c>
      <c r="I287">
        <v>1</v>
      </c>
      <c r="J287" t="s">
        <v>26</v>
      </c>
      <c r="K287" t="s">
        <v>535</v>
      </c>
      <c r="L287" t="s">
        <v>849</v>
      </c>
      <c r="M287" t="s">
        <v>850</v>
      </c>
    </row>
    <row r="288" spans="1:13" x14ac:dyDescent="0.25">
      <c r="A288" t="s">
        <v>820</v>
      </c>
      <c r="B288" t="s">
        <v>821</v>
      </c>
      <c r="D288" s="7">
        <f>VLOOKUP(A288,SUMMARY!A:I,9,0)</f>
        <v>46184</v>
      </c>
      <c r="G288" t="s">
        <v>818</v>
      </c>
      <c r="H288" t="s">
        <v>819</v>
      </c>
      <c r="I288">
        <v>1</v>
      </c>
      <c r="J288" t="s">
        <v>26</v>
      </c>
      <c r="K288" t="s">
        <v>118</v>
      </c>
      <c r="L288" t="s">
        <v>857</v>
      </c>
      <c r="M288" t="s">
        <v>858</v>
      </c>
    </row>
    <row r="289" spans="7:13" x14ac:dyDescent="0.25">
      <c r="G289" t="s">
        <v>820</v>
      </c>
      <c r="H289" t="s">
        <v>821</v>
      </c>
      <c r="I289">
        <v>1</v>
      </c>
      <c r="J289" t="s">
        <v>26</v>
      </c>
      <c r="K289" t="s">
        <v>365</v>
      </c>
      <c r="L289" t="s">
        <v>851</v>
      </c>
      <c r="M289" t="s">
        <v>852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Myrtle Shagne Lopez</dc:creator>
  <cp:lastModifiedBy>Myrtle Shagne Lopez</cp:lastModifiedBy>
  <dcterms:created xsi:type="dcterms:W3CDTF">2026-06-11T02:32:53Z</dcterms:created>
  <dcterms:modified xsi:type="dcterms:W3CDTF">2026-06-12T09:09:21Z</dcterms:modified>
</cp:coreProperties>
</file>