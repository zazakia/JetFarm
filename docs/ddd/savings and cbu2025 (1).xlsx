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xter Jumao-as\Documents\Sidlak 2025\sIDLAKfINANCIAL\Savings, Sharecapital&amp;Patronage\"/>
    </mc:Choice>
  </mc:AlternateContent>
  <xr:revisionPtr revIDLastSave="0" documentId="13_ncr:1_{56C92E94-98C3-46C1-987A-62507394B81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CPR2022" sheetId="19" r:id="rId1"/>
    <sheet name="SCPR2023" sheetId="23" r:id="rId2"/>
    <sheet name="SCPR2025" sheetId="24" r:id="rId3"/>
    <sheet name="kiddy2020" sheetId="13" r:id="rId4"/>
    <sheet name="kiddy2021" sheetId="15" r:id="rId5"/>
    <sheet name="kiddy2022" sheetId="20" r:id="rId6"/>
    <sheet name="KIDDY2023" sheetId="22" r:id="rId7"/>
    <sheet name="KIDDY2024" sheetId="25" r:id="rId8"/>
    <sheet name="Savings2020" sheetId="10" r:id="rId9"/>
    <sheet name="Savings2022" sheetId="16" r:id="rId10"/>
    <sheet name="Savings2023" sheetId="21" r:id="rId11"/>
    <sheet name="Savings2024" sheetId="26" r:id="rId12"/>
    <sheet name="Savings2025" sheetId="27" r:id="rId13"/>
    <sheet name="Savings2026" sheetId="28" r:id="rId14"/>
    <sheet name="SCPR2020" sheetId="9" r:id="rId15"/>
    <sheet name="SCPR2021" sheetId="17" r:id="rId16"/>
    <sheet name="SCPR2020Summary" sheetId="14" r:id="rId17"/>
    <sheet name="SCPR2021Summary " sheetId="18" r:id="rId18"/>
    <sheet name="Sheet1" sheetId="11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7" i="28" l="1"/>
  <c r="J108" i="28"/>
  <c r="I108" i="28"/>
  <c r="H108" i="28"/>
  <c r="G108" i="28"/>
  <c r="D107" i="28"/>
  <c r="F108" i="28" s="1"/>
  <c r="C107" i="28"/>
  <c r="P106" i="28"/>
  <c r="O106" i="28"/>
  <c r="N106" i="28"/>
  <c r="S105" i="28" s="1"/>
  <c r="T105" i="28" s="1"/>
  <c r="M106" i="28"/>
  <c r="L106" i="28"/>
  <c r="J106" i="28"/>
  <c r="I106" i="28"/>
  <c r="H106" i="28"/>
  <c r="G106" i="28"/>
  <c r="F106" i="28"/>
  <c r="E106" i="28"/>
  <c r="V105" i="28"/>
  <c r="R105" i="28"/>
  <c r="Q105" i="28"/>
  <c r="D105" i="28"/>
  <c r="K106" i="28" s="1"/>
  <c r="C105" i="28"/>
  <c r="J104" i="28"/>
  <c r="I104" i="28"/>
  <c r="D103" i="28"/>
  <c r="H104" i="28" s="1"/>
  <c r="C103" i="28"/>
  <c r="P102" i="28"/>
  <c r="O102" i="28"/>
  <c r="J102" i="28"/>
  <c r="I102" i="28"/>
  <c r="H102" i="28"/>
  <c r="G102" i="28"/>
  <c r="F102" i="28"/>
  <c r="E102" i="28"/>
  <c r="D101" i="28"/>
  <c r="N102" i="28" s="1"/>
  <c r="C101" i="28"/>
  <c r="D99" i="28"/>
  <c r="C99" i="28"/>
  <c r="J98" i="28"/>
  <c r="I98" i="28"/>
  <c r="H98" i="28"/>
  <c r="G98" i="28"/>
  <c r="F98" i="28"/>
  <c r="D97" i="28"/>
  <c r="E98" i="28" s="1"/>
  <c r="C97" i="28"/>
  <c r="P96" i="28"/>
  <c r="O96" i="28"/>
  <c r="N96" i="28"/>
  <c r="M96" i="28"/>
  <c r="L96" i="28"/>
  <c r="I96" i="28"/>
  <c r="H96" i="28"/>
  <c r="G96" i="28"/>
  <c r="F96" i="28"/>
  <c r="E96" i="28"/>
  <c r="V95" i="28"/>
  <c r="R95" i="28"/>
  <c r="Q95" i="28"/>
  <c r="D95" i="28"/>
  <c r="K96" i="28" s="1"/>
  <c r="C95" i="28"/>
  <c r="J94" i="28"/>
  <c r="I94" i="28"/>
  <c r="H94" i="28"/>
  <c r="D93" i="28"/>
  <c r="G94" i="28" s="1"/>
  <c r="C93" i="28"/>
  <c r="P92" i="28"/>
  <c r="O92" i="28"/>
  <c r="N92" i="28"/>
  <c r="J92" i="28"/>
  <c r="I92" i="28"/>
  <c r="H92" i="28"/>
  <c r="G92" i="28"/>
  <c r="F92" i="28"/>
  <c r="E92" i="28"/>
  <c r="D91" i="28"/>
  <c r="M92" i="28" s="1"/>
  <c r="C91" i="28"/>
  <c r="D89" i="28"/>
  <c r="K90" i="28" s="1"/>
  <c r="C89" i="28"/>
  <c r="P88" i="28"/>
  <c r="J88" i="28"/>
  <c r="I88" i="28"/>
  <c r="H88" i="28"/>
  <c r="G88" i="28"/>
  <c r="F88" i="28"/>
  <c r="E88" i="28"/>
  <c r="D87" i="28"/>
  <c r="O88" i="28" s="1"/>
  <c r="C87" i="28"/>
  <c r="P86" i="28"/>
  <c r="O86" i="28"/>
  <c r="N86" i="28"/>
  <c r="M86" i="28"/>
  <c r="L86" i="28"/>
  <c r="E86" i="28"/>
  <c r="Q85" i="28"/>
  <c r="D85" i="28"/>
  <c r="K86" i="28" s="1"/>
  <c r="C85" i="28"/>
  <c r="K84" i="28"/>
  <c r="J84" i="28"/>
  <c r="I84" i="28"/>
  <c r="H84" i="28"/>
  <c r="G84" i="28"/>
  <c r="D83" i="28"/>
  <c r="F84" i="28" s="1"/>
  <c r="P82" i="28"/>
  <c r="O82" i="28"/>
  <c r="N82" i="28"/>
  <c r="M82" i="28"/>
  <c r="L82" i="28"/>
  <c r="S81" i="28" s="1"/>
  <c r="K82" i="28"/>
  <c r="J82" i="28"/>
  <c r="I82" i="28"/>
  <c r="H82" i="28"/>
  <c r="G82" i="28"/>
  <c r="F82" i="28"/>
  <c r="E82" i="28"/>
  <c r="Q81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R77" i="28"/>
  <c r="Q77" i="28"/>
  <c r="P76" i="28"/>
  <c r="O76" i="28"/>
  <c r="N76" i="28"/>
  <c r="M76" i="28"/>
  <c r="L76" i="28"/>
  <c r="K76" i="28"/>
  <c r="J76" i="28"/>
  <c r="I76" i="28"/>
  <c r="H76" i="28"/>
  <c r="G76" i="28"/>
  <c r="S75" i="28" s="1"/>
  <c r="F76" i="28"/>
  <c r="E76" i="28"/>
  <c r="Q75" i="28"/>
  <c r="T75" i="28" s="1"/>
  <c r="P74" i="28"/>
  <c r="O74" i="28"/>
  <c r="N74" i="28"/>
  <c r="M74" i="28"/>
  <c r="L74" i="28"/>
  <c r="K74" i="28"/>
  <c r="J74" i="28"/>
  <c r="I74" i="28"/>
  <c r="H74" i="28"/>
  <c r="G74" i="28"/>
  <c r="F74" i="28"/>
  <c r="E74" i="28"/>
  <c r="Q73" i="28"/>
  <c r="R73" i="28" s="1"/>
  <c r="P72" i="28"/>
  <c r="O72" i="28"/>
  <c r="N72" i="28"/>
  <c r="M72" i="28"/>
  <c r="L72" i="28"/>
  <c r="K72" i="28"/>
  <c r="J72" i="28"/>
  <c r="I72" i="28"/>
  <c r="H72" i="28"/>
  <c r="G72" i="28"/>
  <c r="F72" i="28"/>
  <c r="E72" i="28"/>
  <c r="R71" i="28"/>
  <c r="Q71" i="28"/>
  <c r="P70" i="28"/>
  <c r="O70" i="28"/>
  <c r="N70" i="28"/>
  <c r="M70" i="28"/>
  <c r="L70" i="28"/>
  <c r="K70" i="28"/>
  <c r="J70" i="28"/>
  <c r="I70" i="28"/>
  <c r="H70" i="28"/>
  <c r="G70" i="28"/>
  <c r="S69" i="28" s="1"/>
  <c r="F70" i="28"/>
  <c r="E70" i="28"/>
  <c r="Q69" i="28"/>
  <c r="R69" i="28" s="1"/>
  <c r="P68" i="28"/>
  <c r="O68" i="28"/>
  <c r="N68" i="28"/>
  <c r="M68" i="28"/>
  <c r="L68" i="28"/>
  <c r="S67" i="28" s="1"/>
  <c r="K68" i="28"/>
  <c r="J68" i="28"/>
  <c r="I68" i="28"/>
  <c r="H68" i="28"/>
  <c r="G68" i="28"/>
  <c r="F68" i="28"/>
  <c r="E68" i="28"/>
  <c r="Q67" i="28"/>
  <c r="R67" i="28" s="1"/>
  <c r="P66" i="28"/>
  <c r="O66" i="28"/>
  <c r="N66" i="28"/>
  <c r="M66" i="28"/>
  <c r="L66" i="28"/>
  <c r="K66" i="28"/>
  <c r="J66" i="28"/>
  <c r="I66" i="28"/>
  <c r="H66" i="28"/>
  <c r="G66" i="28"/>
  <c r="F66" i="28"/>
  <c r="E66" i="28"/>
  <c r="R65" i="28"/>
  <c r="Q65" i="28"/>
  <c r="P64" i="28"/>
  <c r="O64" i="28"/>
  <c r="N64" i="28"/>
  <c r="M64" i="28"/>
  <c r="L64" i="28"/>
  <c r="K64" i="28"/>
  <c r="J64" i="28"/>
  <c r="I64" i="28"/>
  <c r="H64" i="28"/>
  <c r="G64" i="28"/>
  <c r="S63" i="28" s="1"/>
  <c r="F64" i="28"/>
  <c r="E64" i="28"/>
  <c r="Q63" i="28"/>
  <c r="T63" i="28" s="1"/>
  <c r="P62" i="28"/>
  <c r="O62" i="28"/>
  <c r="N62" i="28"/>
  <c r="M62" i="28"/>
  <c r="L62" i="28"/>
  <c r="K62" i="28"/>
  <c r="J62" i="28"/>
  <c r="I62" i="28"/>
  <c r="H62" i="28"/>
  <c r="G62" i="28"/>
  <c r="F62" i="28"/>
  <c r="E62" i="28"/>
  <c r="Q61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R59" i="28"/>
  <c r="Q59" i="28"/>
  <c r="P58" i="28"/>
  <c r="O58" i="28"/>
  <c r="N58" i="28"/>
  <c r="M58" i="28"/>
  <c r="L58" i="28"/>
  <c r="K58" i="28"/>
  <c r="J58" i="28"/>
  <c r="I58" i="28"/>
  <c r="H58" i="28"/>
  <c r="G58" i="28"/>
  <c r="S57" i="28" s="1"/>
  <c r="F58" i="28"/>
  <c r="E58" i="28"/>
  <c r="Q57" i="28"/>
  <c r="P56" i="28"/>
  <c r="O56" i="28"/>
  <c r="N56" i="28"/>
  <c r="M56" i="28"/>
  <c r="L56" i="28"/>
  <c r="S55" i="28" s="1"/>
  <c r="K56" i="28"/>
  <c r="J56" i="28"/>
  <c r="I56" i="28"/>
  <c r="H56" i="28"/>
  <c r="G56" i="28"/>
  <c r="F56" i="28"/>
  <c r="E56" i="28"/>
  <c r="Q55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R53" i="28"/>
  <c r="Q53" i="28"/>
  <c r="C53" i="28"/>
  <c r="P52" i="28"/>
  <c r="O52" i="28"/>
  <c r="N52" i="28"/>
  <c r="M52" i="28"/>
  <c r="L52" i="28"/>
  <c r="K52" i="28"/>
  <c r="J52" i="28"/>
  <c r="I52" i="28"/>
  <c r="H52" i="28"/>
  <c r="S51" i="28" s="1"/>
  <c r="G52" i="28"/>
  <c r="F52" i="28"/>
  <c r="E52" i="28"/>
  <c r="Q51" i="28"/>
  <c r="T51" i="28" s="1"/>
  <c r="C51" i="28"/>
  <c r="P50" i="28"/>
  <c r="O50" i="28"/>
  <c r="N50" i="28"/>
  <c r="S49" i="28" s="1"/>
  <c r="T49" i="28" s="1"/>
  <c r="M50" i="28"/>
  <c r="L50" i="28"/>
  <c r="K50" i="28"/>
  <c r="J50" i="28"/>
  <c r="I50" i="28"/>
  <c r="H50" i="28"/>
  <c r="G50" i="28"/>
  <c r="F50" i="28"/>
  <c r="E50" i="28"/>
  <c r="R49" i="28"/>
  <c r="Q49" i="28"/>
  <c r="C49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Q47" i="28"/>
  <c r="C47" i="28"/>
  <c r="P46" i="28"/>
  <c r="O46" i="28"/>
  <c r="N46" i="28"/>
  <c r="M46" i="28"/>
  <c r="L46" i="28"/>
  <c r="S45" i="28" s="1"/>
  <c r="K46" i="28"/>
  <c r="J46" i="28"/>
  <c r="I46" i="28"/>
  <c r="H46" i="28"/>
  <c r="G46" i="28"/>
  <c r="F46" i="28"/>
  <c r="E46" i="28"/>
  <c r="Q45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R43" i="28"/>
  <c r="O38" i="28"/>
  <c r="N38" i="28"/>
  <c r="M38" i="28"/>
  <c r="L38" i="28"/>
  <c r="K38" i="28"/>
  <c r="J38" i="28"/>
  <c r="I38" i="28"/>
  <c r="H38" i="28"/>
  <c r="G38" i="28"/>
  <c r="F38" i="28"/>
  <c r="E38" i="28"/>
  <c r="P37" i="28"/>
  <c r="Q37" i="28" s="1"/>
  <c r="P36" i="28"/>
  <c r="O36" i="28"/>
  <c r="N36" i="28"/>
  <c r="M36" i="28"/>
  <c r="L36" i="28"/>
  <c r="S35" i="28" s="1"/>
  <c r="K36" i="28"/>
  <c r="J36" i="28"/>
  <c r="I36" i="28"/>
  <c r="H36" i="28"/>
  <c r="G36" i="28"/>
  <c r="F36" i="28"/>
  <c r="E36" i="28"/>
  <c r="Q35" i="28"/>
  <c r="T35" i="28" s="1"/>
  <c r="P33" i="28"/>
  <c r="O33" i="28"/>
  <c r="N33" i="28"/>
  <c r="M33" i="28"/>
  <c r="L33" i="28"/>
  <c r="K33" i="28"/>
  <c r="J33" i="28"/>
  <c r="I33" i="28"/>
  <c r="H33" i="28"/>
  <c r="G33" i="28"/>
  <c r="F33" i="28"/>
  <c r="E33" i="28"/>
  <c r="S32" i="28" s="1"/>
  <c r="T32" i="28" s="1"/>
  <c r="R32" i="28"/>
  <c r="Q32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Q30" i="28"/>
  <c r="P29" i="28"/>
  <c r="O29" i="28"/>
  <c r="N29" i="28"/>
  <c r="M29" i="28"/>
  <c r="L29" i="28"/>
  <c r="S28" i="28" s="1"/>
  <c r="K29" i="28"/>
  <c r="J29" i="28"/>
  <c r="I29" i="28"/>
  <c r="H29" i="28"/>
  <c r="G29" i="28"/>
  <c r="F29" i="28"/>
  <c r="E29" i="28"/>
  <c r="Q28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R26" i="28"/>
  <c r="Q26" i="28"/>
  <c r="J25" i="28"/>
  <c r="I25" i="28"/>
  <c r="H25" i="28"/>
  <c r="P24" i="28"/>
  <c r="D24" i="28"/>
  <c r="G25" i="28" s="1"/>
  <c r="P23" i="28"/>
  <c r="O23" i="28"/>
  <c r="N23" i="28"/>
  <c r="S22" i="28" s="1"/>
  <c r="T22" i="28" s="1"/>
  <c r="M23" i="28"/>
  <c r="L23" i="28"/>
  <c r="K23" i="28"/>
  <c r="J23" i="28"/>
  <c r="I23" i="28"/>
  <c r="H23" i="28"/>
  <c r="G23" i="28"/>
  <c r="F23" i="28"/>
  <c r="E23" i="28"/>
  <c r="R22" i="28"/>
  <c r="Q22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S20" i="28" s="1"/>
  <c r="Q20" i="28"/>
  <c r="T20" i="28" s="1"/>
  <c r="P19" i="28"/>
  <c r="O19" i="28"/>
  <c r="N19" i="28"/>
  <c r="M19" i="28"/>
  <c r="L19" i="28"/>
  <c r="K19" i="28"/>
  <c r="J19" i="28"/>
  <c r="I19" i="28"/>
  <c r="H19" i="28"/>
  <c r="G19" i="28"/>
  <c r="F19" i="28"/>
  <c r="E19" i="28"/>
  <c r="Q18" i="28"/>
  <c r="R18" i="28" s="1"/>
  <c r="P17" i="28"/>
  <c r="O17" i="28"/>
  <c r="N17" i="28"/>
  <c r="M17" i="28"/>
  <c r="L17" i="28"/>
  <c r="J17" i="28"/>
  <c r="I17" i="28"/>
  <c r="H17" i="28"/>
  <c r="G17" i="28"/>
  <c r="F17" i="28"/>
  <c r="E17" i="28"/>
  <c r="R16" i="28"/>
  <c r="Q16" i="28"/>
  <c r="P16" i="28"/>
  <c r="D16" i="28"/>
  <c r="P15" i="28"/>
  <c r="O15" i="28"/>
  <c r="N15" i="28"/>
  <c r="M15" i="28"/>
  <c r="L15" i="28"/>
  <c r="K15" i="28"/>
  <c r="J15" i="28"/>
  <c r="I15" i="28"/>
  <c r="H15" i="28"/>
  <c r="G15" i="28"/>
  <c r="S14" i="28" s="1"/>
  <c r="F15" i="28"/>
  <c r="E15" i="28"/>
  <c r="Q14" i="28"/>
  <c r="P13" i="28"/>
  <c r="O13" i="28"/>
  <c r="N13" i="28"/>
  <c r="M13" i="28"/>
  <c r="L13" i="28"/>
  <c r="S12" i="28" s="1"/>
  <c r="K13" i="28"/>
  <c r="J13" i="28"/>
  <c r="I13" i="28"/>
  <c r="H13" i="28"/>
  <c r="G13" i="28"/>
  <c r="F13" i="28"/>
  <c r="E13" i="28"/>
  <c r="Q12" i="28"/>
  <c r="P11" i="28"/>
  <c r="O11" i="28"/>
  <c r="N11" i="28"/>
  <c r="M11" i="28"/>
  <c r="L11" i="28"/>
  <c r="K11" i="28"/>
  <c r="J11" i="28"/>
  <c r="I11" i="28"/>
  <c r="H11" i="28"/>
  <c r="G11" i="28"/>
  <c r="F11" i="28"/>
  <c r="E11" i="28"/>
  <c r="R10" i="28"/>
  <c r="Q10" i="28"/>
  <c r="P159" i="24"/>
  <c r="P157" i="24"/>
  <c r="W180" i="24"/>
  <c r="J100" i="28" l="1"/>
  <c r="O100" i="28"/>
  <c r="I100" i="28"/>
  <c r="E100" i="28"/>
  <c r="P100" i="28"/>
  <c r="H100" i="28"/>
  <c r="G100" i="28"/>
  <c r="F100" i="28"/>
  <c r="N100" i="28"/>
  <c r="S59" i="28"/>
  <c r="T59" i="28" s="1"/>
  <c r="S71" i="28"/>
  <c r="T71" i="28" s="1"/>
  <c r="Q99" i="28"/>
  <c r="T45" i="28"/>
  <c r="L100" i="28"/>
  <c r="V85" i="28"/>
  <c r="M100" i="28"/>
  <c r="R85" i="28"/>
  <c r="T55" i="28"/>
  <c r="S65" i="28"/>
  <c r="T65" i="28" s="1"/>
  <c r="T12" i="28"/>
  <c r="R55" i="28"/>
  <c r="I90" i="28"/>
  <c r="M90" i="28"/>
  <c r="H90" i="28"/>
  <c r="F90" i="28"/>
  <c r="P90" i="28"/>
  <c r="O90" i="28"/>
  <c r="N90" i="28"/>
  <c r="G90" i="28"/>
  <c r="E90" i="28"/>
  <c r="R35" i="28"/>
  <c r="T61" i="28"/>
  <c r="Q89" i="28"/>
  <c r="R37" i="28"/>
  <c r="R61" i="28"/>
  <c r="J90" i="28"/>
  <c r="K100" i="28"/>
  <c r="S43" i="28"/>
  <c r="T43" i="28" s="1"/>
  <c r="T28" i="28"/>
  <c r="R28" i="28"/>
  <c r="T67" i="28"/>
  <c r="S77" i="28"/>
  <c r="T77" i="28" s="1"/>
  <c r="S10" i="28"/>
  <c r="T30" i="28"/>
  <c r="R12" i="28"/>
  <c r="S18" i="28"/>
  <c r="S61" i="28"/>
  <c r="S73" i="28"/>
  <c r="T73" i="28"/>
  <c r="S37" i="28"/>
  <c r="T37" i="28" s="1"/>
  <c r="L90" i="28"/>
  <c r="R45" i="28"/>
  <c r="S26" i="28"/>
  <c r="T26" i="28" s="1"/>
  <c r="S53" i="28"/>
  <c r="T53" i="28" s="1"/>
  <c r="T81" i="28"/>
  <c r="R81" i="28"/>
  <c r="S47" i="28"/>
  <c r="T47" i="28" s="1"/>
  <c r="T57" i="28"/>
  <c r="T14" i="28"/>
  <c r="D110" i="28"/>
  <c r="S30" i="28"/>
  <c r="K104" i="28"/>
  <c r="K25" i="28"/>
  <c r="Q103" i="28"/>
  <c r="M104" i="28"/>
  <c r="K108" i="28"/>
  <c r="Q24" i="28"/>
  <c r="M25" i="28"/>
  <c r="R51" i="28"/>
  <c r="M94" i="28"/>
  <c r="N104" i="28"/>
  <c r="Q107" i="28"/>
  <c r="R57" i="28"/>
  <c r="N94" i="28"/>
  <c r="Q97" i="28"/>
  <c r="O104" i="28"/>
  <c r="M108" i="28"/>
  <c r="O25" i="28"/>
  <c r="R47" i="28"/>
  <c r="N84" i="28"/>
  <c r="Q87" i="28"/>
  <c r="M98" i="28"/>
  <c r="K102" i="28"/>
  <c r="S101" i="28" s="1"/>
  <c r="N108" i="28"/>
  <c r="T69" i="28"/>
  <c r="O84" i="28"/>
  <c r="N98" i="28"/>
  <c r="Q101" i="28"/>
  <c r="L102" i="28"/>
  <c r="O108" i="28"/>
  <c r="K17" i="28"/>
  <c r="S16" i="28" s="1"/>
  <c r="T16" i="28" s="1"/>
  <c r="E25" i="28"/>
  <c r="P38" i="28"/>
  <c r="P84" i="28"/>
  <c r="I86" i="28"/>
  <c r="N88" i="28"/>
  <c r="Q91" i="28"/>
  <c r="L92" i="28"/>
  <c r="E94" i="28"/>
  <c r="J96" i="28"/>
  <c r="S95" i="28" s="1"/>
  <c r="T95" i="28" s="1"/>
  <c r="O98" i="28"/>
  <c r="M102" i="28"/>
  <c r="F104" i="28"/>
  <c r="P108" i="28"/>
  <c r="K94" i="28"/>
  <c r="Q93" i="28"/>
  <c r="L84" i="28"/>
  <c r="K98" i="28"/>
  <c r="S97" i="28" s="1"/>
  <c r="L108" i="28"/>
  <c r="R14" i="28"/>
  <c r="T18" i="28"/>
  <c r="N25" i="28"/>
  <c r="R30" i="28"/>
  <c r="R63" i="28"/>
  <c r="R75" i="28"/>
  <c r="Q83" i="28"/>
  <c r="M84" i="28"/>
  <c r="F86" i="28"/>
  <c r="K88" i="28"/>
  <c r="L98" i="28"/>
  <c r="G86" i="28"/>
  <c r="L88" i="28"/>
  <c r="S87" i="28" s="1"/>
  <c r="O94" i="28"/>
  <c r="P104" i="28"/>
  <c r="R20" i="28"/>
  <c r="P25" i="28"/>
  <c r="H86" i="28"/>
  <c r="M88" i="28"/>
  <c r="K92" i="28"/>
  <c r="S91" i="28" s="1"/>
  <c r="P94" i="28"/>
  <c r="E104" i="28"/>
  <c r="F25" i="28"/>
  <c r="E84" i="28"/>
  <c r="J86" i="28"/>
  <c r="F94" i="28"/>
  <c r="P98" i="28"/>
  <c r="G104" i="28"/>
  <c r="E108" i="28"/>
  <c r="L104" i="28"/>
  <c r="L25" i="28"/>
  <c r="L94" i="28"/>
  <c r="S110" i="27"/>
  <c r="P37" i="27"/>
  <c r="P24" i="27"/>
  <c r="D24" i="27"/>
  <c r="P16" i="27"/>
  <c r="D16" i="27"/>
  <c r="J79" i="24"/>
  <c r="H79" i="24"/>
  <c r="T101" i="28" l="1"/>
  <c r="R101" i="28"/>
  <c r="V101" i="28"/>
  <c r="S93" i="28"/>
  <c r="T93" i="28"/>
  <c r="R93" i="28"/>
  <c r="V93" i="28"/>
  <c r="R24" i="28"/>
  <c r="R110" i="28" s="1"/>
  <c r="V110" i="28"/>
  <c r="R103" i="28"/>
  <c r="V103" i="28"/>
  <c r="V99" i="28"/>
  <c r="R99" i="28"/>
  <c r="V97" i="28"/>
  <c r="R97" i="28"/>
  <c r="T97" i="28"/>
  <c r="T10" i="28"/>
  <c r="S83" i="28"/>
  <c r="T83" i="28" s="1"/>
  <c r="R91" i="28"/>
  <c r="V91" i="28"/>
  <c r="T91" i="28"/>
  <c r="R107" i="28"/>
  <c r="V107" i="28"/>
  <c r="S103" i="28"/>
  <c r="T103" i="28" s="1"/>
  <c r="V87" i="28"/>
  <c r="T87" i="28"/>
  <c r="R87" i="28"/>
  <c r="S24" i="28"/>
  <c r="S110" i="28" s="1"/>
  <c r="S99" i="28"/>
  <c r="T99" i="28" s="1"/>
  <c r="S107" i="28"/>
  <c r="T107" i="28" s="1"/>
  <c r="R89" i="28"/>
  <c r="V89" i="28"/>
  <c r="Q110" i="28"/>
  <c r="S89" i="28"/>
  <c r="T89" i="28" s="1"/>
  <c r="S85" i="28"/>
  <c r="T85" i="28" s="1"/>
  <c r="R83" i="28"/>
  <c r="W95" i="24"/>
  <c r="Q105" i="24"/>
  <c r="Q154" i="24" s="1"/>
  <c r="S126" i="28" l="1"/>
  <c r="T24" i="28"/>
  <c r="S125" i="28"/>
  <c r="T110" i="28"/>
  <c r="E80" i="24"/>
  <c r="E65" i="24"/>
  <c r="W12" i="24"/>
  <c r="D107" i="27"/>
  <c r="O108" i="27" s="1"/>
  <c r="C107" i="27"/>
  <c r="D105" i="27"/>
  <c r="O106" i="27" s="1"/>
  <c r="C105" i="27"/>
  <c r="P106" i="27"/>
  <c r="D103" i="27"/>
  <c r="O104" i="27" s="1"/>
  <c r="C103" i="27"/>
  <c r="D101" i="27"/>
  <c r="P102" i="27" s="1"/>
  <c r="C101" i="27"/>
  <c r="D99" i="27"/>
  <c r="O100" i="27" s="1"/>
  <c r="C99" i="27"/>
  <c r="D97" i="27"/>
  <c r="F98" i="27" s="1"/>
  <c r="C97" i="27"/>
  <c r="Q47" i="27"/>
  <c r="Q45" i="27"/>
  <c r="D95" i="27"/>
  <c r="F96" i="27" s="1"/>
  <c r="C95" i="27"/>
  <c r="D93" i="27"/>
  <c r="P94" i="27" s="1"/>
  <c r="C93" i="27"/>
  <c r="D91" i="27"/>
  <c r="P92" i="27" s="1"/>
  <c r="C91" i="27"/>
  <c r="D89" i="27"/>
  <c r="P90" i="27" s="1"/>
  <c r="C89" i="27"/>
  <c r="D87" i="27"/>
  <c r="N88" i="27" s="1"/>
  <c r="C87" i="27"/>
  <c r="D85" i="27"/>
  <c r="F86" i="27" s="1"/>
  <c r="C85" i="27"/>
  <c r="C80" i="24"/>
  <c r="C65" i="24"/>
  <c r="S127" i="28" l="1"/>
  <c r="P104" i="27"/>
  <c r="P100" i="27"/>
  <c r="J104" i="27"/>
  <c r="O92" i="27"/>
  <c r="F102" i="27"/>
  <c r="I96" i="27"/>
  <c r="G100" i="27"/>
  <c r="I102" i="27"/>
  <c r="G102" i="27"/>
  <c r="H102" i="27"/>
  <c r="J96" i="27"/>
  <c r="H100" i="27"/>
  <c r="J102" i="27"/>
  <c r="E100" i="27"/>
  <c r="F100" i="27"/>
  <c r="O96" i="27"/>
  <c r="I100" i="27"/>
  <c r="H96" i="27"/>
  <c r="P96" i="27"/>
  <c r="J100" i="27"/>
  <c r="F106" i="27"/>
  <c r="G106" i="27"/>
  <c r="I106" i="27"/>
  <c r="G108" i="27"/>
  <c r="H108" i="27"/>
  <c r="G104" i="27"/>
  <c r="K106" i="27"/>
  <c r="I108" i="27"/>
  <c r="Q105" i="27"/>
  <c r="F108" i="27"/>
  <c r="E104" i="27"/>
  <c r="J106" i="27"/>
  <c r="H104" i="27"/>
  <c r="M106" i="27"/>
  <c r="J108" i="27"/>
  <c r="E106" i="27"/>
  <c r="E108" i="27"/>
  <c r="H106" i="27"/>
  <c r="F104" i="27"/>
  <c r="G96" i="27"/>
  <c r="E102" i="27"/>
  <c r="I104" i="27"/>
  <c r="N106" i="27"/>
  <c r="P108" i="27"/>
  <c r="L108" i="27"/>
  <c r="N108" i="27"/>
  <c r="K108" i="27"/>
  <c r="Q107" i="27"/>
  <c r="V107" i="27" s="1"/>
  <c r="M108" i="27"/>
  <c r="L106" i="27"/>
  <c r="L104" i="27"/>
  <c r="Q103" i="27"/>
  <c r="V103" i="27" s="1"/>
  <c r="M104" i="27"/>
  <c r="K104" i="27"/>
  <c r="N104" i="27"/>
  <c r="K102" i="27"/>
  <c r="M102" i="27"/>
  <c r="O102" i="27"/>
  <c r="L102" i="27"/>
  <c r="Q101" i="27"/>
  <c r="V101" i="27" s="1"/>
  <c r="N102" i="27"/>
  <c r="K100" i="27"/>
  <c r="L100" i="27"/>
  <c r="Q99" i="27"/>
  <c r="V99" i="27" s="1"/>
  <c r="M100" i="27"/>
  <c r="N100" i="27"/>
  <c r="O98" i="27"/>
  <c r="G98" i="27"/>
  <c r="H98" i="27"/>
  <c r="E98" i="27"/>
  <c r="P98" i="27"/>
  <c r="Q97" i="27"/>
  <c r="V97" i="27" s="1"/>
  <c r="M98" i="27"/>
  <c r="L98" i="27"/>
  <c r="N98" i="27"/>
  <c r="I98" i="27"/>
  <c r="J98" i="27"/>
  <c r="K98" i="27"/>
  <c r="N96" i="27"/>
  <c r="E96" i="27"/>
  <c r="G86" i="27"/>
  <c r="I86" i="27"/>
  <c r="J86" i="27"/>
  <c r="K86" i="27"/>
  <c r="E86" i="27"/>
  <c r="F90" i="27"/>
  <c r="H86" i="27"/>
  <c r="G90" i="27"/>
  <c r="N86" i="27"/>
  <c r="P86" i="27"/>
  <c r="H90" i="27"/>
  <c r="L96" i="27"/>
  <c r="M96" i="27"/>
  <c r="K96" i="27"/>
  <c r="Q95" i="27"/>
  <c r="V95" i="27" s="1"/>
  <c r="E94" i="27"/>
  <c r="I94" i="27"/>
  <c r="J94" i="27"/>
  <c r="O94" i="27"/>
  <c r="F94" i="27"/>
  <c r="G94" i="27"/>
  <c r="H94" i="27"/>
  <c r="K94" i="27"/>
  <c r="L94" i="27"/>
  <c r="N94" i="27"/>
  <c r="Q93" i="27"/>
  <c r="V93" i="27" s="1"/>
  <c r="M94" i="27"/>
  <c r="E88" i="27"/>
  <c r="F88" i="27"/>
  <c r="G88" i="27"/>
  <c r="N92" i="27"/>
  <c r="H88" i="27"/>
  <c r="Q91" i="27"/>
  <c r="I88" i="27"/>
  <c r="E92" i="27"/>
  <c r="J88" i="27"/>
  <c r="F92" i="27"/>
  <c r="O88" i="27"/>
  <c r="G92" i="27"/>
  <c r="P88" i="27"/>
  <c r="H92" i="27"/>
  <c r="I92" i="27"/>
  <c r="J92" i="27"/>
  <c r="E90" i="27"/>
  <c r="K92" i="27"/>
  <c r="L92" i="27"/>
  <c r="M92" i="27"/>
  <c r="Q89" i="27"/>
  <c r="V89" i="27" s="1"/>
  <c r="M90" i="27"/>
  <c r="I90" i="27"/>
  <c r="J90" i="27"/>
  <c r="K90" i="27"/>
  <c r="N90" i="27"/>
  <c r="L90" i="27"/>
  <c r="O90" i="27"/>
  <c r="K88" i="27"/>
  <c r="L88" i="27"/>
  <c r="Q87" i="27"/>
  <c r="V87" i="27" s="1"/>
  <c r="M88" i="27"/>
  <c r="O86" i="27"/>
  <c r="L86" i="27"/>
  <c r="Q85" i="27"/>
  <c r="V85" i="27" s="1"/>
  <c r="M86" i="27"/>
  <c r="R91" i="27" l="1"/>
  <c r="V91" i="27"/>
  <c r="V110" i="27" s="1"/>
  <c r="R105" i="27"/>
  <c r="V105" i="27"/>
  <c r="S107" i="27"/>
  <c r="S103" i="27"/>
  <c r="T103" i="27" s="1"/>
  <c r="S105" i="27"/>
  <c r="T105" i="27" s="1"/>
  <c r="S101" i="27"/>
  <c r="T101" i="27" s="1"/>
  <c r="R107" i="27"/>
  <c r="T107" i="27"/>
  <c r="R103" i="27"/>
  <c r="R101" i="27"/>
  <c r="S99" i="27"/>
  <c r="T99" i="27" s="1"/>
  <c r="R99" i="27"/>
  <c r="S97" i="27"/>
  <c r="T97" i="27" s="1"/>
  <c r="R97" i="27"/>
  <c r="S95" i="27"/>
  <c r="R95" i="27"/>
  <c r="T95" i="27"/>
  <c r="S93" i="27"/>
  <c r="T93" i="27" s="1"/>
  <c r="R93" i="27"/>
  <c r="S89" i="27"/>
  <c r="T89" i="27" s="1"/>
  <c r="S91" i="27"/>
  <c r="T91" i="27" s="1"/>
  <c r="R89" i="27"/>
  <c r="R87" i="27"/>
  <c r="S87" i="27"/>
  <c r="T87" i="27" s="1"/>
  <c r="S85" i="27"/>
  <c r="T85" i="27" s="1"/>
  <c r="R85" i="27"/>
  <c r="E114" i="24" l="1"/>
  <c r="T154" i="24"/>
  <c r="R101" i="24"/>
  <c r="D83" i="27"/>
  <c r="D110" i="27" s="1"/>
  <c r="Q59" i="27"/>
  <c r="Q16" i="27"/>
  <c r="R16" i="27" s="1"/>
  <c r="P11" i="27"/>
  <c r="P13" i="27"/>
  <c r="Q10" i="27"/>
  <c r="E11" i="27"/>
  <c r="R10" i="27" l="1"/>
  <c r="R127" i="27" l="1"/>
  <c r="P84" i="27"/>
  <c r="O84" i="27"/>
  <c r="N84" i="27"/>
  <c r="M84" i="27"/>
  <c r="L84" i="27"/>
  <c r="K84" i="27"/>
  <c r="J84" i="27"/>
  <c r="I84" i="27"/>
  <c r="H84" i="27"/>
  <c r="G84" i="27"/>
  <c r="F84" i="27"/>
  <c r="E84" i="27"/>
  <c r="Q83" i="27"/>
  <c r="R83" i="27" s="1"/>
  <c r="H82" i="27"/>
  <c r="K78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Q75" i="27"/>
  <c r="R75" i="27" s="1"/>
  <c r="P74" i="27"/>
  <c r="O74" i="27"/>
  <c r="N74" i="27"/>
  <c r="M74" i="27"/>
  <c r="L74" i="27"/>
  <c r="K74" i="27"/>
  <c r="J74" i="27"/>
  <c r="I74" i="27"/>
  <c r="H74" i="27"/>
  <c r="G74" i="27"/>
  <c r="F74" i="27"/>
  <c r="E74" i="27"/>
  <c r="Q73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Q71" i="27"/>
  <c r="R71" i="27" s="1"/>
  <c r="P70" i="27"/>
  <c r="O70" i="27"/>
  <c r="N70" i="27"/>
  <c r="M70" i="27"/>
  <c r="L70" i="27"/>
  <c r="K70" i="27"/>
  <c r="J70" i="27"/>
  <c r="I70" i="27"/>
  <c r="H70" i="27"/>
  <c r="G70" i="27"/>
  <c r="F70" i="27"/>
  <c r="E70" i="27"/>
  <c r="Q69" i="27"/>
  <c r="R69" i="27" s="1"/>
  <c r="P68" i="27"/>
  <c r="O68" i="27"/>
  <c r="N68" i="27"/>
  <c r="M68" i="27"/>
  <c r="L68" i="27"/>
  <c r="K68" i="27"/>
  <c r="J68" i="27"/>
  <c r="I68" i="27"/>
  <c r="H68" i="27"/>
  <c r="G68" i="27"/>
  <c r="F68" i="27"/>
  <c r="E68" i="27"/>
  <c r="Q67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Q65" i="27"/>
  <c r="O64" i="27"/>
  <c r="J62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R59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Q53" i="27"/>
  <c r="R53" i="27" s="1"/>
  <c r="C53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Q51" i="27"/>
  <c r="R51" i="27" s="1"/>
  <c r="C51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Q49" i="27"/>
  <c r="R49" i="27" s="1"/>
  <c r="C49" i="27"/>
  <c r="P48" i="27"/>
  <c r="O48" i="27"/>
  <c r="N48" i="27"/>
  <c r="M48" i="27"/>
  <c r="L48" i="27"/>
  <c r="K48" i="27"/>
  <c r="J48" i="27"/>
  <c r="I48" i="27"/>
  <c r="H48" i="27"/>
  <c r="G48" i="27"/>
  <c r="F48" i="27"/>
  <c r="E48" i="27"/>
  <c r="C47" i="27"/>
  <c r="M46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Q37" i="27"/>
  <c r="M36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Q32" i="27"/>
  <c r="N31" i="27"/>
  <c r="I27" i="27"/>
  <c r="O25" i="27"/>
  <c r="P23" i="27"/>
  <c r="N23" i="27"/>
  <c r="M21" i="27"/>
  <c r="O19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L15" i="27"/>
  <c r="I13" i="27"/>
  <c r="O11" i="27"/>
  <c r="W142" i="24"/>
  <c r="W141" i="24"/>
  <c r="W143" i="24"/>
  <c r="W144" i="24"/>
  <c r="W145" i="24"/>
  <c r="W146" i="24"/>
  <c r="W147" i="24"/>
  <c r="W148" i="24"/>
  <c r="W149" i="24"/>
  <c r="W151" i="24"/>
  <c r="W152" i="24"/>
  <c r="W150" i="24"/>
  <c r="W114" i="24"/>
  <c r="W39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13" i="24"/>
  <c r="U79" i="24"/>
  <c r="U121" i="24"/>
  <c r="U118" i="24"/>
  <c r="U141" i="24"/>
  <c r="U105" i="24"/>
  <c r="U112" i="24"/>
  <c r="S47" i="27" l="1"/>
  <c r="N44" i="27"/>
  <c r="U154" i="24"/>
  <c r="P160" i="24" s="1"/>
  <c r="R159" i="24" s="1"/>
  <c r="L78" i="27"/>
  <c r="I64" i="27"/>
  <c r="S65" i="27"/>
  <c r="T65" i="27" s="1"/>
  <c r="M78" i="27"/>
  <c r="J64" i="27"/>
  <c r="N78" i="27"/>
  <c r="K64" i="27"/>
  <c r="O78" i="27"/>
  <c r="G23" i="27"/>
  <c r="P64" i="27"/>
  <c r="P78" i="27"/>
  <c r="H23" i="27"/>
  <c r="J13" i="27"/>
  <c r="I23" i="27"/>
  <c r="K13" i="27"/>
  <c r="J23" i="27"/>
  <c r="L13" i="27"/>
  <c r="K23" i="27"/>
  <c r="M13" i="27"/>
  <c r="O23" i="27"/>
  <c r="P44" i="27"/>
  <c r="I19" i="27"/>
  <c r="J19" i="27"/>
  <c r="P19" i="27"/>
  <c r="K82" i="27"/>
  <c r="M15" i="27"/>
  <c r="M25" i="27"/>
  <c r="O36" i="27"/>
  <c r="N15" i="27"/>
  <c r="S51" i="27"/>
  <c r="T51" i="27" s="1"/>
  <c r="E19" i="27"/>
  <c r="H19" i="27"/>
  <c r="I15" i="27"/>
  <c r="N36" i="27"/>
  <c r="H13" i="27"/>
  <c r="O15" i="27"/>
  <c r="E23" i="27"/>
  <c r="N46" i="27"/>
  <c r="K19" i="27"/>
  <c r="J15" i="27"/>
  <c r="K15" i="27"/>
  <c r="L82" i="27"/>
  <c r="F23" i="27"/>
  <c r="O44" i="27"/>
  <c r="O46" i="27"/>
  <c r="S71" i="27"/>
  <c r="T71" i="27" s="1"/>
  <c r="M62" i="27"/>
  <c r="M31" i="27"/>
  <c r="O31" i="27"/>
  <c r="G44" i="27"/>
  <c r="P62" i="27"/>
  <c r="L27" i="27"/>
  <c r="S49" i="27"/>
  <c r="T49" i="27" s="1"/>
  <c r="O62" i="27"/>
  <c r="K11" i="27"/>
  <c r="L11" i="27"/>
  <c r="Q14" i="27"/>
  <c r="M11" i="27"/>
  <c r="E15" i="27"/>
  <c r="N21" i="27"/>
  <c r="I44" i="27"/>
  <c r="F46" i="27"/>
  <c r="E64" i="27"/>
  <c r="S83" i="27"/>
  <c r="T83" i="27" s="1"/>
  <c r="E44" i="27"/>
  <c r="E46" i="27"/>
  <c r="N11" i="27"/>
  <c r="O21" i="27"/>
  <c r="G36" i="27"/>
  <c r="J44" i="27"/>
  <c r="G46" i="27"/>
  <c r="F64" i="27"/>
  <c r="F11" i="27"/>
  <c r="S16" i="27"/>
  <c r="T16" i="27" s="1"/>
  <c r="F15" i="27"/>
  <c r="G15" i="27"/>
  <c r="F19" i="27"/>
  <c r="N25" i="27"/>
  <c r="L36" i="27"/>
  <c r="K44" i="27"/>
  <c r="L46" i="27"/>
  <c r="G64" i="27"/>
  <c r="N62" i="27"/>
  <c r="F44" i="27"/>
  <c r="P15" i="27"/>
  <c r="H44" i="27"/>
  <c r="H15" i="27"/>
  <c r="G19" i="27"/>
  <c r="L44" i="27"/>
  <c r="S59" i="27"/>
  <c r="T59" i="27" s="1"/>
  <c r="H64" i="27"/>
  <c r="K29" i="27"/>
  <c r="I29" i="27"/>
  <c r="H29" i="27"/>
  <c r="J29" i="27"/>
  <c r="N29" i="27"/>
  <c r="M29" i="27"/>
  <c r="L29" i="27"/>
  <c r="G29" i="27"/>
  <c r="F29" i="27"/>
  <c r="E29" i="27"/>
  <c r="Q28" i="27"/>
  <c r="P29" i="27"/>
  <c r="S53" i="27"/>
  <c r="T53" i="27" s="1"/>
  <c r="J56" i="27"/>
  <c r="H56" i="27"/>
  <c r="I56" i="27"/>
  <c r="G56" i="27"/>
  <c r="N56" i="27"/>
  <c r="M56" i="27"/>
  <c r="E56" i="27"/>
  <c r="Q55" i="27"/>
  <c r="L56" i="27"/>
  <c r="K56" i="27"/>
  <c r="F56" i="27"/>
  <c r="P56" i="27"/>
  <c r="O29" i="27"/>
  <c r="O56" i="27"/>
  <c r="S37" i="27"/>
  <c r="T37" i="27" s="1"/>
  <c r="E58" i="27"/>
  <c r="P58" i="27"/>
  <c r="O58" i="27"/>
  <c r="N58" i="27"/>
  <c r="G21" i="27"/>
  <c r="E21" i="27"/>
  <c r="F21" i="27"/>
  <c r="P21" i="27"/>
  <c r="I25" i="27"/>
  <c r="H25" i="27"/>
  <c r="G25" i="27"/>
  <c r="F25" i="27"/>
  <c r="H31" i="27"/>
  <c r="E31" i="27"/>
  <c r="G31" i="27"/>
  <c r="F31" i="27"/>
  <c r="Q57" i="27"/>
  <c r="R65" i="27"/>
  <c r="Q20" i="27"/>
  <c r="Q24" i="27"/>
  <c r="S32" i="27"/>
  <c r="T32" i="27" s="1"/>
  <c r="K36" i="27"/>
  <c r="I36" i="27"/>
  <c r="H36" i="27"/>
  <c r="J36" i="27"/>
  <c r="P36" i="27"/>
  <c r="Q35" i="27"/>
  <c r="H58" i="27"/>
  <c r="J78" i="27"/>
  <c r="H78" i="27"/>
  <c r="G78" i="27"/>
  <c r="I78" i="27"/>
  <c r="F78" i="27"/>
  <c r="J11" i="27"/>
  <c r="I11" i="27"/>
  <c r="G11" i="27"/>
  <c r="H11" i="27"/>
  <c r="I58" i="27"/>
  <c r="S73" i="27"/>
  <c r="T73" i="27" s="1"/>
  <c r="Q77" i="27"/>
  <c r="E13" i="27"/>
  <c r="N13" i="27"/>
  <c r="O13" i="27"/>
  <c r="I21" i="27"/>
  <c r="I31" i="27"/>
  <c r="K46" i="27"/>
  <c r="H46" i="27"/>
  <c r="J46" i="27"/>
  <c r="I46" i="27"/>
  <c r="P46" i="27"/>
  <c r="J58" i="27"/>
  <c r="I62" i="27"/>
  <c r="G82" i="27"/>
  <c r="Q12" i="27"/>
  <c r="J21" i="27"/>
  <c r="J25" i="27"/>
  <c r="J31" i="27"/>
  <c r="K58" i="27"/>
  <c r="P25" i="27"/>
  <c r="P31" i="27"/>
  <c r="R73" i="27"/>
  <c r="P27" i="27"/>
  <c r="M27" i="27"/>
  <c r="Q26" i="27"/>
  <c r="O27" i="27"/>
  <c r="N27" i="27"/>
  <c r="Q30" i="27"/>
  <c r="F58" i="27"/>
  <c r="H62" i="27"/>
  <c r="G62" i="27"/>
  <c r="E62" i="27"/>
  <c r="F62" i="27"/>
  <c r="E27" i="27"/>
  <c r="G58" i="27"/>
  <c r="Q61" i="27"/>
  <c r="F27" i="27"/>
  <c r="S75" i="27"/>
  <c r="T75" i="27" s="1"/>
  <c r="E82" i="27"/>
  <c r="P82" i="27"/>
  <c r="O82" i="27"/>
  <c r="N82" i="27"/>
  <c r="M82" i="27"/>
  <c r="Q81" i="27"/>
  <c r="H21" i="27"/>
  <c r="G27" i="27"/>
  <c r="R37" i="27"/>
  <c r="R67" i="27"/>
  <c r="F82" i="27"/>
  <c r="E25" i="27"/>
  <c r="H27" i="27"/>
  <c r="F13" i="27"/>
  <c r="K21" i="27"/>
  <c r="K25" i="27"/>
  <c r="J27" i="27"/>
  <c r="K31" i="27"/>
  <c r="E36" i="27"/>
  <c r="L58" i="27"/>
  <c r="K62" i="27"/>
  <c r="S69" i="27"/>
  <c r="T69" i="27" s="1"/>
  <c r="I82" i="27"/>
  <c r="G13" i="27"/>
  <c r="L21" i="27"/>
  <c r="L25" i="27"/>
  <c r="K27" i="27"/>
  <c r="L31" i="27"/>
  <c r="F36" i="27"/>
  <c r="M58" i="27"/>
  <c r="L62" i="27"/>
  <c r="S67" i="27"/>
  <c r="T67" i="27" s="1"/>
  <c r="E78" i="27"/>
  <c r="J82" i="27"/>
  <c r="R32" i="27"/>
  <c r="M64" i="27"/>
  <c r="Q22" i="27"/>
  <c r="M23" i="27"/>
  <c r="M44" i="27"/>
  <c r="L19" i="27"/>
  <c r="L64" i="27"/>
  <c r="Q18" i="27"/>
  <c r="M19" i="27"/>
  <c r="L23" i="27"/>
  <c r="Q63" i="27"/>
  <c r="N19" i="27"/>
  <c r="N64" i="27"/>
  <c r="E19" i="24"/>
  <c r="E18" i="24"/>
  <c r="E151" i="24"/>
  <c r="E66" i="24"/>
  <c r="E150" i="24"/>
  <c r="E148" i="24"/>
  <c r="E146" i="24"/>
  <c r="E143" i="24"/>
  <c r="E142" i="24"/>
  <c r="E141" i="24"/>
  <c r="E140" i="24"/>
  <c r="E137" i="24"/>
  <c r="E121" i="24"/>
  <c r="E106" i="24"/>
  <c r="E105" i="24"/>
  <c r="E104" i="24"/>
  <c r="E102" i="24"/>
  <c r="E100" i="24"/>
  <c r="E99" i="24"/>
  <c r="E98" i="24"/>
  <c r="E97" i="24"/>
  <c r="E96" i="24"/>
  <c r="E95" i="24"/>
  <c r="E78" i="24"/>
  <c r="E74" i="24"/>
  <c r="E71" i="24"/>
  <c r="E70" i="24"/>
  <c r="E69" i="24"/>
  <c r="E68" i="24"/>
  <c r="E67" i="24"/>
  <c r="E57" i="24"/>
  <c r="E56" i="24"/>
  <c r="E55" i="24"/>
  <c r="E54" i="24"/>
  <c r="E39" i="24"/>
  <c r="E38" i="24"/>
  <c r="E37" i="24"/>
  <c r="E35" i="24"/>
  <c r="E30" i="24"/>
  <c r="E29" i="24"/>
  <c r="E25" i="24"/>
  <c r="E24" i="24"/>
  <c r="E23" i="24"/>
  <c r="E21" i="24"/>
  <c r="E20" i="24"/>
  <c r="E16" i="24"/>
  <c r="E14" i="24"/>
  <c r="E12" i="24"/>
  <c r="Q110" i="27" l="1"/>
  <c r="R12" i="27"/>
  <c r="S20" i="27"/>
  <c r="S14" i="27"/>
  <c r="T14" i="27"/>
  <c r="R14" i="27"/>
  <c r="S12" i="27"/>
  <c r="S10" i="27"/>
  <c r="S63" i="27"/>
  <c r="T63" i="27" s="1"/>
  <c r="S22" i="27"/>
  <c r="T22" i="27" s="1"/>
  <c r="S77" i="27"/>
  <c r="T77" i="27" s="1"/>
  <c r="S18" i="27"/>
  <c r="T18" i="27" s="1"/>
  <c r="S43" i="27"/>
  <c r="S45" i="27"/>
  <c r="T45" i="27" s="1"/>
  <c r="S28" i="27"/>
  <c r="T28" i="27" s="1"/>
  <c r="R45" i="27"/>
  <c r="R35" i="27"/>
  <c r="S30" i="27"/>
  <c r="T30" i="27" s="1"/>
  <c r="S55" i="27"/>
  <c r="T55" i="27" s="1"/>
  <c r="S35" i="27"/>
  <c r="T35" i="27" s="1"/>
  <c r="R26" i="27"/>
  <c r="S57" i="27"/>
  <c r="T57" i="27" s="1"/>
  <c r="S26" i="27"/>
  <c r="T26" i="27" s="1"/>
  <c r="R24" i="27"/>
  <c r="R22" i="27"/>
  <c r="T47" i="27"/>
  <c r="R47" i="27"/>
  <c r="R77" i="27"/>
  <c r="R20" i="27"/>
  <c r="R30" i="27"/>
  <c r="R55" i="27"/>
  <c r="R43" i="27"/>
  <c r="S61" i="27"/>
  <c r="T61" i="27" s="1"/>
  <c r="S81" i="27"/>
  <c r="T81" i="27" s="1"/>
  <c r="T20" i="27"/>
  <c r="R18" i="27"/>
  <c r="R61" i="27"/>
  <c r="R81" i="27"/>
  <c r="S24" i="27"/>
  <c r="T24" i="27" s="1"/>
  <c r="R63" i="27"/>
  <c r="R57" i="27"/>
  <c r="R28" i="27"/>
  <c r="R110" i="27" l="1"/>
  <c r="T43" i="27"/>
  <c r="T10" i="27"/>
  <c r="S125" i="27" s="1"/>
  <c r="S127" i="27" s="1"/>
  <c r="T12" i="27"/>
  <c r="S126" i="27" s="1"/>
  <c r="C143" i="24"/>
  <c r="C152" i="24"/>
  <c r="D152" i="24"/>
  <c r="C151" i="24"/>
  <c r="D151" i="24"/>
  <c r="D150" i="24"/>
  <c r="D149" i="24"/>
  <c r="D148" i="24"/>
  <c r="D147" i="24"/>
  <c r="D146" i="24"/>
  <c r="D145" i="24"/>
  <c r="D144" i="24"/>
  <c r="D143" i="24"/>
  <c r="D142" i="24"/>
  <c r="D141" i="24"/>
  <c r="D140" i="24"/>
  <c r="D139" i="24"/>
  <c r="D138" i="24"/>
  <c r="D137" i="24"/>
  <c r="D121" i="24"/>
  <c r="D120" i="24"/>
  <c r="D119" i="24"/>
  <c r="D118" i="24"/>
  <c r="D117" i="24"/>
  <c r="D116" i="24"/>
  <c r="D115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C101" i="24"/>
  <c r="D100" i="24"/>
  <c r="D99" i="24"/>
  <c r="D98" i="24"/>
  <c r="D97" i="24"/>
  <c r="D96" i="24"/>
  <c r="D95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C66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R148" i="24"/>
  <c r="S148" i="24" s="1"/>
  <c r="R149" i="24"/>
  <c r="S149" i="24" s="1"/>
  <c r="R150" i="24"/>
  <c r="S150" i="24" s="1"/>
  <c r="R151" i="24"/>
  <c r="S151" i="24" s="1"/>
  <c r="R152" i="24"/>
  <c r="S152" i="24" s="1"/>
  <c r="R137" i="24"/>
  <c r="R105" i="24"/>
  <c r="R106" i="24"/>
  <c r="R107" i="24"/>
  <c r="R108" i="24"/>
  <c r="R109" i="24"/>
  <c r="R110" i="24"/>
  <c r="R111" i="24"/>
  <c r="R112" i="24"/>
  <c r="R113" i="24"/>
  <c r="R114" i="24"/>
  <c r="R115" i="24"/>
  <c r="R116" i="24"/>
  <c r="R117" i="24"/>
  <c r="R118" i="24"/>
  <c r="R119" i="24"/>
  <c r="R120" i="24"/>
  <c r="R121" i="24"/>
  <c r="R54" i="24"/>
  <c r="R27" i="24"/>
  <c r="R17" i="24"/>
  <c r="R15" i="24"/>
  <c r="R13" i="24"/>
  <c r="T110" i="27" l="1"/>
  <c r="V154" i="24"/>
  <c r="X154" i="24"/>
  <c r="H154" i="24"/>
  <c r="F154" i="24"/>
  <c r="S148" i="18"/>
  <c r="R148" i="18"/>
  <c r="Q148" i="18"/>
  <c r="P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P144" i="18"/>
  <c r="P143" i="18"/>
  <c r="P142" i="18"/>
  <c r="P141" i="18"/>
  <c r="M141" i="18"/>
  <c r="P140" i="18"/>
  <c r="P139" i="18"/>
  <c r="P138" i="18"/>
  <c r="U137" i="18"/>
  <c r="R137" i="18"/>
  <c r="Q137" i="18"/>
  <c r="P137" i="18"/>
  <c r="R136" i="18"/>
  <c r="Q136" i="18"/>
  <c r="P136" i="18"/>
  <c r="R135" i="18"/>
  <c r="Q135" i="18"/>
  <c r="P135" i="18"/>
  <c r="U134" i="18"/>
  <c r="R134" i="18"/>
  <c r="Q134" i="18"/>
  <c r="P134" i="18"/>
  <c r="P121" i="18"/>
  <c r="S119" i="18"/>
  <c r="R119" i="18"/>
  <c r="Q119" i="18"/>
  <c r="P119" i="18"/>
  <c r="S118" i="18"/>
  <c r="R118" i="18"/>
  <c r="Q118" i="18"/>
  <c r="P118" i="18"/>
  <c r="T117" i="18"/>
  <c r="R117" i="18"/>
  <c r="Q117" i="18"/>
  <c r="P117" i="18"/>
  <c r="T116" i="18"/>
  <c r="R116" i="18"/>
  <c r="Q116" i="18"/>
  <c r="P116" i="18"/>
  <c r="T115" i="18"/>
  <c r="R115" i="18"/>
  <c r="Q115" i="18"/>
  <c r="P115" i="18"/>
  <c r="S114" i="18"/>
  <c r="R114" i="18"/>
  <c r="Q114" i="18"/>
  <c r="P114" i="18"/>
  <c r="S113" i="18"/>
  <c r="R113" i="18"/>
  <c r="Q113" i="18"/>
  <c r="P113" i="18"/>
  <c r="Q112" i="18"/>
  <c r="P112" i="18"/>
  <c r="M112" i="18"/>
  <c r="G112" i="18"/>
  <c r="F112" i="18"/>
  <c r="S111" i="18"/>
  <c r="R111" i="18"/>
  <c r="Q111" i="18"/>
  <c r="P111" i="18"/>
  <c r="T110" i="18"/>
  <c r="R110" i="18"/>
  <c r="Q110" i="18"/>
  <c r="P110" i="18"/>
  <c r="S109" i="18"/>
  <c r="R109" i="18"/>
  <c r="Q109" i="18"/>
  <c r="P109" i="18"/>
  <c r="S108" i="18"/>
  <c r="R108" i="18"/>
  <c r="Q108" i="18"/>
  <c r="P108" i="18"/>
  <c r="T107" i="18"/>
  <c r="R107" i="18"/>
  <c r="Q107" i="18"/>
  <c r="P107" i="18"/>
  <c r="T106" i="18"/>
  <c r="R106" i="18"/>
  <c r="Q106" i="18"/>
  <c r="P106" i="18"/>
  <c r="S105" i="18"/>
  <c r="R105" i="18"/>
  <c r="Q105" i="18"/>
  <c r="P105" i="18"/>
  <c r="S104" i="18"/>
  <c r="R104" i="18"/>
  <c r="Q104" i="18"/>
  <c r="P104" i="18"/>
  <c r="C104" i="18"/>
  <c r="S103" i="18"/>
  <c r="R103" i="18"/>
  <c r="Q103" i="18"/>
  <c r="P103" i="18"/>
  <c r="R102" i="18"/>
  <c r="Q102" i="18"/>
  <c r="P102" i="18"/>
  <c r="R101" i="18"/>
  <c r="Q101" i="18"/>
  <c r="P101" i="18"/>
  <c r="S100" i="18"/>
  <c r="R100" i="18"/>
  <c r="Q100" i="18"/>
  <c r="P100" i="18"/>
  <c r="B100" i="18"/>
  <c r="T99" i="18"/>
  <c r="R99" i="18"/>
  <c r="S98" i="18"/>
  <c r="R98" i="18"/>
  <c r="Q98" i="18"/>
  <c r="P98" i="18"/>
  <c r="B98" i="18"/>
  <c r="S97" i="18"/>
  <c r="R97" i="18"/>
  <c r="Q97" i="18"/>
  <c r="P97" i="18"/>
  <c r="B97" i="18"/>
  <c r="S96" i="18"/>
  <c r="R96" i="18"/>
  <c r="Q96" i="18"/>
  <c r="P96" i="18"/>
  <c r="B96" i="18"/>
  <c r="R95" i="18"/>
  <c r="Q95" i="18"/>
  <c r="P95" i="18"/>
  <c r="U94" i="18"/>
  <c r="R94" i="18"/>
  <c r="Q94" i="18"/>
  <c r="P94" i="18"/>
  <c r="U93" i="18"/>
  <c r="R93" i="18"/>
  <c r="Q93" i="18"/>
  <c r="P93" i="18"/>
  <c r="P80" i="18"/>
  <c r="S78" i="18"/>
  <c r="R78" i="18"/>
  <c r="Q78" i="18"/>
  <c r="P78" i="18"/>
  <c r="S77" i="18"/>
  <c r="R77" i="18"/>
  <c r="Q77" i="18"/>
  <c r="P77" i="18"/>
  <c r="U76" i="18"/>
  <c r="T76" i="18"/>
  <c r="R76" i="18"/>
  <c r="Q76" i="18"/>
  <c r="P76" i="18"/>
  <c r="T75" i="18"/>
  <c r="R75" i="18"/>
  <c r="Q75" i="18"/>
  <c r="P75" i="18"/>
  <c r="R74" i="18"/>
  <c r="Q74" i="18"/>
  <c r="P74" i="18"/>
  <c r="R73" i="18"/>
  <c r="Q73" i="18"/>
  <c r="P73" i="18"/>
  <c r="S72" i="18"/>
  <c r="R72" i="18"/>
  <c r="Q72" i="18"/>
  <c r="P72" i="18"/>
  <c r="T71" i="18"/>
  <c r="R71" i="18"/>
  <c r="Q71" i="18"/>
  <c r="P71" i="18"/>
  <c r="T70" i="18"/>
  <c r="R70" i="18"/>
  <c r="Q70" i="18"/>
  <c r="P70" i="18"/>
  <c r="S69" i="18"/>
  <c r="R69" i="18"/>
  <c r="Q69" i="18"/>
  <c r="P69" i="18"/>
  <c r="R68" i="18"/>
  <c r="Q68" i="18"/>
  <c r="P68" i="18"/>
  <c r="U67" i="18"/>
  <c r="T67" i="18"/>
  <c r="R67" i="18"/>
  <c r="Q67" i="18"/>
  <c r="P67" i="18"/>
  <c r="S66" i="18"/>
  <c r="R66" i="18"/>
  <c r="Q66" i="18"/>
  <c r="P66" i="18"/>
  <c r="S65" i="18"/>
  <c r="R65" i="18"/>
  <c r="Q65" i="18"/>
  <c r="P65" i="18"/>
  <c r="S64" i="18"/>
  <c r="R64" i="18"/>
  <c r="Q64" i="18"/>
  <c r="P64" i="18"/>
  <c r="S63" i="18"/>
  <c r="R63" i="18"/>
  <c r="Q63" i="18"/>
  <c r="P63" i="18"/>
  <c r="T62" i="18"/>
  <c r="R62" i="18"/>
  <c r="Q62" i="18"/>
  <c r="P62" i="18"/>
  <c r="T61" i="18"/>
  <c r="R61" i="18"/>
  <c r="Q61" i="18"/>
  <c r="P61" i="18"/>
  <c r="T60" i="18"/>
  <c r="R60" i="18"/>
  <c r="Q60" i="18"/>
  <c r="P60" i="18"/>
  <c r="R59" i="18"/>
  <c r="Q59" i="18"/>
  <c r="P59" i="18"/>
  <c r="R58" i="18"/>
  <c r="Q58" i="18"/>
  <c r="P58" i="18"/>
  <c r="T57" i="18"/>
  <c r="R57" i="18"/>
  <c r="Q57" i="18"/>
  <c r="P57" i="18"/>
  <c r="T56" i="18"/>
  <c r="R56" i="18"/>
  <c r="Q56" i="18"/>
  <c r="P56" i="18"/>
  <c r="R55" i="18"/>
  <c r="Q55" i="18"/>
  <c r="P55" i="18"/>
  <c r="R54" i="18"/>
  <c r="Q54" i="18"/>
  <c r="P54" i="18"/>
  <c r="U53" i="18"/>
  <c r="R53" i="18"/>
  <c r="Q53" i="18"/>
  <c r="P53" i="18"/>
  <c r="U52" i="18"/>
  <c r="R52" i="18"/>
  <c r="Q52" i="18"/>
  <c r="P52" i="18"/>
  <c r="P40" i="18"/>
  <c r="U38" i="18"/>
  <c r="R38" i="18"/>
  <c r="Q38" i="18"/>
  <c r="P38" i="18"/>
  <c r="R37" i="18"/>
  <c r="Q37" i="18"/>
  <c r="P37" i="18"/>
  <c r="R36" i="18"/>
  <c r="Q36" i="18"/>
  <c r="P36" i="18"/>
  <c r="T35" i="18"/>
  <c r="R35" i="18"/>
  <c r="Q35" i="18"/>
  <c r="P35" i="18"/>
  <c r="R34" i="18"/>
  <c r="Q34" i="18"/>
  <c r="P34" i="18"/>
  <c r="T33" i="18"/>
  <c r="R33" i="18"/>
  <c r="Q33" i="18"/>
  <c r="P33" i="18"/>
  <c r="R32" i="18"/>
  <c r="Q32" i="18"/>
  <c r="P32" i="18"/>
  <c r="T31" i="18"/>
  <c r="R31" i="18"/>
  <c r="Q31" i="18"/>
  <c r="P31" i="18"/>
  <c r="T30" i="18"/>
  <c r="R30" i="18"/>
  <c r="Q30" i="18"/>
  <c r="P30" i="18"/>
  <c r="S29" i="18"/>
  <c r="R29" i="18"/>
  <c r="Q29" i="18"/>
  <c r="P29" i="18"/>
  <c r="S28" i="18"/>
  <c r="R28" i="18"/>
  <c r="Q28" i="18"/>
  <c r="P28" i="18"/>
  <c r="R27" i="18"/>
  <c r="Q27" i="18"/>
  <c r="P27" i="18"/>
  <c r="T26" i="18"/>
  <c r="R26" i="18"/>
  <c r="Q26" i="18"/>
  <c r="P26" i="18"/>
  <c r="T25" i="18"/>
  <c r="R25" i="18"/>
  <c r="Q25" i="18"/>
  <c r="P25" i="18"/>
  <c r="S24" i="18"/>
  <c r="R24" i="18"/>
  <c r="Q24" i="18"/>
  <c r="P24" i="18"/>
  <c r="R23" i="18"/>
  <c r="Q23" i="18"/>
  <c r="P23" i="18"/>
  <c r="S22" i="18"/>
  <c r="R22" i="18"/>
  <c r="Q22" i="18"/>
  <c r="P22" i="18"/>
  <c r="R21" i="18"/>
  <c r="Q21" i="18"/>
  <c r="P21" i="18"/>
  <c r="R20" i="18"/>
  <c r="Q20" i="18"/>
  <c r="P20" i="18"/>
  <c r="R19" i="18"/>
  <c r="Q19" i="18"/>
  <c r="P19" i="18"/>
  <c r="S18" i="18"/>
  <c r="R18" i="18"/>
  <c r="Q18" i="18"/>
  <c r="P18" i="18"/>
  <c r="S17" i="18"/>
  <c r="R17" i="18"/>
  <c r="Q17" i="18"/>
  <c r="P17" i="18"/>
  <c r="T16" i="18"/>
  <c r="R16" i="18"/>
  <c r="Q16" i="18"/>
  <c r="P16" i="18"/>
  <c r="U15" i="18"/>
  <c r="T15" i="18"/>
  <c r="R15" i="18"/>
  <c r="Q15" i="18"/>
  <c r="P15" i="18"/>
  <c r="T14" i="18"/>
  <c r="R14" i="18"/>
  <c r="Q14" i="18"/>
  <c r="P14" i="18"/>
  <c r="S13" i="18"/>
  <c r="R13" i="18"/>
  <c r="Q13" i="18"/>
  <c r="P13" i="18"/>
  <c r="R12" i="18"/>
  <c r="Q12" i="18"/>
  <c r="P12" i="18"/>
  <c r="U11" i="18"/>
  <c r="R11" i="18"/>
  <c r="Q11" i="18"/>
  <c r="P11" i="18"/>
  <c r="S139" i="14"/>
  <c r="R139" i="14"/>
  <c r="Q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U137" i="14"/>
  <c r="R137" i="14"/>
  <c r="Q137" i="14"/>
  <c r="P137" i="14"/>
  <c r="R136" i="14"/>
  <c r="Q136" i="14"/>
  <c r="P136" i="14"/>
  <c r="R135" i="14"/>
  <c r="Q135" i="14"/>
  <c r="P135" i="14"/>
  <c r="U134" i="14"/>
  <c r="R134" i="14"/>
  <c r="Q134" i="14"/>
  <c r="P134" i="14"/>
  <c r="S119" i="14"/>
  <c r="R119" i="14"/>
  <c r="Q119" i="14"/>
  <c r="P119" i="14"/>
  <c r="L119" i="14"/>
  <c r="S118" i="14"/>
  <c r="R118" i="14"/>
  <c r="Q118" i="14"/>
  <c r="P118" i="14"/>
  <c r="T117" i="14"/>
  <c r="R117" i="14"/>
  <c r="Q117" i="14"/>
  <c r="P117" i="14"/>
  <c r="T116" i="14"/>
  <c r="R116" i="14"/>
  <c r="Q116" i="14"/>
  <c r="P116" i="14"/>
  <c r="T115" i="14"/>
  <c r="R115" i="14"/>
  <c r="Q115" i="14"/>
  <c r="P115" i="14"/>
  <c r="S114" i="14"/>
  <c r="R114" i="14"/>
  <c r="Q114" i="14"/>
  <c r="P114" i="14"/>
  <c r="J114" i="14"/>
  <c r="S113" i="14"/>
  <c r="R113" i="14"/>
  <c r="Q113" i="14"/>
  <c r="P113" i="14"/>
  <c r="T112" i="14"/>
  <c r="R112" i="14"/>
  <c r="Q112" i="14"/>
  <c r="P112" i="14"/>
  <c r="S111" i="14"/>
  <c r="R111" i="14"/>
  <c r="Q111" i="14"/>
  <c r="P111" i="14"/>
  <c r="I111" i="14"/>
  <c r="F111" i="14"/>
  <c r="T110" i="14"/>
  <c r="R110" i="14"/>
  <c r="Q110" i="14"/>
  <c r="P110" i="14"/>
  <c r="S109" i="14"/>
  <c r="R109" i="14"/>
  <c r="Q109" i="14"/>
  <c r="P109" i="14"/>
  <c r="S108" i="14"/>
  <c r="R108" i="14"/>
  <c r="Q108" i="14"/>
  <c r="P108" i="14"/>
  <c r="T107" i="14"/>
  <c r="R107" i="14"/>
  <c r="Q107" i="14"/>
  <c r="P107" i="14"/>
  <c r="T106" i="14"/>
  <c r="R106" i="14"/>
  <c r="Q106" i="14"/>
  <c r="P106" i="14"/>
  <c r="S105" i="14"/>
  <c r="R105" i="14"/>
  <c r="Q105" i="14"/>
  <c r="P105" i="14"/>
  <c r="S104" i="14"/>
  <c r="R104" i="14"/>
  <c r="Q104" i="14"/>
  <c r="P104" i="14"/>
  <c r="C104" i="14"/>
  <c r="S103" i="14"/>
  <c r="R103" i="14"/>
  <c r="Q103" i="14"/>
  <c r="P103" i="14"/>
  <c r="R102" i="14"/>
  <c r="Q102" i="14"/>
  <c r="P102" i="14"/>
  <c r="R101" i="14"/>
  <c r="Q101" i="14"/>
  <c r="P101" i="14"/>
  <c r="S100" i="14"/>
  <c r="R100" i="14"/>
  <c r="Q100" i="14"/>
  <c r="P100" i="14"/>
  <c r="B100" i="14"/>
  <c r="T99" i="14"/>
  <c r="R99" i="14"/>
  <c r="S98" i="14"/>
  <c r="R98" i="14"/>
  <c r="Q98" i="14"/>
  <c r="P98" i="14"/>
  <c r="E98" i="14"/>
  <c r="B98" i="14"/>
  <c r="S97" i="14"/>
  <c r="R97" i="14"/>
  <c r="Q97" i="14"/>
  <c r="P97" i="14"/>
  <c r="B97" i="14"/>
  <c r="S96" i="14"/>
  <c r="R96" i="14"/>
  <c r="Q96" i="14"/>
  <c r="P96" i="14"/>
  <c r="B96" i="14"/>
  <c r="R95" i="14"/>
  <c r="Q95" i="14"/>
  <c r="P95" i="14"/>
  <c r="U94" i="14"/>
  <c r="R94" i="14"/>
  <c r="Q94" i="14"/>
  <c r="P94" i="14"/>
  <c r="U93" i="14"/>
  <c r="R93" i="14"/>
  <c r="Q93" i="14"/>
  <c r="P93" i="14"/>
  <c r="S78" i="14"/>
  <c r="R78" i="14"/>
  <c r="Q78" i="14"/>
  <c r="P78" i="14"/>
  <c r="S77" i="14"/>
  <c r="R77" i="14"/>
  <c r="Q77" i="14"/>
  <c r="P77" i="14"/>
  <c r="U76" i="14"/>
  <c r="T76" i="14"/>
  <c r="R76" i="14"/>
  <c r="Q76" i="14"/>
  <c r="P76" i="14"/>
  <c r="T75" i="14"/>
  <c r="R75" i="14"/>
  <c r="Q75" i="14"/>
  <c r="P75" i="14"/>
  <c r="R74" i="14"/>
  <c r="Q74" i="14"/>
  <c r="P74" i="14"/>
  <c r="R73" i="14"/>
  <c r="Q73" i="14"/>
  <c r="P73" i="14"/>
  <c r="S72" i="14"/>
  <c r="R72" i="14"/>
  <c r="Q72" i="14"/>
  <c r="P72" i="14"/>
  <c r="T71" i="14"/>
  <c r="R71" i="14"/>
  <c r="Q71" i="14"/>
  <c r="P71" i="14"/>
  <c r="T70" i="14"/>
  <c r="R70" i="14"/>
  <c r="Q70" i="14"/>
  <c r="P70" i="14"/>
  <c r="S69" i="14"/>
  <c r="R69" i="14"/>
  <c r="Q69" i="14"/>
  <c r="P69" i="14"/>
  <c r="D69" i="14"/>
  <c r="R68" i="14"/>
  <c r="Q68" i="14"/>
  <c r="P68" i="14"/>
  <c r="U67" i="14"/>
  <c r="T67" i="14"/>
  <c r="R67" i="14"/>
  <c r="Q67" i="14"/>
  <c r="P67" i="14"/>
  <c r="S66" i="14"/>
  <c r="R66" i="14"/>
  <c r="Q66" i="14"/>
  <c r="P66" i="14"/>
  <c r="S65" i="14"/>
  <c r="R65" i="14"/>
  <c r="Q65" i="14"/>
  <c r="P65" i="14"/>
  <c r="S64" i="14"/>
  <c r="R64" i="14"/>
  <c r="Q64" i="14"/>
  <c r="P64" i="14"/>
  <c r="E64" i="14"/>
  <c r="S63" i="14"/>
  <c r="R63" i="14"/>
  <c r="Q63" i="14"/>
  <c r="P63" i="14"/>
  <c r="T62" i="14"/>
  <c r="R62" i="14"/>
  <c r="Q62" i="14"/>
  <c r="P62" i="14"/>
  <c r="T61" i="14"/>
  <c r="R61" i="14"/>
  <c r="Q61" i="14"/>
  <c r="P61" i="14"/>
  <c r="T60" i="14"/>
  <c r="R60" i="14"/>
  <c r="Q60" i="14"/>
  <c r="P60" i="14"/>
  <c r="R59" i="14"/>
  <c r="Q59" i="14"/>
  <c r="P59" i="14"/>
  <c r="R58" i="14"/>
  <c r="Q58" i="14"/>
  <c r="P58" i="14"/>
  <c r="T57" i="14"/>
  <c r="R57" i="14"/>
  <c r="Q57" i="14"/>
  <c r="P57" i="14"/>
  <c r="T56" i="14"/>
  <c r="R56" i="14"/>
  <c r="Q56" i="14"/>
  <c r="P56" i="14"/>
  <c r="R55" i="14"/>
  <c r="Q55" i="14"/>
  <c r="P55" i="14"/>
  <c r="R54" i="14"/>
  <c r="Q54" i="14"/>
  <c r="P54" i="14"/>
  <c r="U53" i="14"/>
  <c r="R53" i="14"/>
  <c r="Q53" i="14"/>
  <c r="P53" i="14"/>
  <c r="D53" i="14"/>
  <c r="U52" i="14"/>
  <c r="R52" i="14"/>
  <c r="Q52" i="14"/>
  <c r="P52" i="14"/>
  <c r="U38" i="14"/>
  <c r="R38" i="14"/>
  <c r="Q38" i="14"/>
  <c r="P38" i="14"/>
  <c r="D38" i="14"/>
  <c r="R37" i="14"/>
  <c r="Q37" i="14"/>
  <c r="P37" i="14"/>
  <c r="R36" i="14"/>
  <c r="Q36" i="14"/>
  <c r="P36" i="14"/>
  <c r="T35" i="14"/>
  <c r="R35" i="14"/>
  <c r="Q35" i="14"/>
  <c r="P35" i="14"/>
  <c r="R34" i="14"/>
  <c r="Q34" i="14"/>
  <c r="P34" i="14"/>
  <c r="T33" i="14"/>
  <c r="R33" i="14"/>
  <c r="Q33" i="14"/>
  <c r="P33" i="14"/>
  <c r="R32" i="14"/>
  <c r="Q32" i="14"/>
  <c r="P32" i="14"/>
  <c r="T31" i="14"/>
  <c r="R31" i="14"/>
  <c r="Q31" i="14"/>
  <c r="P31" i="14"/>
  <c r="T30" i="14"/>
  <c r="R30" i="14"/>
  <c r="Q30" i="14"/>
  <c r="P30" i="14"/>
  <c r="S29" i="14"/>
  <c r="R29" i="14"/>
  <c r="Q29" i="14"/>
  <c r="P29" i="14"/>
  <c r="F29" i="14"/>
  <c r="E29" i="14"/>
  <c r="S28" i="14"/>
  <c r="R28" i="14"/>
  <c r="Q28" i="14"/>
  <c r="P28" i="14"/>
  <c r="D28" i="14"/>
  <c r="R27" i="14"/>
  <c r="Q27" i="14"/>
  <c r="P27" i="14"/>
  <c r="T26" i="14"/>
  <c r="R26" i="14"/>
  <c r="Q26" i="14"/>
  <c r="P26" i="14"/>
  <c r="T25" i="14"/>
  <c r="R25" i="14"/>
  <c r="Q25" i="14"/>
  <c r="P25" i="14"/>
  <c r="S24" i="14"/>
  <c r="R24" i="14"/>
  <c r="Q24" i="14"/>
  <c r="P24" i="14"/>
  <c r="R23" i="14"/>
  <c r="Q23" i="14"/>
  <c r="P23" i="14"/>
  <c r="S22" i="14"/>
  <c r="R22" i="14"/>
  <c r="Q22" i="14"/>
  <c r="P22" i="14"/>
  <c r="D22" i="14"/>
  <c r="R21" i="14"/>
  <c r="Q21" i="14"/>
  <c r="P21" i="14"/>
  <c r="R20" i="14"/>
  <c r="Q20" i="14"/>
  <c r="P20" i="14"/>
  <c r="R19" i="14"/>
  <c r="Q19" i="14"/>
  <c r="P19" i="14"/>
  <c r="S18" i="14"/>
  <c r="R18" i="14"/>
  <c r="Q18" i="14"/>
  <c r="P18" i="14"/>
  <c r="S17" i="14"/>
  <c r="R17" i="14"/>
  <c r="Q17" i="14"/>
  <c r="P17" i="14"/>
  <c r="T16" i="14"/>
  <c r="R16" i="14"/>
  <c r="Q16" i="14"/>
  <c r="P16" i="14"/>
  <c r="U15" i="14"/>
  <c r="T15" i="14"/>
  <c r="R15" i="14"/>
  <c r="Q15" i="14"/>
  <c r="P15" i="14"/>
  <c r="T14" i="14"/>
  <c r="R14" i="14"/>
  <c r="Q14" i="14"/>
  <c r="P14" i="14"/>
  <c r="S13" i="14"/>
  <c r="R13" i="14"/>
  <c r="Q13" i="14"/>
  <c r="P13" i="14"/>
  <c r="R12" i="14"/>
  <c r="Q12" i="14"/>
  <c r="P12" i="14"/>
  <c r="U11" i="14"/>
  <c r="R11" i="14"/>
  <c r="Q11" i="14"/>
  <c r="P11" i="14"/>
  <c r="O178" i="17"/>
  <c r="N178" i="17"/>
  <c r="E177" i="17"/>
  <c r="D177" i="17"/>
  <c r="E176" i="17"/>
  <c r="D176" i="17"/>
  <c r="E175" i="17"/>
  <c r="D175" i="17"/>
  <c r="N172" i="17"/>
  <c r="G172" i="17"/>
  <c r="E172" i="17"/>
  <c r="G171" i="17"/>
  <c r="G170" i="17"/>
  <c r="U155" i="17"/>
  <c r="R155" i="17"/>
  <c r="V154" i="17"/>
  <c r="U154" i="17"/>
  <c r="U152" i="17"/>
  <c r="R152" i="17"/>
  <c r="V151" i="17"/>
  <c r="U151" i="17"/>
  <c r="AE148" i="17"/>
  <c r="AD148" i="17"/>
  <c r="AC148" i="17"/>
  <c r="AB148" i="17"/>
  <c r="AA148" i="17"/>
  <c r="Z148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AG137" i="17"/>
  <c r="AD137" i="17"/>
  <c r="AC137" i="17"/>
  <c r="AB137" i="17"/>
  <c r="AD136" i="17"/>
  <c r="AC136" i="17"/>
  <c r="AB136" i="17"/>
  <c r="AD135" i="17"/>
  <c r="AC135" i="17"/>
  <c r="AB135" i="17"/>
  <c r="AG134" i="17"/>
  <c r="AD134" i="17"/>
  <c r="AC134" i="17"/>
  <c r="AB134" i="17"/>
  <c r="AE119" i="17"/>
  <c r="AD119" i="17"/>
  <c r="AC119" i="17"/>
  <c r="AB119" i="17"/>
  <c r="AE118" i="17"/>
  <c r="AD118" i="17"/>
  <c r="AC118" i="17"/>
  <c r="AB118" i="17"/>
  <c r="AD117" i="17"/>
  <c r="AC117" i="17"/>
  <c r="AB117" i="17"/>
  <c r="AD116" i="17"/>
  <c r="AC116" i="17"/>
  <c r="AB116" i="17"/>
  <c r="AD115" i="17"/>
  <c r="AC115" i="17"/>
  <c r="AB115" i="17"/>
  <c r="AE114" i="17"/>
  <c r="AD114" i="17"/>
  <c r="AC114" i="17"/>
  <c r="AB114" i="17"/>
  <c r="AE113" i="17"/>
  <c r="AD113" i="17"/>
  <c r="AC113" i="17"/>
  <c r="AB113" i="17"/>
  <c r="AD112" i="17"/>
  <c r="AC112" i="17"/>
  <c r="AB112" i="17"/>
  <c r="AE111" i="17"/>
  <c r="AD111" i="17"/>
  <c r="AC111" i="17"/>
  <c r="AB111" i="17"/>
  <c r="AD110" i="17"/>
  <c r="AC110" i="17"/>
  <c r="AB110" i="17"/>
  <c r="AF109" i="17"/>
  <c r="AG109" i="17" s="1"/>
  <c r="AE109" i="17"/>
  <c r="AD109" i="17"/>
  <c r="AC109" i="17"/>
  <c r="AB109" i="17"/>
  <c r="AE108" i="17"/>
  <c r="AD108" i="17"/>
  <c r="AC108" i="17"/>
  <c r="AB108" i="17"/>
  <c r="AD107" i="17"/>
  <c r="AC107" i="17"/>
  <c r="AB107" i="17"/>
  <c r="AD106" i="17"/>
  <c r="AC106" i="17"/>
  <c r="AB106" i="17"/>
  <c r="AE105" i="17"/>
  <c r="AD105" i="17"/>
  <c r="AC105" i="17"/>
  <c r="AB105" i="17"/>
  <c r="AE104" i="17"/>
  <c r="AD104" i="17"/>
  <c r="AC104" i="17"/>
  <c r="AB104" i="17"/>
  <c r="C104" i="17"/>
  <c r="AE103" i="17"/>
  <c r="AD103" i="17"/>
  <c r="AC103" i="17"/>
  <c r="AB103" i="17"/>
  <c r="AD102" i="17"/>
  <c r="AC102" i="17"/>
  <c r="AB102" i="17"/>
  <c r="AD101" i="17"/>
  <c r="AC101" i="17"/>
  <c r="AB101" i="17"/>
  <c r="AE100" i="17"/>
  <c r="AD100" i="17"/>
  <c r="AC100" i="17"/>
  <c r="AB100" i="17"/>
  <c r="B100" i="17"/>
  <c r="AG99" i="17"/>
  <c r="AD99" i="17"/>
  <c r="AC99" i="17"/>
  <c r="AB99" i="17"/>
  <c r="AE98" i="17"/>
  <c r="AD98" i="17"/>
  <c r="AC98" i="17"/>
  <c r="AB98" i="17"/>
  <c r="B98" i="17"/>
  <c r="AE97" i="17"/>
  <c r="AD97" i="17"/>
  <c r="AC97" i="17"/>
  <c r="AB97" i="17"/>
  <c r="B97" i="17"/>
  <c r="AE96" i="17"/>
  <c r="AD96" i="17"/>
  <c r="AC96" i="17"/>
  <c r="AB96" i="17"/>
  <c r="B96" i="17"/>
  <c r="AD95" i="17"/>
  <c r="AC95" i="17"/>
  <c r="AB95" i="17"/>
  <c r="AG94" i="17"/>
  <c r="AD94" i="17"/>
  <c r="AC94" i="17"/>
  <c r="AB94" i="17"/>
  <c r="AG93" i="17"/>
  <c r="AD93" i="17"/>
  <c r="AC93" i="17"/>
  <c r="AB93" i="17"/>
  <c r="AE78" i="17"/>
  <c r="AD78" i="17"/>
  <c r="AC78" i="17"/>
  <c r="AB78" i="17"/>
  <c r="AE77" i="17"/>
  <c r="AD77" i="17"/>
  <c r="AC77" i="17"/>
  <c r="AB77" i="17"/>
  <c r="AG76" i="17"/>
  <c r="AF76" i="17"/>
  <c r="AD76" i="17"/>
  <c r="AC76" i="17"/>
  <c r="AB76" i="17"/>
  <c r="AF75" i="17"/>
  <c r="AD75" i="17"/>
  <c r="AC75" i="17"/>
  <c r="AB75" i="17"/>
  <c r="AD74" i="17"/>
  <c r="AC74" i="17"/>
  <c r="AB74" i="17"/>
  <c r="AD73" i="17"/>
  <c r="AC73" i="17"/>
  <c r="AB73" i="17"/>
  <c r="AE72" i="17"/>
  <c r="AD72" i="17"/>
  <c r="AC72" i="17"/>
  <c r="AB72" i="17"/>
  <c r="AD71" i="17"/>
  <c r="AC71" i="17"/>
  <c r="AB71" i="17"/>
  <c r="AD70" i="17"/>
  <c r="AC70" i="17"/>
  <c r="AB70" i="17"/>
  <c r="AE69" i="17"/>
  <c r="AD69" i="17"/>
  <c r="AC69" i="17"/>
  <c r="AB69" i="17"/>
  <c r="AD68" i="17"/>
  <c r="AC68" i="17"/>
  <c r="AB68" i="17"/>
  <c r="AG67" i="17"/>
  <c r="AD67" i="17"/>
  <c r="AC67" i="17"/>
  <c r="AB67" i="17"/>
  <c r="AE66" i="17"/>
  <c r="AD66" i="17"/>
  <c r="AC66" i="17"/>
  <c r="AB66" i="17"/>
  <c r="AE65" i="17"/>
  <c r="AD65" i="17"/>
  <c r="AC65" i="17"/>
  <c r="AB65" i="17"/>
  <c r="AE64" i="17"/>
  <c r="AD64" i="17"/>
  <c r="AC64" i="17"/>
  <c r="AB64" i="17"/>
  <c r="AF63" i="17"/>
  <c r="AG63" i="17" s="1"/>
  <c r="AE63" i="17"/>
  <c r="AD63" i="17"/>
  <c r="AC63" i="17"/>
  <c r="AB63" i="17"/>
  <c r="AD62" i="17"/>
  <c r="AC62" i="17"/>
  <c r="AB62" i="17"/>
  <c r="AD61" i="17"/>
  <c r="AC61" i="17"/>
  <c r="AB61" i="17"/>
  <c r="AD60" i="17"/>
  <c r="AC60" i="17"/>
  <c r="AB60" i="17"/>
  <c r="AD59" i="17"/>
  <c r="AC59" i="17"/>
  <c r="AB59" i="17"/>
  <c r="AD58" i="17"/>
  <c r="AC58" i="17"/>
  <c r="AB58" i="17"/>
  <c r="AD57" i="17"/>
  <c r="AC57" i="17"/>
  <c r="AB57" i="17"/>
  <c r="AD56" i="17"/>
  <c r="AC56" i="17"/>
  <c r="AB56" i="17"/>
  <c r="AD55" i="17"/>
  <c r="AC55" i="17"/>
  <c r="AB55" i="17"/>
  <c r="AD54" i="17"/>
  <c r="AC54" i="17"/>
  <c r="AB54" i="17"/>
  <c r="AG53" i="17"/>
  <c r="AD53" i="17"/>
  <c r="AC53" i="17"/>
  <c r="AB53" i="17"/>
  <c r="AG52" i="17"/>
  <c r="AD52" i="17"/>
  <c r="AC52" i="17"/>
  <c r="AB52" i="17"/>
  <c r="AG38" i="17"/>
  <c r="AD38" i="17"/>
  <c r="AC38" i="17"/>
  <c r="AB38" i="17"/>
  <c r="AF37" i="17"/>
  <c r="AG37" i="17" s="1"/>
  <c r="AD37" i="17"/>
  <c r="AC37" i="17"/>
  <c r="AB37" i="17"/>
  <c r="AD36" i="17"/>
  <c r="AC36" i="17"/>
  <c r="AB36" i="17"/>
  <c r="AD35" i="17"/>
  <c r="AC35" i="17"/>
  <c r="AB35" i="17"/>
  <c r="AD34" i="17"/>
  <c r="AC34" i="17"/>
  <c r="AB34" i="17"/>
  <c r="AD33" i="17"/>
  <c r="AC33" i="17"/>
  <c r="AB33" i="17"/>
  <c r="AD32" i="17"/>
  <c r="AC32" i="17"/>
  <c r="AB32" i="17"/>
  <c r="AD31" i="17"/>
  <c r="AC31" i="17"/>
  <c r="AB31" i="17"/>
  <c r="AD30" i="17"/>
  <c r="AC30" i="17"/>
  <c r="AB30" i="17"/>
  <c r="AE29" i="17"/>
  <c r="AD29" i="17"/>
  <c r="AC29" i="17"/>
  <c r="AB29" i="17"/>
  <c r="AE28" i="17"/>
  <c r="AD28" i="17"/>
  <c r="AC28" i="17"/>
  <c r="AB28" i="17"/>
  <c r="AD27" i="17"/>
  <c r="AC27" i="17"/>
  <c r="AB27" i="17"/>
  <c r="AD26" i="17"/>
  <c r="AC26" i="17"/>
  <c r="AB26" i="17"/>
  <c r="AD25" i="17"/>
  <c r="AC25" i="17"/>
  <c r="AB25" i="17"/>
  <c r="AF24" i="17"/>
  <c r="AG24" i="17" s="1"/>
  <c r="AE24" i="17"/>
  <c r="AD24" i="17"/>
  <c r="AC24" i="17"/>
  <c r="AB24" i="17"/>
  <c r="AD23" i="17"/>
  <c r="AC23" i="17"/>
  <c r="AB23" i="17"/>
  <c r="AF22" i="17"/>
  <c r="AG22" i="17" s="1"/>
  <c r="AE22" i="17"/>
  <c r="AD22" i="17"/>
  <c r="AC22" i="17"/>
  <c r="AB22" i="17"/>
  <c r="AD21" i="17"/>
  <c r="AC21" i="17"/>
  <c r="AB21" i="17"/>
  <c r="AD20" i="17"/>
  <c r="AC20" i="17"/>
  <c r="AB20" i="17"/>
  <c r="AD19" i="17"/>
  <c r="AC19" i="17"/>
  <c r="AB19" i="17"/>
  <c r="AE18" i="17"/>
  <c r="AD18" i="17"/>
  <c r="AC18" i="17"/>
  <c r="AB18" i="17"/>
  <c r="AE17" i="17"/>
  <c r="AD17" i="17"/>
  <c r="AC17" i="17"/>
  <c r="AB17" i="17"/>
  <c r="AD16" i="17"/>
  <c r="AC16" i="17"/>
  <c r="AB16" i="17"/>
  <c r="AG15" i="17"/>
  <c r="AD15" i="17"/>
  <c r="AC15" i="17"/>
  <c r="AB15" i="17"/>
  <c r="AD14" i="17"/>
  <c r="AC14" i="17"/>
  <c r="AB14" i="17"/>
  <c r="AE13" i="17"/>
  <c r="AD13" i="17"/>
  <c r="AC13" i="17"/>
  <c r="AB13" i="17"/>
  <c r="AD12" i="17"/>
  <c r="AC12" i="17"/>
  <c r="AB12" i="17"/>
  <c r="AG11" i="17"/>
  <c r="AD11" i="17"/>
  <c r="AC11" i="17"/>
  <c r="AB11" i="17"/>
  <c r="O169" i="9"/>
  <c r="N169" i="9"/>
  <c r="E168" i="9"/>
  <c r="D168" i="9"/>
  <c r="E167" i="9"/>
  <c r="D167" i="9"/>
  <c r="E166" i="9"/>
  <c r="D166" i="9"/>
  <c r="N163" i="9"/>
  <c r="G163" i="9"/>
  <c r="E163" i="9"/>
  <c r="G162" i="9"/>
  <c r="G161" i="9"/>
  <c r="U146" i="9"/>
  <c r="R146" i="9"/>
  <c r="V145" i="9"/>
  <c r="AF108" i="9" s="1"/>
  <c r="U145" i="9"/>
  <c r="U143" i="9"/>
  <c r="R143" i="9"/>
  <c r="V142" i="9"/>
  <c r="U142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AG137" i="9"/>
  <c r="AD137" i="9"/>
  <c r="AC137" i="9"/>
  <c r="AB137" i="9"/>
  <c r="AD136" i="9"/>
  <c r="AC136" i="9"/>
  <c r="AB136" i="9"/>
  <c r="AD135" i="9"/>
  <c r="AC135" i="9"/>
  <c r="AB135" i="9"/>
  <c r="AG134" i="9"/>
  <c r="AD134" i="9"/>
  <c r="AC134" i="9"/>
  <c r="AB134" i="9"/>
  <c r="AE119" i="9"/>
  <c r="AD119" i="9"/>
  <c r="AC119" i="9"/>
  <c r="AB119" i="9"/>
  <c r="T119" i="9"/>
  <c r="AE118" i="9"/>
  <c r="AD118" i="9"/>
  <c r="AC118" i="9"/>
  <c r="AB118" i="9"/>
  <c r="AD117" i="9"/>
  <c r="AC117" i="9"/>
  <c r="AB117" i="9"/>
  <c r="AD116" i="9"/>
  <c r="AC116" i="9"/>
  <c r="AB116" i="9"/>
  <c r="AD115" i="9"/>
  <c r="AC115" i="9"/>
  <c r="AB115" i="9"/>
  <c r="AE114" i="9"/>
  <c r="AD114" i="9"/>
  <c r="AC114" i="9"/>
  <c r="AB114" i="9"/>
  <c r="P114" i="9"/>
  <c r="AE113" i="9"/>
  <c r="AD113" i="9"/>
  <c r="AC113" i="9"/>
  <c r="AB113" i="9"/>
  <c r="AD112" i="9"/>
  <c r="AC112" i="9"/>
  <c r="AB112" i="9"/>
  <c r="AE111" i="9"/>
  <c r="AD111" i="9"/>
  <c r="AC111" i="9"/>
  <c r="AB111" i="9"/>
  <c r="N111" i="9"/>
  <c r="H111" i="9"/>
  <c r="AD110" i="9"/>
  <c r="AC110" i="9"/>
  <c r="AB110" i="9"/>
  <c r="AE109" i="9"/>
  <c r="AD109" i="9"/>
  <c r="AC109" i="9"/>
  <c r="AB109" i="9"/>
  <c r="AE108" i="9"/>
  <c r="AD108" i="9"/>
  <c r="AC108" i="9"/>
  <c r="AB108" i="9"/>
  <c r="AD107" i="9"/>
  <c r="AC107" i="9"/>
  <c r="AB107" i="9"/>
  <c r="AD106" i="9"/>
  <c r="AC106" i="9"/>
  <c r="AB106" i="9"/>
  <c r="AF105" i="9"/>
  <c r="AE105" i="9"/>
  <c r="AD105" i="9"/>
  <c r="AC105" i="9"/>
  <c r="AB105" i="9"/>
  <c r="AE104" i="9"/>
  <c r="AD104" i="9"/>
  <c r="AC104" i="9"/>
  <c r="AB104" i="9"/>
  <c r="C104" i="9"/>
  <c r="AE103" i="9"/>
  <c r="AD103" i="9"/>
  <c r="AC103" i="9"/>
  <c r="AB103" i="9"/>
  <c r="AD102" i="9"/>
  <c r="AC102" i="9"/>
  <c r="AB102" i="9"/>
  <c r="AD101" i="9"/>
  <c r="AC101" i="9"/>
  <c r="AB101" i="9"/>
  <c r="AE100" i="9"/>
  <c r="AD100" i="9"/>
  <c r="AC100" i="9"/>
  <c r="AB100" i="9"/>
  <c r="B100" i="9"/>
  <c r="AG99" i="9"/>
  <c r="AD99" i="9"/>
  <c r="AC99" i="9"/>
  <c r="AB99" i="9"/>
  <c r="AE98" i="9"/>
  <c r="AD98" i="9"/>
  <c r="AC98" i="9"/>
  <c r="AB98" i="9"/>
  <c r="F98" i="9"/>
  <c r="B98" i="9"/>
  <c r="AE97" i="9"/>
  <c r="AD97" i="9"/>
  <c r="AC97" i="9"/>
  <c r="AB97" i="9"/>
  <c r="B97" i="9"/>
  <c r="AE96" i="9"/>
  <c r="AD96" i="9"/>
  <c r="AC96" i="9"/>
  <c r="AB96" i="9"/>
  <c r="B96" i="9"/>
  <c r="AD95" i="9"/>
  <c r="AC95" i="9"/>
  <c r="AB95" i="9"/>
  <c r="AG94" i="9"/>
  <c r="AD94" i="9"/>
  <c r="AC94" i="9"/>
  <c r="AB94" i="9"/>
  <c r="AG93" i="9"/>
  <c r="AD93" i="9"/>
  <c r="AC93" i="9"/>
  <c r="AB93" i="9"/>
  <c r="O93" i="9"/>
  <c r="AE78" i="9"/>
  <c r="AD78" i="9"/>
  <c r="AC78" i="9"/>
  <c r="AB78" i="9"/>
  <c r="AE77" i="9"/>
  <c r="AD77" i="9"/>
  <c r="AC77" i="9"/>
  <c r="AB77" i="9"/>
  <c r="AG76" i="9"/>
  <c r="AF76" i="9"/>
  <c r="AD76" i="9"/>
  <c r="AC76" i="9"/>
  <c r="AB76" i="9"/>
  <c r="AF75" i="9"/>
  <c r="AD75" i="9"/>
  <c r="AC75" i="9"/>
  <c r="AB75" i="9"/>
  <c r="AD74" i="9"/>
  <c r="AC74" i="9"/>
  <c r="AB74" i="9"/>
  <c r="AD73" i="9"/>
  <c r="AC73" i="9"/>
  <c r="AB73" i="9"/>
  <c r="AE72" i="9"/>
  <c r="AD72" i="9"/>
  <c r="AC72" i="9"/>
  <c r="AB72" i="9"/>
  <c r="AD71" i="9"/>
  <c r="AC71" i="9"/>
  <c r="AB71" i="9"/>
  <c r="AD70" i="9"/>
  <c r="AC70" i="9"/>
  <c r="AB70" i="9"/>
  <c r="AE69" i="9"/>
  <c r="AD69" i="9"/>
  <c r="AC69" i="9"/>
  <c r="AB69" i="9"/>
  <c r="D69" i="9"/>
  <c r="AD68" i="9"/>
  <c r="AC68" i="9"/>
  <c r="AB68" i="9"/>
  <c r="AG67" i="9"/>
  <c r="AD67" i="9"/>
  <c r="AC67" i="9"/>
  <c r="AB67" i="9"/>
  <c r="AE66" i="9"/>
  <c r="AD66" i="9"/>
  <c r="AC66" i="9"/>
  <c r="AB66" i="9"/>
  <c r="AE65" i="9"/>
  <c r="AD65" i="9"/>
  <c r="AC65" i="9"/>
  <c r="AB65" i="9"/>
  <c r="AE64" i="9"/>
  <c r="AD64" i="9"/>
  <c r="AC64" i="9"/>
  <c r="AB64" i="9"/>
  <c r="F64" i="9"/>
  <c r="AE63" i="9"/>
  <c r="AD63" i="9"/>
  <c r="AC63" i="9"/>
  <c r="AB63" i="9"/>
  <c r="AD62" i="9"/>
  <c r="AC62" i="9"/>
  <c r="AB62" i="9"/>
  <c r="AD61" i="9"/>
  <c r="AC61" i="9"/>
  <c r="AB61" i="9"/>
  <c r="AD60" i="9"/>
  <c r="AC60" i="9"/>
  <c r="AB60" i="9"/>
  <c r="AD59" i="9"/>
  <c r="AC59" i="9"/>
  <c r="AB59" i="9"/>
  <c r="AD58" i="9"/>
  <c r="AC58" i="9"/>
  <c r="AB58" i="9"/>
  <c r="AD57" i="9"/>
  <c r="AC57" i="9"/>
  <c r="AB57" i="9"/>
  <c r="AD56" i="9"/>
  <c r="AC56" i="9"/>
  <c r="AB56" i="9"/>
  <c r="AD55" i="9"/>
  <c r="AC55" i="9"/>
  <c r="AB55" i="9"/>
  <c r="AD54" i="9"/>
  <c r="AC54" i="9"/>
  <c r="AB54" i="9"/>
  <c r="AG53" i="9"/>
  <c r="AD53" i="9"/>
  <c r="AC53" i="9"/>
  <c r="AB53" i="9"/>
  <c r="D53" i="9"/>
  <c r="AG52" i="9"/>
  <c r="AD52" i="9"/>
  <c r="AC52" i="9"/>
  <c r="AB52" i="9"/>
  <c r="AG38" i="9"/>
  <c r="AD38" i="9"/>
  <c r="AC38" i="9"/>
  <c r="AB38" i="9"/>
  <c r="D38" i="9"/>
  <c r="AD37" i="9"/>
  <c r="AC37" i="9"/>
  <c r="AB37" i="9"/>
  <c r="AD36" i="9"/>
  <c r="AC36" i="9"/>
  <c r="AB36" i="9"/>
  <c r="AD35" i="9"/>
  <c r="AC35" i="9"/>
  <c r="AB35" i="9"/>
  <c r="AD34" i="9"/>
  <c r="AC34" i="9"/>
  <c r="AB34" i="9"/>
  <c r="AD33" i="9"/>
  <c r="AC33" i="9"/>
  <c r="AB33" i="9"/>
  <c r="AD32" i="9"/>
  <c r="AC32" i="9"/>
  <c r="AB32" i="9"/>
  <c r="AD31" i="9"/>
  <c r="AC31" i="9"/>
  <c r="AB31" i="9"/>
  <c r="AD30" i="9"/>
  <c r="AC30" i="9"/>
  <c r="AB30" i="9"/>
  <c r="AE29" i="9"/>
  <c r="AD29" i="9"/>
  <c r="AC29" i="9"/>
  <c r="AB29" i="9"/>
  <c r="H29" i="9"/>
  <c r="F29" i="9"/>
  <c r="AE28" i="9"/>
  <c r="AD28" i="9"/>
  <c r="AC28" i="9"/>
  <c r="AB28" i="9"/>
  <c r="D28" i="9"/>
  <c r="AD27" i="9"/>
  <c r="AC27" i="9"/>
  <c r="AB27" i="9"/>
  <c r="AD26" i="9"/>
  <c r="AC26" i="9"/>
  <c r="AB26" i="9"/>
  <c r="AD25" i="9"/>
  <c r="AC25" i="9"/>
  <c r="AB25" i="9"/>
  <c r="AF24" i="9"/>
  <c r="T24" i="14" s="1"/>
  <c r="U24" i="14" s="1"/>
  <c r="AE24" i="9"/>
  <c r="AD24" i="9"/>
  <c r="AC24" i="9"/>
  <c r="AB24" i="9"/>
  <c r="AD23" i="9"/>
  <c r="AC23" i="9"/>
  <c r="AB23" i="9"/>
  <c r="AE22" i="9"/>
  <c r="AD22" i="9"/>
  <c r="AC22" i="9"/>
  <c r="AB22" i="9"/>
  <c r="D22" i="9"/>
  <c r="AD21" i="9"/>
  <c r="AC21" i="9"/>
  <c r="AB21" i="9"/>
  <c r="AD20" i="9"/>
  <c r="AC20" i="9"/>
  <c r="AB20" i="9"/>
  <c r="AD19" i="9"/>
  <c r="AC19" i="9"/>
  <c r="AB19" i="9"/>
  <c r="AE18" i="9"/>
  <c r="AD18" i="9"/>
  <c r="AC18" i="9"/>
  <c r="AB18" i="9"/>
  <c r="AE17" i="9"/>
  <c r="AD17" i="9"/>
  <c r="AC17" i="9"/>
  <c r="AB17" i="9"/>
  <c r="AD16" i="9"/>
  <c r="AC16" i="9"/>
  <c r="AB16" i="9"/>
  <c r="AG15" i="9"/>
  <c r="AD15" i="9"/>
  <c r="AC15" i="9"/>
  <c r="AB15" i="9"/>
  <c r="K15" i="9"/>
  <c r="AD14" i="9"/>
  <c r="AC14" i="9"/>
  <c r="AB14" i="9"/>
  <c r="AE13" i="9"/>
  <c r="AD13" i="9"/>
  <c r="AC13" i="9"/>
  <c r="AB13" i="9"/>
  <c r="AD12" i="9"/>
  <c r="AC12" i="9"/>
  <c r="AB12" i="9"/>
  <c r="AG11" i="9"/>
  <c r="AD11" i="9"/>
  <c r="AC11" i="9"/>
  <c r="AB11" i="9"/>
  <c r="W107" i="26"/>
  <c r="V107" i="26"/>
  <c r="W106" i="26"/>
  <c r="W105" i="26"/>
  <c r="V105" i="26"/>
  <c r="X92" i="26"/>
  <c r="W92" i="26"/>
  <c r="V92" i="26"/>
  <c r="U92" i="26"/>
  <c r="C92" i="26"/>
  <c r="S90" i="26"/>
  <c r="R90" i="26"/>
  <c r="P90" i="26"/>
  <c r="O90" i="26"/>
  <c r="N90" i="26"/>
  <c r="M90" i="26"/>
  <c r="L90" i="26"/>
  <c r="K90" i="26"/>
  <c r="I90" i="26"/>
  <c r="G90" i="26"/>
  <c r="E90" i="26"/>
  <c r="D90" i="26"/>
  <c r="X89" i="26"/>
  <c r="W89" i="26"/>
  <c r="V89" i="26"/>
  <c r="U89" i="26"/>
  <c r="S88" i="26"/>
  <c r="R88" i="26"/>
  <c r="P88" i="26"/>
  <c r="O88" i="26"/>
  <c r="N88" i="26"/>
  <c r="M88" i="26"/>
  <c r="L88" i="26"/>
  <c r="K88" i="26"/>
  <c r="I88" i="26"/>
  <c r="G88" i="26"/>
  <c r="E88" i="26"/>
  <c r="D88" i="26"/>
  <c r="X87" i="26"/>
  <c r="W87" i="26"/>
  <c r="V87" i="26"/>
  <c r="U87" i="26"/>
  <c r="C87" i="26"/>
  <c r="S86" i="26"/>
  <c r="R86" i="26"/>
  <c r="P86" i="26"/>
  <c r="O86" i="26"/>
  <c r="N86" i="26"/>
  <c r="M86" i="26"/>
  <c r="L86" i="26"/>
  <c r="K86" i="26"/>
  <c r="I86" i="26"/>
  <c r="G86" i="26"/>
  <c r="E86" i="26"/>
  <c r="D86" i="26"/>
  <c r="X85" i="26"/>
  <c r="W85" i="26"/>
  <c r="V85" i="26"/>
  <c r="U85" i="26"/>
  <c r="C85" i="26"/>
  <c r="S84" i="26"/>
  <c r="R84" i="26"/>
  <c r="P84" i="26"/>
  <c r="O84" i="26"/>
  <c r="N84" i="26"/>
  <c r="M84" i="26"/>
  <c r="L84" i="26"/>
  <c r="K84" i="26"/>
  <c r="I84" i="26"/>
  <c r="G84" i="26"/>
  <c r="E84" i="26"/>
  <c r="D84" i="26"/>
  <c r="X83" i="26"/>
  <c r="W83" i="26"/>
  <c r="V83" i="26"/>
  <c r="U83" i="26"/>
  <c r="S82" i="26"/>
  <c r="R82" i="26"/>
  <c r="P82" i="26"/>
  <c r="O82" i="26"/>
  <c r="N82" i="26"/>
  <c r="M82" i="26"/>
  <c r="L82" i="26"/>
  <c r="K82" i="26"/>
  <c r="I82" i="26"/>
  <c r="G82" i="26"/>
  <c r="E82" i="26"/>
  <c r="D82" i="26"/>
  <c r="X81" i="26"/>
  <c r="W81" i="26"/>
  <c r="V81" i="26"/>
  <c r="U81" i="26"/>
  <c r="S80" i="26"/>
  <c r="R80" i="26"/>
  <c r="P80" i="26"/>
  <c r="O80" i="26"/>
  <c r="N80" i="26"/>
  <c r="M80" i="26"/>
  <c r="L80" i="26"/>
  <c r="K80" i="26"/>
  <c r="I80" i="26"/>
  <c r="G80" i="26"/>
  <c r="E80" i="26"/>
  <c r="D80" i="26"/>
  <c r="X79" i="26"/>
  <c r="W79" i="26"/>
  <c r="V79" i="26"/>
  <c r="U79" i="26"/>
  <c r="S78" i="26"/>
  <c r="R78" i="26"/>
  <c r="P78" i="26"/>
  <c r="O78" i="26"/>
  <c r="N78" i="26"/>
  <c r="M78" i="26"/>
  <c r="L78" i="26"/>
  <c r="K78" i="26"/>
  <c r="I78" i="26"/>
  <c r="G78" i="26"/>
  <c r="E78" i="26"/>
  <c r="D78" i="26"/>
  <c r="X77" i="26"/>
  <c r="W77" i="26"/>
  <c r="V77" i="26"/>
  <c r="U77" i="26"/>
  <c r="S76" i="26"/>
  <c r="R76" i="26"/>
  <c r="P76" i="26"/>
  <c r="O76" i="26"/>
  <c r="N76" i="26"/>
  <c r="M76" i="26"/>
  <c r="L76" i="26"/>
  <c r="K76" i="26"/>
  <c r="I76" i="26"/>
  <c r="G76" i="26"/>
  <c r="E76" i="26"/>
  <c r="D76" i="26"/>
  <c r="X75" i="26"/>
  <c r="W75" i="26"/>
  <c r="V75" i="26"/>
  <c r="U75" i="26"/>
  <c r="S74" i="26"/>
  <c r="R74" i="26"/>
  <c r="P74" i="26"/>
  <c r="O74" i="26"/>
  <c r="N74" i="26"/>
  <c r="M74" i="26"/>
  <c r="L74" i="26"/>
  <c r="K74" i="26"/>
  <c r="I74" i="26"/>
  <c r="G74" i="26"/>
  <c r="E74" i="26"/>
  <c r="D74" i="26"/>
  <c r="X73" i="26"/>
  <c r="W73" i="26"/>
  <c r="V73" i="26"/>
  <c r="U73" i="26"/>
  <c r="S72" i="26"/>
  <c r="R72" i="26"/>
  <c r="P72" i="26"/>
  <c r="O72" i="26"/>
  <c r="N72" i="26"/>
  <c r="M72" i="26"/>
  <c r="L72" i="26"/>
  <c r="K72" i="26"/>
  <c r="I72" i="26"/>
  <c r="G72" i="26"/>
  <c r="E72" i="26"/>
  <c r="D72" i="26"/>
  <c r="X71" i="26"/>
  <c r="W71" i="26"/>
  <c r="V71" i="26"/>
  <c r="U71" i="26"/>
  <c r="C71" i="26"/>
  <c r="S70" i="26"/>
  <c r="R70" i="26"/>
  <c r="P70" i="26"/>
  <c r="O70" i="26"/>
  <c r="N70" i="26"/>
  <c r="M70" i="26"/>
  <c r="L70" i="26"/>
  <c r="K70" i="26"/>
  <c r="I70" i="26"/>
  <c r="G70" i="26"/>
  <c r="E70" i="26"/>
  <c r="D70" i="26"/>
  <c r="X69" i="26"/>
  <c r="W69" i="26"/>
  <c r="V69" i="26"/>
  <c r="U69" i="26"/>
  <c r="C69" i="26"/>
  <c r="S68" i="26"/>
  <c r="R68" i="26"/>
  <c r="P68" i="26"/>
  <c r="O68" i="26"/>
  <c r="N68" i="26"/>
  <c r="M68" i="26"/>
  <c r="L68" i="26"/>
  <c r="K68" i="26"/>
  <c r="I68" i="26"/>
  <c r="G68" i="26"/>
  <c r="E68" i="26"/>
  <c r="D68" i="26"/>
  <c r="X67" i="26"/>
  <c r="W67" i="26"/>
  <c r="V67" i="26"/>
  <c r="U67" i="26"/>
  <c r="S66" i="26"/>
  <c r="R66" i="26"/>
  <c r="P66" i="26"/>
  <c r="O66" i="26"/>
  <c r="N66" i="26"/>
  <c r="M66" i="26"/>
  <c r="L66" i="26"/>
  <c r="K66" i="26"/>
  <c r="I66" i="26"/>
  <c r="G66" i="26"/>
  <c r="E66" i="26"/>
  <c r="D66" i="26"/>
  <c r="X65" i="26"/>
  <c r="W65" i="26"/>
  <c r="V65" i="26"/>
  <c r="U65" i="26"/>
  <c r="C65" i="26"/>
  <c r="S64" i="26"/>
  <c r="R64" i="26"/>
  <c r="P64" i="26"/>
  <c r="O64" i="26"/>
  <c r="N64" i="26"/>
  <c r="M64" i="26"/>
  <c r="L64" i="26"/>
  <c r="K64" i="26"/>
  <c r="I64" i="26"/>
  <c r="G64" i="26"/>
  <c r="E64" i="26"/>
  <c r="D64" i="26"/>
  <c r="X63" i="26"/>
  <c r="W63" i="26"/>
  <c r="V63" i="26"/>
  <c r="U63" i="26"/>
  <c r="C63" i="26"/>
  <c r="S62" i="26"/>
  <c r="R62" i="26"/>
  <c r="P62" i="26"/>
  <c r="O62" i="26"/>
  <c r="N62" i="26"/>
  <c r="M62" i="26"/>
  <c r="L62" i="26"/>
  <c r="K62" i="26"/>
  <c r="I62" i="26"/>
  <c r="G62" i="26"/>
  <c r="E62" i="26"/>
  <c r="D62" i="26"/>
  <c r="X61" i="26"/>
  <c r="W61" i="26"/>
  <c r="V61" i="26"/>
  <c r="U61" i="26"/>
  <c r="B61" i="26"/>
  <c r="S60" i="26"/>
  <c r="R60" i="26"/>
  <c r="P60" i="26"/>
  <c r="O60" i="26"/>
  <c r="N60" i="26"/>
  <c r="M60" i="26"/>
  <c r="L60" i="26"/>
  <c r="K60" i="26"/>
  <c r="I60" i="26"/>
  <c r="G60" i="26"/>
  <c r="E60" i="26"/>
  <c r="D60" i="26"/>
  <c r="X59" i="26"/>
  <c r="W59" i="26"/>
  <c r="V59" i="26"/>
  <c r="U59" i="26"/>
  <c r="B59" i="26"/>
  <c r="S58" i="26"/>
  <c r="R58" i="26"/>
  <c r="P58" i="26"/>
  <c r="O58" i="26"/>
  <c r="N58" i="26"/>
  <c r="M58" i="26"/>
  <c r="L58" i="26"/>
  <c r="K58" i="26"/>
  <c r="I58" i="26"/>
  <c r="G58" i="26"/>
  <c r="E58" i="26"/>
  <c r="D58" i="26"/>
  <c r="X57" i="26"/>
  <c r="W57" i="26"/>
  <c r="V57" i="26"/>
  <c r="U57" i="26"/>
  <c r="B57" i="26"/>
  <c r="S56" i="26"/>
  <c r="R56" i="26"/>
  <c r="P56" i="26"/>
  <c r="O56" i="26"/>
  <c r="N56" i="26"/>
  <c r="M56" i="26"/>
  <c r="L56" i="26"/>
  <c r="K56" i="26"/>
  <c r="I56" i="26"/>
  <c r="G56" i="26"/>
  <c r="E56" i="26"/>
  <c r="D56" i="26"/>
  <c r="X55" i="26"/>
  <c r="W55" i="26"/>
  <c r="V55" i="26"/>
  <c r="U55" i="26"/>
  <c r="B55" i="26"/>
  <c r="S54" i="26"/>
  <c r="R54" i="26"/>
  <c r="P54" i="26"/>
  <c r="O54" i="26"/>
  <c r="N54" i="26"/>
  <c r="M54" i="26"/>
  <c r="L54" i="26"/>
  <c r="K54" i="26"/>
  <c r="I54" i="26"/>
  <c r="G54" i="26"/>
  <c r="E54" i="26"/>
  <c r="D54" i="26"/>
  <c r="X53" i="26"/>
  <c r="W53" i="26"/>
  <c r="V53" i="26"/>
  <c r="U53" i="26"/>
  <c r="C53" i="26"/>
  <c r="S52" i="26"/>
  <c r="R52" i="26"/>
  <c r="P52" i="26"/>
  <c r="O52" i="26"/>
  <c r="N52" i="26"/>
  <c r="M52" i="26"/>
  <c r="L52" i="26"/>
  <c r="K52" i="26"/>
  <c r="I52" i="26"/>
  <c r="G52" i="26"/>
  <c r="E52" i="26"/>
  <c r="D52" i="26"/>
  <c r="X51" i="26"/>
  <c r="W51" i="26"/>
  <c r="V51" i="26"/>
  <c r="U51" i="26"/>
  <c r="C51" i="26"/>
  <c r="S50" i="26"/>
  <c r="R50" i="26"/>
  <c r="P50" i="26"/>
  <c r="O50" i="26"/>
  <c r="N50" i="26"/>
  <c r="M50" i="26"/>
  <c r="L50" i="26"/>
  <c r="K50" i="26"/>
  <c r="I50" i="26"/>
  <c r="G50" i="26"/>
  <c r="E50" i="26"/>
  <c r="D50" i="26"/>
  <c r="X49" i="26"/>
  <c r="W49" i="26"/>
  <c r="V49" i="26"/>
  <c r="U49" i="26"/>
  <c r="C49" i="26"/>
  <c r="S48" i="26"/>
  <c r="R48" i="26"/>
  <c r="P48" i="26"/>
  <c r="O48" i="26"/>
  <c r="N48" i="26"/>
  <c r="M48" i="26"/>
  <c r="L48" i="26"/>
  <c r="K48" i="26"/>
  <c r="I48" i="26"/>
  <c r="G48" i="26"/>
  <c r="E48" i="26"/>
  <c r="D48" i="26"/>
  <c r="X47" i="26"/>
  <c r="W47" i="26"/>
  <c r="V47" i="26"/>
  <c r="U47" i="26"/>
  <c r="C47" i="26"/>
  <c r="S46" i="26"/>
  <c r="R46" i="26"/>
  <c r="P46" i="26"/>
  <c r="O46" i="26"/>
  <c r="N46" i="26"/>
  <c r="M46" i="26"/>
  <c r="L46" i="26"/>
  <c r="K46" i="26"/>
  <c r="I46" i="26"/>
  <c r="G46" i="26"/>
  <c r="E46" i="26"/>
  <c r="D46" i="26"/>
  <c r="X45" i="26"/>
  <c r="W45" i="26"/>
  <c r="V45" i="26"/>
  <c r="U45" i="26"/>
  <c r="S44" i="26"/>
  <c r="R44" i="26"/>
  <c r="P44" i="26"/>
  <c r="O44" i="26"/>
  <c r="N44" i="26"/>
  <c r="M44" i="26"/>
  <c r="L44" i="26"/>
  <c r="K44" i="26"/>
  <c r="I44" i="26"/>
  <c r="G44" i="26"/>
  <c r="E44" i="26"/>
  <c r="D44" i="26"/>
  <c r="X43" i="26"/>
  <c r="W43" i="26"/>
  <c r="V43" i="26"/>
  <c r="U43" i="26"/>
  <c r="C43" i="26"/>
  <c r="S39" i="26"/>
  <c r="R39" i="26"/>
  <c r="P39" i="26"/>
  <c r="O39" i="26"/>
  <c r="N39" i="26"/>
  <c r="M39" i="26"/>
  <c r="L39" i="26"/>
  <c r="K39" i="26"/>
  <c r="I39" i="26"/>
  <c r="G39" i="26"/>
  <c r="E39" i="26"/>
  <c r="D39" i="26"/>
  <c r="X38" i="26"/>
  <c r="W38" i="26"/>
  <c r="V38" i="26"/>
  <c r="U38" i="26"/>
  <c r="S37" i="26"/>
  <c r="R37" i="26"/>
  <c r="P37" i="26"/>
  <c r="O37" i="26"/>
  <c r="N37" i="26"/>
  <c r="M37" i="26"/>
  <c r="L37" i="26"/>
  <c r="K37" i="26"/>
  <c r="I37" i="26"/>
  <c r="G37" i="26"/>
  <c r="E37" i="26"/>
  <c r="D37" i="26"/>
  <c r="X36" i="26"/>
  <c r="W36" i="26"/>
  <c r="V36" i="26"/>
  <c r="U36" i="26"/>
  <c r="C36" i="26"/>
  <c r="S35" i="26"/>
  <c r="R35" i="26"/>
  <c r="P35" i="26"/>
  <c r="O35" i="26"/>
  <c r="N35" i="26"/>
  <c r="M35" i="26"/>
  <c r="L35" i="26"/>
  <c r="K35" i="26"/>
  <c r="I35" i="26"/>
  <c r="G35" i="26"/>
  <c r="E35" i="26"/>
  <c r="D35" i="26"/>
  <c r="X34" i="26"/>
  <c r="W34" i="26"/>
  <c r="V34" i="26"/>
  <c r="U34" i="26"/>
  <c r="C34" i="26"/>
  <c r="S33" i="26"/>
  <c r="R33" i="26"/>
  <c r="P33" i="26"/>
  <c r="O33" i="26"/>
  <c r="N33" i="26"/>
  <c r="M33" i="26"/>
  <c r="L33" i="26"/>
  <c r="K33" i="26"/>
  <c r="I33" i="26"/>
  <c r="G33" i="26"/>
  <c r="E33" i="26"/>
  <c r="D33" i="26"/>
  <c r="X32" i="26"/>
  <c r="W32" i="26"/>
  <c r="V32" i="26"/>
  <c r="U32" i="26"/>
  <c r="C32" i="26"/>
  <c r="S31" i="26"/>
  <c r="R31" i="26"/>
  <c r="P31" i="26"/>
  <c r="O31" i="26"/>
  <c r="N31" i="26"/>
  <c r="M31" i="26"/>
  <c r="L31" i="26"/>
  <c r="K31" i="26"/>
  <c r="I31" i="26"/>
  <c r="G31" i="26"/>
  <c r="E31" i="26"/>
  <c r="D31" i="26"/>
  <c r="X30" i="26"/>
  <c r="W30" i="26"/>
  <c r="V30" i="26"/>
  <c r="U30" i="26"/>
  <c r="C30" i="26"/>
  <c r="S29" i="26"/>
  <c r="R29" i="26"/>
  <c r="P29" i="26"/>
  <c r="O29" i="26"/>
  <c r="N29" i="26"/>
  <c r="M29" i="26"/>
  <c r="L29" i="26"/>
  <c r="K29" i="26"/>
  <c r="I29" i="26"/>
  <c r="G29" i="26"/>
  <c r="E29" i="26"/>
  <c r="D29" i="26"/>
  <c r="X28" i="26"/>
  <c r="W28" i="26"/>
  <c r="V28" i="26"/>
  <c r="U28" i="26"/>
  <c r="C28" i="26"/>
  <c r="S27" i="26"/>
  <c r="R27" i="26"/>
  <c r="P27" i="26"/>
  <c r="O27" i="26"/>
  <c r="N27" i="26"/>
  <c r="M27" i="26"/>
  <c r="L27" i="26"/>
  <c r="K27" i="26"/>
  <c r="I27" i="26"/>
  <c r="G27" i="26"/>
  <c r="E27" i="26"/>
  <c r="D27" i="26"/>
  <c r="X26" i="26"/>
  <c r="W26" i="26"/>
  <c r="V26" i="26"/>
  <c r="U26" i="26"/>
  <c r="C26" i="26"/>
  <c r="S25" i="26"/>
  <c r="R25" i="26"/>
  <c r="P25" i="26"/>
  <c r="O25" i="26"/>
  <c r="N25" i="26"/>
  <c r="M25" i="26"/>
  <c r="L25" i="26"/>
  <c r="K25" i="26"/>
  <c r="I25" i="26"/>
  <c r="G25" i="26"/>
  <c r="E25" i="26"/>
  <c r="D25" i="26"/>
  <c r="X24" i="26"/>
  <c r="W24" i="26"/>
  <c r="V24" i="26"/>
  <c r="U24" i="26"/>
  <c r="C24" i="26"/>
  <c r="S23" i="26"/>
  <c r="R23" i="26"/>
  <c r="P23" i="26"/>
  <c r="O23" i="26"/>
  <c r="N23" i="26"/>
  <c r="M23" i="26"/>
  <c r="L23" i="26"/>
  <c r="K23" i="26"/>
  <c r="I23" i="26"/>
  <c r="G23" i="26"/>
  <c r="E23" i="26"/>
  <c r="D23" i="26"/>
  <c r="X22" i="26"/>
  <c r="W22" i="26"/>
  <c r="V22" i="26"/>
  <c r="U22" i="26"/>
  <c r="C22" i="26"/>
  <c r="S21" i="26"/>
  <c r="R21" i="26"/>
  <c r="P21" i="26"/>
  <c r="O21" i="26"/>
  <c r="N21" i="26"/>
  <c r="M21" i="26"/>
  <c r="L21" i="26"/>
  <c r="K21" i="26"/>
  <c r="I21" i="26"/>
  <c r="G21" i="26"/>
  <c r="E21" i="26"/>
  <c r="D21" i="26"/>
  <c r="X20" i="26"/>
  <c r="W20" i="26"/>
  <c r="V20" i="26"/>
  <c r="S19" i="26"/>
  <c r="R19" i="26"/>
  <c r="P19" i="26"/>
  <c r="O19" i="26"/>
  <c r="N19" i="26"/>
  <c r="M19" i="26"/>
  <c r="L19" i="26"/>
  <c r="K19" i="26"/>
  <c r="I19" i="26"/>
  <c r="G19" i="26"/>
  <c r="E19" i="26"/>
  <c r="D19" i="26"/>
  <c r="X18" i="26"/>
  <c r="W18" i="26"/>
  <c r="V18" i="26"/>
  <c r="U18" i="26"/>
  <c r="C18" i="26"/>
  <c r="S17" i="26"/>
  <c r="R17" i="26"/>
  <c r="P17" i="26"/>
  <c r="O17" i="26"/>
  <c r="N17" i="26"/>
  <c r="M17" i="26"/>
  <c r="L17" i="26"/>
  <c r="K17" i="26"/>
  <c r="I17" i="26"/>
  <c r="G17" i="26"/>
  <c r="E17" i="26"/>
  <c r="D17" i="26"/>
  <c r="X16" i="26"/>
  <c r="W16" i="26"/>
  <c r="V16" i="26"/>
  <c r="U16" i="26"/>
  <c r="S15" i="26"/>
  <c r="R15" i="26"/>
  <c r="P15" i="26"/>
  <c r="O15" i="26"/>
  <c r="N15" i="26"/>
  <c r="M15" i="26"/>
  <c r="L15" i="26"/>
  <c r="K15" i="26"/>
  <c r="I15" i="26"/>
  <c r="G15" i="26"/>
  <c r="E15" i="26"/>
  <c r="D15" i="26"/>
  <c r="X14" i="26"/>
  <c r="W14" i="26"/>
  <c r="V14" i="26"/>
  <c r="U14" i="26"/>
  <c r="C14" i="26"/>
  <c r="S13" i="26"/>
  <c r="R13" i="26"/>
  <c r="P13" i="26"/>
  <c r="O13" i="26"/>
  <c r="N13" i="26"/>
  <c r="M13" i="26"/>
  <c r="L13" i="26"/>
  <c r="K13" i="26"/>
  <c r="I13" i="26"/>
  <c r="G13" i="26"/>
  <c r="E13" i="26"/>
  <c r="D13" i="26"/>
  <c r="X12" i="26"/>
  <c r="W12" i="26"/>
  <c r="V12" i="26"/>
  <c r="U12" i="26"/>
  <c r="C12" i="26"/>
  <c r="S11" i="26"/>
  <c r="R11" i="26"/>
  <c r="P11" i="26"/>
  <c r="O11" i="26"/>
  <c r="N11" i="26"/>
  <c r="M11" i="26"/>
  <c r="L11" i="26"/>
  <c r="K11" i="26"/>
  <c r="I11" i="26"/>
  <c r="G11" i="26"/>
  <c r="E11" i="26"/>
  <c r="D11" i="26"/>
  <c r="X10" i="26"/>
  <c r="W10" i="26"/>
  <c r="V10" i="26"/>
  <c r="U10" i="26"/>
  <c r="C10" i="26"/>
  <c r="W107" i="21"/>
  <c r="V107" i="21"/>
  <c r="W106" i="21"/>
  <c r="W105" i="21"/>
  <c r="V105" i="21"/>
  <c r="X92" i="21"/>
  <c r="W92" i="21"/>
  <c r="V92" i="21"/>
  <c r="U92" i="21"/>
  <c r="C92" i="21"/>
  <c r="S90" i="21"/>
  <c r="R90" i="21"/>
  <c r="P90" i="21"/>
  <c r="O90" i="21"/>
  <c r="N90" i="21"/>
  <c r="M90" i="21"/>
  <c r="L90" i="21"/>
  <c r="K90" i="21"/>
  <c r="I90" i="21"/>
  <c r="G90" i="21"/>
  <c r="E90" i="21"/>
  <c r="D90" i="21"/>
  <c r="X89" i="21"/>
  <c r="W89" i="21"/>
  <c r="V89" i="21"/>
  <c r="U89" i="21"/>
  <c r="S88" i="21"/>
  <c r="R88" i="21"/>
  <c r="P88" i="21"/>
  <c r="O88" i="21"/>
  <c r="N88" i="21"/>
  <c r="M88" i="21"/>
  <c r="L88" i="21"/>
  <c r="K88" i="21"/>
  <c r="I88" i="21"/>
  <c r="G88" i="21"/>
  <c r="E88" i="21"/>
  <c r="D88" i="21"/>
  <c r="X87" i="21"/>
  <c r="W87" i="21"/>
  <c r="V87" i="21"/>
  <c r="U87" i="21"/>
  <c r="C87" i="21"/>
  <c r="S86" i="21"/>
  <c r="R86" i="21"/>
  <c r="P86" i="21"/>
  <c r="O86" i="21"/>
  <c r="N86" i="21"/>
  <c r="M86" i="21"/>
  <c r="L86" i="21"/>
  <c r="K86" i="21"/>
  <c r="I86" i="21"/>
  <c r="G86" i="21"/>
  <c r="E86" i="21"/>
  <c r="D86" i="21"/>
  <c r="X85" i="21"/>
  <c r="W85" i="21"/>
  <c r="V85" i="21"/>
  <c r="U85" i="21"/>
  <c r="C85" i="21"/>
  <c r="S84" i="21"/>
  <c r="R84" i="21"/>
  <c r="P84" i="21"/>
  <c r="O84" i="21"/>
  <c r="N84" i="21"/>
  <c r="M84" i="21"/>
  <c r="L84" i="21"/>
  <c r="K84" i="21"/>
  <c r="I84" i="21"/>
  <c r="G84" i="21"/>
  <c r="E84" i="21"/>
  <c r="D84" i="21"/>
  <c r="X83" i="21"/>
  <c r="W83" i="21"/>
  <c r="V83" i="21"/>
  <c r="U83" i="21"/>
  <c r="C83" i="21"/>
  <c r="S82" i="21"/>
  <c r="R82" i="21"/>
  <c r="P82" i="21"/>
  <c r="O82" i="21"/>
  <c r="N82" i="21"/>
  <c r="M82" i="21"/>
  <c r="L82" i="21"/>
  <c r="K82" i="21"/>
  <c r="I82" i="21"/>
  <c r="G82" i="21"/>
  <c r="E82" i="21"/>
  <c r="D82" i="21"/>
  <c r="X81" i="21"/>
  <c r="W81" i="21"/>
  <c r="V81" i="21"/>
  <c r="U81" i="21"/>
  <c r="C81" i="21"/>
  <c r="S80" i="21"/>
  <c r="R80" i="21"/>
  <c r="P80" i="21"/>
  <c r="O80" i="21"/>
  <c r="N80" i="21"/>
  <c r="M80" i="21"/>
  <c r="L80" i="21"/>
  <c r="K80" i="21"/>
  <c r="I80" i="21"/>
  <c r="G80" i="21"/>
  <c r="E80" i="21"/>
  <c r="D80" i="21"/>
  <c r="X79" i="21"/>
  <c r="W79" i="21"/>
  <c r="V79" i="21"/>
  <c r="U79" i="21"/>
  <c r="C79" i="21"/>
  <c r="S78" i="21"/>
  <c r="R78" i="21"/>
  <c r="P78" i="21"/>
  <c r="O78" i="21"/>
  <c r="N78" i="21"/>
  <c r="M78" i="21"/>
  <c r="L78" i="21"/>
  <c r="K78" i="21"/>
  <c r="I78" i="21"/>
  <c r="G78" i="21"/>
  <c r="E78" i="21"/>
  <c r="D78" i="21"/>
  <c r="X77" i="21"/>
  <c r="W77" i="21"/>
  <c r="V77" i="21"/>
  <c r="U77" i="21"/>
  <c r="C77" i="21"/>
  <c r="S76" i="21"/>
  <c r="R76" i="21"/>
  <c r="P76" i="21"/>
  <c r="O76" i="21"/>
  <c r="N76" i="21"/>
  <c r="M76" i="21"/>
  <c r="L76" i="21"/>
  <c r="K76" i="21"/>
  <c r="I76" i="21"/>
  <c r="G76" i="21"/>
  <c r="E76" i="21"/>
  <c r="D76" i="21"/>
  <c r="X75" i="21"/>
  <c r="W75" i="21"/>
  <c r="V75" i="21"/>
  <c r="U75" i="21"/>
  <c r="C75" i="21"/>
  <c r="S74" i="21"/>
  <c r="R74" i="21"/>
  <c r="P74" i="21"/>
  <c r="O74" i="21"/>
  <c r="N74" i="21"/>
  <c r="M74" i="21"/>
  <c r="L74" i="21"/>
  <c r="K74" i="21"/>
  <c r="I74" i="21"/>
  <c r="G74" i="21"/>
  <c r="E74" i="21"/>
  <c r="D74" i="21"/>
  <c r="X73" i="21"/>
  <c r="W73" i="21"/>
  <c r="V73" i="21"/>
  <c r="U73" i="21"/>
  <c r="C73" i="21"/>
  <c r="S72" i="21"/>
  <c r="R72" i="21"/>
  <c r="P72" i="21"/>
  <c r="O72" i="21"/>
  <c r="N72" i="21"/>
  <c r="M72" i="21"/>
  <c r="L72" i="21"/>
  <c r="K72" i="21"/>
  <c r="I72" i="21"/>
  <c r="G72" i="21"/>
  <c r="E72" i="21"/>
  <c r="D72" i="21"/>
  <c r="X71" i="21"/>
  <c r="W71" i="21"/>
  <c r="V71" i="21"/>
  <c r="U71" i="21"/>
  <c r="C71" i="21"/>
  <c r="S70" i="21"/>
  <c r="R70" i="21"/>
  <c r="P70" i="21"/>
  <c r="O70" i="21"/>
  <c r="N70" i="21"/>
  <c r="M70" i="21"/>
  <c r="L70" i="21"/>
  <c r="K70" i="21"/>
  <c r="I70" i="21"/>
  <c r="G70" i="21"/>
  <c r="E70" i="21"/>
  <c r="D70" i="21"/>
  <c r="X69" i="21"/>
  <c r="W69" i="21"/>
  <c r="V69" i="21"/>
  <c r="U69" i="21"/>
  <c r="C69" i="21"/>
  <c r="S68" i="21"/>
  <c r="R68" i="21"/>
  <c r="P68" i="21"/>
  <c r="O68" i="21"/>
  <c r="N68" i="21"/>
  <c r="M68" i="21"/>
  <c r="L68" i="21"/>
  <c r="K68" i="21"/>
  <c r="I68" i="21"/>
  <c r="G68" i="21"/>
  <c r="E68" i="21"/>
  <c r="D68" i="21"/>
  <c r="X67" i="21"/>
  <c r="W67" i="21"/>
  <c r="V67" i="21"/>
  <c r="U67" i="21"/>
  <c r="S66" i="21"/>
  <c r="R66" i="21"/>
  <c r="P66" i="21"/>
  <c r="O66" i="21"/>
  <c r="N66" i="21"/>
  <c r="M66" i="21"/>
  <c r="L66" i="21"/>
  <c r="K66" i="21"/>
  <c r="I66" i="21"/>
  <c r="G66" i="21"/>
  <c r="E66" i="21"/>
  <c r="D66" i="21"/>
  <c r="X65" i="21"/>
  <c r="W65" i="21"/>
  <c r="V65" i="21"/>
  <c r="U65" i="21"/>
  <c r="C65" i="21"/>
  <c r="S64" i="21"/>
  <c r="R64" i="21"/>
  <c r="P64" i="21"/>
  <c r="O64" i="21"/>
  <c r="N64" i="21"/>
  <c r="M64" i="21"/>
  <c r="L64" i="21"/>
  <c r="K64" i="21"/>
  <c r="I64" i="21"/>
  <c r="G64" i="21"/>
  <c r="E64" i="21"/>
  <c r="D64" i="21"/>
  <c r="X63" i="21"/>
  <c r="W63" i="21"/>
  <c r="V63" i="21"/>
  <c r="U63" i="21"/>
  <c r="C63" i="21"/>
  <c r="S62" i="21"/>
  <c r="R62" i="21"/>
  <c r="P62" i="21"/>
  <c r="O62" i="21"/>
  <c r="N62" i="21"/>
  <c r="M62" i="21"/>
  <c r="L62" i="21"/>
  <c r="K62" i="21"/>
  <c r="I62" i="21"/>
  <c r="G62" i="21"/>
  <c r="E62" i="21"/>
  <c r="D62" i="21"/>
  <c r="X61" i="21"/>
  <c r="W61" i="21"/>
  <c r="V61" i="21"/>
  <c r="U61" i="21"/>
  <c r="C61" i="21"/>
  <c r="B61" i="21"/>
  <c r="S60" i="21"/>
  <c r="R60" i="21"/>
  <c r="P60" i="21"/>
  <c r="O60" i="21"/>
  <c r="N60" i="21"/>
  <c r="M60" i="21"/>
  <c r="L60" i="21"/>
  <c r="K60" i="21"/>
  <c r="I60" i="21"/>
  <c r="G60" i="21"/>
  <c r="E60" i="21"/>
  <c r="D60" i="21"/>
  <c r="X59" i="21"/>
  <c r="W59" i="21"/>
  <c r="V59" i="21"/>
  <c r="U59" i="21"/>
  <c r="C59" i="21"/>
  <c r="B59" i="21"/>
  <c r="S58" i="21"/>
  <c r="R58" i="21"/>
  <c r="P58" i="21"/>
  <c r="O58" i="21"/>
  <c r="N58" i="21"/>
  <c r="M58" i="21"/>
  <c r="L58" i="21"/>
  <c r="K58" i="21"/>
  <c r="I58" i="21"/>
  <c r="G58" i="21"/>
  <c r="E58" i="21"/>
  <c r="D58" i="21"/>
  <c r="X57" i="21"/>
  <c r="W57" i="21"/>
  <c r="V57" i="21"/>
  <c r="U57" i="21"/>
  <c r="C57" i="21"/>
  <c r="B57" i="21"/>
  <c r="S56" i="21"/>
  <c r="R56" i="21"/>
  <c r="P56" i="21"/>
  <c r="O56" i="21"/>
  <c r="N56" i="21"/>
  <c r="M56" i="21"/>
  <c r="L56" i="21"/>
  <c r="K56" i="21"/>
  <c r="I56" i="21"/>
  <c r="G56" i="21"/>
  <c r="E56" i="21"/>
  <c r="D56" i="21"/>
  <c r="X55" i="21"/>
  <c r="W55" i="21"/>
  <c r="V55" i="21"/>
  <c r="U55" i="21"/>
  <c r="C55" i="21"/>
  <c r="B55" i="21"/>
  <c r="S54" i="21"/>
  <c r="R54" i="21"/>
  <c r="P54" i="21"/>
  <c r="O54" i="21"/>
  <c r="N54" i="21"/>
  <c r="M54" i="21"/>
  <c r="L54" i="21"/>
  <c r="K54" i="21"/>
  <c r="I54" i="21"/>
  <c r="G54" i="21"/>
  <c r="E54" i="21"/>
  <c r="D54" i="21"/>
  <c r="X53" i="21"/>
  <c r="W53" i="21"/>
  <c r="V53" i="21"/>
  <c r="U53" i="21"/>
  <c r="C53" i="21"/>
  <c r="S52" i="21"/>
  <c r="R52" i="21"/>
  <c r="P52" i="21"/>
  <c r="O52" i="21"/>
  <c r="N52" i="21"/>
  <c r="M52" i="21"/>
  <c r="L52" i="21"/>
  <c r="K52" i="21"/>
  <c r="I52" i="21"/>
  <c r="G52" i="21"/>
  <c r="E52" i="21"/>
  <c r="D52" i="21"/>
  <c r="X51" i="21"/>
  <c r="W51" i="21"/>
  <c r="V51" i="21"/>
  <c r="U51" i="21"/>
  <c r="C51" i="21"/>
  <c r="S50" i="21"/>
  <c r="R50" i="21"/>
  <c r="P50" i="21"/>
  <c r="O50" i="21"/>
  <c r="N50" i="21"/>
  <c r="M50" i="21"/>
  <c r="L50" i="21"/>
  <c r="K50" i="21"/>
  <c r="I50" i="21"/>
  <c r="G50" i="21"/>
  <c r="E50" i="21"/>
  <c r="D50" i="21"/>
  <c r="X49" i="21"/>
  <c r="W49" i="21"/>
  <c r="V49" i="21"/>
  <c r="U49" i="21"/>
  <c r="C49" i="21"/>
  <c r="S48" i="21"/>
  <c r="R48" i="21"/>
  <c r="P48" i="21"/>
  <c r="O48" i="21"/>
  <c r="N48" i="21"/>
  <c r="M48" i="21"/>
  <c r="L48" i="21"/>
  <c r="K48" i="21"/>
  <c r="I48" i="21"/>
  <c r="G48" i="21"/>
  <c r="E48" i="21"/>
  <c r="D48" i="21"/>
  <c r="X47" i="21"/>
  <c r="W47" i="21"/>
  <c r="V47" i="21"/>
  <c r="U47" i="21"/>
  <c r="C47" i="21"/>
  <c r="S46" i="21"/>
  <c r="R46" i="21"/>
  <c r="P46" i="21"/>
  <c r="O46" i="21"/>
  <c r="N46" i="21"/>
  <c r="M46" i="21"/>
  <c r="L46" i="21"/>
  <c r="K46" i="21"/>
  <c r="I46" i="21"/>
  <c r="G46" i="21"/>
  <c r="E46" i="21"/>
  <c r="D46" i="21"/>
  <c r="X45" i="21"/>
  <c r="W45" i="21"/>
  <c r="V45" i="21"/>
  <c r="U45" i="21"/>
  <c r="C45" i="21"/>
  <c r="S44" i="21"/>
  <c r="R44" i="21"/>
  <c r="P44" i="21"/>
  <c r="O44" i="21"/>
  <c r="N44" i="21"/>
  <c r="M44" i="21"/>
  <c r="L44" i="21"/>
  <c r="K44" i="21"/>
  <c r="I44" i="21"/>
  <c r="G44" i="21"/>
  <c r="E44" i="21"/>
  <c r="D44" i="21"/>
  <c r="X43" i="21"/>
  <c r="W43" i="21"/>
  <c r="V43" i="21"/>
  <c r="U43" i="21"/>
  <c r="C43" i="21"/>
  <c r="S39" i="21"/>
  <c r="R39" i="21"/>
  <c r="P39" i="21"/>
  <c r="O39" i="21"/>
  <c r="N39" i="21"/>
  <c r="M39" i="21"/>
  <c r="L39" i="21"/>
  <c r="K39" i="21"/>
  <c r="I39" i="21"/>
  <c r="G39" i="21"/>
  <c r="E39" i="21"/>
  <c r="D39" i="21"/>
  <c r="X38" i="21"/>
  <c r="W38" i="21"/>
  <c r="V38" i="21"/>
  <c r="U38" i="21"/>
  <c r="C38" i="21"/>
  <c r="S37" i="21"/>
  <c r="R37" i="21"/>
  <c r="P37" i="21"/>
  <c r="O37" i="21"/>
  <c r="N37" i="21"/>
  <c r="M37" i="21"/>
  <c r="L37" i="21"/>
  <c r="K37" i="21"/>
  <c r="I37" i="21"/>
  <c r="G37" i="21"/>
  <c r="E37" i="21"/>
  <c r="D37" i="21"/>
  <c r="X36" i="21"/>
  <c r="W36" i="21"/>
  <c r="V36" i="21"/>
  <c r="U36" i="21"/>
  <c r="C36" i="21"/>
  <c r="S35" i="21"/>
  <c r="R35" i="21"/>
  <c r="P35" i="21"/>
  <c r="O35" i="21"/>
  <c r="N35" i="21"/>
  <c r="M35" i="21"/>
  <c r="L35" i="21"/>
  <c r="K35" i="21"/>
  <c r="I35" i="21"/>
  <c r="G35" i="21"/>
  <c r="E35" i="21"/>
  <c r="D35" i="21"/>
  <c r="X34" i="21"/>
  <c r="W34" i="21"/>
  <c r="V34" i="21"/>
  <c r="U34" i="21"/>
  <c r="C34" i="21"/>
  <c r="S33" i="21"/>
  <c r="R33" i="21"/>
  <c r="P33" i="21"/>
  <c r="O33" i="21"/>
  <c r="N33" i="21"/>
  <c r="M33" i="21"/>
  <c r="L33" i="21"/>
  <c r="K33" i="21"/>
  <c r="I33" i="21"/>
  <c r="G33" i="21"/>
  <c r="E33" i="21"/>
  <c r="D33" i="21"/>
  <c r="X32" i="21"/>
  <c r="W32" i="21"/>
  <c r="V32" i="21"/>
  <c r="U32" i="21"/>
  <c r="C32" i="21"/>
  <c r="S31" i="21"/>
  <c r="R31" i="21"/>
  <c r="P31" i="21"/>
  <c r="O31" i="21"/>
  <c r="N31" i="21"/>
  <c r="M31" i="21"/>
  <c r="L31" i="21"/>
  <c r="K31" i="21"/>
  <c r="I31" i="21"/>
  <c r="G31" i="21"/>
  <c r="E31" i="21"/>
  <c r="D31" i="21"/>
  <c r="X30" i="21"/>
  <c r="W30" i="21"/>
  <c r="V30" i="21"/>
  <c r="U30" i="21"/>
  <c r="C30" i="21"/>
  <c r="S29" i="21"/>
  <c r="R29" i="21"/>
  <c r="P29" i="21"/>
  <c r="O29" i="21"/>
  <c r="N29" i="21"/>
  <c r="M29" i="21"/>
  <c r="L29" i="21"/>
  <c r="K29" i="21"/>
  <c r="I29" i="21"/>
  <c r="G29" i="21"/>
  <c r="E29" i="21"/>
  <c r="D29" i="21"/>
  <c r="X28" i="21"/>
  <c r="W28" i="21"/>
  <c r="V28" i="21"/>
  <c r="U28" i="21"/>
  <c r="C28" i="21"/>
  <c r="S27" i="21"/>
  <c r="R27" i="21"/>
  <c r="P27" i="21"/>
  <c r="O27" i="21"/>
  <c r="N27" i="21"/>
  <c r="M27" i="21"/>
  <c r="L27" i="21"/>
  <c r="K27" i="21"/>
  <c r="I27" i="21"/>
  <c r="G27" i="21"/>
  <c r="E27" i="21"/>
  <c r="D27" i="21"/>
  <c r="X26" i="21"/>
  <c r="W26" i="21"/>
  <c r="V26" i="21"/>
  <c r="U26" i="21"/>
  <c r="C26" i="21"/>
  <c r="S25" i="21"/>
  <c r="R25" i="21"/>
  <c r="P25" i="21"/>
  <c r="O25" i="21"/>
  <c r="N25" i="21"/>
  <c r="M25" i="21"/>
  <c r="L25" i="21"/>
  <c r="K25" i="21"/>
  <c r="I25" i="21"/>
  <c r="G25" i="21"/>
  <c r="E25" i="21"/>
  <c r="D25" i="21"/>
  <c r="X24" i="21"/>
  <c r="W24" i="21"/>
  <c r="V24" i="21"/>
  <c r="U24" i="21"/>
  <c r="C24" i="21"/>
  <c r="S23" i="21"/>
  <c r="R23" i="21"/>
  <c r="P23" i="21"/>
  <c r="O23" i="21"/>
  <c r="N23" i="21"/>
  <c r="M23" i="21"/>
  <c r="L23" i="21"/>
  <c r="K23" i="21"/>
  <c r="I23" i="21"/>
  <c r="G23" i="21"/>
  <c r="E23" i="21"/>
  <c r="D23" i="21"/>
  <c r="X22" i="21"/>
  <c r="W22" i="21"/>
  <c r="V22" i="21"/>
  <c r="U22" i="21"/>
  <c r="C22" i="21"/>
  <c r="S21" i="21"/>
  <c r="R21" i="21"/>
  <c r="P21" i="21"/>
  <c r="O21" i="21"/>
  <c r="N21" i="21"/>
  <c r="M21" i="21"/>
  <c r="L21" i="21"/>
  <c r="K21" i="21"/>
  <c r="I21" i="21"/>
  <c r="G21" i="21"/>
  <c r="E21" i="21"/>
  <c r="D21" i="21"/>
  <c r="X20" i="21"/>
  <c r="W20" i="21"/>
  <c r="V20" i="21"/>
  <c r="S19" i="21"/>
  <c r="R19" i="21"/>
  <c r="P19" i="21"/>
  <c r="O19" i="21"/>
  <c r="N19" i="21"/>
  <c r="M19" i="21"/>
  <c r="L19" i="21"/>
  <c r="K19" i="21"/>
  <c r="I19" i="21"/>
  <c r="G19" i="21"/>
  <c r="E19" i="21"/>
  <c r="D19" i="21"/>
  <c r="X18" i="21"/>
  <c r="W18" i="21"/>
  <c r="V18" i="21"/>
  <c r="U18" i="21"/>
  <c r="C18" i="21"/>
  <c r="S17" i="21"/>
  <c r="R17" i="21"/>
  <c r="P17" i="21"/>
  <c r="O17" i="21"/>
  <c r="N17" i="21"/>
  <c r="M17" i="21"/>
  <c r="L17" i="21"/>
  <c r="K17" i="21"/>
  <c r="I17" i="21"/>
  <c r="G17" i="21"/>
  <c r="E17" i="21"/>
  <c r="D17" i="21"/>
  <c r="X16" i="21"/>
  <c r="W16" i="21"/>
  <c r="V16" i="21"/>
  <c r="U16" i="21"/>
  <c r="C16" i="21"/>
  <c r="S15" i="21"/>
  <c r="R15" i="21"/>
  <c r="P15" i="21"/>
  <c r="O15" i="21"/>
  <c r="N15" i="21"/>
  <c r="M15" i="21"/>
  <c r="L15" i="21"/>
  <c r="K15" i="21"/>
  <c r="I15" i="21"/>
  <c r="G15" i="21"/>
  <c r="E15" i="21"/>
  <c r="D15" i="21"/>
  <c r="X14" i="21"/>
  <c r="W14" i="21"/>
  <c r="V14" i="21"/>
  <c r="U14" i="21"/>
  <c r="C14" i="21"/>
  <c r="S13" i="21"/>
  <c r="R13" i="21"/>
  <c r="P13" i="21"/>
  <c r="O13" i="21"/>
  <c r="N13" i="21"/>
  <c r="M13" i="21"/>
  <c r="L13" i="21"/>
  <c r="K13" i="21"/>
  <c r="I13" i="21"/>
  <c r="G13" i="21"/>
  <c r="E13" i="21"/>
  <c r="D13" i="21"/>
  <c r="X12" i="21"/>
  <c r="W12" i="21"/>
  <c r="V12" i="21"/>
  <c r="U12" i="21"/>
  <c r="C12" i="21"/>
  <c r="S11" i="21"/>
  <c r="R11" i="21"/>
  <c r="P11" i="21"/>
  <c r="O11" i="21"/>
  <c r="N11" i="21"/>
  <c r="M11" i="21"/>
  <c r="L11" i="21"/>
  <c r="K11" i="21"/>
  <c r="I11" i="21"/>
  <c r="G11" i="21"/>
  <c r="E11" i="21"/>
  <c r="D11" i="21"/>
  <c r="X10" i="21"/>
  <c r="W10" i="21"/>
  <c r="V10" i="21"/>
  <c r="U10" i="21"/>
  <c r="C10" i="21"/>
  <c r="W101" i="16"/>
  <c r="V101" i="16"/>
  <c r="W100" i="16"/>
  <c r="W99" i="16"/>
  <c r="V99" i="16"/>
  <c r="X86" i="16"/>
  <c r="W86" i="16"/>
  <c r="V86" i="16"/>
  <c r="U86" i="16"/>
  <c r="C86" i="16"/>
  <c r="S84" i="16"/>
  <c r="R84" i="16"/>
  <c r="P84" i="16"/>
  <c r="O84" i="16"/>
  <c r="N84" i="16"/>
  <c r="M84" i="16"/>
  <c r="L84" i="16"/>
  <c r="K84" i="16"/>
  <c r="I84" i="16"/>
  <c r="G84" i="16"/>
  <c r="E84" i="16"/>
  <c r="D84" i="16"/>
  <c r="X83" i="16"/>
  <c r="W83" i="16"/>
  <c r="V83" i="16"/>
  <c r="U83" i="16"/>
  <c r="C83" i="16"/>
  <c r="S82" i="16"/>
  <c r="R82" i="16"/>
  <c r="P82" i="16"/>
  <c r="O82" i="16"/>
  <c r="N82" i="16"/>
  <c r="M82" i="16"/>
  <c r="L82" i="16"/>
  <c r="K82" i="16"/>
  <c r="I82" i="16"/>
  <c r="G82" i="16"/>
  <c r="E82" i="16"/>
  <c r="D82" i="16"/>
  <c r="X81" i="16"/>
  <c r="W81" i="16"/>
  <c r="V81" i="16"/>
  <c r="U81" i="16"/>
  <c r="S80" i="16"/>
  <c r="R80" i="16"/>
  <c r="P80" i="16"/>
  <c r="O80" i="16"/>
  <c r="N80" i="16"/>
  <c r="M80" i="16"/>
  <c r="L80" i="16"/>
  <c r="K80" i="16"/>
  <c r="I80" i="16"/>
  <c r="G80" i="16"/>
  <c r="E80" i="16"/>
  <c r="D80" i="16"/>
  <c r="X79" i="16"/>
  <c r="W79" i="16"/>
  <c r="V79" i="16"/>
  <c r="U79" i="16"/>
  <c r="C79" i="16"/>
  <c r="S78" i="16"/>
  <c r="R78" i="16"/>
  <c r="P78" i="16"/>
  <c r="O78" i="16"/>
  <c r="N78" i="16"/>
  <c r="M78" i="16"/>
  <c r="L78" i="16"/>
  <c r="K78" i="16"/>
  <c r="I78" i="16"/>
  <c r="G78" i="16"/>
  <c r="E78" i="16"/>
  <c r="D78" i="16"/>
  <c r="X77" i="16"/>
  <c r="W77" i="16"/>
  <c r="V77" i="16"/>
  <c r="U77" i="16"/>
  <c r="S76" i="16"/>
  <c r="R76" i="16"/>
  <c r="P76" i="16"/>
  <c r="O76" i="16"/>
  <c r="N76" i="16"/>
  <c r="M76" i="16"/>
  <c r="L76" i="16"/>
  <c r="K76" i="16"/>
  <c r="I76" i="16"/>
  <c r="G76" i="16"/>
  <c r="E76" i="16"/>
  <c r="D76" i="16"/>
  <c r="X75" i="16"/>
  <c r="W75" i="16"/>
  <c r="V75" i="16"/>
  <c r="U75" i="16"/>
  <c r="S74" i="16"/>
  <c r="R74" i="16"/>
  <c r="P74" i="16"/>
  <c r="O74" i="16"/>
  <c r="N74" i="16"/>
  <c r="M74" i="16"/>
  <c r="L74" i="16"/>
  <c r="K74" i="16"/>
  <c r="I74" i="16"/>
  <c r="G74" i="16"/>
  <c r="E74" i="16"/>
  <c r="D74" i="16"/>
  <c r="X73" i="16"/>
  <c r="W73" i="16"/>
  <c r="V73" i="16"/>
  <c r="U73" i="16"/>
  <c r="S72" i="16"/>
  <c r="R72" i="16"/>
  <c r="P72" i="16"/>
  <c r="O72" i="16"/>
  <c r="N72" i="16"/>
  <c r="M72" i="16"/>
  <c r="L72" i="16"/>
  <c r="K72" i="16"/>
  <c r="I72" i="16"/>
  <c r="G72" i="16"/>
  <c r="E72" i="16"/>
  <c r="D72" i="16"/>
  <c r="X71" i="16"/>
  <c r="W71" i="16"/>
  <c r="V71" i="16"/>
  <c r="U71" i="16"/>
  <c r="S70" i="16"/>
  <c r="R70" i="16"/>
  <c r="P70" i="16"/>
  <c r="O70" i="16"/>
  <c r="N70" i="16"/>
  <c r="M70" i="16"/>
  <c r="L70" i="16"/>
  <c r="K70" i="16"/>
  <c r="I70" i="16"/>
  <c r="G70" i="16"/>
  <c r="E70" i="16"/>
  <c r="D70" i="16"/>
  <c r="X69" i="16"/>
  <c r="W69" i="16"/>
  <c r="V69" i="16"/>
  <c r="U69" i="16"/>
  <c r="S68" i="16"/>
  <c r="R68" i="16"/>
  <c r="P68" i="16"/>
  <c r="O68" i="16"/>
  <c r="N68" i="16"/>
  <c r="M68" i="16"/>
  <c r="L68" i="16"/>
  <c r="K68" i="16"/>
  <c r="I68" i="16"/>
  <c r="G68" i="16"/>
  <c r="E68" i="16"/>
  <c r="D68" i="16"/>
  <c r="X67" i="16"/>
  <c r="W67" i="16"/>
  <c r="V67" i="16"/>
  <c r="U67" i="16"/>
  <c r="C67" i="16"/>
  <c r="S66" i="16"/>
  <c r="R66" i="16"/>
  <c r="P66" i="16"/>
  <c r="O66" i="16"/>
  <c r="N66" i="16"/>
  <c r="M66" i="16"/>
  <c r="L66" i="16"/>
  <c r="K66" i="16"/>
  <c r="I66" i="16"/>
  <c r="G66" i="16"/>
  <c r="E66" i="16"/>
  <c r="D66" i="16"/>
  <c r="X65" i="16"/>
  <c r="W65" i="16"/>
  <c r="V65" i="16"/>
  <c r="U65" i="16"/>
  <c r="S64" i="16"/>
  <c r="R64" i="16"/>
  <c r="P64" i="16"/>
  <c r="O64" i="16"/>
  <c r="N64" i="16"/>
  <c r="M64" i="16"/>
  <c r="L64" i="16"/>
  <c r="K64" i="16"/>
  <c r="I64" i="16"/>
  <c r="G64" i="16"/>
  <c r="E64" i="16"/>
  <c r="D64" i="16"/>
  <c r="X63" i="16"/>
  <c r="W63" i="16"/>
  <c r="V63" i="16"/>
  <c r="U63" i="16"/>
  <c r="S62" i="16"/>
  <c r="R62" i="16"/>
  <c r="P62" i="16"/>
  <c r="O62" i="16"/>
  <c r="N62" i="16"/>
  <c r="M62" i="16"/>
  <c r="L62" i="16"/>
  <c r="K62" i="16"/>
  <c r="I62" i="16"/>
  <c r="G62" i="16"/>
  <c r="E62" i="16"/>
  <c r="D62" i="16"/>
  <c r="X61" i="16"/>
  <c r="W61" i="16"/>
  <c r="V61" i="16"/>
  <c r="U61" i="16"/>
  <c r="B61" i="16"/>
  <c r="S60" i="16"/>
  <c r="R60" i="16"/>
  <c r="P60" i="16"/>
  <c r="O60" i="16"/>
  <c r="N60" i="16"/>
  <c r="M60" i="16"/>
  <c r="L60" i="16"/>
  <c r="K60" i="16"/>
  <c r="I60" i="16"/>
  <c r="G60" i="16"/>
  <c r="E60" i="16"/>
  <c r="D60" i="16"/>
  <c r="X59" i="16"/>
  <c r="W59" i="16"/>
  <c r="V59" i="16"/>
  <c r="U59" i="16"/>
  <c r="B59" i="16"/>
  <c r="S58" i="16"/>
  <c r="R58" i="16"/>
  <c r="P58" i="16"/>
  <c r="O58" i="16"/>
  <c r="N58" i="16"/>
  <c r="M58" i="16"/>
  <c r="L58" i="16"/>
  <c r="K58" i="16"/>
  <c r="I58" i="16"/>
  <c r="G58" i="16"/>
  <c r="E58" i="16"/>
  <c r="D58" i="16"/>
  <c r="X57" i="16"/>
  <c r="W57" i="16"/>
  <c r="V57" i="16"/>
  <c r="U57" i="16"/>
  <c r="B57" i="16"/>
  <c r="S56" i="16"/>
  <c r="R56" i="16"/>
  <c r="P56" i="16"/>
  <c r="O56" i="16"/>
  <c r="N56" i="16"/>
  <c r="M56" i="16"/>
  <c r="L56" i="16"/>
  <c r="K56" i="16"/>
  <c r="I56" i="16"/>
  <c r="G56" i="16"/>
  <c r="E56" i="16"/>
  <c r="D56" i="16"/>
  <c r="X55" i="16"/>
  <c r="W55" i="16"/>
  <c r="V55" i="16"/>
  <c r="U55" i="16"/>
  <c r="B55" i="16"/>
  <c r="S54" i="16"/>
  <c r="R54" i="16"/>
  <c r="P54" i="16"/>
  <c r="O54" i="16"/>
  <c r="N54" i="16"/>
  <c r="M54" i="16"/>
  <c r="L54" i="16"/>
  <c r="K54" i="16"/>
  <c r="I54" i="16"/>
  <c r="G54" i="16"/>
  <c r="E54" i="16"/>
  <c r="D54" i="16"/>
  <c r="X53" i="16"/>
  <c r="W53" i="16"/>
  <c r="V53" i="16"/>
  <c r="U53" i="16"/>
  <c r="S52" i="16"/>
  <c r="R52" i="16"/>
  <c r="P52" i="16"/>
  <c r="O52" i="16"/>
  <c r="N52" i="16"/>
  <c r="M52" i="16"/>
  <c r="L52" i="16"/>
  <c r="K52" i="16"/>
  <c r="I52" i="16"/>
  <c r="G52" i="16"/>
  <c r="E52" i="16"/>
  <c r="D52" i="16"/>
  <c r="X51" i="16"/>
  <c r="W51" i="16"/>
  <c r="V51" i="16"/>
  <c r="U51" i="16"/>
  <c r="S50" i="16"/>
  <c r="R50" i="16"/>
  <c r="P50" i="16"/>
  <c r="O50" i="16"/>
  <c r="N50" i="16"/>
  <c r="M50" i="16"/>
  <c r="L50" i="16"/>
  <c r="K50" i="16"/>
  <c r="I50" i="16"/>
  <c r="G50" i="16"/>
  <c r="E50" i="16"/>
  <c r="D50" i="16"/>
  <c r="X49" i="16"/>
  <c r="W49" i="16"/>
  <c r="V49" i="16"/>
  <c r="U49" i="16"/>
  <c r="S48" i="16"/>
  <c r="R48" i="16"/>
  <c r="P48" i="16"/>
  <c r="O48" i="16"/>
  <c r="N48" i="16"/>
  <c r="M48" i="16"/>
  <c r="L48" i="16"/>
  <c r="K48" i="16"/>
  <c r="I48" i="16"/>
  <c r="G48" i="16"/>
  <c r="E48" i="16"/>
  <c r="D48" i="16"/>
  <c r="X47" i="16"/>
  <c r="W47" i="16"/>
  <c r="V47" i="16"/>
  <c r="U47" i="16"/>
  <c r="S46" i="16"/>
  <c r="R46" i="16"/>
  <c r="P46" i="16"/>
  <c r="O46" i="16"/>
  <c r="N46" i="16"/>
  <c r="M46" i="16"/>
  <c r="L46" i="16"/>
  <c r="K46" i="16"/>
  <c r="I46" i="16"/>
  <c r="G46" i="16"/>
  <c r="E46" i="16"/>
  <c r="D46" i="16"/>
  <c r="X45" i="16"/>
  <c r="W45" i="16"/>
  <c r="V45" i="16"/>
  <c r="U45" i="16"/>
  <c r="C45" i="16"/>
  <c r="S44" i="16"/>
  <c r="R44" i="16"/>
  <c r="P44" i="16"/>
  <c r="O44" i="16"/>
  <c r="N44" i="16"/>
  <c r="M44" i="16"/>
  <c r="L44" i="16"/>
  <c r="K44" i="16"/>
  <c r="I44" i="16"/>
  <c r="G44" i="16"/>
  <c r="E44" i="16"/>
  <c r="D44" i="16"/>
  <c r="X43" i="16"/>
  <c r="W43" i="16"/>
  <c r="V43" i="16"/>
  <c r="U43" i="16"/>
  <c r="S39" i="16"/>
  <c r="R39" i="16"/>
  <c r="P39" i="16"/>
  <c r="O39" i="16"/>
  <c r="N39" i="16"/>
  <c r="M39" i="16"/>
  <c r="L39" i="16"/>
  <c r="K39" i="16"/>
  <c r="I39" i="16"/>
  <c r="G39" i="16"/>
  <c r="E39" i="16"/>
  <c r="D39" i="16"/>
  <c r="X38" i="16"/>
  <c r="W38" i="16"/>
  <c r="V38" i="16"/>
  <c r="U38" i="16"/>
  <c r="C38" i="16"/>
  <c r="S37" i="16"/>
  <c r="R37" i="16"/>
  <c r="P37" i="16"/>
  <c r="O37" i="16"/>
  <c r="N37" i="16"/>
  <c r="M37" i="16"/>
  <c r="L37" i="16"/>
  <c r="K37" i="16"/>
  <c r="I37" i="16"/>
  <c r="G37" i="16"/>
  <c r="E37" i="16"/>
  <c r="D37" i="16"/>
  <c r="X36" i="16"/>
  <c r="W36" i="16"/>
  <c r="V36" i="16"/>
  <c r="U36" i="16"/>
  <c r="C36" i="16"/>
  <c r="S35" i="16"/>
  <c r="R35" i="16"/>
  <c r="P35" i="16"/>
  <c r="O35" i="16"/>
  <c r="N35" i="16"/>
  <c r="M35" i="16"/>
  <c r="L35" i="16"/>
  <c r="K35" i="16"/>
  <c r="I35" i="16"/>
  <c r="G35" i="16"/>
  <c r="E35" i="16"/>
  <c r="D35" i="16"/>
  <c r="X34" i="16"/>
  <c r="W34" i="16"/>
  <c r="V34" i="16"/>
  <c r="U34" i="16"/>
  <c r="C34" i="16"/>
  <c r="S33" i="16"/>
  <c r="R33" i="16"/>
  <c r="P33" i="16"/>
  <c r="O33" i="16"/>
  <c r="N33" i="16"/>
  <c r="M33" i="16"/>
  <c r="L33" i="16"/>
  <c r="K33" i="16"/>
  <c r="I33" i="16"/>
  <c r="G33" i="16"/>
  <c r="E33" i="16"/>
  <c r="D33" i="16"/>
  <c r="X32" i="16"/>
  <c r="W32" i="16"/>
  <c r="V32" i="16"/>
  <c r="U32" i="16"/>
  <c r="S31" i="16"/>
  <c r="R31" i="16"/>
  <c r="P31" i="16"/>
  <c r="O31" i="16"/>
  <c r="N31" i="16"/>
  <c r="M31" i="16"/>
  <c r="L31" i="16"/>
  <c r="K31" i="16"/>
  <c r="I31" i="16"/>
  <c r="G31" i="16"/>
  <c r="E31" i="16"/>
  <c r="D31" i="16"/>
  <c r="X30" i="16"/>
  <c r="W30" i="16"/>
  <c r="V30" i="16"/>
  <c r="U30" i="16"/>
  <c r="S29" i="16"/>
  <c r="R29" i="16"/>
  <c r="P29" i="16"/>
  <c r="O29" i="16"/>
  <c r="N29" i="16"/>
  <c r="M29" i="16"/>
  <c r="L29" i="16"/>
  <c r="K29" i="16"/>
  <c r="I29" i="16"/>
  <c r="G29" i="16"/>
  <c r="E29" i="16"/>
  <c r="D29" i="16"/>
  <c r="X28" i="16"/>
  <c r="W28" i="16"/>
  <c r="V28" i="16"/>
  <c r="U28" i="16"/>
  <c r="S27" i="16"/>
  <c r="R27" i="16"/>
  <c r="P27" i="16"/>
  <c r="O27" i="16"/>
  <c r="N27" i="16"/>
  <c r="M27" i="16"/>
  <c r="L27" i="16"/>
  <c r="K27" i="16"/>
  <c r="I27" i="16"/>
  <c r="G27" i="16"/>
  <c r="E27" i="16"/>
  <c r="D27" i="16"/>
  <c r="X26" i="16"/>
  <c r="W26" i="16"/>
  <c r="V26" i="16"/>
  <c r="U26" i="16"/>
  <c r="S25" i="16"/>
  <c r="R25" i="16"/>
  <c r="P25" i="16"/>
  <c r="O25" i="16"/>
  <c r="N25" i="16"/>
  <c r="M25" i="16"/>
  <c r="L25" i="16"/>
  <c r="K25" i="16"/>
  <c r="I25" i="16"/>
  <c r="G25" i="16"/>
  <c r="E25" i="16"/>
  <c r="D25" i="16"/>
  <c r="X24" i="16"/>
  <c r="W24" i="16"/>
  <c r="V24" i="16"/>
  <c r="U24" i="16"/>
  <c r="S23" i="16"/>
  <c r="R23" i="16"/>
  <c r="P23" i="16"/>
  <c r="O23" i="16"/>
  <c r="N23" i="16"/>
  <c r="M23" i="16"/>
  <c r="L23" i="16"/>
  <c r="K23" i="16"/>
  <c r="I23" i="16"/>
  <c r="G23" i="16"/>
  <c r="E23" i="16"/>
  <c r="D23" i="16"/>
  <c r="X22" i="16"/>
  <c r="W22" i="16"/>
  <c r="V22" i="16"/>
  <c r="U22" i="16"/>
  <c r="S21" i="16"/>
  <c r="R21" i="16"/>
  <c r="P21" i="16"/>
  <c r="O21" i="16"/>
  <c r="N21" i="16"/>
  <c r="M21" i="16"/>
  <c r="L21" i="16"/>
  <c r="K21" i="16"/>
  <c r="I21" i="16"/>
  <c r="G21" i="16"/>
  <c r="E21" i="16"/>
  <c r="D21" i="16"/>
  <c r="X20" i="16"/>
  <c r="W20" i="16"/>
  <c r="V20" i="16"/>
  <c r="S19" i="16"/>
  <c r="R19" i="16"/>
  <c r="P19" i="16"/>
  <c r="O19" i="16"/>
  <c r="N19" i="16"/>
  <c r="M19" i="16"/>
  <c r="L19" i="16"/>
  <c r="K19" i="16"/>
  <c r="I19" i="16"/>
  <c r="G19" i="16"/>
  <c r="E19" i="16"/>
  <c r="D19" i="16"/>
  <c r="X18" i="16"/>
  <c r="W18" i="16"/>
  <c r="V18" i="16"/>
  <c r="U18" i="16"/>
  <c r="C18" i="16"/>
  <c r="S17" i="16"/>
  <c r="R17" i="16"/>
  <c r="P17" i="16"/>
  <c r="O17" i="16"/>
  <c r="N17" i="16"/>
  <c r="M17" i="16"/>
  <c r="L17" i="16"/>
  <c r="K17" i="16"/>
  <c r="I17" i="16"/>
  <c r="G17" i="16"/>
  <c r="E17" i="16"/>
  <c r="D17" i="16"/>
  <c r="X16" i="16"/>
  <c r="W16" i="16"/>
  <c r="V16" i="16"/>
  <c r="U16" i="16"/>
  <c r="C16" i="16"/>
  <c r="S15" i="16"/>
  <c r="R15" i="16"/>
  <c r="P15" i="16"/>
  <c r="O15" i="16"/>
  <c r="N15" i="16"/>
  <c r="M15" i="16"/>
  <c r="L15" i="16"/>
  <c r="K15" i="16"/>
  <c r="I15" i="16"/>
  <c r="G15" i="16"/>
  <c r="E15" i="16"/>
  <c r="D15" i="16"/>
  <c r="X14" i="16"/>
  <c r="W14" i="16"/>
  <c r="V14" i="16"/>
  <c r="U14" i="16"/>
  <c r="C14" i="16"/>
  <c r="S13" i="16"/>
  <c r="R13" i="16"/>
  <c r="P13" i="16"/>
  <c r="O13" i="16"/>
  <c r="N13" i="16"/>
  <c r="M13" i="16"/>
  <c r="L13" i="16"/>
  <c r="K13" i="16"/>
  <c r="I13" i="16"/>
  <c r="G13" i="16"/>
  <c r="E13" i="16"/>
  <c r="D13" i="16"/>
  <c r="X12" i="16"/>
  <c r="W12" i="16"/>
  <c r="V12" i="16"/>
  <c r="U12" i="16"/>
  <c r="S11" i="16"/>
  <c r="R11" i="16"/>
  <c r="P11" i="16"/>
  <c r="O11" i="16"/>
  <c r="N11" i="16"/>
  <c r="M11" i="16"/>
  <c r="L11" i="16"/>
  <c r="K11" i="16"/>
  <c r="I11" i="16"/>
  <c r="G11" i="16"/>
  <c r="E11" i="16"/>
  <c r="D11" i="16"/>
  <c r="X10" i="16"/>
  <c r="W10" i="16"/>
  <c r="V10" i="16"/>
  <c r="U10" i="16"/>
  <c r="S98" i="10"/>
  <c r="S96" i="10"/>
  <c r="P82" i="10"/>
  <c r="O82" i="10"/>
  <c r="N82" i="10"/>
  <c r="M82" i="10"/>
  <c r="L82" i="10"/>
  <c r="K82" i="10"/>
  <c r="J82" i="10"/>
  <c r="I82" i="10"/>
  <c r="G82" i="10"/>
  <c r="F82" i="10"/>
  <c r="E82" i="10"/>
  <c r="D82" i="10"/>
  <c r="U81" i="10"/>
  <c r="T81" i="10"/>
  <c r="S81" i="10"/>
  <c r="R81" i="10"/>
  <c r="O81" i="10"/>
  <c r="P80" i="10"/>
  <c r="O80" i="10"/>
  <c r="N80" i="10"/>
  <c r="M80" i="10"/>
  <c r="L80" i="10"/>
  <c r="K80" i="10"/>
  <c r="J80" i="10"/>
  <c r="I80" i="10"/>
  <c r="G80" i="10"/>
  <c r="F80" i="10"/>
  <c r="E80" i="10"/>
  <c r="D80" i="10"/>
  <c r="U79" i="10"/>
  <c r="T79" i="10"/>
  <c r="S79" i="10"/>
  <c r="R79" i="10"/>
  <c r="P78" i="10"/>
  <c r="O78" i="10"/>
  <c r="N78" i="10"/>
  <c r="M78" i="10"/>
  <c r="L78" i="10"/>
  <c r="K78" i="10"/>
  <c r="J78" i="10"/>
  <c r="I78" i="10"/>
  <c r="G78" i="10"/>
  <c r="F78" i="10"/>
  <c r="E78" i="10"/>
  <c r="D78" i="10"/>
  <c r="U77" i="10"/>
  <c r="T77" i="10"/>
  <c r="S77" i="10"/>
  <c r="R77" i="10"/>
  <c r="K77" i="10"/>
  <c r="P76" i="10"/>
  <c r="O76" i="10"/>
  <c r="N76" i="10"/>
  <c r="M76" i="10"/>
  <c r="L76" i="10"/>
  <c r="K76" i="10"/>
  <c r="J76" i="10"/>
  <c r="I76" i="10"/>
  <c r="G76" i="10"/>
  <c r="F76" i="10"/>
  <c r="E76" i="10"/>
  <c r="D76" i="10"/>
  <c r="U75" i="10"/>
  <c r="T75" i="10"/>
  <c r="S75" i="10"/>
  <c r="R75" i="10"/>
  <c r="P74" i="10"/>
  <c r="O74" i="10"/>
  <c r="N74" i="10"/>
  <c r="M74" i="10"/>
  <c r="L74" i="10"/>
  <c r="K74" i="10"/>
  <c r="J74" i="10"/>
  <c r="I74" i="10"/>
  <c r="G74" i="10"/>
  <c r="F74" i="10"/>
  <c r="E74" i="10"/>
  <c r="D74" i="10"/>
  <c r="U73" i="10"/>
  <c r="T73" i="10"/>
  <c r="S73" i="10"/>
  <c r="R73" i="10"/>
  <c r="P72" i="10"/>
  <c r="O72" i="10"/>
  <c r="N72" i="10"/>
  <c r="M72" i="10"/>
  <c r="L72" i="10"/>
  <c r="K72" i="10"/>
  <c r="J72" i="10"/>
  <c r="I72" i="10"/>
  <c r="G72" i="10"/>
  <c r="F72" i="10"/>
  <c r="E72" i="10"/>
  <c r="D72" i="10"/>
  <c r="U71" i="10"/>
  <c r="T71" i="10"/>
  <c r="S71" i="10"/>
  <c r="R71" i="10"/>
  <c r="P70" i="10"/>
  <c r="O70" i="10"/>
  <c r="N70" i="10"/>
  <c r="M70" i="10"/>
  <c r="L70" i="10"/>
  <c r="K70" i="10"/>
  <c r="J70" i="10"/>
  <c r="I70" i="10"/>
  <c r="G70" i="10"/>
  <c r="F70" i="10"/>
  <c r="E70" i="10"/>
  <c r="D70" i="10"/>
  <c r="U69" i="10"/>
  <c r="T69" i="10"/>
  <c r="S69" i="10"/>
  <c r="R69" i="10"/>
  <c r="C69" i="10"/>
  <c r="P68" i="10"/>
  <c r="O68" i="10"/>
  <c r="N68" i="10"/>
  <c r="M68" i="10"/>
  <c r="L68" i="10"/>
  <c r="K68" i="10"/>
  <c r="J68" i="10"/>
  <c r="I68" i="10"/>
  <c r="G68" i="10"/>
  <c r="F68" i="10"/>
  <c r="E68" i="10"/>
  <c r="D68" i="10"/>
  <c r="U67" i="10"/>
  <c r="T67" i="10"/>
  <c r="S67" i="10"/>
  <c r="R67" i="10"/>
  <c r="P66" i="10"/>
  <c r="O66" i="10"/>
  <c r="N66" i="10"/>
  <c r="M66" i="10"/>
  <c r="L66" i="10"/>
  <c r="K66" i="10"/>
  <c r="J66" i="10"/>
  <c r="I66" i="10"/>
  <c r="G66" i="10"/>
  <c r="F66" i="10"/>
  <c r="E66" i="10"/>
  <c r="D66" i="10"/>
  <c r="U65" i="10"/>
  <c r="T65" i="10"/>
  <c r="S65" i="10"/>
  <c r="R65" i="10"/>
  <c r="P64" i="10"/>
  <c r="O64" i="10"/>
  <c r="N64" i="10"/>
  <c r="M64" i="10"/>
  <c r="L64" i="10"/>
  <c r="K64" i="10"/>
  <c r="J64" i="10"/>
  <c r="I64" i="10"/>
  <c r="G64" i="10"/>
  <c r="F64" i="10"/>
  <c r="E64" i="10"/>
  <c r="D64" i="10"/>
  <c r="U63" i="10"/>
  <c r="T63" i="10"/>
  <c r="S63" i="10"/>
  <c r="R63" i="10"/>
  <c r="B63" i="10"/>
  <c r="P62" i="10"/>
  <c r="O62" i="10"/>
  <c r="N62" i="10"/>
  <c r="M62" i="10"/>
  <c r="L62" i="10"/>
  <c r="K62" i="10"/>
  <c r="J62" i="10"/>
  <c r="I62" i="10"/>
  <c r="G62" i="10"/>
  <c r="F62" i="10"/>
  <c r="E62" i="10"/>
  <c r="D62" i="10"/>
  <c r="U61" i="10"/>
  <c r="T61" i="10"/>
  <c r="S61" i="10"/>
  <c r="R61" i="10"/>
  <c r="B61" i="10"/>
  <c r="P60" i="10"/>
  <c r="O60" i="10"/>
  <c r="N60" i="10"/>
  <c r="M60" i="10"/>
  <c r="L60" i="10"/>
  <c r="K60" i="10"/>
  <c r="J60" i="10"/>
  <c r="I60" i="10"/>
  <c r="G60" i="10"/>
  <c r="F60" i="10"/>
  <c r="E60" i="10"/>
  <c r="D60" i="10"/>
  <c r="U59" i="10"/>
  <c r="T59" i="10"/>
  <c r="S59" i="10"/>
  <c r="R59" i="10"/>
  <c r="B59" i="10"/>
  <c r="P58" i="10"/>
  <c r="O58" i="10"/>
  <c r="N58" i="10"/>
  <c r="M58" i="10"/>
  <c r="L58" i="10"/>
  <c r="K58" i="10"/>
  <c r="J58" i="10"/>
  <c r="I58" i="10"/>
  <c r="G58" i="10"/>
  <c r="F58" i="10"/>
  <c r="E58" i="10"/>
  <c r="D58" i="10"/>
  <c r="U57" i="10"/>
  <c r="T57" i="10"/>
  <c r="S57" i="10"/>
  <c r="R57" i="10"/>
  <c r="B57" i="10"/>
  <c r="P56" i="10"/>
  <c r="O56" i="10"/>
  <c r="N56" i="10"/>
  <c r="M56" i="10"/>
  <c r="L56" i="10"/>
  <c r="K56" i="10"/>
  <c r="J56" i="10"/>
  <c r="I56" i="10"/>
  <c r="G56" i="10"/>
  <c r="F56" i="10"/>
  <c r="E56" i="10"/>
  <c r="D56" i="10"/>
  <c r="U55" i="10"/>
  <c r="T55" i="10"/>
  <c r="S55" i="10"/>
  <c r="R55" i="10"/>
  <c r="P54" i="10"/>
  <c r="O54" i="10"/>
  <c r="N54" i="10"/>
  <c r="M54" i="10"/>
  <c r="L54" i="10"/>
  <c r="K54" i="10"/>
  <c r="J54" i="10"/>
  <c r="I54" i="10"/>
  <c r="G54" i="10"/>
  <c r="F54" i="10"/>
  <c r="E54" i="10"/>
  <c r="D54" i="10"/>
  <c r="U53" i="10"/>
  <c r="T53" i="10"/>
  <c r="S53" i="10"/>
  <c r="R53" i="10"/>
  <c r="P52" i="10"/>
  <c r="O52" i="10"/>
  <c r="N52" i="10"/>
  <c r="M52" i="10"/>
  <c r="L52" i="10"/>
  <c r="K52" i="10"/>
  <c r="J52" i="10"/>
  <c r="I52" i="10"/>
  <c r="G52" i="10"/>
  <c r="F52" i="10"/>
  <c r="E52" i="10"/>
  <c r="D52" i="10"/>
  <c r="U51" i="10"/>
  <c r="T51" i="10"/>
  <c r="S51" i="10"/>
  <c r="R51" i="10"/>
  <c r="P50" i="10"/>
  <c r="O50" i="10"/>
  <c r="N50" i="10"/>
  <c r="M50" i="10"/>
  <c r="L50" i="10"/>
  <c r="K50" i="10"/>
  <c r="J50" i="10"/>
  <c r="I50" i="10"/>
  <c r="G50" i="10"/>
  <c r="F50" i="10"/>
  <c r="E50" i="10"/>
  <c r="D50" i="10"/>
  <c r="U49" i="10"/>
  <c r="T49" i="10"/>
  <c r="S49" i="10"/>
  <c r="R49" i="10"/>
  <c r="P48" i="10"/>
  <c r="O48" i="10"/>
  <c r="N48" i="10"/>
  <c r="M48" i="10"/>
  <c r="L48" i="10"/>
  <c r="K48" i="10"/>
  <c r="J48" i="10"/>
  <c r="I48" i="10"/>
  <c r="G48" i="10"/>
  <c r="F48" i="10"/>
  <c r="E48" i="10"/>
  <c r="D48" i="10"/>
  <c r="U47" i="10"/>
  <c r="T47" i="10"/>
  <c r="S47" i="10"/>
  <c r="R47" i="10"/>
  <c r="P46" i="10"/>
  <c r="O46" i="10"/>
  <c r="N46" i="10"/>
  <c r="M46" i="10"/>
  <c r="L46" i="10"/>
  <c r="K46" i="10"/>
  <c r="J46" i="10"/>
  <c r="I46" i="10"/>
  <c r="G46" i="10"/>
  <c r="F46" i="10"/>
  <c r="E46" i="10"/>
  <c r="D46" i="10"/>
  <c r="U45" i="10"/>
  <c r="T45" i="10"/>
  <c r="S45" i="10"/>
  <c r="R45" i="10"/>
  <c r="P41" i="10"/>
  <c r="O41" i="10"/>
  <c r="N41" i="10"/>
  <c r="M41" i="10"/>
  <c r="L41" i="10"/>
  <c r="K41" i="10"/>
  <c r="J41" i="10"/>
  <c r="I41" i="10"/>
  <c r="G41" i="10"/>
  <c r="F41" i="10"/>
  <c r="E41" i="10"/>
  <c r="D41" i="10"/>
  <c r="U40" i="10"/>
  <c r="T40" i="10"/>
  <c r="S40" i="10"/>
  <c r="R40" i="10"/>
  <c r="P39" i="10"/>
  <c r="O39" i="10"/>
  <c r="N39" i="10"/>
  <c r="M39" i="10"/>
  <c r="L39" i="10"/>
  <c r="K39" i="10"/>
  <c r="J39" i="10"/>
  <c r="I39" i="10"/>
  <c r="G39" i="10"/>
  <c r="F39" i="10"/>
  <c r="E39" i="10"/>
  <c r="D39" i="10"/>
  <c r="U38" i="10"/>
  <c r="T38" i="10"/>
  <c r="S38" i="10"/>
  <c r="R38" i="10"/>
  <c r="P37" i="10"/>
  <c r="O37" i="10"/>
  <c r="N37" i="10"/>
  <c r="M37" i="10"/>
  <c r="L37" i="10"/>
  <c r="K37" i="10"/>
  <c r="J37" i="10"/>
  <c r="I37" i="10"/>
  <c r="G37" i="10"/>
  <c r="F37" i="10"/>
  <c r="E37" i="10"/>
  <c r="D37" i="10"/>
  <c r="U36" i="10"/>
  <c r="T36" i="10"/>
  <c r="S36" i="10"/>
  <c r="R36" i="10"/>
  <c r="P35" i="10"/>
  <c r="O35" i="10"/>
  <c r="N35" i="10"/>
  <c r="M35" i="10"/>
  <c r="L35" i="10"/>
  <c r="K35" i="10"/>
  <c r="J35" i="10"/>
  <c r="I35" i="10"/>
  <c r="G35" i="10"/>
  <c r="F35" i="10"/>
  <c r="E35" i="10"/>
  <c r="D35" i="10"/>
  <c r="U34" i="10"/>
  <c r="T34" i="10"/>
  <c r="S34" i="10"/>
  <c r="R34" i="10"/>
  <c r="P33" i="10"/>
  <c r="O33" i="10"/>
  <c r="N33" i="10"/>
  <c r="M33" i="10"/>
  <c r="L33" i="10"/>
  <c r="K33" i="10"/>
  <c r="J33" i="10"/>
  <c r="I33" i="10"/>
  <c r="G33" i="10"/>
  <c r="F33" i="10"/>
  <c r="E33" i="10"/>
  <c r="D33" i="10"/>
  <c r="U32" i="10"/>
  <c r="T32" i="10"/>
  <c r="S32" i="10"/>
  <c r="R32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U30" i="10"/>
  <c r="T30" i="10"/>
  <c r="S30" i="10"/>
  <c r="R30" i="10"/>
  <c r="P29" i="10"/>
  <c r="O29" i="10"/>
  <c r="N29" i="10"/>
  <c r="M29" i="10"/>
  <c r="L29" i="10"/>
  <c r="K29" i="10"/>
  <c r="J29" i="10"/>
  <c r="I29" i="10"/>
  <c r="G29" i="10"/>
  <c r="F29" i="10"/>
  <c r="E29" i="10"/>
  <c r="D29" i="10"/>
  <c r="U28" i="10"/>
  <c r="T28" i="10"/>
  <c r="S28" i="10"/>
  <c r="R28" i="10"/>
  <c r="P27" i="10"/>
  <c r="O27" i="10"/>
  <c r="N27" i="10"/>
  <c r="M27" i="10"/>
  <c r="L27" i="10"/>
  <c r="K27" i="10"/>
  <c r="J27" i="10"/>
  <c r="I27" i="10"/>
  <c r="G27" i="10"/>
  <c r="F27" i="10"/>
  <c r="E27" i="10"/>
  <c r="D27" i="10"/>
  <c r="U26" i="10"/>
  <c r="T26" i="10"/>
  <c r="S26" i="10"/>
  <c r="R26" i="10"/>
  <c r="P25" i="10"/>
  <c r="O25" i="10"/>
  <c r="N25" i="10"/>
  <c r="M25" i="10"/>
  <c r="L25" i="10"/>
  <c r="K25" i="10"/>
  <c r="J25" i="10"/>
  <c r="I25" i="10"/>
  <c r="G25" i="10"/>
  <c r="F25" i="10"/>
  <c r="E25" i="10"/>
  <c r="D25" i="10"/>
  <c r="U24" i="10"/>
  <c r="T24" i="10"/>
  <c r="S24" i="10"/>
  <c r="R24" i="10"/>
  <c r="P23" i="10"/>
  <c r="O23" i="10"/>
  <c r="N23" i="10"/>
  <c r="M23" i="10"/>
  <c r="L23" i="10"/>
  <c r="K23" i="10"/>
  <c r="J23" i="10"/>
  <c r="I23" i="10"/>
  <c r="G23" i="10"/>
  <c r="F23" i="10"/>
  <c r="E23" i="10"/>
  <c r="D23" i="10"/>
  <c r="U22" i="10"/>
  <c r="T22" i="10"/>
  <c r="S22" i="10"/>
  <c r="P21" i="10"/>
  <c r="O21" i="10"/>
  <c r="N21" i="10"/>
  <c r="M21" i="10"/>
  <c r="L21" i="10"/>
  <c r="K21" i="10"/>
  <c r="J21" i="10"/>
  <c r="I21" i="10"/>
  <c r="G21" i="10"/>
  <c r="F21" i="10"/>
  <c r="E21" i="10"/>
  <c r="D21" i="10"/>
  <c r="U20" i="10"/>
  <c r="T20" i="10"/>
  <c r="S20" i="10"/>
  <c r="P19" i="10"/>
  <c r="O19" i="10"/>
  <c r="K19" i="10"/>
  <c r="E19" i="10"/>
  <c r="D19" i="10"/>
  <c r="C18" i="10"/>
  <c r="P17" i="10"/>
  <c r="N17" i="10"/>
  <c r="M17" i="10"/>
  <c r="K17" i="10"/>
  <c r="J17" i="10"/>
  <c r="I17" i="10"/>
  <c r="G17" i="10"/>
  <c r="D17" i="10"/>
  <c r="R16" i="10"/>
  <c r="S16" i="10" s="1"/>
  <c r="C16" i="10"/>
  <c r="F17" i="10" s="1"/>
  <c r="P15" i="10"/>
  <c r="O15" i="10"/>
  <c r="N15" i="10"/>
  <c r="M15" i="10"/>
  <c r="J15" i="10"/>
  <c r="I15" i="10"/>
  <c r="F15" i="10"/>
  <c r="E15" i="10"/>
  <c r="D15" i="10"/>
  <c r="R14" i="10"/>
  <c r="S14" i="10" s="1"/>
  <c r="C14" i="10"/>
  <c r="L15" i="10" s="1"/>
  <c r="O13" i="10"/>
  <c r="N13" i="10"/>
  <c r="K13" i="10"/>
  <c r="I13" i="10"/>
  <c r="G13" i="10"/>
  <c r="F13" i="10"/>
  <c r="E13" i="10"/>
  <c r="C12" i="10"/>
  <c r="D13" i="10" s="1"/>
  <c r="C10" i="10"/>
  <c r="G11" i="10" s="1"/>
  <c r="R57" i="25"/>
  <c r="Q57" i="25"/>
  <c r="R56" i="25"/>
  <c r="R55" i="25"/>
  <c r="Q55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S36" i="25"/>
  <c r="R36" i="25"/>
  <c r="Q36" i="25"/>
  <c r="P36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S34" i="25"/>
  <c r="Q34" i="25"/>
  <c r="P34" i="25"/>
  <c r="O33" i="25"/>
  <c r="N33" i="25"/>
  <c r="M33" i="25"/>
  <c r="L33" i="25"/>
  <c r="K33" i="25"/>
  <c r="J33" i="25"/>
  <c r="I33" i="25"/>
  <c r="H33" i="25"/>
  <c r="G33" i="25"/>
  <c r="F33" i="25"/>
  <c r="E33" i="25"/>
  <c r="S32" i="25"/>
  <c r="R32" i="25"/>
  <c r="Q32" i="25"/>
  <c r="P32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S30" i="25"/>
  <c r="Q30" i="25"/>
  <c r="P30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S28" i="25"/>
  <c r="Q28" i="25"/>
  <c r="P28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S26" i="25"/>
  <c r="R26" i="25"/>
  <c r="Q26" i="25"/>
  <c r="P26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S24" i="25"/>
  <c r="Q24" i="25"/>
  <c r="P24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S22" i="25"/>
  <c r="Q22" i="25"/>
  <c r="P22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S20" i="25"/>
  <c r="Q20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S18" i="25"/>
  <c r="R18" i="25"/>
  <c r="Q18" i="25"/>
  <c r="P18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S16" i="25"/>
  <c r="R16" i="25"/>
  <c r="Q16" i="25"/>
  <c r="P16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S14" i="25"/>
  <c r="R14" i="25"/>
  <c r="Q14" i="25"/>
  <c r="P14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S12" i="25"/>
  <c r="R12" i="25"/>
  <c r="Q12" i="25"/>
  <c r="P12" i="25"/>
  <c r="O11" i="25"/>
  <c r="N11" i="25"/>
  <c r="M11" i="25"/>
  <c r="L11" i="25"/>
  <c r="K11" i="25"/>
  <c r="J11" i="25"/>
  <c r="I11" i="25"/>
  <c r="H11" i="25"/>
  <c r="G11" i="25"/>
  <c r="F11" i="25"/>
  <c r="E11" i="25"/>
  <c r="S10" i="25"/>
  <c r="R10" i="25"/>
  <c r="Q10" i="25"/>
  <c r="P10" i="25"/>
  <c r="S57" i="22"/>
  <c r="R57" i="22"/>
  <c r="S56" i="22"/>
  <c r="S55" i="22"/>
  <c r="R55" i="22"/>
  <c r="T42" i="22"/>
  <c r="S42" i="22"/>
  <c r="R42" i="22"/>
  <c r="Q42" i="22"/>
  <c r="P42" i="22"/>
  <c r="O42" i="22"/>
  <c r="N42" i="22"/>
  <c r="M42" i="22"/>
  <c r="L42" i="22"/>
  <c r="K42" i="22"/>
  <c r="I42" i="22"/>
  <c r="H42" i="22"/>
  <c r="G42" i="22"/>
  <c r="F42" i="22"/>
  <c r="E42" i="22"/>
  <c r="D42" i="22"/>
  <c r="C42" i="22"/>
  <c r="P37" i="22"/>
  <c r="O37" i="22"/>
  <c r="N37" i="22"/>
  <c r="M37" i="22"/>
  <c r="L37" i="22"/>
  <c r="K37" i="22"/>
  <c r="I37" i="22"/>
  <c r="H37" i="22"/>
  <c r="G37" i="22"/>
  <c r="F37" i="22"/>
  <c r="E37" i="22"/>
  <c r="D37" i="22"/>
  <c r="T36" i="22"/>
  <c r="S36" i="22"/>
  <c r="R36" i="22"/>
  <c r="Q36" i="22"/>
  <c r="C36" i="22"/>
  <c r="P35" i="22"/>
  <c r="O35" i="22"/>
  <c r="N35" i="22"/>
  <c r="M35" i="22"/>
  <c r="L35" i="22"/>
  <c r="K35" i="22"/>
  <c r="I35" i="22"/>
  <c r="H35" i="22"/>
  <c r="G35" i="22"/>
  <c r="F35" i="22"/>
  <c r="E35" i="22"/>
  <c r="D35" i="22"/>
  <c r="T34" i="22"/>
  <c r="R34" i="22"/>
  <c r="Q34" i="22"/>
  <c r="P33" i="22"/>
  <c r="O33" i="22"/>
  <c r="N33" i="22"/>
  <c r="M33" i="22"/>
  <c r="L33" i="22"/>
  <c r="K33" i="22"/>
  <c r="I33" i="22"/>
  <c r="H33" i="22"/>
  <c r="G33" i="22"/>
  <c r="F33" i="22"/>
  <c r="E33" i="22"/>
  <c r="T32" i="22"/>
  <c r="S32" i="22"/>
  <c r="R32" i="22"/>
  <c r="Q32" i="22"/>
  <c r="C32" i="22"/>
  <c r="P31" i="22"/>
  <c r="O31" i="22"/>
  <c r="N31" i="22"/>
  <c r="M31" i="22"/>
  <c r="L31" i="22"/>
  <c r="K31" i="22"/>
  <c r="I31" i="22"/>
  <c r="H31" i="22"/>
  <c r="G31" i="22"/>
  <c r="F31" i="22"/>
  <c r="E31" i="22"/>
  <c r="D31" i="22"/>
  <c r="T30" i="22"/>
  <c r="R30" i="22"/>
  <c r="Q30" i="22"/>
  <c r="P29" i="22"/>
  <c r="O29" i="22"/>
  <c r="N29" i="22"/>
  <c r="M29" i="22"/>
  <c r="L29" i="22"/>
  <c r="K29" i="22"/>
  <c r="I29" i="22"/>
  <c r="H29" i="22"/>
  <c r="G29" i="22"/>
  <c r="F29" i="22"/>
  <c r="E29" i="22"/>
  <c r="D29" i="22"/>
  <c r="T28" i="22"/>
  <c r="R28" i="22"/>
  <c r="Q28" i="22"/>
  <c r="P27" i="22"/>
  <c r="O27" i="22"/>
  <c r="N27" i="22"/>
  <c r="M27" i="22"/>
  <c r="L27" i="22"/>
  <c r="T26" i="22"/>
  <c r="S26" i="22"/>
  <c r="R26" i="22"/>
  <c r="Q26" i="22"/>
  <c r="C26" i="22"/>
  <c r="P25" i="22"/>
  <c r="O25" i="22"/>
  <c r="N25" i="22"/>
  <c r="M25" i="22"/>
  <c r="L25" i="22"/>
  <c r="K25" i="22"/>
  <c r="I25" i="22"/>
  <c r="H25" i="22"/>
  <c r="G25" i="22"/>
  <c r="F25" i="22"/>
  <c r="E25" i="22"/>
  <c r="D25" i="22"/>
  <c r="T24" i="22"/>
  <c r="R24" i="22"/>
  <c r="Q24" i="22"/>
  <c r="P23" i="22"/>
  <c r="O23" i="22"/>
  <c r="N23" i="22"/>
  <c r="M23" i="22"/>
  <c r="L23" i="22"/>
  <c r="K23" i="22"/>
  <c r="I23" i="22"/>
  <c r="H23" i="22"/>
  <c r="G23" i="22"/>
  <c r="F23" i="22"/>
  <c r="E23" i="22"/>
  <c r="D23" i="22"/>
  <c r="T22" i="22"/>
  <c r="R22" i="22"/>
  <c r="Q22" i="22"/>
  <c r="P21" i="22"/>
  <c r="O21" i="22"/>
  <c r="N21" i="22"/>
  <c r="M21" i="22"/>
  <c r="L21" i="22"/>
  <c r="K21" i="22"/>
  <c r="I21" i="22"/>
  <c r="H21" i="22"/>
  <c r="G21" i="22"/>
  <c r="F21" i="22"/>
  <c r="E21" i="22"/>
  <c r="D21" i="22"/>
  <c r="T20" i="22"/>
  <c r="R20" i="22"/>
  <c r="P19" i="22"/>
  <c r="O19" i="22"/>
  <c r="N19" i="22"/>
  <c r="M19" i="22"/>
  <c r="L19" i="22"/>
  <c r="K19" i="22"/>
  <c r="I19" i="22"/>
  <c r="H19" i="22"/>
  <c r="G19" i="22"/>
  <c r="F19" i="22"/>
  <c r="E19" i="22"/>
  <c r="T18" i="22"/>
  <c r="S18" i="22"/>
  <c r="R18" i="22"/>
  <c r="Q18" i="22"/>
  <c r="C18" i="22"/>
  <c r="P17" i="22"/>
  <c r="O17" i="22"/>
  <c r="N17" i="22"/>
  <c r="M17" i="22"/>
  <c r="L17" i="22"/>
  <c r="K17" i="22"/>
  <c r="I17" i="22"/>
  <c r="H17" i="22"/>
  <c r="G17" i="22"/>
  <c r="F17" i="22"/>
  <c r="E17" i="22"/>
  <c r="T16" i="22"/>
  <c r="S16" i="22"/>
  <c r="R16" i="22"/>
  <c r="Q16" i="22"/>
  <c r="E16" i="22"/>
  <c r="C16" i="22"/>
  <c r="P15" i="22"/>
  <c r="O15" i="22"/>
  <c r="N15" i="22"/>
  <c r="M15" i="22"/>
  <c r="L15" i="22"/>
  <c r="K15" i="22"/>
  <c r="I15" i="22"/>
  <c r="H15" i="22"/>
  <c r="G15" i="22"/>
  <c r="F15" i="22"/>
  <c r="E15" i="22"/>
  <c r="T14" i="22"/>
  <c r="S14" i="22"/>
  <c r="R14" i="22"/>
  <c r="Q14" i="22"/>
  <c r="C14" i="22"/>
  <c r="P11" i="22"/>
  <c r="O11" i="22"/>
  <c r="N11" i="22"/>
  <c r="M11" i="22"/>
  <c r="L11" i="22"/>
  <c r="K11" i="22"/>
  <c r="I11" i="22"/>
  <c r="H11" i="22"/>
  <c r="G11" i="22"/>
  <c r="F11" i="22"/>
  <c r="E11" i="22"/>
  <c r="T10" i="22"/>
  <c r="S10" i="22"/>
  <c r="R10" i="22"/>
  <c r="Q10" i="22"/>
  <c r="C10" i="22"/>
  <c r="R56" i="20"/>
  <c r="Q56" i="20"/>
  <c r="R55" i="20"/>
  <c r="R54" i="20"/>
  <c r="Q54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S35" i="20"/>
  <c r="R35" i="20"/>
  <c r="Q35" i="20"/>
  <c r="P35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S33" i="20"/>
  <c r="Q33" i="20"/>
  <c r="P33" i="20"/>
  <c r="O32" i="20"/>
  <c r="N32" i="20"/>
  <c r="M32" i="20"/>
  <c r="L32" i="20"/>
  <c r="K32" i="20"/>
  <c r="J32" i="20"/>
  <c r="I32" i="20"/>
  <c r="H32" i="20"/>
  <c r="G32" i="20"/>
  <c r="F32" i="20"/>
  <c r="E32" i="20"/>
  <c r="S31" i="20"/>
  <c r="R31" i="20"/>
  <c r="Q31" i="20"/>
  <c r="P31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S29" i="20"/>
  <c r="Q29" i="20"/>
  <c r="P29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S27" i="20"/>
  <c r="Q27" i="20"/>
  <c r="P27" i="20"/>
  <c r="O26" i="20"/>
  <c r="N26" i="20"/>
  <c r="M26" i="20"/>
  <c r="L26" i="20"/>
  <c r="K26" i="20"/>
  <c r="S25" i="20"/>
  <c r="R25" i="20"/>
  <c r="Q25" i="20"/>
  <c r="P25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S23" i="20"/>
  <c r="Q23" i="20"/>
  <c r="P23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S21" i="20"/>
  <c r="Q21" i="20"/>
  <c r="P21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S19" i="20"/>
  <c r="Q19" i="20"/>
  <c r="O18" i="20"/>
  <c r="N18" i="20"/>
  <c r="M18" i="20"/>
  <c r="L18" i="20"/>
  <c r="K18" i="20"/>
  <c r="J18" i="20"/>
  <c r="I18" i="20"/>
  <c r="H18" i="20"/>
  <c r="G18" i="20"/>
  <c r="F18" i="20"/>
  <c r="E18" i="20"/>
  <c r="S17" i="20"/>
  <c r="R17" i="20"/>
  <c r="Q17" i="20"/>
  <c r="P17" i="20"/>
  <c r="O16" i="20"/>
  <c r="N16" i="20"/>
  <c r="M16" i="20"/>
  <c r="L16" i="20"/>
  <c r="K16" i="20"/>
  <c r="J16" i="20"/>
  <c r="I16" i="20"/>
  <c r="H16" i="20"/>
  <c r="G16" i="20"/>
  <c r="F16" i="20"/>
  <c r="E16" i="20"/>
  <c r="S15" i="20"/>
  <c r="R15" i="20"/>
  <c r="Q15" i="20"/>
  <c r="P15" i="20"/>
  <c r="O14" i="20"/>
  <c r="N14" i="20"/>
  <c r="M14" i="20"/>
  <c r="L14" i="20"/>
  <c r="K14" i="20"/>
  <c r="J14" i="20"/>
  <c r="I14" i="20"/>
  <c r="H14" i="20"/>
  <c r="G14" i="20"/>
  <c r="F14" i="20"/>
  <c r="E14" i="20"/>
  <c r="S13" i="20"/>
  <c r="R13" i="20"/>
  <c r="Q13" i="20"/>
  <c r="P13" i="20"/>
  <c r="O12" i="20"/>
  <c r="N12" i="20"/>
  <c r="M12" i="20"/>
  <c r="L12" i="20"/>
  <c r="K12" i="20"/>
  <c r="J12" i="20"/>
  <c r="I12" i="20"/>
  <c r="H12" i="20"/>
  <c r="G12" i="20"/>
  <c r="F12" i="20"/>
  <c r="E12" i="20"/>
  <c r="O11" i="20"/>
  <c r="N11" i="20"/>
  <c r="M11" i="20"/>
  <c r="L11" i="20"/>
  <c r="K11" i="20"/>
  <c r="J11" i="20"/>
  <c r="I11" i="20"/>
  <c r="H11" i="20"/>
  <c r="G11" i="20"/>
  <c r="F11" i="20"/>
  <c r="E11" i="20"/>
  <c r="S10" i="20"/>
  <c r="R10" i="20"/>
  <c r="Q10" i="20"/>
  <c r="P10" i="20"/>
  <c r="R57" i="15"/>
  <c r="Q57" i="15"/>
  <c r="R56" i="15"/>
  <c r="R55" i="15"/>
  <c r="Q55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S36" i="15"/>
  <c r="R36" i="15"/>
  <c r="Q36" i="15"/>
  <c r="P36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S34" i="15"/>
  <c r="Q34" i="15"/>
  <c r="P34" i="15"/>
  <c r="O33" i="15"/>
  <c r="N33" i="15"/>
  <c r="M33" i="15"/>
  <c r="L33" i="15"/>
  <c r="K33" i="15"/>
  <c r="J33" i="15"/>
  <c r="I33" i="15"/>
  <c r="H33" i="15"/>
  <c r="G33" i="15"/>
  <c r="F33" i="15"/>
  <c r="E33" i="15"/>
  <c r="S32" i="15"/>
  <c r="R32" i="15"/>
  <c r="Q32" i="15"/>
  <c r="P32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S30" i="15"/>
  <c r="Q30" i="15"/>
  <c r="P30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S28" i="15"/>
  <c r="Q28" i="15"/>
  <c r="P28" i="15"/>
  <c r="O27" i="15"/>
  <c r="N27" i="15"/>
  <c r="M27" i="15"/>
  <c r="L27" i="15"/>
  <c r="K27" i="15"/>
  <c r="S26" i="15"/>
  <c r="R26" i="15"/>
  <c r="Q26" i="15"/>
  <c r="P26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S24" i="15"/>
  <c r="Q24" i="15"/>
  <c r="P24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S22" i="15"/>
  <c r="Q22" i="15"/>
  <c r="P22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S20" i="15"/>
  <c r="Q20" i="15"/>
  <c r="O19" i="15"/>
  <c r="N19" i="15"/>
  <c r="M19" i="15"/>
  <c r="L19" i="15"/>
  <c r="K19" i="15"/>
  <c r="J19" i="15"/>
  <c r="I19" i="15"/>
  <c r="H19" i="15"/>
  <c r="G19" i="15"/>
  <c r="F19" i="15"/>
  <c r="E19" i="15"/>
  <c r="S18" i="15"/>
  <c r="R18" i="15"/>
  <c r="Q18" i="15"/>
  <c r="P18" i="15"/>
  <c r="O17" i="15"/>
  <c r="N17" i="15"/>
  <c r="M17" i="15"/>
  <c r="L17" i="15"/>
  <c r="K17" i="15"/>
  <c r="J17" i="15"/>
  <c r="I17" i="15"/>
  <c r="H17" i="15"/>
  <c r="G17" i="15"/>
  <c r="F17" i="15"/>
  <c r="E17" i="15"/>
  <c r="S16" i="15"/>
  <c r="R16" i="15"/>
  <c r="Q16" i="15"/>
  <c r="P16" i="15"/>
  <c r="O15" i="15"/>
  <c r="N15" i="15"/>
  <c r="M15" i="15"/>
  <c r="L15" i="15"/>
  <c r="K15" i="15"/>
  <c r="J15" i="15"/>
  <c r="I15" i="15"/>
  <c r="H15" i="15"/>
  <c r="G15" i="15"/>
  <c r="F15" i="15"/>
  <c r="E15" i="15"/>
  <c r="S14" i="15"/>
  <c r="R14" i="15"/>
  <c r="Q14" i="15"/>
  <c r="P14" i="15"/>
  <c r="O13" i="15"/>
  <c r="N13" i="15"/>
  <c r="M13" i="15"/>
  <c r="L13" i="15"/>
  <c r="K13" i="15"/>
  <c r="J13" i="15"/>
  <c r="I13" i="15"/>
  <c r="H13" i="15"/>
  <c r="G13" i="15"/>
  <c r="F13" i="15"/>
  <c r="E13" i="15"/>
  <c r="S12" i="15"/>
  <c r="R12" i="15"/>
  <c r="Q12" i="15"/>
  <c r="P12" i="15"/>
  <c r="O11" i="15"/>
  <c r="N11" i="15"/>
  <c r="M11" i="15"/>
  <c r="L11" i="15"/>
  <c r="K11" i="15"/>
  <c r="J11" i="15"/>
  <c r="I11" i="15"/>
  <c r="H11" i="15"/>
  <c r="G11" i="15"/>
  <c r="F11" i="15"/>
  <c r="E11" i="15"/>
  <c r="S10" i="15"/>
  <c r="R10" i="15"/>
  <c r="Q10" i="15"/>
  <c r="P10" i="15"/>
  <c r="R57" i="13"/>
  <c r="Q57" i="13"/>
  <c r="R56" i="13"/>
  <c r="R55" i="13"/>
  <c r="Q55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S36" i="13"/>
  <c r="R36" i="13"/>
  <c r="Q36" i="13"/>
  <c r="P36" i="13"/>
  <c r="D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S34" i="13"/>
  <c r="Q34" i="13"/>
  <c r="P34" i="13"/>
  <c r="O33" i="13"/>
  <c r="N33" i="13"/>
  <c r="M33" i="13"/>
  <c r="L33" i="13"/>
  <c r="K33" i="13"/>
  <c r="J33" i="13"/>
  <c r="I33" i="13"/>
  <c r="H33" i="13"/>
  <c r="G33" i="13"/>
  <c r="F33" i="13"/>
  <c r="E33" i="13"/>
  <c r="S32" i="13"/>
  <c r="R32" i="13"/>
  <c r="Q32" i="13"/>
  <c r="P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S30" i="13"/>
  <c r="Q30" i="13"/>
  <c r="P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S28" i="13"/>
  <c r="Q28" i="13"/>
  <c r="P28" i="13"/>
  <c r="O27" i="13"/>
  <c r="N27" i="13"/>
  <c r="M27" i="13"/>
  <c r="L27" i="13"/>
  <c r="K27" i="13"/>
  <c r="S26" i="13"/>
  <c r="R26" i="13"/>
  <c r="Q26" i="13"/>
  <c r="P26" i="13"/>
  <c r="K26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S24" i="13"/>
  <c r="Q24" i="13"/>
  <c r="P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S22" i="13"/>
  <c r="Q22" i="13"/>
  <c r="P22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S20" i="13"/>
  <c r="Q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S18" i="13"/>
  <c r="R18" i="13"/>
  <c r="Q18" i="13"/>
  <c r="P18" i="13"/>
  <c r="C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S16" i="13"/>
  <c r="R16" i="13"/>
  <c r="Q16" i="13"/>
  <c r="P16" i="13"/>
  <c r="C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S14" i="13"/>
  <c r="R14" i="13"/>
  <c r="Q14" i="13"/>
  <c r="P14" i="13"/>
  <c r="C14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S12" i="13"/>
  <c r="R12" i="13"/>
  <c r="Q12" i="13"/>
  <c r="P12" i="13"/>
  <c r="C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S10" i="13"/>
  <c r="R10" i="13"/>
  <c r="Q10" i="13"/>
  <c r="P10" i="13"/>
  <c r="C10" i="13"/>
  <c r="P154" i="24"/>
  <c r="O154" i="24"/>
  <c r="N154" i="24"/>
  <c r="M154" i="24"/>
  <c r="L154" i="24"/>
  <c r="K154" i="24"/>
  <c r="J154" i="24"/>
  <c r="I154" i="24"/>
  <c r="G154" i="24"/>
  <c r="R147" i="24"/>
  <c r="S147" i="24" s="1"/>
  <c r="R146" i="24"/>
  <c r="S146" i="24" s="1"/>
  <c r="R145" i="24"/>
  <c r="S145" i="24" s="1"/>
  <c r="R144" i="24"/>
  <c r="S144" i="24" s="1"/>
  <c r="R143" i="24"/>
  <c r="S143" i="24" s="1"/>
  <c r="R142" i="24"/>
  <c r="S142" i="24" s="1"/>
  <c r="R141" i="24"/>
  <c r="S141" i="24" s="1"/>
  <c r="W140" i="24"/>
  <c r="R140" i="24"/>
  <c r="S140" i="24" s="1"/>
  <c r="W139" i="24"/>
  <c r="R139" i="24"/>
  <c r="S139" i="24" s="1"/>
  <c r="W138" i="24"/>
  <c r="R138" i="24"/>
  <c r="S138" i="24" s="1"/>
  <c r="W137" i="24"/>
  <c r="S137" i="24"/>
  <c r="W121" i="24"/>
  <c r="S121" i="24"/>
  <c r="W120" i="24"/>
  <c r="S120" i="24"/>
  <c r="W119" i="24"/>
  <c r="S119" i="24"/>
  <c r="W118" i="24"/>
  <c r="S118" i="24"/>
  <c r="W117" i="24"/>
  <c r="S117" i="24"/>
  <c r="W116" i="24"/>
  <c r="S116" i="24"/>
  <c r="W115" i="24"/>
  <c r="S115" i="24"/>
  <c r="S114" i="24"/>
  <c r="W113" i="24"/>
  <c r="S113" i="24"/>
  <c r="W112" i="24"/>
  <c r="S112" i="24"/>
  <c r="W111" i="24"/>
  <c r="S111" i="24"/>
  <c r="W110" i="24"/>
  <c r="S110" i="24"/>
  <c r="W109" i="24"/>
  <c r="S109" i="24"/>
  <c r="W108" i="24"/>
  <c r="S108" i="24"/>
  <c r="W107" i="24"/>
  <c r="S107" i="24"/>
  <c r="W106" i="24"/>
  <c r="S106" i="24"/>
  <c r="W105" i="24"/>
  <c r="S105" i="24"/>
  <c r="W104" i="24"/>
  <c r="R104" i="24"/>
  <c r="S104" i="24" s="1"/>
  <c r="W103" i="24"/>
  <c r="R103" i="24"/>
  <c r="S103" i="24" s="1"/>
  <c r="W102" i="24"/>
  <c r="R102" i="24"/>
  <c r="S102" i="24" s="1"/>
  <c r="C102" i="24"/>
  <c r="W101" i="24"/>
  <c r="S101" i="24"/>
  <c r="W100" i="24"/>
  <c r="R100" i="24"/>
  <c r="S100" i="24" s="1"/>
  <c r="C100" i="24"/>
  <c r="W99" i="24"/>
  <c r="R99" i="24"/>
  <c r="S99" i="24" s="1"/>
  <c r="C99" i="24"/>
  <c r="W98" i="24"/>
  <c r="R98" i="24"/>
  <c r="S98" i="24" s="1"/>
  <c r="C98" i="24"/>
  <c r="W97" i="24"/>
  <c r="R97" i="24"/>
  <c r="S97" i="24" s="1"/>
  <c r="W96" i="24"/>
  <c r="R96" i="24"/>
  <c r="S96" i="24" s="1"/>
  <c r="R95" i="24"/>
  <c r="S95" i="24" s="1"/>
  <c r="W80" i="24"/>
  <c r="W79" i="24"/>
  <c r="R79" i="24"/>
  <c r="S79" i="24" s="1"/>
  <c r="W78" i="24"/>
  <c r="R78" i="24"/>
  <c r="S78" i="24" s="1"/>
  <c r="W77" i="24"/>
  <c r="R77" i="24"/>
  <c r="S77" i="24" s="1"/>
  <c r="W76" i="24"/>
  <c r="R76" i="24"/>
  <c r="S76" i="24" s="1"/>
  <c r="W75" i="24"/>
  <c r="R75" i="24"/>
  <c r="S75" i="24" s="1"/>
  <c r="W74" i="24"/>
  <c r="R74" i="24"/>
  <c r="S74" i="24" s="1"/>
  <c r="W73" i="24"/>
  <c r="R73" i="24"/>
  <c r="S73" i="24" s="1"/>
  <c r="W72" i="24"/>
  <c r="R72" i="24"/>
  <c r="S72" i="24" s="1"/>
  <c r="W71" i="24"/>
  <c r="R71" i="24"/>
  <c r="S71" i="24" s="1"/>
  <c r="W70" i="24"/>
  <c r="R70" i="24"/>
  <c r="S70" i="24" s="1"/>
  <c r="W69" i="24"/>
  <c r="R69" i="24"/>
  <c r="S69" i="24" s="1"/>
  <c r="W68" i="24"/>
  <c r="R68" i="24"/>
  <c r="S68" i="24" s="1"/>
  <c r="W67" i="24"/>
  <c r="R67" i="24"/>
  <c r="S67" i="24" s="1"/>
  <c r="W66" i="24"/>
  <c r="R66" i="24"/>
  <c r="S66" i="24" s="1"/>
  <c r="W65" i="24"/>
  <c r="R65" i="24"/>
  <c r="S65" i="24" s="1"/>
  <c r="W64" i="24"/>
  <c r="R64" i="24"/>
  <c r="S64" i="24" s="1"/>
  <c r="W63" i="24"/>
  <c r="R63" i="24"/>
  <c r="S63" i="24" s="1"/>
  <c r="W62" i="24"/>
  <c r="R62" i="24"/>
  <c r="S62" i="24" s="1"/>
  <c r="W61" i="24"/>
  <c r="R61" i="24"/>
  <c r="S61" i="24" s="1"/>
  <c r="W60" i="24"/>
  <c r="R60" i="24"/>
  <c r="S60" i="24" s="1"/>
  <c r="W59" i="24"/>
  <c r="R59" i="24"/>
  <c r="S59" i="24" s="1"/>
  <c r="W58" i="24"/>
  <c r="R58" i="24"/>
  <c r="S58" i="24" s="1"/>
  <c r="W57" i="24"/>
  <c r="R57" i="24"/>
  <c r="S57" i="24" s="1"/>
  <c r="W56" i="24"/>
  <c r="R56" i="24"/>
  <c r="S56" i="24" s="1"/>
  <c r="W55" i="24"/>
  <c r="R55" i="24"/>
  <c r="S55" i="24" s="1"/>
  <c r="W54" i="24"/>
  <c r="S54" i="24"/>
  <c r="R39" i="24"/>
  <c r="S39" i="24" s="1"/>
  <c r="R38" i="24"/>
  <c r="S38" i="24" s="1"/>
  <c r="R37" i="24"/>
  <c r="S37" i="24" s="1"/>
  <c r="R36" i="24"/>
  <c r="S36" i="24" s="1"/>
  <c r="R35" i="24"/>
  <c r="S35" i="24" s="1"/>
  <c r="R34" i="24"/>
  <c r="S34" i="24" s="1"/>
  <c r="R33" i="24"/>
  <c r="S33" i="24" s="1"/>
  <c r="R32" i="24"/>
  <c r="S32" i="24" s="1"/>
  <c r="R31" i="24"/>
  <c r="S31" i="24" s="1"/>
  <c r="R30" i="24"/>
  <c r="S30" i="24" s="1"/>
  <c r="R29" i="24"/>
  <c r="S29" i="24" s="1"/>
  <c r="R28" i="24"/>
  <c r="S28" i="24" s="1"/>
  <c r="S27" i="24"/>
  <c r="R26" i="24"/>
  <c r="S26" i="24" s="1"/>
  <c r="R25" i="24"/>
  <c r="S25" i="24" s="1"/>
  <c r="R24" i="24"/>
  <c r="S24" i="24" s="1"/>
  <c r="R23" i="24"/>
  <c r="S23" i="24" s="1"/>
  <c r="R22" i="24"/>
  <c r="S22" i="24" s="1"/>
  <c r="R21" i="24"/>
  <c r="S21" i="24" s="1"/>
  <c r="R20" i="24"/>
  <c r="S20" i="24" s="1"/>
  <c r="R19" i="24"/>
  <c r="S19" i="24" s="1"/>
  <c r="R18" i="24"/>
  <c r="S18" i="24" s="1"/>
  <c r="S17" i="24"/>
  <c r="R16" i="24"/>
  <c r="S16" i="24" s="1"/>
  <c r="S15" i="24"/>
  <c r="R14" i="24"/>
  <c r="S13" i="24"/>
  <c r="R12" i="24"/>
  <c r="S12" i="24" s="1"/>
  <c r="W154" i="23"/>
  <c r="V154" i="23"/>
  <c r="U154" i="23"/>
  <c r="T154" i="23"/>
  <c r="S154" i="23"/>
  <c r="R154" i="23"/>
  <c r="P154" i="23"/>
  <c r="O154" i="23"/>
  <c r="N154" i="23"/>
  <c r="M154" i="23"/>
  <c r="K154" i="23"/>
  <c r="J154" i="23"/>
  <c r="I154" i="23"/>
  <c r="H154" i="23"/>
  <c r="G154" i="23"/>
  <c r="E154" i="23"/>
  <c r="D154" i="23"/>
  <c r="C154" i="23"/>
  <c r="R144" i="23"/>
  <c r="R143" i="23"/>
  <c r="R142" i="23"/>
  <c r="R141" i="23"/>
  <c r="R140" i="23"/>
  <c r="C140" i="23"/>
  <c r="R139" i="23"/>
  <c r="C139" i="23"/>
  <c r="R138" i="23"/>
  <c r="C138" i="23"/>
  <c r="T137" i="23"/>
  <c r="S137" i="23"/>
  <c r="R137" i="23"/>
  <c r="T136" i="23"/>
  <c r="S136" i="23"/>
  <c r="R136" i="23"/>
  <c r="T135" i="23"/>
  <c r="S135" i="23"/>
  <c r="R135" i="23"/>
  <c r="T134" i="23"/>
  <c r="S134" i="23"/>
  <c r="R134" i="23"/>
  <c r="R121" i="23"/>
  <c r="T119" i="23"/>
  <c r="S119" i="23"/>
  <c r="R119" i="23"/>
  <c r="C119" i="23"/>
  <c r="T118" i="23"/>
  <c r="S118" i="23"/>
  <c r="R118" i="23"/>
  <c r="T117" i="23"/>
  <c r="S117" i="23"/>
  <c r="R117" i="23"/>
  <c r="T116" i="23"/>
  <c r="S116" i="23"/>
  <c r="R116" i="23"/>
  <c r="C116" i="23"/>
  <c r="T115" i="23"/>
  <c r="S115" i="23"/>
  <c r="R115" i="23"/>
  <c r="T114" i="23"/>
  <c r="S114" i="23"/>
  <c r="R114" i="23"/>
  <c r="T113" i="23"/>
  <c r="S113" i="23"/>
  <c r="R113" i="23"/>
  <c r="S112" i="23"/>
  <c r="R112" i="23"/>
  <c r="T111" i="23"/>
  <c r="S111" i="23"/>
  <c r="R111" i="23"/>
  <c r="T110" i="23"/>
  <c r="S110" i="23"/>
  <c r="R110" i="23"/>
  <c r="T109" i="23"/>
  <c r="S109" i="23"/>
  <c r="R109" i="23"/>
  <c r="T108" i="23"/>
  <c r="S108" i="23"/>
  <c r="R108" i="23"/>
  <c r="T107" i="23"/>
  <c r="S107" i="23"/>
  <c r="R107" i="23"/>
  <c r="T106" i="23"/>
  <c r="S106" i="23"/>
  <c r="R106" i="23"/>
  <c r="T105" i="23"/>
  <c r="S105" i="23"/>
  <c r="R105" i="23"/>
  <c r="T104" i="23"/>
  <c r="S104" i="23"/>
  <c r="R104" i="23"/>
  <c r="C104" i="23"/>
  <c r="T103" i="23"/>
  <c r="S103" i="23"/>
  <c r="R103" i="23"/>
  <c r="T102" i="23"/>
  <c r="S102" i="23"/>
  <c r="R102" i="23"/>
  <c r="C102" i="23"/>
  <c r="T101" i="23"/>
  <c r="S101" i="23"/>
  <c r="R101" i="23"/>
  <c r="T100" i="23"/>
  <c r="S100" i="23"/>
  <c r="R100" i="23"/>
  <c r="C100" i="23"/>
  <c r="B100" i="23"/>
  <c r="T99" i="23"/>
  <c r="R99" i="23"/>
  <c r="J99" i="23"/>
  <c r="T98" i="23"/>
  <c r="S98" i="23"/>
  <c r="R98" i="23"/>
  <c r="C98" i="23"/>
  <c r="B98" i="23"/>
  <c r="T97" i="23"/>
  <c r="S97" i="23"/>
  <c r="R97" i="23"/>
  <c r="C97" i="23"/>
  <c r="B97" i="23"/>
  <c r="T96" i="23"/>
  <c r="S96" i="23"/>
  <c r="R96" i="23"/>
  <c r="B96" i="23"/>
  <c r="T95" i="23"/>
  <c r="S95" i="23"/>
  <c r="R95" i="23"/>
  <c r="C95" i="23"/>
  <c r="T94" i="23"/>
  <c r="S94" i="23"/>
  <c r="R94" i="23"/>
  <c r="C94" i="23"/>
  <c r="T93" i="23"/>
  <c r="S93" i="23"/>
  <c r="R93" i="23"/>
  <c r="C93" i="23"/>
  <c r="R80" i="23"/>
  <c r="T78" i="23"/>
  <c r="S78" i="23"/>
  <c r="R78" i="23"/>
  <c r="C78" i="23"/>
  <c r="T77" i="23"/>
  <c r="S77" i="23"/>
  <c r="R77" i="23"/>
  <c r="C77" i="23"/>
  <c r="T76" i="23"/>
  <c r="S76" i="23"/>
  <c r="R76" i="23"/>
  <c r="C76" i="23"/>
  <c r="T75" i="23"/>
  <c r="S75" i="23"/>
  <c r="R75" i="23"/>
  <c r="T74" i="23"/>
  <c r="S74" i="23"/>
  <c r="R74" i="23"/>
  <c r="T73" i="23"/>
  <c r="S73" i="23"/>
  <c r="R73" i="23"/>
  <c r="T72" i="23"/>
  <c r="S72" i="23"/>
  <c r="R72" i="23"/>
  <c r="C72" i="23"/>
  <c r="T71" i="23"/>
  <c r="S71" i="23"/>
  <c r="R71" i="23"/>
  <c r="T70" i="23"/>
  <c r="S70" i="23"/>
  <c r="R70" i="23"/>
  <c r="T69" i="23"/>
  <c r="S69" i="23"/>
  <c r="R69" i="23"/>
  <c r="T68" i="23"/>
  <c r="S68" i="23"/>
  <c r="R68" i="23"/>
  <c r="C68" i="23"/>
  <c r="T67" i="23"/>
  <c r="S67" i="23"/>
  <c r="R67" i="23"/>
  <c r="C67" i="23"/>
  <c r="T66" i="23"/>
  <c r="S66" i="23"/>
  <c r="R66" i="23"/>
  <c r="T65" i="23"/>
  <c r="S65" i="23"/>
  <c r="R65" i="23"/>
  <c r="T64" i="23"/>
  <c r="S64" i="23"/>
  <c r="R64" i="23"/>
  <c r="T63" i="23"/>
  <c r="S63" i="23"/>
  <c r="R63" i="23"/>
  <c r="C63" i="23"/>
  <c r="T62" i="23"/>
  <c r="S62" i="23"/>
  <c r="R62" i="23"/>
  <c r="T61" i="23"/>
  <c r="S61" i="23"/>
  <c r="R61" i="23"/>
  <c r="T60" i="23"/>
  <c r="S60" i="23"/>
  <c r="R60" i="23"/>
  <c r="T59" i="23"/>
  <c r="S59" i="23"/>
  <c r="R59" i="23"/>
  <c r="T58" i="23"/>
  <c r="S58" i="23"/>
  <c r="R58" i="23"/>
  <c r="T57" i="23"/>
  <c r="S57" i="23"/>
  <c r="R57" i="23"/>
  <c r="T56" i="23"/>
  <c r="S56" i="23"/>
  <c r="R56" i="23"/>
  <c r="T55" i="23"/>
  <c r="S55" i="23"/>
  <c r="R55" i="23"/>
  <c r="C55" i="23"/>
  <c r="T54" i="23"/>
  <c r="S54" i="23"/>
  <c r="R54" i="23"/>
  <c r="C54" i="23"/>
  <c r="T53" i="23"/>
  <c r="S53" i="23"/>
  <c r="R53" i="23"/>
  <c r="C53" i="23"/>
  <c r="T52" i="23"/>
  <c r="S52" i="23"/>
  <c r="R52" i="23"/>
  <c r="C52" i="23"/>
  <c r="R40" i="23"/>
  <c r="S38" i="23"/>
  <c r="R38" i="23"/>
  <c r="C38" i="23"/>
  <c r="S37" i="23"/>
  <c r="R37" i="23"/>
  <c r="C37" i="23"/>
  <c r="S36" i="23"/>
  <c r="R36" i="23"/>
  <c r="C36" i="23"/>
  <c r="S35" i="23"/>
  <c r="R35" i="23"/>
  <c r="S34" i="23"/>
  <c r="R34" i="23"/>
  <c r="C34" i="23"/>
  <c r="S33" i="23"/>
  <c r="R33" i="23"/>
  <c r="S32" i="23"/>
  <c r="R32" i="23"/>
  <c r="S31" i="23"/>
  <c r="R31" i="23"/>
  <c r="S30" i="23"/>
  <c r="R30" i="23"/>
  <c r="S29" i="23"/>
  <c r="R29" i="23"/>
  <c r="S28" i="23"/>
  <c r="R28" i="23"/>
  <c r="C28" i="23"/>
  <c r="S27" i="23"/>
  <c r="R27" i="23"/>
  <c r="S26" i="23"/>
  <c r="R26" i="23"/>
  <c r="S25" i="23"/>
  <c r="R25" i="23"/>
  <c r="S24" i="23"/>
  <c r="R24" i="23"/>
  <c r="C24" i="23"/>
  <c r="S23" i="23"/>
  <c r="R23" i="23"/>
  <c r="C23" i="23"/>
  <c r="S22" i="23"/>
  <c r="R22" i="23"/>
  <c r="C22" i="23"/>
  <c r="S21" i="23"/>
  <c r="R21" i="23"/>
  <c r="S20" i="23"/>
  <c r="R20" i="23"/>
  <c r="C20" i="23"/>
  <c r="S19" i="23"/>
  <c r="R19" i="23"/>
  <c r="C19" i="23"/>
  <c r="S18" i="23"/>
  <c r="R18" i="23"/>
  <c r="S17" i="23"/>
  <c r="R17" i="23"/>
  <c r="S16" i="23"/>
  <c r="R16" i="23"/>
  <c r="S15" i="23"/>
  <c r="R15" i="23"/>
  <c r="S14" i="23"/>
  <c r="R14" i="23"/>
  <c r="S13" i="23"/>
  <c r="R13" i="23"/>
  <c r="C13" i="23"/>
  <c r="S12" i="23"/>
  <c r="R12" i="23"/>
  <c r="S11" i="23"/>
  <c r="R11" i="23"/>
  <c r="C11" i="23"/>
  <c r="U148" i="19"/>
  <c r="T148" i="19"/>
  <c r="S148" i="19"/>
  <c r="R148" i="19"/>
  <c r="Q148" i="19"/>
  <c r="P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P144" i="19"/>
  <c r="P143" i="19"/>
  <c r="P142" i="19"/>
  <c r="P141" i="19"/>
  <c r="P140" i="19"/>
  <c r="C140" i="19"/>
  <c r="P139" i="19"/>
  <c r="C139" i="19"/>
  <c r="P138" i="19"/>
  <c r="C138" i="19"/>
  <c r="R137" i="19"/>
  <c r="Q137" i="19"/>
  <c r="P137" i="19"/>
  <c r="R136" i="19"/>
  <c r="Q136" i="19"/>
  <c r="P136" i="19"/>
  <c r="R135" i="19"/>
  <c r="Q135" i="19"/>
  <c r="P135" i="19"/>
  <c r="R134" i="19"/>
  <c r="Q134" i="19"/>
  <c r="P134" i="19"/>
  <c r="P121" i="19"/>
  <c r="R119" i="19"/>
  <c r="Q119" i="19"/>
  <c r="P119" i="19"/>
  <c r="C119" i="19"/>
  <c r="R118" i="19"/>
  <c r="Q118" i="19"/>
  <c r="P118" i="19"/>
  <c r="R117" i="19"/>
  <c r="Q117" i="19"/>
  <c r="P117" i="19"/>
  <c r="R116" i="19"/>
  <c r="Q116" i="19"/>
  <c r="P116" i="19"/>
  <c r="C116" i="19"/>
  <c r="R115" i="19"/>
  <c r="Q115" i="19"/>
  <c r="P115" i="19"/>
  <c r="R114" i="19"/>
  <c r="Q114" i="19"/>
  <c r="P114" i="19"/>
  <c r="R113" i="19"/>
  <c r="Q113" i="19"/>
  <c r="P113" i="19"/>
  <c r="Q112" i="19"/>
  <c r="P112" i="19"/>
  <c r="R111" i="19"/>
  <c r="Q111" i="19"/>
  <c r="P111" i="19"/>
  <c r="R110" i="19"/>
  <c r="Q110" i="19"/>
  <c r="P110" i="19"/>
  <c r="R109" i="19"/>
  <c r="Q109" i="19"/>
  <c r="P109" i="19"/>
  <c r="R108" i="19"/>
  <c r="Q108" i="19"/>
  <c r="P108" i="19"/>
  <c r="R107" i="19"/>
  <c r="Q107" i="19"/>
  <c r="P107" i="19"/>
  <c r="R106" i="19"/>
  <c r="Q106" i="19"/>
  <c r="P106" i="19"/>
  <c r="R105" i="19"/>
  <c r="Q105" i="19"/>
  <c r="P105" i="19"/>
  <c r="R104" i="19"/>
  <c r="Q104" i="19"/>
  <c r="P104" i="19"/>
  <c r="C104" i="19"/>
  <c r="R103" i="19"/>
  <c r="Q103" i="19"/>
  <c r="P103" i="19"/>
  <c r="R102" i="19"/>
  <c r="Q102" i="19"/>
  <c r="P102" i="19"/>
  <c r="C102" i="19"/>
  <c r="R101" i="19"/>
  <c r="Q101" i="19"/>
  <c r="P101" i="19"/>
  <c r="R100" i="19"/>
  <c r="Q100" i="19"/>
  <c r="P100" i="19"/>
  <c r="C100" i="19"/>
  <c r="B100" i="19"/>
  <c r="R99" i="19"/>
  <c r="R98" i="19"/>
  <c r="Q98" i="19"/>
  <c r="P98" i="19"/>
  <c r="C98" i="19"/>
  <c r="B98" i="19"/>
  <c r="R97" i="19"/>
  <c r="Q97" i="19"/>
  <c r="P97" i="19"/>
  <c r="C97" i="19"/>
  <c r="B97" i="19"/>
  <c r="R96" i="19"/>
  <c r="Q96" i="19"/>
  <c r="P96" i="19"/>
  <c r="B96" i="19"/>
  <c r="R95" i="19"/>
  <c r="Q95" i="19"/>
  <c r="P95" i="19"/>
  <c r="C95" i="19"/>
  <c r="R94" i="19"/>
  <c r="Q94" i="19"/>
  <c r="P94" i="19"/>
  <c r="C94" i="19"/>
  <c r="R93" i="19"/>
  <c r="Q93" i="19"/>
  <c r="P93" i="19"/>
  <c r="C93" i="19"/>
  <c r="P80" i="19"/>
  <c r="R78" i="19"/>
  <c r="Q78" i="19"/>
  <c r="P78" i="19"/>
  <c r="C78" i="19"/>
  <c r="R77" i="19"/>
  <c r="Q77" i="19"/>
  <c r="P77" i="19"/>
  <c r="C77" i="19"/>
  <c r="R76" i="19"/>
  <c r="Q76" i="19"/>
  <c r="P76" i="19"/>
  <c r="C76" i="19"/>
  <c r="R75" i="19"/>
  <c r="Q75" i="19"/>
  <c r="P75" i="19"/>
  <c r="R74" i="19"/>
  <c r="Q74" i="19"/>
  <c r="P74" i="19"/>
  <c r="R73" i="19"/>
  <c r="Q73" i="19"/>
  <c r="P73" i="19"/>
  <c r="R72" i="19"/>
  <c r="Q72" i="19"/>
  <c r="P72" i="19"/>
  <c r="C72" i="19"/>
  <c r="R71" i="19"/>
  <c r="Q71" i="19"/>
  <c r="P71" i="19"/>
  <c r="R70" i="19"/>
  <c r="Q70" i="19"/>
  <c r="P70" i="19"/>
  <c r="R69" i="19"/>
  <c r="Q69" i="19"/>
  <c r="P69" i="19"/>
  <c r="R68" i="19"/>
  <c r="Q68" i="19"/>
  <c r="P68" i="19"/>
  <c r="C68" i="19"/>
  <c r="R67" i="19"/>
  <c r="Q67" i="19"/>
  <c r="P67" i="19"/>
  <c r="C67" i="19"/>
  <c r="R66" i="19"/>
  <c r="Q66" i="19"/>
  <c r="P66" i="19"/>
  <c r="R65" i="19"/>
  <c r="Q65" i="19"/>
  <c r="P65" i="19"/>
  <c r="R64" i="19"/>
  <c r="Q64" i="19"/>
  <c r="P64" i="19"/>
  <c r="R63" i="19"/>
  <c r="Q63" i="19"/>
  <c r="P63" i="19"/>
  <c r="C63" i="19"/>
  <c r="R62" i="19"/>
  <c r="Q62" i="19"/>
  <c r="P62" i="19"/>
  <c r="R61" i="19"/>
  <c r="Q61" i="19"/>
  <c r="P61" i="19"/>
  <c r="R60" i="19"/>
  <c r="Q60" i="19"/>
  <c r="P60" i="19"/>
  <c r="R59" i="19"/>
  <c r="Q59" i="19"/>
  <c r="P59" i="19"/>
  <c r="R58" i="19"/>
  <c r="Q58" i="19"/>
  <c r="P58" i="19"/>
  <c r="R57" i="19"/>
  <c r="Q57" i="19"/>
  <c r="P57" i="19"/>
  <c r="R56" i="19"/>
  <c r="Q56" i="19"/>
  <c r="P56" i="19"/>
  <c r="R55" i="19"/>
  <c r="Q55" i="19"/>
  <c r="P55" i="19"/>
  <c r="C55" i="19"/>
  <c r="R54" i="19"/>
  <c r="Q54" i="19"/>
  <c r="P54" i="19"/>
  <c r="C54" i="19"/>
  <c r="R53" i="19"/>
  <c r="Q53" i="19"/>
  <c r="P53" i="19"/>
  <c r="C53" i="19"/>
  <c r="R52" i="19"/>
  <c r="Q52" i="19"/>
  <c r="P52" i="19"/>
  <c r="C52" i="19"/>
  <c r="P40" i="19"/>
  <c r="Q38" i="19"/>
  <c r="P38" i="19"/>
  <c r="C38" i="19"/>
  <c r="Q37" i="19"/>
  <c r="P37" i="19"/>
  <c r="C37" i="19"/>
  <c r="Q36" i="19"/>
  <c r="P36" i="19"/>
  <c r="C36" i="19"/>
  <c r="Q35" i="19"/>
  <c r="P35" i="19"/>
  <c r="Q34" i="19"/>
  <c r="P34" i="19"/>
  <c r="C34" i="19"/>
  <c r="Q33" i="19"/>
  <c r="P33" i="19"/>
  <c r="Q32" i="19"/>
  <c r="P32" i="19"/>
  <c r="Q31" i="19"/>
  <c r="P31" i="19"/>
  <c r="Q30" i="19"/>
  <c r="P30" i="19"/>
  <c r="Q29" i="19"/>
  <c r="P29" i="19"/>
  <c r="Q28" i="19"/>
  <c r="P28" i="19"/>
  <c r="C28" i="19"/>
  <c r="Q27" i="19"/>
  <c r="P27" i="19"/>
  <c r="Q26" i="19"/>
  <c r="P26" i="19"/>
  <c r="Q25" i="19"/>
  <c r="P25" i="19"/>
  <c r="Q24" i="19"/>
  <c r="P24" i="19"/>
  <c r="C24" i="19"/>
  <c r="Q23" i="19"/>
  <c r="P23" i="19"/>
  <c r="C23" i="19"/>
  <c r="Q22" i="19"/>
  <c r="P22" i="19"/>
  <c r="C22" i="19"/>
  <c r="Q21" i="19"/>
  <c r="P21" i="19"/>
  <c r="Q20" i="19"/>
  <c r="P20" i="19"/>
  <c r="C20" i="19"/>
  <c r="Q19" i="19"/>
  <c r="P19" i="19"/>
  <c r="C19" i="19"/>
  <c r="Q18" i="19"/>
  <c r="P18" i="19"/>
  <c r="Q17" i="19"/>
  <c r="P17" i="19"/>
  <c r="Q16" i="19"/>
  <c r="P16" i="19"/>
  <c r="Q15" i="19"/>
  <c r="P15" i="19"/>
  <c r="Q14" i="19"/>
  <c r="P14" i="19"/>
  <c r="Q13" i="19"/>
  <c r="P13" i="19"/>
  <c r="C13" i="19"/>
  <c r="Q12" i="19"/>
  <c r="P12" i="19"/>
  <c r="Q11" i="19"/>
  <c r="P11" i="19"/>
  <c r="C11" i="19"/>
  <c r="W154" i="24" l="1"/>
  <c r="R80" i="24"/>
  <c r="S80" i="24" s="1"/>
  <c r="E154" i="24"/>
  <c r="R82" i="24"/>
  <c r="R123" i="24"/>
  <c r="S14" i="24"/>
  <c r="T108" i="14"/>
  <c r="U108" i="14" s="1"/>
  <c r="AG108" i="9"/>
  <c r="T108" i="18"/>
  <c r="U108" i="18" s="1"/>
  <c r="AF77" i="17"/>
  <c r="AG77" i="17" s="1"/>
  <c r="AF32" i="17"/>
  <c r="AG32" i="17" s="1"/>
  <c r="AF17" i="17"/>
  <c r="AG17" i="17" s="1"/>
  <c r="AF119" i="17"/>
  <c r="AG119" i="17" s="1"/>
  <c r="AF111" i="17"/>
  <c r="AG111" i="17" s="1"/>
  <c r="AF72" i="17"/>
  <c r="AG72" i="17" s="1"/>
  <c r="AF69" i="17"/>
  <c r="AG69" i="17" s="1"/>
  <c r="AF59" i="17"/>
  <c r="AG59" i="17" s="1"/>
  <c r="AF19" i="17"/>
  <c r="AG19" i="17" s="1"/>
  <c r="AF113" i="17"/>
  <c r="AG113" i="17" s="1"/>
  <c r="AF108" i="17"/>
  <c r="AG108" i="17" s="1"/>
  <c r="AF105" i="17"/>
  <c r="AG105" i="17" s="1"/>
  <c r="AF101" i="17"/>
  <c r="AG101" i="17" s="1"/>
  <c r="AF66" i="17"/>
  <c r="AG66" i="17" s="1"/>
  <c r="AF64" i="17"/>
  <c r="AG64" i="17" s="1"/>
  <c r="AF34" i="17"/>
  <c r="AG34" i="17" s="1"/>
  <c r="AF23" i="17"/>
  <c r="AG23" i="17" s="1"/>
  <c r="AF13" i="17"/>
  <c r="AF78" i="17"/>
  <c r="AG78" i="17" s="1"/>
  <c r="AF18" i="17"/>
  <c r="AG18" i="17" s="1"/>
  <c r="AF103" i="17"/>
  <c r="AG103" i="17" s="1"/>
  <c r="AF95" i="17"/>
  <c r="AG95" i="17" s="1"/>
  <c r="AF55" i="17"/>
  <c r="AG55" i="17" s="1"/>
  <c r="AF28" i="17"/>
  <c r="AG28" i="17" s="1"/>
  <c r="AF58" i="17"/>
  <c r="AG58" i="17" s="1"/>
  <c r="AF118" i="17"/>
  <c r="AG118" i="17" s="1"/>
  <c r="AF68" i="17"/>
  <c r="AG68" i="17" s="1"/>
  <c r="M11" i="10"/>
  <c r="N11" i="10"/>
  <c r="N19" i="10"/>
  <c r="M19" i="10"/>
  <c r="R18" i="10"/>
  <c r="L19" i="10"/>
  <c r="J19" i="10"/>
  <c r="I19" i="10"/>
  <c r="G19" i="10"/>
  <c r="F19" i="10"/>
  <c r="T18" i="10" s="1"/>
  <c r="AF18" i="9"/>
  <c r="AF21" i="17"/>
  <c r="AG21" i="17" s="1"/>
  <c r="AF29" i="17"/>
  <c r="AG29" i="17" s="1"/>
  <c r="AF96" i="17"/>
  <c r="AG96" i="17" s="1"/>
  <c r="AF64" i="9"/>
  <c r="AF97" i="9"/>
  <c r="AF100" i="17"/>
  <c r="AG100" i="17" s="1"/>
  <c r="AF32" i="9"/>
  <c r="AF36" i="17"/>
  <c r="AG36" i="17" s="1"/>
  <c r="AF74" i="17"/>
  <c r="AG74" i="17" s="1"/>
  <c r="AF98" i="17"/>
  <c r="AG98" i="17" s="1"/>
  <c r="L11" i="10"/>
  <c r="AF95" i="9"/>
  <c r="AF102" i="9"/>
  <c r="AF29" i="9"/>
  <c r="AF59" i="9"/>
  <c r="AF74" i="9"/>
  <c r="AF27" i="17"/>
  <c r="AG27" i="17" s="1"/>
  <c r="AF65" i="17"/>
  <c r="AG65" i="17" s="1"/>
  <c r="AF114" i="17"/>
  <c r="AG114" i="17" s="1"/>
  <c r="T105" i="18"/>
  <c r="U105" i="18" s="1"/>
  <c r="T105" i="14"/>
  <c r="U105" i="14" s="1"/>
  <c r="AG105" i="9"/>
  <c r="AF98" i="9"/>
  <c r="AF78" i="9"/>
  <c r="AF27" i="9"/>
  <c r="AF119" i="9"/>
  <c r="AF100" i="9"/>
  <c r="AF55" i="9"/>
  <c r="AF37" i="9"/>
  <c r="AF109" i="9"/>
  <c r="AF104" i="9"/>
  <c r="AF73" i="9"/>
  <c r="AF68" i="9"/>
  <c r="AF58" i="9"/>
  <c r="AF34" i="9"/>
  <c r="AF17" i="9"/>
  <c r="AF113" i="9"/>
  <c r="AF63" i="9"/>
  <c r="AF36" i="9"/>
  <c r="AF65" i="9"/>
  <c r="AF28" i="9"/>
  <c r="AF23" i="9"/>
  <c r="AF21" i="9"/>
  <c r="AF77" i="9"/>
  <c r="AF54" i="9"/>
  <c r="AF72" i="9"/>
  <c r="AF69" i="9"/>
  <c r="AF13" i="9"/>
  <c r="F11" i="10"/>
  <c r="AF101" i="9"/>
  <c r="AF97" i="17"/>
  <c r="AG97" i="17" s="1"/>
  <c r="AF104" i="17"/>
  <c r="AG104" i="17" s="1"/>
  <c r="T24" i="18"/>
  <c r="U24" i="18" s="1"/>
  <c r="AF20" i="9"/>
  <c r="AF66" i="9"/>
  <c r="AF118" i="9"/>
  <c r="AF20" i="17"/>
  <c r="AG20" i="17" s="1"/>
  <c r="AF102" i="17"/>
  <c r="AG102" i="17" s="1"/>
  <c r="J11" i="10"/>
  <c r="I11" i="10"/>
  <c r="C83" i="10"/>
  <c r="E11" i="10"/>
  <c r="D11" i="10"/>
  <c r="P11" i="10"/>
  <c r="O11" i="10"/>
  <c r="T16" i="10"/>
  <c r="U16" i="10" s="1"/>
  <c r="AF19" i="9"/>
  <c r="AG24" i="9"/>
  <c r="AF103" i="9"/>
  <c r="AF111" i="9"/>
  <c r="R10" i="10"/>
  <c r="AF96" i="9"/>
  <c r="AF114" i="9"/>
  <c r="AF22" i="9"/>
  <c r="K11" i="10"/>
  <c r="AF54" i="17"/>
  <c r="AG54" i="17" s="1"/>
  <c r="AF73" i="17"/>
  <c r="AG73" i="17" s="1"/>
  <c r="J13" i="10"/>
  <c r="T12" i="10" s="1"/>
  <c r="L17" i="10"/>
  <c r="L13" i="10"/>
  <c r="R12" i="10"/>
  <c r="M13" i="10"/>
  <c r="G15" i="10"/>
  <c r="T14" i="10" s="1"/>
  <c r="U14" i="10" s="1"/>
  <c r="O17" i="10"/>
  <c r="P13" i="10"/>
  <c r="K15" i="10"/>
  <c r="E17" i="10"/>
  <c r="S154" i="24" l="1"/>
  <c r="R41" i="24"/>
  <c r="R154" i="24" s="1"/>
  <c r="S18" i="10"/>
  <c r="U18" i="10"/>
  <c r="T28" i="18"/>
  <c r="U28" i="18" s="1"/>
  <c r="AG28" i="9"/>
  <c r="T28" i="14"/>
  <c r="U28" i="14" s="1"/>
  <c r="AG37" i="9"/>
  <c r="T37" i="14"/>
  <c r="U37" i="14" s="1"/>
  <c r="T37" i="18"/>
  <c r="U37" i="18" s="1"/>
  <c r="T97" i="14"/>
  <c r="U97" i="14" s="1"/>
  <c r="AG97" i="9"/>
  <c r="T97" i="18"/>
  <c r="U97" i="18" s="1"/>
  <c r="T65" i="14"/>
  <c r="U65" i="14" s="1"/>
  <c r="AG65" i="9"/>
  <c r="T65" i="18"/>
  <c r="U65" i="18" s="1"/>
  <c r="AG55" i="9"/>
  <c r="T55" i="14"/>
  <c r="U55" i="14" s="1"/>
  <c r="T55" i="18"/>
  <c r="U55" i="18" s="1"/>
  <c r="T74" i="14"/>
  <c r="U74" i="14" s="1"/>
  <c r="AG74" i="9"/>
  <c r="T74" i="18"/>
  <c r="U74" i="18" s="1"/>
  <c r="T64" i="18"/>
  <c r="U64" i="18" s="1"/>
  <c r="T64" i="14"/>
  <c r="U64" i="14" s="1"/>
  <c r="AG64" i="9"/>
  <c r="AF148" i="17"/>
  <c r="AG13" i="17"/>
  <c r="AG148" i="17" s="1"/>
  <c r="T10" i="10"/>
  <c r="T83" i="10" s="1"/>
  <c r="T36" i="18"/>
  <c r="U36" i="18" s="1"/>
  <c r="AG36" i="9"/>
  <c r="T36" i="14"/>
  <c r="U36" i="14" s="1"/>
  <c r="AG100" i="9"/>
  <c r="T100" i="18"/>
  <c r="U100" i="18" s="1"/>
  <c r="T100" i="14"/>
  <c r="U100" i="14" s="1"/>
  <c r="T59" i="18"/>
  <c r="U59" i="18" s="1"/>
  <c r="T59" i="14"/>
  <c r="U59" i="14" s="1"/>
  <c r="AG59" i="9"/>
  <c r="T20" i="14"/>
  <c r="U20" i="14" s="1"/>
  <c r="T20" i="18"/>
  <c r="U20" i="18" s="1"/>
  <c r="AG20" i="9"/>
  <c r="T27" i="14"/>
  <c r="U27" i="14" s="1"/>
  <c r="T27" i="18"/>
  <c r="U27" i="18" s="1"/>
  <c r="AG27" i="9"/>
  <c r="AG96" i="9"/>
  <c r="T96" i="18"/>
  <c r="U96" i="18" s="1"/>
  <c r="T96" i="14"/>
  <c r="U96" i="14" s="1"/>
  <c r="AG109" i="9"/>
  <c r="T109" i="18"/>
  <c r="U109" i="18" s="1"/>
  <c r="T109" i="14"/>
  <c r="U109" i="14" s="1"/>
  <c r="T114" i="18"/>
  <c r="U114" i="18" s="1"/>
  <c r="AG114" i="9"/>
  <c r="T114" i="14"/>
  <c r="U114" i="14" s="1"/>
  <c r="T69" i="14"/>
  <c r="U69" i="14" s="1"/>
  <c r="AG69" i="9"/>
  <c r="T69" i="18"/>
  <c r="U69" i="18" s="1"/>
  <c r="T98" i="18"/>
  <c r="U98" i="18" s="1"/>
  <c r="T98" i="14"/>
  <c r="U98" i="14" s="1"/>
  <c r="AG98" i="9"/>
  <c r="T58" i="14"/>
  <c r="U58" i="14" s="1"/>
  <c r="AG58" i="9"/>
  <c r="T58" i="18"/>
  <c r="U58" i="18" s="1"/>
  <c r="U12" i="10"/>
  <c r="T97" i="10" s="1"/>
  <c r="S12" i="10"/>
  <c r="AG68" i="9"/>
  <c r="T68" i="18"/>
  <c r="U68" i="18" s="1"/>
  <c r="T68" i="14"/>
  <c r="U68" i="14" s="1"/>
  <c r="AG73" i="9"/>
  <c r="T73" i="14"/>
  <c r="U73" i="14" s="1"/>
  <c r="T73" i="18"/>
  <c r="U73" i="18" s="1"/>
  <c r="T23" i="14"/>
  <c r="U23" i="14" s="1"/>
  <c r="T23" i="18"/>
  <c r="U23" i="18" s="1"/>
  <c r="AG23" i="9"/>
  <c r="T22" i="14"/>
  <c r="U22" i="14" s="1"/>
  <c r="T22" i="18"/>
  <c r="U22" i="18" s="1"/>
  <c r="AG22" i="9"/>
  <c r="T101" i="18"/>
  <c r="U101" i="18" s="1"/>
  <c r="T101" i="14"/>
  <c r="U101" i="14" s="1"/>
  <c r="AG101" i="9"/>
  <c r="T63" i="14"/>
  <c r="U63" i="14" s="1"/>
  <c r="AG63" i="9"/>
  <c r="T63" i="18"/>
  <c r="U63" i="18" s="1"/>
  <c r="AG119" i="9"/>
  <c r="T119" i="18"/>
  <c r="U119" i="18" s="1"/>
  <c r="T119" i="14"/>
  <c r="U119" i="14" s="1"/>
  <c r="T29" i="14"/>
  <c r="U29" i="14" s="1"/>
  <c r="T29" i="18"/>
  <c r="U29" i="18" s="1"/>
  <c r="AG29" i="9"/>
  <c r="AG113" i="9"/>
  <c r="T113" i="18"/>
  <c r="U113" i="18" s="1"/>
  <c r="T113" i="14"/>
  <c r="U113" i="14" s="1"/>
  <c r="AG102" i="9"/>
  <c r="T102" i="18"/>
  <c r="U102" i="18" s="1"/>
  <c r="T102" i="14"/>
  <c r="U102" i="14" s="1"/>
  <c r="T13" i="14"/>
  <c r="AF139" i="9"/>
  <c r="T13" i="18"/>
  <c r="AG13" i="9"/>
  <c r="AG17" i="9"/>
  <c r="T17" i="14"/>
  <c r="U17" i="14" s="1"/>
  <c r="T17" i="18"/>
  <c r="U17" i="18" s="1"/>
  <c r="T78" i="18"/>
  <c r="U78" i="18" s="1"/>
  <c r="T78" i="14"/>
  <c r="U78" i="14" s="1"/>
  <c r="AG78" i="9"/>
  <c r="T95" i="14"/>
  <c r="U95" i="14" s="1"/>
  <c r="T95" i="18"/>
  <c r="U95" i="18" s="1"/>
  <c r="AG95" i="9"/>
  <c r="T18" i="18"/>
  <c r="U18" i="18" s="1"/>
  <c r="AG18" i="9"/>
  <c r="T18" i="14"/>
  <c r="U18" i="14" s="1"/>
  <c r="U10" i="10"/>
  <c r="S10" i="10"/>
  <c r="S83" i="10" s="1"/>
  <c r="R83" i="10"/>
  <c r="AG34" i="9"/>
  <c r="T34" i="14"/>
  <c r="U34" i="14" s="1"/>
  <c r="T34" i="18"/>
  <c r="U34" i="18" s="1"/>
  <c r="AG111" i="9"/>
  <c r="T111" i="18"/>
  <c r="U111" i="18" s="1"/>
  <c r="T111" i="14"/>
  <c r="U111" i="14" s="1"/>
  <c r="T72" i="14"/>
  <c r="U72" i="14" s="1"/>
  <c r="AG72" i="9"/>
  <c r="T72" i="18"/>
  <c r="U72" i="18" s="1"/>
  <c r="T103" i="18"/>
  <c r="U103" i="18" s="1"/>
  <c r="T103" i="14"/>
  <c r="U103" i="14" s="1"/>
  <c r="AG103" i="9"/>
  <c r="T54" i="18"/>
  <c r="U54" i="18" s="1"/>
  <c r="AG54" i="9"/>
  <c r="T54" i="14"/>
  <c r="U54" i="14" s="1"/>
  <c r="T118" i="18"/>
  <c r="U118" i="18" s="1"/>
  <c r="AG118" i="9"/>
  <c r="T118" i="14"/>
  <c r="U118" i="14" s="1"/>
  <c r="AG77" i="9"/>
  <c r="T77" i="18"/>
  <c r="U77" i="18" s="1"/>
  <c r="T77" i="14"/>
  <c r="U77" i="14" s="1"/>
  <c r="AG19" i="9"/>
  <c r="T19" i="14"/>
  <c r="U19" i="14" s="1"/>
  <c r="T19" i="18"/>
  <c r="U19" i="18" s="1"/>
  <c r="T66" i="18"/>
  <c r="U66" i="18" s="1"/>
  <c r="T66" i="14"/>
  <c r="U66" i="14" s="1"/>
  <c r="AG66" i="9"/>
  <c r="T21" i="14"/>
  <c r="U21" i="14" s="1"/>
  <c r="T21" i="18"/>
  <c r="U21" i="18" s="1"/>
  <c r="AG21" i="9"/>
  <c r="AG104" i="9"/>
  <c r="T104" i="18"/>
  <c r="U104" i="18" s="1"/>
  <c r="T104" i="14"/>
  <c r="U104" i="14" s="1"/>
  <c r="T32" i="14"/>
  <c r="U32" i="14" s="1"/>
  <c r="T32" i="18"/>
  <c r="U32" i="18" s="1"/>
  <c r="AG32" i="9"/>
  <c r="P158" i="24" l="1"/>
  <c r="R157" i="24" s="1"/>
  <c r="V180" i="24"/>
  <c r="AG139" i="9"/>
  <c r="AN141" i="9"/>
  <c r="N170" i="9"/>
  <c r="U13" i="18"/>
  <c r="U148" i="18" s="1"/>
  <c r="T148" i="18"/>
  <c r="T139" i="14"/>
  <c r="U13" i="14"/>
  <c r="U139" i="14" s="1"/>
  <c r="U83" i="10"/>
  <c r="T96" i="10"/>
  <c r="T98" i="10" s="1"/>
  <c r="AN150" i="17"/>
  <c r="N179" i="17"/>
</calcChain>
</file>

<file path=xl/sharedStrings.xml><?xml version="1.0" encoding="utf-8"?>
<sst xmlns="http://schemas.openxmlformats.org/spreadsheetml/2006/main" count="2716" uniqueCount="249">
  <si>
    <t>SIDLAK CHRISTIAN CHILDREN FUND SAVINGS AND CREDIT COOPERATIVE</t>
  </si>
  <si>
    <t>CDA Registration No. 9520-1080000000036399   Dated: November 16, 2016</t>
  </si>
  <si>
    <t>P-2, Brgy. Linao, Ormoc City</t>
  </si>
  <si>
    <t>COMPUTATION OF SHARES AND PATRONAGE REFUND</t>
  </si>
  <si>
    <t>As of FY 2023</t>
  </si>
  <si>
    <t>Members</t>
  </si>
  <si>
    <t>From 2022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</si>
  <si>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</si>
  <si>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</si>
  <si>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</si>
  <si>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</si>
  <si>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</si>
  <si>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</si>
  <si>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</si>
  <si>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</si>
  <si>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</si>
  <si>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</si>
  <si>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</si>
  <si>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</si>
  <si>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TSM</t>
  </si>
  <si>
    <t>ASM</t>
  </si>
  <si>
    <t>IOSC</t>
  </si>
  <si>
    <t>Int. on Loans</t>
  </si>
  <si>
    <t>Patronage Refund</t>
  </si>
  <si>
    <t>Total (IOSC+PR)</t>
  </si>
  <si>
    <t>Signature</t>
  </si>
  <si>
    <t>Allen L. Gubalane</t>
  </si>
  <si>
    <t>April A. Hubahib</t>
  </si>
  <si>
    <t>Arnold C. Gonzales</t>
  </si>
  <si>
    <t>Elina Empimo</t>
  </si>
  <si>
    <t>Crisencia R. Ruiz</t>
  </si>
  <si>
    <t>Dennis M. Tolibao</t>
  </si>
  <si>
    <t>Dexter B. Jumao-as</t>
  </si>
  <si>
    <t>Dorotea Jumao-as</t>
  </si>
  <si>
    <t xml:space="preserve">Edgardo P. Nodalo </t>
  </si>
  <si>
    <t>Eloisa E. Williams</t>
  </si>
  <si>
    <t>Emmanuel C. Orellano</t>
  </si>
  <si>
    <t>Emmanuel S. Quilantang</t>
  </si>
  <si>
    <t>Erlinda E. Quilantang</t>
  </si>
  <si>
    <t>Eunicelle S. Samson</t>
  </si>
  <si>
    <t>Genelyn N. Ymas</t>
  </si>
  <si>
    <t>Junel A. Pagay</t>
  </si>
  <si>
    <t>Limuel P. Omega</t>
  </si>
  <si>
    <t>Ma. Ella P. Solano</t>
  </si>
  <si>
    <t>Maria Genia C. Seguido</t>
  </si>
  <si>
    <t>Mario G. Bañez Jr.</t>
  </si>
  <si>
    <t>Marissa B. Ligutan</t>
  </si>
  <si>
    <t>Maristela A. Mandras</t>
  </si>
  <si>
    <t>Mark Gil M. Catingub</t>
  </si>
  <si>
    <t>Mary Grace C. Perol</t>
  </si>
  <si>
    <t>Maricris Montemor</t>
  </si>
  <si>
    <t>Analyn Cabahug</t>
  </si>
  <si>
    <t>Nenita S. Fay</t>
  </si>
  <si>
    <t>Paul C. Espinosa</t>
  </si>
  <si>
    <t>Page 1 of 4</t>
  </si>
  <si>
    <t>As of FY 2022</t>
  </si>
  <si>
    <t>From 2021</t>
  </si>
  <si>
    <t>Raffy C. Banghet</t>
  </si>
  <si>
    <t>Rexie N. Costan</t>
  </si>
  <si>
    <t>Ricardo G. Amarille</t>
  </si>
  <si>
    <t>Rodina A. Alvarado</t>
  </si>
  <si>
    <t>Rolando C. Miaga</t>
  </si>
  <si>
    <t>Ronald P. Arcillas</t>
  </si>
  <si>
    <t>Victoriana A. Entero</t>
  </si>
  <si>
    <t>Jaime A. Cayetano Jr.</t>
  </si>
  <si>
    <t>Archie G. Bañez</t>
  </si>
  <si>
    <t>Ronan O. Sacay</t>
  </si>
  <si>
    <t>Edwin P. Caliwan</t>
  </si>
  <si>
    <t>Analyn A. Punay</t>
  </si>
  <si>
    <t>Susana I. Punay</t>
  </si>
  <si>
    <t>Marina S. Caparoso</t>
  </si>
  <si>
    <t>Merian C. Jumao-as</t>
  </si>
  <si>
    <t xml:space="preserve">Christopher D. Bioco </t>
  </si>
  <si>
    <t>Rahbie B. Jumao-as</t>
  </si>
  <si>
    <t>Shalou J. Balao</t>
  </si>
  <si>
    <t>Brice Vincent M. Jumao-as</t>
  </si>
  <si>
    <t>Agustin D. Bioco Jr.</t>
  </si>
  <si>
    <t>Jenelyn F. Jimenea</t>
  </si>
  <si>
    <t>Elvin P. Manriquez</t>
  </si>
  <si>
    <t>Adelaida C. Manriquez</t>
  </si>
  <si>
    <t>Everth O. Acaso Jr.</t>
  </si>
  <si>
    <t>Isidro C. Lusanta Jr.</t>
  </si>
  <si>
    <t>Joselito L. Edullantes</t>
  </si>
  <si>
    <t>Agusto S. Jimenea</t>
  </si>
  <si>
    <t>Page 2 of 4</t>
  </si>
  <si>
    <t>Hazel Q. Bulacan</t>
  </si>
  <si>
    <t>Lloyd B. Bulacan</t>
  </si>
  <si>
    <t>Junlyn J. Aquino</t>
  </si>
  <si>
    <t>Ramil  Mirafuentes</t>
  </si>
  <si>
    <t>Diosita J.  Aquino</t>
  </si>
  <si>
    <t>Perpetuo  O.  Gaelo</t>
  </si>
  <si>
    <t>Marcial Raul S.  Almacin</t>
  </si>
  <si>
    <t>Alma P.  Bola</t>
  </si>
  <si>
    <t>Joventino C. Larrosa</t>
  </si>
  <si>
    <t>Kristine Joy  Lusanta</t>
  </si>
  <si>
    <t>Milagros M.  Villamor</t>
  </si>
  <si>
    <t>Salvador B.  Villamor</t>
  </si>
  <si>
    <t>Ranilfa L.  Amarille</t>
  </si>
  <si>
    <t>Rustom  Montes</t>
  </si>
  <si>
    <t>Patricio Loyd  Tellidua</t>
  </si>
  <si>
    <t>Ariel  Romero</t>
  </si>
  <si>
    <t>Edmundo  Abrenillo</t>
  </si>
  <si>
    <t>Richard S.  Arar</t>
  </si>
  <si>
    <t>Tirso L.  Cayanong</t>
  </si>
  <si>
    <t>Marie Angelie C. Mabag</t>
  </si>
  <si>
    <t>Jociel C.  Esmero</t>
  </si>
  <si>
    <t>Ronelle  C. Canete</t>
  </si>
  <si>
    <t>Page 3 of 4</t>
  </si>
  <si>
    <t>Eladio  Solteral</t>
  </si>
  <si>
    <t>Jan Ros  Y.  Cormanes</t>
  </si>
  <si>
    <t>Bhrian Kelly D.  Barquez</t>
  </si>
  <si>
    <t>Sabiniano  D. Caparoso</t>
  </si>
  <si>
    <t>Marino B.  Esoto</t>
  </si>
  <si>
    <t>Restituto  Jumao-as</t>
  </si>
  <si>
    <t>Alberto  Tugonon</t>
  </si>
  <si>
    <t>Lea Ruthcarma  Sungahid</t>
  </si>
  <si>
    <t>Raquel  Pabilan</t>
  </si>
  <si>
    <t>Antonio  Perez</t>
  </si>
  <si>
    <t>Marben  Caparoso</t>
  </si>
  <si>
    <t>Rowena  Tellidua</t>
  </si>
  <si>
    <t>TOTAL</t>
  </si>
  <si>
    <t>Prepared by:</t>
  </si>
  <si>
    <t>Checked by:</t>
  </si>
  <si>
    <t>Noted by:</t>
  </si>
  <si>
    <t>Approved by:</t>
  </si>
  <si>
    <t>SHALOU J. BALAO</t>
  </si>
  <si>
    <t>MARIA GENIA C. SEGUIDO</t>
  </si>
  <si>
    <t>DEXTER B.  JUMAO-AS</t>
  </si>
  <si>
    <t>PAUL  ESPINOSA</t>
  </si>
  <si>
    <t>SCSCC Treasurer</t>
  </si>
  <si>
    <t>General Manager, SCSCC</t>
  </si>
  <si>
    <t>Chairman, SCSCC BOD</t>
  </si>
  <si>
    <t>Page 4 of 4</t>
  </si>
  <si>
    <t>withdrawal</t>
  </si>
  <si>
    <t>Rowena Tellidua</t>
  </si>
  <si>
    <t>Marlon Tampus</t>
  </si>
  <si>
    <t>Teresita  A.  Lozada</t>
  </si>
  <si>
    <t>Mark Dave  Negad</t>
  </si>
  <si>
    <t>Purisimo  Abrenillo</t>
  </si>
  <si>
    <t>Noli Capahi</t>
  </si>
  <si>
    <t>As of FY 2024</t>
  </si>
  <si>
    <t>SIDLAK</t>
  </si>
  <si>
    <t>ARNOLD  GONZALES</t>
  </si>
  <si>
    <t>TIRSO  CAYANONG</t>
  </si>
  <si>
    <t>COMPUTATION OF SAVINGS DEPOSITS</t>
  </si>
  <si>
    <t>As of FY 2020</t>
  </si>
  <si>
    <t>2019 Savings</t>
  </si>
  <si>
    <t>TSAD</t>
  </si>
  <si>
    <t>ASAD</t>
  </si>
  <si>
    <t>Int. on TSAD</t>
  </si>
  <si>
    <t>Total (SAD + Interest)</t>
  </si>
  <si>
    <t>Cort Wensley J.  Balao</t>
  </si>
  <si>
    <t>Interest per mo.</t>
  </si>
  <si>
    <t>Brett Colin J.  Balao</t>
  </si>
  <si>
    <t>Demian Sabin C.  Jumao-as</t>
  </si>
  <si>
    <t>Izy Kaizer J.  Balao</t>
  </si>
  <si>
    <t>Alerc Finlay J.  Balao</t>
  </si>
  <si>
    <t>Georgette Ann  Cabahug</t>
  </si>
  <si>
    <t>Luna Mikaela C.  Apay</t>
  </si>
  <si>
    <t>Mikko Angelo C.  Apay</t>
  </si>
  <si>
    <t>Casy Marie D.  Cruz</t>
  </si>
  <si>
    <t>Marissa  alvarado</t>
  </si>
  <si>
    <t>Krissel  Alvarado</t>
  </si>
  <si>
    <t>Serg Mateo M.  Villamor</t>
  </si>
  <si>
    <t>Rica M.  Cruz</t>
  </si>
  <si>
    <t>Yvo Rafiel  Samson</t>
  </si>
  <si>
    <t>Page 1 of 2</t>
  </si>
  <si>
    <t>ARNOLD C. GONZALES</t>
  </si>
  <si>
    <t>DEXTER B. JUMAO-AS</t>
  </si>
  <si>
    <t>SCSCC Secretary</t>
  </si>
  <si>
    <t xml:space="preserve">  General Manager, SCSCC</t>
  </si>
  <si>
    <t>Page 2 of 2</t>
  </si>
  <si>
    <t>Regular</t>
  </si>
  <si>
    <t>Associates</t>
  </si>
  <si>
    <t xml:space="preserve">                                                                            </t>
  </si>
  <si>
    <t>As of FY 2021</t>
  </si>
  <si>
    <t>2020 Savings</t>
  </si>
  <si>
    <t>2021 Savings</t>
  </si>
  <si>
    <t>``</t>
  </si>
  <si>
    <t>2022 Savings</t>
  </si>
  <si>
    <t>2023Savings</t>
  </si>
  <si>
    <t>TIRSO L. CAYANONG</t>
  </si>
  <si>
    <t>PERPETUO O. GAELO</t>
  </si>
  <si>
    <t>Treasurer, SCSCC BOD</t>
  </si>
  <si>
    <t>Dorotea B. Jumao-as</t>
  </si>
  <si>
    <t>Victoriana  Entero</t>
  </si>
  <si>
    <t>Diosita J. Aquino</t>
  </si>
  <si>
    <t>Perpetuo O. Gaelo</t>
  </si>
  <si>
    <t>Eloisa  Williams</t>
  </si>
  <si>
    <t>Paul Espinosa</t>
  </si>
  <si>
    <t>Joventino  Larrosa</t>
  </si>
  <si>
    <t>Jociel Esmero</t>
  </si>
  <si>
    <t>Alma  Bola</t>
  </si>
  <si>
    <t>Sabiniano  Caparoso</t>
  </si>
  <si>
    <t>Withdrawal</t>
  </si>
  <si>
    <t>EUNIECELLE  SAMSON</t>
  </si>
  <si>
    <t>Patricio Lloyd  Tellidua</t>
  </si>
  <si>
    <t>Tirso L.Cayanong</t>
  </si>
  <si>
    <t>Marlon Tampos</t>
  </si>
  <si>
    <t>PERPETUO   GAELO</t>
  </si>
  <si>
    <t xml:space="preserve">          General Manager, SCSCC</t>
  </si>
  <si>
    <t>From 2019</t>
  </si>
  <si>
    <t>Add'l CBU</t>
  </si>
  <si>
    <t>BGift</t>
  </si>
  <si>
    <t>Ma. Victoria T. Caterbas</t>
  </si>
  <si>
    <t xml:space="preserve"> </t>
  </si>
  <si>
    <t>Patricio Llyod  U. Tellidua</t>
  </si>
  <si>
    <t>Edmundo C. Abrenillo</t>
  </si>
  <si>
    <t>Computation Formula:</t>
  </si>
  <si>
    <r>
      <rPr>
        <sz val="10"/>
        <color theme="1"/>
        <rFont val="Calibri"/>
        <family val="2"/>
        <scheme val="minor"/>
      </rPr>
      <t xml:space="preserve">Rate of Interest on Share Capital =  </t>
    </r>
    <r>
      <rPr>
        <u/>
        <sz val="10"/>
        <color theme="1"/>
        <rFont val="Calibri"/>
        <family val="2"/>
        <scheme val="minor"/>
      </rPr>
      <t>X1 x (Net Surplus - Statutory Reserves)</t>
    </r>
    <r>
      <rPr>
        <sz val="10"/>
        <color theme="1"/>
        <rFont val="Calibri"/>
        <family val="2"/>
        <scheme val="minor"/>
      </rPr>
      <t>=</t>
    </r>
  </si>
  <si>
    <t>50% x (12,383.49-8,668.44)</t>
  </si>
  <si>
    <t>=</t>
  </si>
  <si>
    <t>Total Ave. Share Months</t>
  </si>
  <si>
    <r>
      <rPr>
        <sz val="10"/>
        <color theme="1"/>
        <rFont val="Calibri"/>
        <family val="2"/>
        <scheme val="minor"/>
      </rPr>
      <t xml:space="preserve">Rate of Interest on Patronage Refund  =  </t>
    </r>
    <r>
      <rPr>
        <u/>
        <sz val="10"/>
        <color theme="1"/>
        <rFont val="Calibri"/>
        <family val="2"/>
        <scheme val="minor"/>
      </rPr>
      <t>X2 x (Net Surplus - Statutory Reserves)</t>
    </r>
    <r>
      <rPr>
        <sz val="10"/>
        <color theme="1"/>
        <rFont val="Calibri"/>
        <family val="2"/>
        <scheme val="minor"/>
      </rPr>
      <t>=</t>
    </r>
  </si>
  <si>
    <t>50% x (12,383.49-8,688.44)</t>
  </si>
  <si>
    <t>Total Volume of Business</t>
  </si>
  <si>
    <t>Net surplus</t>
  </si>
  <si>
    <t xml:space="preserve">Statutory </t>
  </si>
  <si>
    <t>Bgift</t>
  </si>
  <si>
    <t>Mortuary</t>
  </si>
  <si>
    <t>From 2020</t>
  </si>
  <si>
    <t>Marino  B.  Esoto</t>
  </si>
  <si>
    <t>Restituto L.  Jumao-as</t>
  </si>
  <si>
    <t>Alberto   Tugonon</t>
  </si>
  <si>
    <t>As of FY 2025</t>
  </si>
  <si>
    <t>From 2024</t>
  </si>
  <si>
    <t>Total Average Share Month</t>
  </si>
  <si>
    <t>Total Interest on Loans</t>
  </si>
  <si>
    <t>Share Capital</t>
  </si>
  <si>
    <t>CHECKY P. PEREZ</t>
  </si>
  <si>
    <t>Account No.</t>
  </si>
  <si>
    <t>Sept</t>
  </si>
  <si>
    <t>Antonio  S. Perez Jr.</t>
  </si>
  <si>
    <t>2024 Savings</t>
  </si>
  <si>
    <t>Eloisa  E. Williams</t>
  </si>
  <si>
    <t>Euniecelle S. Samson</t>
  </si>
  <si>
    <t>Patricio Lloyd  U. Tellidua</t>
  </si>
  <si>
    <t>PERPETUO   O. GAELO</t>
  </si>
  <si>
    <t>Marlon C. Tampos</t>
  </si>
  <si>
    <t>Raquel  C. Pabilan</t>
  </si>
  <si>
    <t>Marlon C. Tampus</t>
  </si>
  <si>
    <t>Restituto  L. Jumao-as</t>
  </si>
  <si>
    <t xml:space="preserve">  DEXTER B.  JUMAO-AS</t>
  </si>
  <si>
    <t>PERPETUO  O. GAELO</t>
  </si>
  <si>
    <t>Alec Finlay J.  Balao</t>
  </si>
  <si>
    <t>Page 1 of 3</t>
  </si>
  <si>
    <t>Page 2 of 3</t>
  </si>
  <si>
    <t>Page 3 of 3</t>
  </si>
  <si>
    <t>50% x (NS - SR)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</si>
</sst>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000_);_(* \(#,##0.00000\);_(* &quot;-&quot;??_);_(@_)"/>
    <numFmt numFmtId="167" formatCode="0.000"/>
  </numFmts>
  <fonts count="4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70C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7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B0F0"/>
      <name val="Calibri"/>
      <family val="2"/>
      <scheme val="minor"/>
    </font>
    <font>
      <sz val="10"/>
      <name val="Calibri"/>
      <family val="2"/>
      <scheme val="minor"/>
    </font>
    <font>
      <sz val="7"/>
      <color rgb="FF00B0F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7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164" fontId="31" fillId="0" borderId="0" applyFont="0" applyFill="0" applyBorder="0" applyAlignment="0" applyProtection="0"/>
  </cellStyleXfs>
  <cellXfs count="35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justify" vertical="center"/>
    </xf>
    <xf numFmtId="164" fontId="3" fillId="0" borderId="3" xfId="1" applyFont="1" applyFill="1" applyBorder="1" applyAlignment="1">
      <alignment horizontal="center" vertical="center"/>
    </xf>
    <xf numFmtId="164" fontId="3" fillId="0" borderId="3" xfId="1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9" fillId="0" borderId="0" xfId="0" applyFont="1" applyAlignment="1">
      <alignment horizontal="justify" vertical="center"/>
    </xf>
    <xf numFmtId="164" fontId="3" fillId="0" borderId="9" xfId="1" applyFont="1" applyFill="1" applyBorder="1" applyAlignment="1">
      <alignment horizontal="center" vertical="center"/>
    </xf>
    <xf numFmtId="164" fontId="3" fillId="0" borderId="9" xfId="1" applyFont="1" applyBorder="1"/>
    <xf numFmtId="0" fontId="3" fillId="2" borderId="8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64" fontId="3" fillId="0" borderId="9" xfId="1" applyFont="1" applyBorder="1" applyAlignment="1">
      <alignment vertical="center"/>
    </xf>
    <xf numFmtId="164" fontId="3" fillId="0" borderId="9" xfId="1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3" fillId="2" borderId="9" xfId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10" fillId="0" borderId="9" xfId="1" applyFont="1" applyBorder="1"/>
    <xf numFmtId="164" fontId="11" fillId="0" borderId="9" xfId="1" applyFont="1" applyBorder="1"/>
    <xf numFmtId="164" fontId="3" fillId="0" borderId="9" xfId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9" fillId="0" borderId="10" xfId="0" applyFont="1" applyBorder="1" applyAlignment="1">
      <alignment horizontal="justify" vertical="center"/>
    </xf>
    <xf numFmtId="164" fontId="9" fillId="0" borderId="6" xfId="1" applyFont="1" applyBorder="1" applyAlignment="1">
      <alignment horizontal="center" vertical="center"/>
    </xf>
    <xf numFmtId="164" fontId="3" fillId="0" borderId="6" xfId="1" applyFont="1" applyBorder="1"/>
    <xf numFmtId="164" fontId="0" fillId="0" borderId="6" xfId="1" applyFont="1" applyBorder="1"/>
    <xf numFmtId="0" fontId="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3" fillId="0" borderId="3" xfId="0" applyFont="1" applyBorder="1"/>
    <xf numFmtId="0" fontId="0" fillId="0" borderId="3" xfId="0" applyBorder="1"/>
    <xf numFmtId="164" fontId="3" fillId="0" borderId="9" xfId="1" applyFont="1" applyFill="1" applyBorder="1"/>
    <xf numFmtId="164" fontId="12" fillId="0" borderId="9" xfId="1" applyFont="1" applyFill="1" applyBorder="1"/>
    <xf numFmtId="164" fontId="11" fillId="0" borderId="9" xfId="1" applyFont="1" applyFill="1" applyBorder="1"/>
    <xf numFmtId="164" fontId="12" fillId="0" borderId="9" xfId="1" applyFont="1" applyFill="1" applyBorder="1" applyAlignment="1">
      <alignment vertical="center"/>
    </xf>
    <xf numFmtId="164" fontId="0" fillId="0" borderId="6" xfId="1" applyFont="1" applyFill="1" applyBorder="1"/>
    <xf numFmtId="164" fontId="0" fillId="0" borderId="0" xfId="0" applyNumberFormat="1"/>
    <xf numFmtId="0" fontId="13" fillId="0" borderId="0" xfId="0" applyFont="1" applyAlignment="1">
      <alignment vertical="center"/>
    </xf>
    <xf numFmtId="164" fontId="13" fillId="0" borderId="9" xfId="1" applyFont="1" applyBorder="1"/>
    <xf numFmtId="164" fontId="14" fillId="0" borderId="9" xfId="1" applyFont="1" applyBorder="1"/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13" fillId="0" borderId="9" xfId="1" applyFont="1" applyBorder="1" applyAlignment="1">
      <alignment vertical="center"/>
    </xf>
    <xf numFmtId="164" fontId="14" fillId="0" borderId="9" xfId="1" applyFont="1" applyBorder="1" applyAlignment="1">
      <alignment vertical="center"/>
    </xf>
    <xf numFmtId="164" fontId="13" fillId="0" borderId="9" xfId="1" applyFont="1" applyFill="1" applyBorder="1"/>
    <xf numFmtId="164" fontId="4" fillId="0" borderId="6" xfId="1" applyFont="1" applyBorder="1"/>
    <xf numFmtId="0" fontId="15" fillId="0" borderId="0" xfId="0" applyFont="1"/>
    <xf numFmtId="0" fontId="4" fillId="0" borderId="3" xfId="0" applyFont="1" applyBorder="1"/>
    <xf numFmtId="0" fontId="5" fillId="0" borderId="0" xfId="0" applyFont="1" applyAlignment="1">
      <alignment vertical="center"/>
    </xf>
    <xf numFmtId="1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17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/>
    <xf numFmtId="0" fontId="11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9" fillId="0" borderId="0" xfId="0" applyFont="1" applyAlignment="1">
      <alignment vertical="center"/>
    </xf>
    <xf numFmtId="164" fontId="10" fillId="0" borderId="9" xfId="1" applyFont="1" applyFill="1" applyBorder="1"/>
    <xf numFmtId="164" fontId="18" fillId="0" borderId="9" xfId="1" applyFont="1" applyBorder="1"/>
    <xf numFmtId="0" fontId="9" fillId="0" borderId="10" xfId="0" applyFont="1" applyBorder="1" applyAlignment="1">
      <alignment vertical="center"/>
    </xf>
    <xf numFmtId="164" fontId="3" fillId="0" borderId="6" xfId="1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/>
    <xf numFmtId="0" fontId="1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4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/>
    <xf numFmtId="164" fontId="13" fillId="2" borderId="9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3" fillId="0" borderId="4" xfId="0" applyFon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3" fillId="0" borderId="6" xfId="0" applyFont="1" applyBorder="1"/>
    <xf numFmtId="0" fontId="0" fillId="0" borderId="6" xfId="0" applyBorder="1"/>
    <xf numFmtId="164" fontId="3" fillId="0" borderId="6" xfId="1" applyFont="1" applyFill="1" applyBorder="1"/>
    <xf numFmtId="164" fontId="20" fillId="0" borderId="9" xfId="1" applyFont="1" applyFill="1" applyBorder="1"/>
    <xf numFmtId="164" fontId="12" fillId="5" borderId="9" xfId="1" applyFont="1" applyFill="1" applyBorder="1"/>
    <xf numFmtId="0" fontId="0" fillId="0" borderId="9" xfId="0" applyBorder="1"/>
    <xf numFmtId="0" fontId="0" fillId="0" borderId="9" xfId="0" applyBorder="1" applyAlignment="1">
      <alignment vertical="center"/>
    </xf>
    <xf numFmtId="0" fontId="9" fillId="0" borderId="9" xfId="0" applyFont="1" applyBorder="1"/>
    <xf numFmtId="164" fontId="13" fillId="0" borderId="6" xfId="1" applyFont="1" applyBorder="1"/>
    <xf numFmtId="0" fontId="13" fillId="0" borderId="9" xfId="0" applyFont="1" applyBorder="1"/>
    <xf numFmtId="0" fontId="21" fillId="0" borderId="9" xfId="0" applyFont="1" applyBorder="1"/>
    <xf numFmtId="164" fontId="14" fillId="0" borderId="9" xfId="1" applyFont="1" applyFill="1" applyBorder="1"/>
    <xf numFmtId="0" fontId="4" fillId="0" borderId="6" xfId="0" applyFont="1" applyBorder="1"/>
    <xf numFmtId="0" fontId="0" fillId="0" borderId="3" xfId="0" applyBorder="1" applyAlignment="1">
      <alignment horizontal="center"/>
    </xf>
    <xf numFmtId="0" fontId="0" fillId="0" borderId="10" xfId="0" applyBorder="1"/>
    <xf numFmtId="0" fontId="6" fillId="0" borderId="10" xfId="0" applyFont="1" applyBorder="1" applyAlignment="1">
      <alignment horizontal="right"/>
    </xf>
    <xf numFmtId="164" fontId="12" fillId="0" borderId="6" xfId="0" applyNumberFormat="1" applyFont="1" applyBorder="1" applyAlignment="1">
      <alignment horizontal="center"/>
    </xf>
    <xf numFmtId="164" fontId="3" fillId="0" borderId="6" xfId="0" applyNumberFormat="1" applyFont="1" applyBorder="1"/>
    <xf numFmtId="164" fontId="11" fillId="0" borderId="6" xfId="0" applyNumberFormat="1" applyFont="1" applyBorder="1"/>
    <xf numFmtId="0" fontId="6" fillId="0" borderId="0" xfId="0" applyFont="1"/>
    <xf numFmtId="164" fontId="12" fillId="0" borderId="6" xfId="1" applyFont="1" applyFill="1" applyBorder="1"/>
    <xf numFmtId="164" fontId="3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164" fontId="3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164" fontId="3" fillId="0" borderId="0" xfId="1" applyFont="1" applyBorder="1" applyAlignment="1">
      <alignment horizontal="center"/>
    </xf>
    <xf numFmtId="164" fontId="12" fillId="2" borderId="6" xfId="0" applyNumberFormat="1" applyFont="1" applyFill="1" applyBorder="1"/>
    <xf numFmtId="164" fontId="20" fillId="2" borderId="6" xfId="0" applyNumberFormat="1" applyFont="1" applyFill="1" applyBorder="1"/>
    <xf numFmtId="164" fontId="23" fillId="0" borderId="6" xfId="0" applyNumberFormat="1" applyFont="1" applyBorder="1"/>
    <xf numFmtId="164" fontId="24" fillId="0" borderId="0" xfId="0" applyNumberFormat="1" applyFont="1"/>
    <xf numFmtId="164" fontId="11" fillId="0" borderId="9" xfId="1" applyFont="1" applyFill="1" applyBorder="1" applyAlignment="1">
      <alignment vertical="center"/>
    </xf>
    <xf numFmtId="164" fontId="11" fillId="0" borderId="9" xfId="1" applyFont="1" applyBorder="1" applyAlignment="1">
      <alignment vertical="center"/>
    </xf>
    <xf numFmtId="164" fontId="12" fillId="6" borderId="9" xfId="1" applyFont="1" applyFill="1" applyBorder="1"/>
    <xf numFmtId="0" fontId="25" fillId="0" borderId="9" xfId="0" applyFont="1" applyBorder="1"/>
    <xf numFmtId="164" fontId="26" fillId="0" borderId="9" xfId="1" applyFont="1" applyFill="1" applyBorder="1"/>
    <xf numFmtId="0" fontId="3" fillId="0" borderId="11" xfId="0" applyFont="1" applyBorder="1" applyAlignment="1">
      <alignment horizontal="center" vertical="center" wrapText="1"/>
    </xf>
    <xf numFmtId="164" fontId="3" fillId="0" borderId="3" xfId="1" applyFont="1" applyFill="1" applyBorder="1" applyAlignment="1">
      <alignment horizontal="justify" vertical="center"/>
    </xf>
    <xf numFmtId="164" fontId="3" fillId="0" borderId="9" xfId="1" applyFont="1" applyFill="1" applyBorder="1" applyAlignment="1">
      <alignment horizontal="justify" vertical="center"/>
    </xf>
    <xf numFmtId="164" fontId="3" fillId="2" borderId="9" xfId="1" applyFont="1" applyFill="1" applyBorder="1" applyAlignment="1">
      <alignment horizontal="justify" vertical="center"/>
    </xf>
    <xf numFmtId="164" fontId="3" fillId="0" borderId="9" xfId="1" applyFont="1" applyBorder="1" applyAlignment="1">
      <alignment horizontal="justify" vertical="center"/>
    </xf>
    <xf numFmtId="164" fontId="9" fillId="0" borderId="6" xfId="1" applyFont="1" applyBorder="1" applyAlignment="1">
      <alignment horizontal="justify" vertical="center"/>
    </xf>
    <xf numFmtId="0" fontId="9" fillId="0" borderId="3" xfId="0" applyFont="1" applyBorder="1" applyAlignment="1">
      <alignment horizontal="justify" vertical="center"/>
    </xf>
    <xf numFmtId="164" fontId="3" fillId="0" borderId="9" xfId="1" applyFont="1" applyFill="1" applyBorder="1" applyAlignment="1">
      <alignment horizontal="left" vertical="center"/>
    </xf>
    <xf numFmtId="164" fontId="3" fillId="0" borderId="9" xfId="1" applyFont="1" applyBorder="1" applyAlignment="1">
      <alignment horizontal="left" vertical="center"/>
    </xf>
    <xf numFmtId="164" fontId="3" fillId="2" borderId="9" xfId="1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164" fontId="3" fillId="0" borderId="6" xfId="1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164" fontId="3" fillId="2" borderId="9" xfId="0" applyNumberFormat="1" applyFont="1" applyFill="1" applyBorder="1" applyAlignment="1">
      <alignment vertical="center"/>
    </xf>
    <xf numFmtId="164" fontId="10" fillId="0" borderId="9" xfId="0" applyNumberFormat="1" applyFont="1" applyBorder="1" applyAlignment="1">
      <alignment vertical="center"/>
    </xf>
    <xf numFmtId="164" fontId="13" fillId="2" borderId="9" xfId="0" applyNumberFormat="1" applyFont="1" applyFill="1" applyBorder="1" applyAlignment="1">
      <alignment vertical="center"/>
    </xf>
    <xf numFmtId="164" fontId="12" fillId="0" borderId="6" xfId="0" applyNumberFormat="1" applyFont="1" applyBorder="1"/>
    <xf numFmtId="164" fontId="14" fillId="0" borderId="6" xfId="0" applyNumberFormat="1" applyFont="1" applyBorder="1"/>
    <xf numFmtId="0" fontId="9" fillId="0" borderId="0" xfId="0" applyFont="1"/>
    <xf numFmtId="164" fontId="3" fillId="0" borderId="0" xfId="0" applyNumberFormat="1" applyFont="1"/>
    <xf numFmtId="0" fontId="9" fillId="0" borderId="10" xfId="0" applyFont="1" applyBorder="1" applyAlignment="1">
      <alignment horizontal="right"/>
    </xf>
    <xf numFmtId="164" fontId="3" fillId="0" borderId="10" xfId="0" applyNumberFormat="1" applyFont="1" applyBorder="1"/>
    <xf numFmtId="164" fontId="3" fillId="0" borderId="7" xfId="1" applyFont="1" applyBorder="1" applyAlignment="1"/>
    <xf numFmtId="164" fontId="3" fillId="0" borderId="0" xfId="1" applyFont="1"/>
    <xf numFmtId="164" fontId="3" fillId="0" borderId="10" xfId="1" applyFont="1" applyBorder="1"/>
    <xf numFmtId="164" fontId="12" fillId="0" borderId="0" xfId="0" applyNumberFormat="1" applyFont="1"/>
    <xf numFmtId="164" fontId="13" fillId="0" borderId="10" xfId="0" applyNumberFormat="1" applyFont="1" applyBorder="1"/>
    <xf numFmtId="0" fontId="5" fillId="0" borderId="10" xfId="0" applyFont="1" applyBorder="1"/>
    <xf numFmtId="0" fontId="9" fillId="0" borderId="10" xfId="0" applyFont="1" applyBorder="1"/>
    <xf numFmtId="164" fontId="24" fillId="0" borderId="10" xfId="1" applyFont="1" applyBorder="1"/>
    <xf numFmtId="166" fontId="3" fillId="0" borderId="0" xfId="0" applyNumberFormat="1" applyFont="1" applyAlignment="1">
      <alignment horizontal="center"/>
    </xf>
    <xf numFmtId="164" fontId="3" fillId="0" borderId="7" xfId="0" applyNumberFormat="1" applyFont="1" applyBorder="1" applyAlignment="1">
      <alignment horizontal="center" vertical="center"/>
    </xf>
    <xf numFmtId="0" fontId="0" fillId="7" borderId="0" xfId="0" applyFill="1"/>
    <xf numFmtId="0" fontId="27" fillId="0" borderId="0" xfId="0" applyFont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12" fillId="0" borderId="9" xfId="0" applyNumberFormat="1" applyFont="1" applyBorder="1" applyAlignment="1">
      <alignment horizontal="justify" vertical="center"/>
    </xf>
    <xf numFmtId="0" fontId="0" fillId="0" borderId="8" xfId="0" applyBorder="1" applyAlignment="1">
      <alignment horizontal="left" vertical="center"/>
    </xf>
    <xf numFmtId="164" fontId="3" fillId="0" borderId="9" xfId="0" applyNumberFormat="1" applyFont="1" applyBorder="1" applyAlignment="1">
      <alignment horizontal="right" vertical="center"/>
    </xf>
    <xf numFmtId="164" fontId="27" fillId="0" borderId="9" xfId="1" applyFont="1" applyBorder="1"/>
    <xf numFmtId="164" fontId="22" fillId="0" borderId="9" xfId="0" applyNumberFormat="1" applyFont="1" applyBorder="1" applyAlignment="1">
      <alignment horizontal="justify" vertical="center"/>
    </xf>
    <xf numFmtId="0" fontId="0" fillId="0" borderId="4" xfId="0" applyBorder="1" applyAlignment="1">
      <alignment horizontal="left" vertical="center"/>
    </xf>
    <xf numFmtId="164" fontId="3" fillId="0" borderId="6" xfId="0" applyNumberFormat="1" applyFont="1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164" fontId="3" fillId="0" borderId="7" xfId="1" applyFont="1" applyBorder="1"/>
    <xf numFmtId="0" fontId="0" fillId="0" borderId="10" xfId="0" applyBorder="1" applyAlignment="1">
      <alignment horizontal="left" vertical="center"/>
    </xf>
    <xf numFmtId="164" fontId="3" fillId="0" borderId="10" xfId="0" applyNumberFormat="1" applyFont="1" applyBorder="1" applyAlignment="1">
      <alignment horizontal="center" vertical="center"/>
    </xf>
    <xf numFmtId="164" fontId="26" fillId="0" borderId="9" xfId="1" applyFont="1" applyBorder="1"/>
    <xf numFmtId="164" fontId="12" fillId="0" borderId="9" xfId="1" applyFont="1" applyBorder="1"/>
    <xf numFmtId="164" fontId="12" fillId="0" borderId="7" xfId="1" applyFont="1" applyFill="1" applyBorder="1"/>
    <xf numFmtId="0" fontId="3" fillId="0" borderId="7" xfId="0" applyFont="1" applyBorder="1"/>
    <xf numFmtId="164" fontId="12" fillId="0" borderId="10" xfId="1" applyFont="1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7" borderId="8" xfId="0" applyFill="1" applyBorder="1" applyAlignment="1">
      <alignment horizontal="left" vertical="center"/>
    </xf>
    <xf numFmtId="0" fontId="9" fillId="7" borderId="0" xfId="0" applyFont="1" applyFill="1" applyAlignment="1">
      <alignment horizontal="justify" vertical="center"/>
    </xf>
    <xf numFmtId="164" fontId="12" fillId="7" borderId="9" xfId="0" applyNumberFormat="1" applyFont="1" applyFill="1" applyBorder="1" applyAlignment="1">
      <alignment horizontal="justify" vertical="center"/>
    </xf>
    <xf numFmtId="164" fontId="3" fillId="7" borderId="9" xfId="1" applyFont="1" applyFill="1" applyBorder="1" applyAlignment="1">
      <alignment vertical="center"/>
    </xf>
    <xf numFmtId="164" fontId="10" fillId="7" borderId="9" xfId="1" applyFont="1" applyFill="1" applyBorder="1" applyAlignment="1">
      <alignment vertical="center"/>
    </xf>
    <xf numFmtId="164" fontId="3" fillId="7" borderId="9" xfId="1" applyFont="1" applyFill="1" applyBorder="1"/>
    <xf numFmtId="164" fontId="10" fillId="7" borderId="9" xfId="1" applyFont="1" applyFill="1" applyBorder="1"/>
    <xf numFmtId="0" fontId="0" fillId="4" borderId="8" xfId="0" applyFill="1" applyBorder="1" applyAlignment="1">
      <alignment horizontal="left" vertical="center"/>
    </xf>
    <xf numFmtId="164" fontId="10" fillId="0" borderId="9" xfId="1" applyFont="1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8" fillId="0" borderId="14" xfId="0" applyFont="1" applyBorder="1" applyAlignment="1">
      <alignment horizontal="right" vertical="center"/>
    </xf>
    <xf numFmtId="164" fontId="12" fillId="0" borderId="12" xfId="1" applyFont="1" applyBorder="1"/>
    <xf numFmtId="164" fontId="3" fillId="0" borderId="12" xfId="1" applyFont="1" applyBorder="1"/>
    <xf numFmtId="164" fontId="12" fillId="7" borderId="9" xfId="1" applyFont="1" applyFill="1" applyBorder="1"/>
    <xf numFmtId="164" fontId="3" fillId="0" borderId="6" xfId="0" applyNumberFormat="1" applyFont="1" applyBorder="1" applyAlignment="1">
      <alignment vertical="center"/>
    </xf>
    <xf numFmtId="164" fontId="10" fillId="0" borderId="6" xfId="0" applyNumberFormat="1" applyFont="1" applyBorder="1" applyAlignment="1">
      <alignment vertical="center"/>
    </xf>
    <xf numFmtId="164" fontId="12" fillId="0" borderId="6" xfId="0" applyNumberFormat="1" applyFont="1" applyBorder="1" applyAlignment="1">
      <alignment vertic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vertical="center"/>
    </xf>
    <xf numFmtId="0" fontId="0" fillId="2" borderId="1" xfId="0" applyFill="1" applyBorder="1" applyAlignment="1">
      <alignment horizontal="left" vertical="center"/>
    </xf>
    <xf numFmtId="164" fontId="10" fillId="0" borderId="3" xfId="1" applyFont="1" applyBorder="1" applyAlignment="1">
      <alignment vertical="center"/>
    </xf>
    <xf numFmtId="164" fontId="12" fillId="0" borderId="9" xfId="0" applyNumberFormat="1" applyFont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0" fillId="0" borderId="4" xfId="0" applyBorder="1"/>
    <xf numFmtId="164" fontId="12" fillId="0" borderId="7" xfId="1" applyFont="1" applyBorder="1"/>
    <xf numFmtId="164" fontId="12" fillId="0" borderId="10" xfId="1" applyFont="1" applyBorder="1"/>
    <xf numFmtId="164" fontId="27" fillId="0" borderId="9" xfId="1" applyFont="1" applyBorder="1" applyAlignment="1">
      <alignment vertical="center"/>
    </xf>
    <xf numFmtId="0" fontId="28" fillId="0" borderId="0" xfId="0" applyFont="1" applyAlignment="1">
      <alignment vertical="center"/>
    </xf>
    <xf numFmtId="164" fontId="1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164" fontId="27" fillId="0" borderId="6" xfId="1" applyFont="1" applyBorder="1"/>
    <xf numFmtId="0" fontId="3" fillId="0" borderId="10" xfId="0" applyFont="1" applyBorder="1"/>
    <xf numFmtId="164" fontId="29" fillId="0" borderId="6" xfId="0" applyNumberFormat="1" applyFont="1" applyBorder="1"/>
    <xf numFmtId="0" fontId="12" fillId="0" borderId="10" xfId="0" applyFont="1" applyBorder="1" applyAlignment="1">
      <alignment horizontal="right"/>
    </xf>
    <xf numFmtId="0" fontId="4" fillId="0" borderId="9" xfId="0" applyFont="1" applyBorder="1"/>
    <xf numFmtId="164" fontId="3" fillId="0" borderId="9" xfId="0" applyNumberFormat="1" applyFont="1" applyBorder="1"/>
    <xf numFmtId="164" fontId="11" fillId="0" borderId="9" xfId="0" applyNumberFormat="1" applyFont="1" applyBorder="1"/>
    <xf numFmtId="164" fontId="29" fillId="0" borderId="9" xfId="0" applyNumberFormat="1" applyFont="1" applyBorder="1"/>
    <xf numFmtId="164" fontId="3" fillId="2" borderId="6" xfId="0" applyNumberFormat="1" applyFont="1" applyFill="1" applyBorder="1"/>
    <xf numFmtId="0" fontId="32" fillId="0" borderId="0" xfId="0" applyFont="1"/>
    <xf numFmtId="164" fontId="32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right"/>
    </xf>
    <xf numFmtId="0" fontId="32" fillId="0" borderId="15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justify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15" xfId="0" applyFont="1" applyBorder="1"/>
    <xf numFmtId="0" fontId="34" fillId="0" borderId="0" xfId="0" applyFont="1"/>
    <xf numFmtId="0" fontId="35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" fillId="8" borderId="8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164" fontId="20" fillId="0" borderId="9" xfId="0" applyNumberFormat="1" applyFont="1" applyBorder="1"/>
    <xf numFmtId="164" fontId="20" fillId="0" borderId="6" xfId="0" applyNumberFormat="1" applyFont="1" applyBorder="1"/>
    <xf numFmtId="164" fontId="32" fillId="0" borderId="0" xfId="0" applyNumberFormat="1" applyFont="1"/>
    <xf numFmtId="164" fontId="36" fillId="0" borderId="9" xfId="1" applyFont="1" applyBorder="1"/>
    <xf numFmtId="164" fontId="36" fillId="0" borderId="6" xfId="0" applyNumberFormat="1" applyFont="1" applyBorder="1"/>
    <xf numFmtId="164" fontId="32" fillId="0" borderId="9" xfId="0" applyNumberFormat="1" applyFont="1" applyBorder="1" applyAlignment="1">
      <alignment horizontal="center"/>
    </xf>
    <xf numFmtId="164" fontId="32" fillId="2" borderId="9" xfId="0" applyNumberFormat="1" applyFont="1" applyFill="1" applyBorder="1" applyAlignment="1">
      <alignment horizontal="center"/>
    </xf>
    <xf numFmtId="164" fontId="32" fillId="0" borderId="9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left"/>
    </xf>
    <xf numFmtId="0" fontId="34" fillId="0" borderId="0" xfId="0" applyFont="1" applyAlignment="1">
      <alignment horizontal="justify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43" fontId="13" fillId="0" borderId="9" xfId="0" applyNumberFormat="1" applyFont="1" applyBorder="1"/>
    <xf numFmtId="0" fontId="34" fillId="0" borderId="0" xfId="0" applyFont="1" applyAlignment="1">
      <alignment horizontal="left"/>
    </xf>
    <xf numFmtId="164" fontId="32" fillId="2" borderId="6" xfId="0" applyNumberFormat="1" applyFont="1" applyFill="1" applyBorder="1"/>
    <xf numFmtId="164" fontId="32" fillId="0" borderId="9" xfId="1" applyFont="1" applyFill="1" applyBorder="1"/>
    <xf numFmtId="164" fontId="35" fillId="0" borderId="9" xfId="1" applyFont="1" applyFill="1" applyBorder="1"/>
    <xf numFmtId="164" fontId="32" fillId="0" borderId="9" xfId="1" applyFont="1" applyFill="1" applyBorder="1" applyAlignment="1">
      <alignment vertical="center"/>
    </xf>
    <xf numFmtId="0" fontId="9" fillId="0" borderId="0" xfId="0" applyFont="1" applyAlignment="1">
      <alignment horizontal="justify"/>
    </xf>
    <xf numFmtId="0" fontId="32" fillId="0" borderId="0" xfId="0" applyFont="1" applyAlignment="1">
      <alignment horizontal="justify"/>
    </xf>
    <xf numFmtId="164" fontId="3" fillId="0" borderId="9" xfId="1" applyFont="1" applyFill="1" applyBorder="1" applyAlignment="1">
      <alignment horizontal="center"/>
    </xf>
    <xf numFmtId="164" fontId="3" fillId="0" borderId="9" xfId="1" applyFont="1" applyBorder="1" applyAlignment="1"/>
    <xf numFmtId="164" fontId="32" fillId="0" borderId="9" xfId="1" applyFont="1" applyFill="1" applyBorder="1" applyAlignment="1"/>
    <xf numFmtId="164" fontId="13" fillId="0" borderId="9" xfId="1" applyFont="1" applyBorder="1" applyAlignment="1"/>
    <xf numFmtId="164" fontId="17" fillId="0" borderId="0" xfId="0" applyNumberFormat="1" applyFont="1"/>
    <xf numFmtId="164" fontId="5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64" fontId="27" fillId="0" borderId="9" xfId="1" applyFont="1" applyBorder="1" applyAlignment="1"/>
    <xf numFmtId="164" fontId="10" fillId="0" borderId="9" xfId="1" applyFont="1" applyBorder="1" applyAlignment="1"/>
    <xf numFmtId="0" fontId="37" fillId="0" borderId="0" xfId="0" applyFont="1"/>
    <xf numFmtId="164" fontId="39" fillId="0" borderId="9" xfId="1" applyFont="1" applyBorder="1"/>
    <xf numFmtId="0" fontId="33" fillId="0" borderId="0" xfId="0" applyFont="1" applyAlignment="1">
      <alignment horizontal="left" vertical="center"/>
    </xf>
    <xf numFmtId="164" fontId="39" fillId="0" borderId="9" xfId="0" applyNumberFormat="1" applyFont="1" applyBorder="1" applyAlignment="1">
      <alignment horizontal="justify" vertical="center"/>
    </xf>
    <xf numFmtId="0" fontId="33" fillId="0" borderId="0" xfId="0" applyFont="1" applyAlignment="1">
      <alignment horizontal="justify" vertical="center"/>
    </xf>
    <xf numFmtId="164" fontId="39" fillId="0" borderId="9" xfId="1" applyFont="1" applyFill="1" applyBorder="1"/>
    <xf numFmtId="164" fontId="35" fillId="0" borderId="9" xfId="1" applyFont="1" applyBorder="1"/>
    <xf numFmtId="164" fontId="40" fillId="0" borderId="9" xfId="1" applyFont="1" applyBorder="1"/>
    <xf numFmtId="0" fontId="1" fillId="0" borderId="0" xfId="0" applyFont="1"/>
    <xf numFmtId="164" fontId="41" fillId="0" borderId="9" xfId="1" applyFont="1" applyBorder="1"/>
    <xf numFmtId="0" fontId="38" fillId="0" borderId="0" xfId="0" applyFont="1"/>
    <xf numFmtId="164" fontId="42" fillId="0" borderId="9" xfId="1" applyFont="1" applyBorder="1"/>
    <xf numFmtId="164" fontId="43" fillId="0" borderId="9" xfId="0" applyNumberFormat="1" applyFont="1" applyBorder="1" applyAlignment="1">
      <alignment horizontal="right" vertical="center"/>
    </xf>
    <xf numFmtId="164" fontId="44" fillId="0" borderId="9" xfId="0" applyNumberFormat="1" applyFont="1" applyBorder="1" applyAlignment="1">
      <alignment horizontal="justify" vertical="center"/>
    </xf>
    <xf numFmtId="164" fontId="3" fillId="0" borderId="7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0" fontId="36" fillId="0" borderId="7" xfId="0" applyFont="1" applyBorder="1"/>
    <xf numFmtId="0" fontId="36" fillId="0" borderId="0" xfId="0" applyFont="1"/>
    <xf numFmtId="164" fontId="36" fillId="0" borderId="0" xfId="0" applyNumberFormat="1" applyFont="1"/>
    <xf numFmtId="0" fontId="32" fillId="0" borderId="0" xfId="0" applyFont="1" applyAlignment="1">
      <alignment vertical="center" wrapText="1"/>
    </xf>
    <xf numFmtId="2" fontId="32" fillId="0" borderId="0" xfId="0" applyNumberFormat="1" applyFont="1" applyAlignment="1">
      <alignment vertical="center"/>
    </xf>
    <xf numFmtId="43" fontId="32" fillId="0" borderId="0" xfId="0" applyNumberFormat="1" applyFont="1"/>
    <xf numFmtId="0" fontId="32" fillId="0" borderId="10" xfId="0" applyFont="1" applyBorder="1"/>
    <xf numFmtId="164" fontId="32" fillId="0" borderId="10" xfId="1" applyFont="1" applyBorder="1"/>
    <xf numFmtId="167" fontId="32" fillId="0" borderId="0" xfId="0" applyNumberFormat="1" applyFont="1"/>
    <xf numFmtId="0" fontId="0" fillId="0" borderId="8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4" fillId="0" borderId="0" xfId="0" applyFont="1" applyAlignment="1">
      <alignment horizontal="justify"/>
    </xf>
    <xf numFmtId="0" fontId="32" fillId="0" borderId="0" xfId="0" applyFont="1" applyAlignment="1">
      <alignment horizontal="center"/>
    </xf>
    <xf numFmtId="164" fontId="14" fillId="0" borderId="9" xfId="1" applyFont="1" applyBorder="1" applyAlignment="1"/>
    <xf numFmtId="164" fontId="3" fillId="0" borderId="9" xfId="1" applyFont="1" applyFill="1" applyBorder="1" applyAlignment="1"/>
    <xf numFmtId="0" fontId="3" fillId="0" borderId="1" xfId="0" applyFont="1" applyBorder="1"/>
    <xf numFmtId="164" fontId="3" fillId="0" borderId="10" xfId="0" applyNumberFormat="1" applyFont="1" applyBorder="1" applyAlignment="1">
      <alignment horizontal="center"/>
    </xf>
    <xf numFmtId="164" fontId="3" fillId="0" borderId="7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0" xfId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164" fontId="34" fillId="0" borderId="10" xfId="0" applyNumberFormat="1" applyFont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 wrapText="1"/>
    </xf>
    <xf numFmtId="0" fontId="32" fillId="2" borderId="6" xfId="0" applyFont="1" applyFill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59690</xdr:colOff>
      <xdr:row>0</xdr:row>
      <xdr:rowOff>635</xdr:rowOff>
    </xdr:from>
    <xdr:to>
      <xdr:col>5</xdr:col>
      <xdr:colOff>249324</xdr:colOff>
      <xdr:row>5</xdr:row>
      <xdr:rowOff>67310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5090" y="635"/>
          <a:ext cx="665480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  <xdr:oneCellAnchor>
    <xdr:from>
      <xdr:col>4</xdr:col>
      <xdr:colOff>346364</xdr:colOff>
      <xdr:row>39</xdr:row>
      <xdr:rowOff>173180</xdr:rowOff>
    </xdr:from>
    <xdr:ext cx="638175" cy="10191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1475" y="7291070"/>
          <a:ext cx="6381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4</xdr:col>
      <xdr:colOff>329046</xdr:colOff>
      <xdr:row>80</xdr:row>
      <xdr:rowOff>173183</xdr:rowOff>
    </xdr:from>
    <xdr:ext cx="676275" cy="10191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330" y="14603095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4</xdr:col>
      <xdr:colOff>329046</xdr:colOff>
      <xdr:row>121</xdr:row>
      <xdr:rowOff>164523</xdr:rowOff>
    </xdr:from>
    <xdr:ext cx="676275" cy="10191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330" y="21862415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59690</xdr:colOff>
      <xdr:row>0</xdr:row>
      <xdr:rowOff>635</xdr:rowOff>
    </xdr:from>
    <xdr:to>
      <xdr:col>5</xdr:col>
      <xdr:colOff>248920</xdr:colOff>
      <xdr:row>5</xdr:row>
      <xdr:rowOff>67310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5090" y="635"/>
          <a:ext cx="665480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  <xdr:oneCellAnchor>
    <xdr:from>
      <xdr:col>4</xdr:col>
      <xdr:colOff>346364</xdr:colOff>
      <xdr:row>39</xdr:row>
      <xdr:rowOff>173180</xdr:rowOff>
    </xdr:from>
    <xdr:ext cx="638175" cy="10191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1475" y="7291070"/>
          <a:ext cx="6381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4</xdr:col>
      <xdr:colOff>329046</xdr:colOff>
      <xdr:row>80</xdr:row>
      <xdr:rowOff>173183</xdr:rowOff>
    </xdr:from>
    <xdr:ext cx="676275" cy="10191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330" y="14603095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4</xdr:col>
      <xdr:colOff>329046</xdr:colOff>
      <xdr:row>121</xdr:row>
      <xdr:rowOff>164523</xdr:rowOff>
    </xdr:from>
    <xdr:ext cx="676275" cy="10191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330" y="21862415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364489</xdr:colOff>
      <xdr:row>0</xdr:row>
      <xdr:rowOff>0</xdr:rowOff>
    </xdr:from>
    <xdr:to>
      <xdr:col>7</xdr:col>
      <xdr:colOff>124228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9089" y="0"/>
          <a:ext cx="653358" cy="967220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  <xdr:oneCellAnchor>
    <xdr:from>
      <xdr:col>5</xdr:col>
      <xdr:colOff>374073</xdr:colOff>
      <xdr:row>41</xdr:row>
      <xdr:rowOff>152401</xdr:rowOff>
    </xdr:from>
    <xdr:ext cx="638175" cy="10191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8673" y="7301346"/>
          <a:ext cx="6381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5</xdr:col>
      <xdr:colOff>356756</xdr:colOff>
      <xdr:row>82</xdr:row>
      <xdr:rowOff>152402</xdr:rowOff>
    </xdr:from>
    <xdr:ext cx="676275" cy="10191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1356" y="14498784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5</xdr:col>
      <xdr:colOff>370610</xdr:colOff>
      <xdr:row>124</xdr:row>
      <xdr:rowOff>138545</xdr:rowOff>
    </xdr:from>
    <xdr:ext cx="676275" cy="10191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5210" y="21779345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181841</xdr:colOff>
      <xdr:row>0</xdr:row>
      <xdr:rowOff>0</xdr:rowOff>
    </xdr:from>
    <xdr:to>
      <xdr:col>4</xdr:col>
      <xdr:colOff>254259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5160" y="0"/>
          <a:ext cx="618490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181841</xdr:colOff>
      <xdr:row>0</xdr:row>
      <xdr:rowOff>0</xdr:rowOff>
    </xdr:from>
    <xdr:to>
      <xdr:col>4</xdr:col>
      <xdr:colOff>254259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5160" y="0"/>
          <a:ext cx="618490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181841</xdr:colOff>
      <xdr:row>0</xdr:row>
      <xdr:rowOff>0</xdr:rowOff>
    </xdr:from>
    <xdr:to>
      <xdr:col>4</xdr:col>
      <xdr:colOff>254231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5160" y="0"/>
          <a:ext cx="618490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181841</xdr:colOff>
      <xdr:row>0</xdr:row>
      <xdr:rowOff>0</xdr:rowOff>
    </xdr:from>
    <xdr:to>
      <xdr:col>4</xdr:col>
      <xdr:colOff>254231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5160" y="0"/>
          <a:ext cx="618490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264968</xdr:colOff>
      <xdr:row>0</xdr:row>
      <xdr:rowOff>0</xdr:rowOff>
    </xdr:from>
    <xdr:to>
      <xdr:col>4</xdr:col>
      <xdr:colOff>337358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5986" y="0"/>
          <a:ext cx="605790" cy="967220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380999</xdr:colOff>
      <xdr:row>0</xdr:row>
      <xdr:rowOff>0</xdr:rowOff>
    </xdr:from>
    <xdr:to>
      <xdr:col>5</xdr:col>
      <xdr:colOff>479395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1015" y="0"/>
          <a:ext cx="625475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380999</xdr:colOff>
      <xdr:row>0</xdr:row>
      <xdr:rowOff>0</xdr:rowOff>
    </xdr:from>
    <xdr:to>
      <xdr:col>5</xdr:col>
      <xdr:colOff>479395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1815" y="0"/>
          <a:ext cx="625475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380999</xdr:colOff>
      <xdr:row>0</xdr:row>
      <xdr:rowOff>0</xdr:rowOff>
    </xdr:from>
    <xdr:to>
      <xdr:col>5</xdr:col>
      <xdr:colOff>479424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115" y="0"/>
          <a:ext cx="625475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380999</xdr:colOff>
      <xdr:row>0</xdr:row>
      <xdr:rowOff>0</xdr:rowOff>
    </xdr:from>
    <xdr:to>
      <xdr:col>5</xdr:col>
      <xdr:colOff>479424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115" y="0"/>
          <a:ext cx="625475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285749</xdr:colOff>
      <xdr:row>0</xdr:row>
      <xdr:rowOff>0</xdr:rowOff>
    </xdr:from>
    <xdr:to>
      <xdr:col>5</xdr:col>
      <xdr:colOff>370566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B5C0B5-4A53-41EB-B5C9-45FE2C1F60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6588" y="0"/>
          <a:ext cx="615496" cy="985157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285749</xdr:colOff>
      <xdr:row>0</xdr:row>
      <xdr:rowOff>0</xdr:rowOff>
    </xdr:from>
    <xdr:to>
      <xdr:col>5</xdr:col>
      <xdr:colOff>370566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A5A72A-8004-4F7C-8C43-7D720E20EF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3769" y="0"/>
          <a:ext cx="618217" cy="9810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13</xdr:col>
      <xdr:colOff>217343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0" y="0"/>
          <a:ext cx="668020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  <xdr:oneCellAnchor>
    <xdr:from>
      <xdr:col>12</xdr:col>
      <xdr:colOff>0</xdr:colOff>
      <xdr:row>40</xdr:row>
      <xdr:rowOff>8658</xdr:rowOff>
    </xdr:from>
    <xdr:ext cx="638175" cy="10191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0" y="7434580"/>
          <a:ext cx="6381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12</xdr:col>
      <xdr:colOff>0</xdr:colOff>
      <xdr:row>81</xdr:row>
      <xdr:rowOff>1</xdr:rowOff>
    </xdr:from>
    <xdr:ext cx="676275" cy="10191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0" y="14871700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12</xdr:col>
      <xdr:colOff>0</xdr:colOff>
      <xdr:row>122</xdr:row>
      <xdr:rowOff>17320</xdr:rowOff>
    </xdr:from>
    <xdr:ext cx="676275" cy="10191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3500" y="22251670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13</xdr:col>
      <xdr:colOff>217342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0650" y="0"/>
          <a:ext cx="668020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  <xdr:oneCellAnchor>
    <xdr:from>
      <xdr:col>12</xdr:col>
      <xdr:colOff>0</xdr:colOff>
      <xdr:row>40</xdr:row>
      <xdr:rowOff>8658</xdr:rowOff>
    </xdr:from>
    <xdr:ext cx="638175" cy="10191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0650" y="7434580"/>
          <a:ext cx="6381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12</xdr:col>
      <xdr:colOff>0</xdr:colOff>
      <xdr:row>81</xdr:row>
      <xdr:rowOff>1</xdr:rowOff>
    </xdr:from>
    <xdr:ext cx="676275" cy="10191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0650" y="14871700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12</xdr:col>
      <xdr:colOff>0</xdr:colOff>
      <xdr:row>122</xdr:row>
      <xdr:rowOff>17320</xdr:rowOff>
    </xdr:from>
    <xdr:ext cx="676275" cy="10191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0650" y="22251670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59690</xdr:colOff>
      <xdr:row>0</xdr:row>
      <xdr:rowOff>635</xdr:rowOff>
    </xdr:from>
    <xdr:to>
      <xdr:col>5</xdr:col>
      <xdr:colOff>249324</xdr:colOff>
      <xdr:row>5</xdr:row>
      <xdr:rowOff>67310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2540" y="635"/>
          <a:ext cx="665480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  <xdr:oneCellAnchor>
    <xdr:from>
      <xdr:col>4</xdr:col>
      <xdr:colOff>346364</xdr:colOff>
      <xdr:row>39</xdr:row>
      <xdr:rowOff>173180</xdr:rowOff>
    </xdr:from>
    <xdr:ext cx="638175" cy="10191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7291070"/>
          <a:ext cx="6381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4</xdr:col>
      <xdr:colOff>329046</xdr:colOff>
      <xdr:row>80</xdr:row>
      <xdr:rowOff>173183</xdr:rowOff>
    </xdr:from>
    <xdr:ext cx="676275" cy="10191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780" y="14603095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4</xdr:col>
      <xdr:colOff>329046</xdr:colOff>
      <xdr:row>121</xdr:row>
      <xdr:rowOff>164523</xdr:rowOff>
    </xdr:from>
    <xdr:ext cx="676275" cy="10191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1780" y="21862415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59690</xdr:colOff>
      <xdr:row>0</xdr:row>
      <xdr:rowOff>635</xdr:rowOff>
    </xdr:from>
    <xdr:to>
      <xdr:col>5</xdr:col>
      <xdr:colOff>249324</xdr:colOff>
      <xdr:row>5</xdr:row>
      <xdr:rowOff>67310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5090" y="635"/>
          <a:ext cx="665480" cy="9874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  <xdr:oneCellAnchor>
    <xdr:from>
      <xdr:col>4</xdr:col>
      <xdr:colOff>346364</xdr:colOff>
      <xdr:row>39</xdr:row>
      <xdr:rowOff>173180</xdr:rowOff>
    </xdr:from>
    <xdr:ext cx="638175" cy="10191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1475" y="7291070"/>
          <a:ext cx="6381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4</xdr:col>
      <xdr:colOff>329046</xdr:colOff>
      <xdr:row>80</xdr:row>
      <xdr:rowOff>173183</xdr:rowOff>
    </xdr:from>
    <xdr:ext cx="676275" cy="10191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330" y="14603095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  <xdr:oneCellAnchor>
    <xdr:from>
      <xdr:col>4</xdr:col>
      <xdr:colOff>329046</xdr:colOff>
      <xdr:row>121</xdr:row>
      <xdr:rowOff>164523</xdr:rowOff>
    </xdr:from>
    <xdr:ext cx="676275" cy="10191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330" y="21862415"/>
          <a:ext cx="676275" cy="101917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idlak/Sidlak2018/Sidlak%20Membership.xlsx" TargetMode="External"/><Relationship Id="rId1" Type="http://schemas.openxmlformats.org/officeDocument/2006/relationships/externalLinkPath" Target="/Sidlak/Sidlak2018/Sidlak%20Membership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EMBERSHIP%20REGISTRY%20and%20SHARE%20AND%20TRANSFER%20BOOK.xls2025.xls" TargetMode="External"/><Relationship Id="rId2" Type="http://schemas.openxmlformats.org/officeDocument/2006/relationships/externalLinkPath" Target="file:///C:\Users\Dexter%20Jumao-as\Documents\Sidlak%202025\MEMBERSHIP%20REGISTRY%20and%20SHARE%20AND%20TRANSFER%20BOOK.xls2025.xls" TargetMode="External"/><Relationship Id="rId1" Type="http://schemas.openxmlformats.org/officeDocument/2006/relationships/externalLinkPath" Target="/Users/Dexter%20Jumao-as/Documents/Sidlak%202025/MEMBERSHIP%20REGISTRY%20and%20SHARE%20AND%20TRANSFER%20BOOK.xls2025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S%20AND%20TRANSFER%20BOOK.xlsx" TargetMode="External"/><Relationship Id="rId2" Type="http://schemas.openxmlformats.org/officeDocument/2006/relationships/externalLinkPath" Target="file:///C:\Users\Dexter%20Jumao-as\Documents\Sidlak%202025\SHARES%20AND%20TRANSFER%20BOOK.xlsx" TargetMode="External"/><Relationship Id="rId1" Type="http://schemas.openxmlformats.org/officeDocument/2006/relationships/externalLinkPath" Target="/Users/Dexter%20Jumao-as/Documents/Sidlak%202025/SHARES%20AND%20TRANSFER%20BOOK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idlakLoaners/2025-LOANERS.xlsx" TargetMode="External"/><Relationship Id="rId2" Type="http://schemas.openxmlformats.org/officeDocument/2006/relationships/externalLinkPath" Target="file:///C:\Users\Dexter%20Jumao-as\Documents\Sidlak%202025\SidlakLoaners\2025-LOANERS.xlsx" TargetMode="External"/><Relationship Id="rId1" Type="http://schemas.openxmlformats.org/officeDocument/2006/relationships/externalLinkPath" Target="/Users/Dexter%20Jumao-as/Documents/Sidlak%202025/SidlakLoaners/2025-LOANER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idlak\Sidlak%20Financial%20Statement&amp;Mandatory%20reports\2020\Sidlakshare7patronagecomputation.xlsx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8-2020loan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mbership"/>
      <sheetName val="Membership (2)"/>
      <sheetName val="Membership (3)"/>
      <sheetName val="Membership (4)"/>
      <sheetName val="Membership (5)"/>
      <sheetName val="Subscribed&amp;Paid-up (2)"/>
      <sheetName val="Subscribed&amp;Paid-up"/>
      <sheetName val="RegisteredMembers(Regular) (2)"/>
      <sheetName val="RegisteredMembers(Regular)"/>
      <sheetName val="RegisteredMembers(Associate (2"/>
      <sheetName val="RegisteredMembers(Associates)"/>
      <sheetName val="Savings&amp;Timedeposits (2017)"/>
      <sheetName val="Stock and Share Book"/>
      <sheetName val="Savings&amp;Timedeposits"/>
      <sheetName val="MStatus"/>
      <sheetName val="Pemployee"/>
      <sheetName val="SCitizen"/>
      <sheetName val="MemberComposition (3)"/>
      <sheetName val="Hwifehusband"/>
      <sheetName val="GEmployee"/>
      <sheetName val="TEducators"/>
      <sheetName val="Entrepreneurs"/>
      <sheetName val="MemberComposition (8)"/>
      <sheetName val="MemberMeninuniform"/>
      <sheetName val="Driver"/>
      <sheetName val="OFW"/>
      <sheetName val="MemberComposition (11)"/>
      <sheetName val="MemberGENDER"/>
      <sheetName val="Sheet2"/>
      <sheetName val="Sheet3"/>
    </sheetNames>
    <sheetDataSet>
      <sheetData sheetId="0">
        <row r="71">
          <cell r="B71" t="str">
            <v>Concepcion B. Cruz</v>
          </cell>
        </row>
        <row r="72">
          <cell r="B72" t="str">
            <v>Leonardo B. Cruz</v>
          </cell>
        </row>
        <row r="73">
          <cell r="B73" t="str">
            <v>Annalyn B. Cruz</v>
          </cell>
        </row>
        <row r="75">
          <cell r="B75" t="str">
            <v>Milben Rex P. Balao</v>
          </cell>
        </row>
      </sheetData>
      <sheetData sheetId="1"/>
      <sheetData sheetId="2"/>
      <sheetData sheetId="3"/>
      <sheetData sheetId="4"/>
      <sheetData sheetId="5">
        <row r="72">
          <cell r="B72" t="str">
            <v>Concepcion B. Cruz</v>
          </cell>
        </row>
        <row r="73">
          <cell r="B73" t="str">
            <v>Leonardo B. Cruz</v>
          </cell>
        </row>
        <row r="74">
          <cell r="B74" t="str">
            <v>Annalyn B. Cruz</v>
          </cell>
        </row>
        <row r="76">
          <cell r="B76" t="str">
            <v>Milben Rex P. Balao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5"/>
      <sheetName val="Malasakit"/>
    </sheetNames>
    <sheetDataSet>
      <sheetData sheetId="0">
        <row r="5">
          <cell r="B5" t="str">
            <v>ALLEN L.  GUBALANE</v>
          </cell>
          <cell r="D5" t="str">
            <v>AN-16-0001</v>
          </cell>
        </row>
        <row r="6">
          <cell r="D6" t="str">
            <v>AN-16-0002</v>
          </cell>
        </row>
        <row r="7">
          <cell r="D7" t="str">
            <v>AN-16-0003</v>
          </cell>
        </row>
        <row r="8">
          <cell r="D8" t="str">
            <v>AN-16-0004</v>
          </cell>
        </row>
        <row r="9">
          <cell r="D9" t="str">
            <v>AN-16-0005</v>
          </cell>
        </row>
        <row r="10">
          <cell r="D10" t="str">
            <v>AN-16-0006</v>
          </cell>
        </row>
        <row r="11">
          <cell r="D11" t="str">
            <v>AN-16-0007</v>
          </cell>
        </row>
        <row r="12">
          <cell r="D12" t="str">
            <v>AN-16-0008</v>
          </cell>
        </row>
        <row r="13">
          <cell r="D13" t="str">
            <v>AN-16-0009</v>
          </cell>
        </row>
        <row r="14">
          <cell r="D14" t="str">
            <v>AN-16-0010</v>
          </cell>
        </row>
        <row r="15">
          <cell r="D15" t="str">
            <v>AN-16-0011</v>
          </cell>
        </row>
        <row r="16">
          <cell r="D16" t="str">
            <v>AN-16-0012</v>
          </cell>
        </row>
        <row r="17">
          <cell r="D17" t="str">
            <v>AN-16-0013</v>
          </cell>
        </row>
        <row r="18">
          <cell r="D18" t="str">
            <v>AN-16-0014</v>
          </cell>
        </row>
        <row r="19">
          <cell r="D19" t="str">
            <v>AN-16-0015</v>
          </cell>
        </row>
        <row r="20">
          <cell r="D20" t="str">
            <v>AN-16-0016</v>
          </cell>
        </row>
        <row r="21">
          <cell r="D21" t="str">
            <v>AN-16-0017</v>
          </cell>
        </row>
        <row r="22">
          <cell r="D22" t="str">
            <v>AN-16-0018</v>
          </cell>
        </row>
        <row r="23">
          <cell r="D23" t="str">
            <v>AN-16-0019</v>
          </cell>
        </row>
        <row r="24">
          <cell r="D24" t="str">
            <v>AN-16-0020</v>
          </cell>
        </row>
        <row r="25">
          <cell r="D25" t="str">
            <v>AN-16-0021</v>
          </cell>
        </row>
        <row r="26">
          <cell r="D26" t="str">
            <v>AN-16-0022</v>
          </cell>
        </row>
        <row r="27">
          <cell r="D27" t="str">
            <v>AN-16-0023</v>
          </cell>
        </row>
        <row r="28">
          <cell r="D28" t="str">
            <v>AN-16-0024</v>
          </cell>
        </row>
        <row r="29">
          <cell r="D29" t="str">
            <v>AN-16-0025</v>
          </cell>
        </row>
        <row r="30">
          <cell r="D30" t="str">
            <v>AN-16-0026</v>
          </cell>
        </row>
        <row r="31">
          <cell r="D31" t="str">
            <v>AN-16-0027</v>
          </cell>
        </row>
        <row r="32">
          <cell r="D32" t="str">
            <v>AN-16-0028</v>
          </cell>
        </row>
        <row r="33">
          <cell r="D33" t="str">
            <v>AN-16-0029</v>
          </cell>
        </row>
        <row r="34">
          <cell r="D34" t="str">
            <v>AN-16-0030</v>
          </cell>
        </row>
        <row r="35">
          <cell r="D35" t="str">
            <v>AN-16-0031</v>
          </cell>
        </row>
        <row r="36">
          <cell r="D36" t="str">
            <v>AN-16-0032</v>
          </cell>
        </row>
        <row r="37">
          <cell r="D37" t="str">
            <v>AN-16-0033</v>
          </cell>
        </row>
        <row r="38">
          <cell r="D38" t="str">
            <v>AN-16-0034</v>
          </cell>
        </row>
        <row r="39">
          <cell r="D39" t="str">
            <v>AN-16-0035</v>
          </cell>
        </row>
        <row r="40">
          <cell r="D40" t="str">
            <v>AN-17-0036</v>
          </cell>
        </row>
        <row r="41">
          <cell r="D41" t="str">
            <v>AN-17-0037</v>
          </cell>
        </row>
        <row r="42">
          <cell r="D42" t="str">
            <v>AN-17-0038</v>
          </cell>
        </row>
        <row r="43">
          <cell r="D43" t="str">
            <v>AN-17-0039</v>
          </cell>
        </row>
        <row r="44">
          <cell r="D44" t="str">
            <v>AN-17-0040</v>
          </cell>
          <cell r="X44" t="str">
            <v>Cort Wensley J.  Balao</v>
          </cell>
        </row>
        <row r="45">
          <cell r="D45" t="str">
            <v>AN-17-0041</v>
          </cell>
        </row>
        <row r="46">
          <cell r="D46" t="str">
            <v>AN-17-0042</v>
          </cell>
        </row>
        <row r="47">
          <cell r="D47" t="str">
            <v>AN-17-0043</v>
          </cell>
        </row>
        <row r="48">
          <cell r="D48" t="str">
            <v>AN-17-0044</v>
          </cell>
        </row>
        <row r="49">
          <cell r="D49" t="str">
            <v>AN-17-0045</v>
          </cell>
        </row>
        <row r="50">
          <cell r="D50" t="str">
            <v>AN-17-0046</v>
          </cell>
        </row>
        <row r="51">
          <cell r="D51" t="str">
            <v>AN-17-0047</v>
          </cell>
        </row>
        <row r="52">
          <cell r="D52" t="str">
            <v>AN-17-0048</v>
          </cell>
        </row>
        <row r="53">
          <cell r="D53" t="str">
            <v>AN-17-0049</v>
          </cell>
        </row>
        <row r="54">
          <cell r="D54" t="str">
            <v>AN-18-0050</v>
          </cell>
        </row>
        <row r="55">
          <cell r="D55" t="str">
            <v>AN-18-0051</v>
          </cell>
        </row>
        <row r="56">
          <cell r="D56" t="str">
            <v>AN-18-0052</v>
          </cell>
        </row>
        <row r="57">
          <cell r="D57" t="str">
            <v>AN-18-0053</v>
          </cell>
        </row>
        <row r="58">
          <cell r="D58" t="str">
            <v>AN-18-0054</v>
          </cell>
        </row>
        <row r="59">
          <cell r="D59" t="str">
            <v>AN-18-0055</v>
          </cell>
          <cell r="X59" t="str">
            <v>Brett Colin J.  Balao</v>
          </cell>
        </row>
        <row r="60">
          <cell r="D60" t="str">
            <v>AN-18-0056</v>
          </cell>
        </row>
        <row r="61">
          <cell r="D61" t="str">
            <v>AN-18-0057</v>
          </cell>
        </row>
        <row r="62">
          <cell r="D62" t="str">
            <v>AN-18-0058</v>
          </cell>
        </row>
        <row r="63">
          <cell r="D63" t="str">
            <v>AN-18-0059</v>
          </cell>
        </row>
        <row r="64">
          <cell r="D64" t="str">
            <v>AN-18-0060</v>
          </cell>
        </row>
        <row r="65">
          <cell r="D65" t="str">
            <v>AN-18-0061</v>
          </cell>
        </row>
        <row r="66">
          <cell r="D66" t="str">
            <v>AN-18-0062</v>
          </cell>
          <cell r="X66" t="str">
            <v>ROWENA B. TELLIDUA</v>
          </cell>
        </row>
        <row r="67">
          <cell r="D67" t="str">
            <v>AN-18-0063</v>
          </cell>
        </row>
        <row r="68">
          <cell r="D68" t="str">
            <v>AN-18-0064</v>
          </cell>
        </row>
        <row r="69">
          <cell r="D69" t="str">
            <v>AN-18-0065</v>
          </cell>
        </row>
        <row r="70">
          <cell r="D70" t="str">
            <v>AN-18-0066</v>
          </cell>
        </row>
        <row r="71">
          <cell r="D71" t="str">
            <v>AN-18-0067</v>
          </cell>
        </row>
        <row r="72">
          <cell r="D72" t="str">
            <v>AN-18-0068</v>
          </cell>
        </row>
        <row r="73">
          <cell r="D73" t="str">
            <v>AN-18-0069</v>
          </cell>
        </row>
        <row r="74">
          <cell r="D74" t="str">
            <v>AN-19-0070</v>
          </cell>
        </row>
        <row r="75">
          <cell r="D75" t="str">
            <v>AN-19-0071</v>
          </cell>
        </row>
        <row r="76">
          <cell r="D76" t="str">
            <v>AN-19-0072</v>
          </cell>
        </row>
        <row r="77">
          <cell r="D77" t="str">
            <v>AN-19-0073</v>
          </cell>
        </row>
        <row r="78">
          <cell r="D78" t="str">
            <v>AN-19-0074</v>
          </cell>
        </row>
        <row r="79">
          <cell r="D79" t="str">
            <v>AN-19-0075</v>
          </cell>
        </row>
        <row r="80">
          <cell r="D80" t="str">
            <v>AN-20-0076</v>
          </cell>
        </row>
        <row r="81">
          <cell r="D81" t="str">
            <v>AN-20-0077</v>
          </cell>
        </row>
        <row r="82">
          <cell r="D82" t="str">
            <v>AN-20-0078</v>
          </cell>
        </row>
        <row r="83">
          <cell r="D83" t="str">
            <v>AN-20-0079</v>
          </cell>
        </row>
        <row r="84">
          <cell r="D84" t="str">
            <v>AN-20-0080</v>
          </cell>
        </row>
        <row r="85">
          <cell r="D85" t="str">
            <v>AN-20-0081</v>
          </cell>
        </row>
        <row r="86">
          <cell r="D86" t="str">
            <v>AN-20-0082</v>
          </cell>
        </row>
        <row r="87">
          <cell r="D87" t="str">
            <v>AN-20-0083</v>
          </cell>
        </row>
        <row r="88">
          <cell r="D88" t="str">
            <v>AN-20-0084</v>
          </cell>
        </row>
        <row r="89">
          <cell r="D89" t="str">
            <v>AN-20-0085</v>
          </cell>
        </row>
        <row r="90">
          <cell r="D90" t="str">
            <v>AN-20-0086</v>
          </cell>
        </row>
        <row r="91">
          <cell r="D91" t="str">
            <v>AN-20-0087</v>
          </cell>
        </row>
        <row r="92">
          <cell r="D92" t="str">
            <v>AN-20-0088</v>
          </cell>
        </row>
        <row r="93">
          <cell r="D93" t="str">
            <v>AN-20-0089</v>
          </cell>
        </row>
        <row r="94">
          <cell r="D94" t="str">
            <v>AN-21-0090</v>
          </cell>
        </row>
        <row r="95">
          <cell r="D95" t="str">
            <v>AN-21-0091</v>
          </cell>
        </row>
        <row r="96">
          <cell r="D96" t="str">
            <v>AN-21-0092</v>
          </cell>
        </row>
        <row r="97">
          <cell r="D97" t="str">
            <v>AN-21-0093</v>
          </cell>
        </row>
        <row r="98">
          <cell r="D98" t="str">
            <v>AN-21-0094</v>
          </cell>
        </row>
        <row r="99">
          <cell r="D99" t="str">
            <v>AN-21-0095</v>
          </cell>
        </row>
        <row r="100">
          <cell r="D100" t="str">
            <v>AN-21-0096</v>
          </cell>
        </row>
        <row r="101">
          <cell r="B101" t="str">
            <v>NOLI H.  CAPAHI</v>
          </cell>
          <cell r="D101" t="str">
            <v>AN-21-0097</v>
          </cell>
        </row>
        <row r="102">
          <cell r="D102" t="str">
            <v>AN-21-0098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Share"/>
      <sheetName val="PShare"/>
    </sheetNames>
    <sheetDataSet>
      <sheetData sheetId="0">
        <row r="28">
          <cell r="J28" t="str">
            <v>PURISIMO C. ABRENILLO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4loaners"/>
      <sheetName val="2025loaners"/>
    </sheetNames>
    <sheetDataSet>
      <sheetData sheetId="0"/>
      <sheetData sheetId="1">
        <row r="3">
          <cell r="H3">
            <v>400</v>
          </cell>
        </row>
        <row r="4">
          <cell r="H4">
            <v>900</v>
          </cell>
        </row>
        <row r="5">
          <cell r="H5">
            <v>3600</v>
          </cell>
        </row>
        <row r="6">
          <cell r="H6">
            <v>3000</v>
          </cell>
        </row>
        <row r="7">
          <cell r="H7">
            <v>200</v>
          </cell>
        </row>
        <row r="8">
          <cell r="H8">
            <v>400</v>
          </cell>
        </row>
        <row r="9">
          <cell r="H9">
            <v>1200</v>
          </cell>
        </row>
        <row r="10">
          <cell r="H10">
            <v>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PR2017"/>
      <sheetName val="Savings2017"/>
      <sheetName val="Savings2018"/>
      <sheetName val="SCPR2018"/>
      <sheetName val="Savings2019"/>
      <sheetName val="SCPR2019"/>
      <sheetName val="annul dues"/>
      <sheetName val="ARNOLD"/>
    </sheetNames>
    <sheetDataSet>
      <sheetData sheetId="0"/>
      <sheetData sheetId="1"/>
      <sheetData sheetId="2"/>
      <sheetData sheetId="3"/>
      <sheetData sheetId="4">
        <row r="10">
          <cell r="U10">
            <v>350.56319999999999</v>
          </cell>
        </row>
        <row r="11">
          <cell r="U11">
            <v>1067.42</v>
          </cell>
        </row>
        <row r="12">
          <cell r="U12">
            <v>535.55439999999999</v>
          </cell>
        </row>
        <row r="13">
          <cell r="U13">
            <v>21454.93</v>
          </cell>
        </row>
        <row r="14">
          <cell r="U14">
            <v>6406.1948000000002</v>
          </cell>
        </row>
      </sheetData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"/>
      <sheetName val="2019"/>
      <sheetName val="2020"/>
    </sheetNames>
    <sheetDataSet>
      <sheetData sheetId="0"/>
      <sheetData sheetId="1"/>
      <sheetData sheetId="2">
        <row r="72">
          <cell r="H72">
            <v>16540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173"/>
  <sheetViews>
    <sheetView topLeftCell="A139" zoomScale="110" zoomScaleNormal="110" workbookViewId="0">
      <selection activeCell="G164" sqref="G164"/>
    </sheetView>
  </sheetViews>
  <sheetFormatPr defaultColWidth="9" defaultRowHeight="14.4"/>
  <cols>
    <col min="1" max="1" width="2.77734375" style="3" customWidth="1"/>
    <col min="2" max="2" width="18.21875" customWidth="1"/>
    <col min="3" max="3" width="9" style="4" customWidth="1"/>
    <col min="4" max="5" width="6.77734375" style="3" customWidth="1"/>
    <col min="6" max="8" width="6.77734375" customWidth="1"/>
    <col min="9" max="9" width="6.21875" customWidth="1"/>
    <col min="10" max="11" width="6.77734375" customWidth="1"/>
    <col min="12" max="12" width="7" customWidth="1"/>
    <col min="13" max="13" width="7.77734375" customWidth="1"/>
    <col min="14" max="14" width="8.21875" customWidth="1"/>
    <col min="15" max="15" width="8.77734375" customWidth="1"/>
    <col min="16" max="16" width="10.5546875" customWidth="1"/>
    <col min="17" max="17" width="7.77734375" customWidth="1"/>
    <col min="18" max="18" width="7.21875" customWidth="1"/>
    <col min="19" max="19" width="7.77734375" style="5" customWidth="1"/>
    <col min="20" max="20" width="7.21875" customWidth="1"/>
    <col min="21" max="21" width="7.44140625" customWidth="1"/>
    <col min="22" max="22" width="7.21875" customWidth="1"/>
    <col min="25" max="26" width="9" style="6"/>
  </cols>
  <sheetData>
    <row r="2" spans="1:30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</row>
    <row r="3" spans="1:30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</row>
    <row r="4" spans="1:30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</row>
    <row r="5" spans="1:30">
      <c r="B5" s="9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51"/>
      <c r="T5" s="9"/>
      <c r="U5" s="9"/>
      <c r="V5" s="9"/>
      <c r="W5" s="9"/>
      <c r="X5" s="9"/>
      <c r="Y5" s="62"/>
      <c r="Z5" s="62"/>
      <c r="AA5" s="9"/>
      <c r="AB5" s="9"/>
      <c r="AC5" s="9"/>
      <c r="AD5" s="9"/>
    </row>
    <row r="6" spans="1:30" ht="18">
      <c r="A6" s="316" t="s">
        <v>3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</row>
    <row r="7" spans="1:30" ht="12.75" customHeight="1">
      <c r="A7" s="313" t="s">
        <v>4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</row>
    <row r="8" spans="1:30" ht="7.5" customHeight="1">
      <c r="A8" s="10"/>
      <c r="B8" s="4"/>
      <c r="D8" s="10"/>
      <c r="E8" s="1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30" s="1" customFormat="1" ht="16.5" customHeight="1">
      <c r="A9" s="336" t="s">
        <v>5</v>
      </c>
      <c r="B9" s="337"/>
      <c r="C9" s="332" t="s">
        <v>6</v>
      </c>
      <c r="D9" s="329" t="s">
        <v>7</v>
      </c>
      <c r="E9" s="329" t="s">
        <v>8</v>
      </c>
      <c r="F9" s="319" t="s">
        <v>9</v>
      </c>
      <c r="G9" s="319" t="s">
        <v>10</v>
      </c>
      <c r="H9" s="321" t="s">
        <v>11</v>
      </c>
      <c r="I9" s="319" t="s">
        <v>12</v>
      </c>
      <c r="J9" s="319" t="s">
        <v>13</v>
      </c>
      <c r="K9" s="319" t="s">
        <v>14</v>
      </c>
      <c r="L9" s="319" t="s">
        <v>15</v>
      </c>
      <c r="M9" s="319" t="s">
        <v>16</v>
      </c>
      <c r="N9" s="319" t="s">
        <v>17</v>
      </c>
      <c r="O9" s="319" t="s">
        <v>18</v>
      </c>
      <c r="P9" s="319" t="s">
        <v>19</v>
      </c>
      <c r="Q9" s="319" t="s">
        <v>20</v>
      </c>
      <c r="R9" s="327" t="s">
        <v>21</v>
      </c>
      <c r="S9" s="323" t="s">
        <v>22</v>
      </c>
      <c r="T9" s="340" t="s">
        <v>23</v>
      </c>
      <c r="U9" s="329" t="s">
        <v>24</v>
      </c>
      <c r="V9" s="325" t="s">
        <v>25</v>
      </c>
      <c r="Y9" s="63"/>
      <c r="Z9" s="64"/>
    </row>
    <row r="10" spans="1:30" s="1" customFormat="1" ht="18" customHeight="1">
      <c r="A10" s="338"/>
      <c r="B10" s="339"/>
      <c r="C10" s="333"/>
      <c r="D10" s="330"/>
      <c r="E10" s="330"/>
      <c r="F10" s="320"/>
      <c r="G10" s="320"/>
      <c r="H10" s="322"/>
      <c r="I10" s="320"/>
      <c r="J10" s="320"/>
      <c r="K10" s="320"/>
      <c r="L10" s="320"/>
      <c r="M10" s="320"/>
      <c r="N10" s="320"/>
      <c r="O10" s="320"/>
      <c r="P10" s="320"/>
      <c r="Q10" s="320"/>
      <c r="R10" s="328"/>
      <c r="S10" s="324"/>
      <c r="T10" s="341"/>
      <c r="U10" s="330"/>
      <c r="V10" s="326"/>
      <c r="Y10" s="63"/>
      <c r="Z10" s="64"/>
    </row>
    <row r="11" spans="1:30" s="2" customFormat="1">
      <c r="A11" s="15">
        <v>1</v>
      </c>
      <c r="B11" s="16" t="s">
        <v>26</v>
      </c>
      <c r="C11" s="17">
        <f>2154.73+13.01</f>
        <v>2167.7399999999998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46">
        <f t="shared" ref="P11:P38" si="0">C11+D11+E11+F11+G11+H11+I11+J11+K11+L11+M11+N11+O11</f>
        <v>2167.7399999999998</v>
      </c>
      <c r="Q11" s="22">
        <f>P11/12</f>
        <v>180.64500000000001</v>
      </c>
      <c r="R11" s="22"/>
      <c r="S11" s="52"/>
      <c r="T11" s="22"/>
      <c r="U11" s="53"/>
      <c r="V11" s="26"/>
      <c r="Y11" s="62"/>
      <c r="Z11" s="65"/>
    </row>
    <row r="12" spans="1:30">
      <c r="A12" s="19">
        <v>2</v>
      </c>
      <c r="B12" s="20" t="s">
        <v>27</v>
      </c>
      <c r="C12" s="21">
        <v>1300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46">
        <f t="shared" si="0"/>
        <v>1300</v>
      </c>
      <c r="Q12" s="22">
        <f t="shared" ref="Q12:Q38" si="1">P12/12</f>
        <v>108.333333333333</v>
      </c>
      <c r="R12" s="22"/>
      <c r="S12" s="52"/>
      <c r="T12" s="22"/>
      <c r="U12" s="53"/>
      <c r="V12" s="22"/>
    </row>
    <row r="13" spans="1:30" s="2" customFormat="1">
      <c r="A13" s="23">
        <v>3</v>
      </c>
      <c r="B13" s="24" t="s">
        <v>28</v>
      </c>
      <c r="C13" s="21">
        <f>2238.34+13.51</f>
        <v>2251.85</v>
      </c>
      <c r="D13" s="25"/>
      <c r="E13" s="25"/>
      <c r="F13" s="26"/>
      <c r="G13" s="25"/>
      <c r="H13" s="25"/>
      <c r="I13" s="25"/>
      <c r="J13" s="25"/>
      <c r="K13" s="25"/>
      <c r="L13" s="25"/>
      <c r="M13" s="25"/>
      <c r="N13" s="25"/>
      <c r="O13" s="25"/>
      <c r="P13" s="46">
        <f t="shared" si="0"/>
        <v>2251.85</v>
      </c>
      <c r="Q13" s="22">
        <f t="shared" si="1"/>
        <v>187.65416666666701</v>
      </c>
      <c r="R13" s="22"/>
      <c r="S13" s="52"/>
      <c r="T13" s="22"/>
      <c r="U13" s="53"/>
      <c r="V13" s="26"/>
      <c r="X13" s="54"/>
      <c r="Y13" s="66"/>
      <c r="Z13" s="65"/>
    </row>
    <row r="14" spans="1:30">
      <c r="A14" s="19">
        <v>4</v>
      </c>
      <c r="B14" s="27" t="s">
        <v>29</v>
      </c>
      <c r="C14" s="21">
        <v>750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46">
        <f t="shared" si="0"/>
        <v>750</v>
      </c>
      <c r="Q14" s="22">
        <f t="shared" si="1"/>
        <v>62.5</v>
      </c>
      <c r="R14" s="22"/>
      <c r="S14" s="52"/>
      <c r="T14" s="22"/>
      <c r="U14" s="53"/>
      <c r="V14" s="22"/>
    </row>
    <row r="15" spans="1:30">
      <c r="A15" s="23">
        <v>5</v>
      </c>
      <c r="B15" s="27" t="s">
        <v>30</v>
      </c>
      <c r="C15" s="21">
        <v>7000</v>
      </c>
      <c r="D15" s="22"/>
      <c r="E15" s="22"/>
      <c r="F15" s="22"/>
      <c r="G15" s="22"/>
      <c r="H15" s="22"/>
      <c r="I15" s="22"/>
      <c r="J15" s="47"/>
      <c r="K15" s="22"/>
      <c r="L15" s="33"/>
      <c r="M15" s="22"/>
      <c r="N15" s="32"/>
      <c r="O15" s="22"/>
      <c r="P15" s="46">
        <f t="shared" si="0"/>
        <v>7000</v>
      </c>
      <c r="Q15" s="22">
        <f t="shared" si="1"/>
        <v>583.33333333333303</v>
      </c>
      <c r="R15" s="22"/>
      <c r="S15" s="52"/>
      <c r="T15" s="22"/>
      <c r="U15" s="53"/>
      <c r="V15" s="45"/>
      <c r="Z15" s="65"/>
    </row>
    <row r="16" spans="1:30" s="2" customFormat="1">
      <c r="A16" s="19">
        <v>6</v>
      </c>
      <c r="B16" s="20" t="s">
        <v>31</v>
      </c>
      <c r="C16" s="28">
        <v>150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46">
        <f t="shared" si="0"/>
        <v>150</v>
      </c>
      <c r="Q16" s="22">
        <f t="shared" si="1"/>
        <v>12.5</v>
      </c>
      <c r="R16" s="22"/>
      <c r="S16" s="52"/>
      <c r="T16" s="22"/>
      <c r="U16" s="53"/>
      <c r="V16" s="25"/>
      <c r="Y16" s="62"/>
      <c r="Z16" s="62"/>
    </row>
    <row r="17" spans="1:26">
      <c r="A17" s="29">
        <v>7</v>
      </c>
      <c r="B17" s="20" t="s">
        <v>32</v>
      </c>
      <c r="C17" s="21">
        <v>7000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46">
        <f t="shared" si="0"/>
        <v>7000</v>
      </c>
      <c r="Q17" s="22">
        <f t="shared" si="1"/>
        <v>583.33333333333303</v>
      </c>
      <c r="R17" s="22"/>
      <c r="S17" s="52"/>
      <c r="T17" s="22"/>
      <c r="U17" s="53"/>
      <c r="V17" s="22"/>
      <c r="X17" s="55"/>
      <c r="Z17" s="65"/>
    </row>
    <row r="18" spans="1:26" s="2" customFormat="1">
      <c r="A18" s="29">
        <v>8</v>
      </c>
      <c r="B18" s="20" t="s">
        <v>33</v>
      </c>
      <c r="C18" s="21">
        <v>7000</v>
      </c>
      <c r="D18" s="26"/>
      <c r="E18" s="25"/>
      <c r="F18" s="25"/>
      <c r="G18" s="25"/>
      <c r="H18" s="25"/>
      <c r="I18" s="25"/>
      <c r="J18" s="25"/>
      <c r="L18" s="25"/>
      <c r="M18" s="25"/>
      <c r="N18" s="25"/>
      <c r="O18" s="25"/>
      <c r="P18" s="46" t="e">
        <f>C18+D18+E18+F18+G18+H18+I18+#REF!+J18+L18+M18+N18+O18</f>
        <v>#REF!</v>
      </c>
      <c r="Q18" s="25" t="e">
        <f t="shared" si="1"/>
        <v>#REF!</v>
      </c>
      <c r="R18" s="22"/>
      <c r="S18" s="56"/>
      <c r="T18" s="22"/>
      <c r="U18" s="57"/>
      <c r="V18" s="25"/>
      <c r="X18" s="55"/>
      <c r="Y18" s="62"/>
      <c r="Z18" s="65"/>
    </row>
    <row r="19" spans="1:26">
      <c r="A19" s="23">
        <v>9</v>
      </c>
      <c r="B19" s="20" t="s">
        <v>34</v>
      </c>
      <c r="C19" s="21">
        <f>2021.27+12.03</f>
        <v>2033.3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46">
        <f t="shared" si="0"/>
        <v>2033.3</v>
      </c>
      <c r="Q19" s="22">
        <f t="shared" si="1"/>
        <v>169.441666666667</v>
      </c>
      <c r="R19" s="22"/>
      <c r="S19" s="52"/>
      <c r="T19" s="22"/>
      <c r="U19" s="53"/>
      <c r="V19" s="22"/>
      <c r="X19" s="55"/>
      <c r="Z19" s="65"/>
    </row>
    <row r="20" spans="1:26">
      <c r="A20" s="23">
        <v>10</v>
      </c>
      <c r="B20" s="27" t="s">
        <v>35</v>
      </c>
      <c r="C20" s="21">
        <f>2728.71+16.24</f>
        <v>2744.95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46">
        <f t="shared" si="0"/>
        <v>2744.95</v>
      </c>
      <c r="Q20" s="22">
        <f t="shared" si="1"/>
        <v>228.745833333333</v>
      </c>
      <c r="R20" s="22"/>
      <c r="S20" s="52"/>
      <c r="T20" s="22"/>
      <c r="U20" s="53"/>
      <c r="V20" s="22"/>
      <c r="X20" s="55"/>
      <c r="Z20" s="65"/>
    </row>
    <row r="21" spans="1:26">
      <c r="A21" s="19">
        <v>11</v>
      </c>
      <c r="B21" s="30" t="s">
        <v>36</v>
      </c>
      <c r="C21" s="21">
        <v>700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46">
        <f t="shared" si="0"/>
        <v>700</v>
      </c>
      <c r="Q21" s="22">
        <f t="shared" si="1"/>
        <v>58.3333333333333</v>
      </c>
      <c r="R21" s="22"/>
      <c r="S21" s="52"/>
      <c r="T21" s="22"/>
      <c r="U21" s="53"/>
      <c r="V21" s="22"/>
      <c r="X21" s="54"/>
      <c r="Y21" s="67"/>
      <c r="Z21" s="65"/>
    </row>
    <row r="22" spans="1:26">
      <c r="A22" s="23">
        <v>12</v>
      </c>
      <c r="B22" s="31" t="s">
        <v>37</v>
      </c>
      <c r="C22" s="21">
        <f>2081.27+12.39</f>
        <v>2093.66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46">
        <f t="shared" si="0"/>
        <v>2093.66</v>
      </c>
      <c r="Q22" s="22">
        <f t="shared" si="1"/>
        <v>174.47166666666701</v>
      </c>
      <c r="R22" s="22"/>
      <c r="S22" s="52"/>
      <c r="T22" s="22"/>
      <c r="U22" s="53"/>
      <c r="V22" s="22"/>
      <c r="X22" s="55"/>
      <c r="Y22" s="67"/>
      <c r="Z22" s="65"/>
    </row>
    <row r="23" spans="1:26">
      <c r="A23" s="23">
        <v>13</v>
      </c>
      <c r="B23" s="27" t="s">
        <v>38</v>
      </c>
      <c r="C23" s="21">
        <f>2122.33+12.63</f>
        <v>2134.96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46">
        <f t="shared" si="0"/>
        <v>2134.96</v>
      </c>
      <c r="Q23" s="22">
        <f t="shared" si="1"/>
        <v>177.91333333333299</v>
      </c>
      <c r="R23" s="22"/>
      <c r="S23" s="58"/>
      <c r="T23" s="22"/>
      <c r="U23" s="53"/>
      <c r="V23" s="22"/>
      <c r="X23" s="55"/>
      <c r="Y23" s="67"/>
      <c r="Z23" s="65"/>
    </row>
    <row r="24" spans="1:26">
      <c r="A24" s="23">
        <v>14</v>
      </c>
      <c r="B24" s="27" t="s">
        <v>39</v>
      </c>
      <c r="C24" s="21">
        <f>5560+33.09</f>
        <v>5593.09</v>
      </c>
      <c r="D24" s="22"/>
      <c r="E24" s="22"/>
      <c r="F24" s="22"/>
      <c r="G24" s="32"/>
      <c r="H24" s="32"/>
      <c r="I24" s="22"/>
      <c r="J24" s="22"/>
      <c r="K24" s="22"/>
      <c r="L24" s="22"/>
      <c r="M24" s="22"/>
      <c r="N24" s="22"/>
      <c r="O24" s="22"/>
      <c r="P24" s="46">
        <f t="shared" si="0"/>
        <v>5593.09</v>
      </c>
      <c r="Q24" s="22">
        <f t="shared" si="1"/>
        <v>466.09083333333302</v>
      </c>
      <c r="R24" s="22"/>
      <c r="S24" s="52"/>
      <c r="T24" s="22"/>
      <c r="U24" s="53"/>
      <c r="V24" s="22"/>
      <c r="Y24" s="67"/>
      <c r="Z24" s="65"/>
    </row>
    <row r="25" spans="1:26" s="2" customFormat="1">
      <c r="A25" s="19">
        <v>15</v>
      </c>
      <c r="B25" s="20" t="s">
        <v>40</v>
      </c>
      <c r="C25" s="28">
        <v>150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46">
        <f t="shared" si="0"/>
        <v>150</v>
      </c>
      <c r="Q25" s="22">
        <f t="shared" si="1"/>
        <v>12.5</v>
      </c>
      <c r="R25" s="22"/>
      <c r="S25" s="56"/>
      <c r="T25" s="22"/>
      <c r="U25" s="57"/>
      <c r="V25" s="25"/>
      <c r="Y25" s="62"/>
      <c r="Z25" s="62"/>
    </row>
    <row r="26" spans="1:26">
      <c r="A26" s="19">
        <v>16</v>
      </c>
      <c r="B26" s="27" t="s">
        <v>41</v>
      </c>
      <c r="C26" s="21">
        <v>1200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46">
        <f t="shared" si="0"/>
        <v>1200</v>
      </c>
      <c r="Q26" s="22">
        <f t="shared" si="1"/>
        <v>100</v>
      </c>
      <c r="R26" s="22"/>
      <c r="S26" s="52"/>
      <c r="T26" s="22"/>
      <c r="U26" s="53"/>
      <c r="V26" s="22"/>
    </row>
    <row r="27" spans="1:26">
      <c r="A27" s="19">
        <v>17</v>
      </c>
      <c r="B27" s="27" t="s">
        <v>42</v>
      </c>
      <c r="C27" s="28">
        <v>200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46">
        <f t="shared" si="0"/>
        <v>200</v>
      </c>
      <c r="Q27" s="22">
        <f t="shared" si="1"/>
        <v>16.6666666666667</v>
      </c>
      <c r="R27" s="22"/>
      <c r="S27" s="52"/>
      <c r="T27" s="22"/>
      <c r="U27" s="53"/>
      <c r="V27" s="22"/>
      <c r="X27" s="54"/>
      <c r="Y27" s="67"/>
      <c r="Z27" s="65"/>
    </row>
    <row r="28" spans="1:26" s="2" customFormat="1">
      <c r="A28" s="23">
        <v>18</v>
      </c>
      <c r="B28" s="20" t="s">
        <v>43</v>
      </c>
      <c r="C28" s="21">
        <f>2420+14.4</f>
        <v>2434.4</v>
      </c>
      <c r="D28" s="25"/>
      <c r="E28" s="25"/>
      <c r="F28" s="26"/>
      <c r="G28" s="25"/>
      <c r="H28" s="25"/>
      <c r="I28" s="25"/>
      <c r="J28" s="25"/>
      <c r="K28" s="25"/>
      <c r="L28" s="25"/>
      <c r="M28" s="25"/>
      <c r="N28" s="25"/>
      <c r="O28" s="25"/>
      <c r="P28" s="46">
        <f t="shared" si="0"/>
        <v>2434.4</v>
      </c>
      <c r="Q28" s="22">
        <f t="shared" si="1"/>
        <v>202.86666666666699</v>
      </c>
      <c r="R28" s="22"/>
      <c r="S28" s="56"/>
      <c r="T28" s="22"/>
      <c r="U28" s="57"/>
      <c r="V28" s="25"/>
      <c r="Y28" s="62"/>
      <c r="Z28" s="62"/>
    </row>
    <row r="29" spans="1:26">
      <c r="A29" s="29">
        <v>19</v>
      </c>
      <c r="B29" s="30" t="s">
        <v>44</v>
      </c>
      <c r="C29" s="21">
        <v>7000</v>
      </c>
      <c r="D29" s="22"/>
      <c r="E29" s="22"/>
      <c r="F29" s="33"/>
      <c r="G29" s="22"/>
      <c r="H29" s="22"/>
      <c r="I29" s="22"/>
      <c r="J29" s="22"/>
      <c r="K29" s="22"/>
      <c r="L29" s="22"/>
      <c r="M29" s="22"/>
      <c r="N29" s="22"/>
      <c r="O29" s="22"/>
      <c r="P29" s="46">
        <f t="shared" si="0"/>
        <v>7000</v>
      </c>
      <c r="Q29" s="22">
        <f t="shared" si="1"/>
        <v>583.33333333333303</v>
      </c>
      <c r="R29" s="22"/>
      <c r="S29" s="52"/>
      <c r="T29" s="22"/>
      <c r="U29" s="53"/>
      <c r="V29" s="22"/>
      <c r="X29" s="55"/>
      <c r="Y29" s="67"/>
      <c r="Z29" s="65"/>
    </row>
    <row r="30" spans="1:26" s="2" customFormat="1">
      <c r="A30" s="19">
        <v>20</v>
      </c>
      <c r="B30" s="20" t="s">
        <v>45</v>
      </c>
      <c r="C30" s="21">
        <v>1300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46">
        <f t="shared" si="0"/>
        <v>1300</v>
      </c>
      <c r="Q30" s="22">
        <f t="shared" si="1"/>
        <v>108.333333333333</v>
      </c>
      <c r="R30" s="22"/>
      <c r="S30" s="56"/>
      <c r="T30" s="22"/>
      <c r="U30" s="57"/>
      <c r="V30" s="25"/>
      <c r="Y30" s="62"/>
      <c r="Z30" s="62"/>
    </row>
    <row r="31" spans="1:26">
      <c r="A31" s="19">
        <v>21</v>
      </c>
      <c r="B31" s="20" t="s">
        <v>46</v>
      </c>
      <c r="C31" s="34">
        <v>750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46">
        <f t="shared" si="0"/>
        <v>750</v>
      </c>
      <c r="Q31" s="22">
        <f t="shared" si="1"/>
        <v>62.5</v>
      </c>
      <c r="R31" s="22"/>
      <c r="S31" s="52"/>
      <c r="T31" s="22"/>
      <c r="U31" s="53"/>
      <c r="V31" s="22"/>
    </row>
    <row r="32" spans="1:26">
      <c r="A32" s="19">
        <v>22</v>
      </c>
      <c r="B32" s="27" t="s">
        <v>47</v>
      </c>
      <c r="C32" s="34">
        <v>1200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46">
        <f t="shared" si="0"/>
        <v>1200</v>
      </c>
      <c r="Q32" s="22">
        <f t="shared" si="1"/>
        <v>100</v>
      </c>
      <c r="R32" s="22"/>
      <c r="S32" s="52"/>
      <c r="T32" s="22"/>
      <c r="U32" s="53"/>
      <c r="V32" s="22"/>
      <c r="X32" s="54"/>
      <c r="Y32" s="67"/>
      <c r="Z32" s="65"/>
    </row>
    <row r="33" spans="1:26" s="2" customFormat="1" ht="18" customHeight="1">
      <c r="A33" s="19">
        <v>23</v>
      </c>
      <c r="B33" s="20" t="s">
        <v>48</v>
      </c>
      <c r="C33" s="28">
        <v>100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48">
        <f t="shared" si="0"/>
        <v>100</v>
      </c>
      <c r="Q33" s="25">
        <f t="shared" si="1"/>
        <v>8.3333333333333304</v>
      </c>
      <c r="R33" s="22"/>
      <c r="S33" s="56"/>
      <c r="T33" s="22"/>
      <c r="U33" s="57"/>
      <c r="V33" s="25"/>
      <c r="Y33" s="62"/>
      <c r="Z33" s="62"/>
    </row>
    <row r="34" spans="1:26">
      <c r="A34" s="23">
        <v>24</v>
      </c>
      <c r="B34" s="20" t="s">
        <v>49</v>
      </c>
      <c r="C34" s="34">
        <f>2009+11.96</f>
        <v>2020.96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46">
        <f t="shared" si="0"/>
        <v>2020.96</v>
      </c>
      <c r="Q34" s="22">
        <f t="shared" si="1"/>
        <v>168.41333333333299</v>
      </c>
      <c r="R34" s="22"/>
      <c r="S34" s="52"/>
      <c r="T34" s="22"/>
      <c r="U34" s="53"/>
      <c r="V34" s="22"/>
      <c r="X34" s="54"/>
      <c r="Y34" s="67"/>
      <c r="Z34" s="65"/>
    </row>
    <row r="35" spans="1:26" s="2" customFormat="1">
      <c r="A35" s="19">
        <v>25</v>
      </c>
      <c r="B35" s="20" t="s">
        <v>50</v>
      </c>
      <c r="C35" s="34">
        <v>600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46">
        <f t="shared" si="0"/>
        <v>600</v>
      </c>
      <c r="Q35" s="22">
        <f t="shared" si="1"/>
        <v>50</v>
      </c>
      <c r="R35" s="22"/>
      <c r="S35" s="56"/>
      <c r="T35" s="22"/>
      <c r="U35" s="57"/>
      <c r="V35" s="25"/>
      <c r="Y35" s="62"/>
      <c r="Z35" s="62"/>
    </row>
    <row r="36" spans="1:26">
      <c r="A36" s="23">
        <v>26</v>
      </c>
      <c r="B36" s="20" t="s">
        <v>51</v>
      </c>
      <c r="C36" s="21">
        <f>2885+17.17</f>
        <v>2902.17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46">
        <f t="shared" si="0"/>
        <v>2902.17</v>
      </c>
      <c r="Q36" s="22">
        <f t="shared" si="1"/>
        <v>241.8475</v>
      </c>
      <c r="R36" s="22"/>
      <c r="S36" s="52"/>
      <c r="T36" s="22"/>
      <c r="U36" s="53"/>
      <c r="V36" s="22"/>
      <c r="X36" s="55"/>
      <c r="Y36" s="67"/>
      <c r="Z36" s="65"/>
    </row>
    <row r="37" spans="1:26" s="2" customFormat="1">
      <c r="A37" s="23">
        <v>27</v>
      </c>
      <c r="B37" s="20" t="s">
        <v>52</v>
      </c>
      <c r="C37" s="21">
        <f>2120+12.62</f>
        <v>2132.62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46">
        <f t="shared" si="0"/>
        <v>2132.62</v>
      </c>
      <c r="Q37" s="22">
        <f t="shared" si="1"/>
        <v>177.71833333333299</v>
      </c>
      <c r="R37" s="22"/>
      <c r="S37" s="56"/>
      <c r="T37" s="22"/>
      <c r="U37" s="53"/>
      <c r="V37" s="25"/>
      <c r="X37" s="55"/>
      <c r="Y37" s="67"/>
      <c r="Z37" s="65"/>
    </row>
    <row r="38" spans="1:26">
      <c r="A38" s="23">
        <v>28</v>
      </c>
      <c r="B38" s="20" t="s">
        <v>53</v>
      </c>
      <c r="C38" s="21">
        <f>2581.27+102.65</f>
        <v>2683.92</v>
      </c>
      <c r="D38" s="22"/>
      <c r="E38" s="22"/>
      <c r="F38" s="22"/>
      <c r="G38" s="22"/>
      <c r="H38" s="22"/>
      <c r="I38" s="32"/>
      <c r="J38" s="22"/>
      <c r="K38" s="22"/>
      <c r="L38" s="22"/>
      <c r="M38" s="22"/>
      <c r="N38" s="22"/>
      <c r="O38" s="22"/>
      <c r="P38" s="46">
        <f t="shared" si="0"/>
        <v>2683.92</v>
      </c>
      <c r="Q38" s="22">
        <f t="shared" si="1"/>
        <v>223.66</v>
      </c>
      <c r="R38" s="22"/>
      <c r="S38" s="52"/>
      <c r="T38" s="22"/>
      <c r="U38" s="53"/>
      <c r="V38" s="22"/>
      <c r="Y38" s="67"/>
      <c r="Z38" s="65"/>
    </row>
    <row r="39" spans="1:26" ht="5.25" customHeight="1">
      <c r="A39" s="35"/>
      <c r="B39" s="36"/>
      <c r="C39" s="37"/>
      <c r="D39" s="38"/>
      <c r="E39" s="38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49"/>
      <c r="Q39" s="39"/>
      <c r="R39" s="39"/>
      <c r="S39" s="59"/>
      <c r="T39" s="39"/>
      <c r="U39" s="39"/>
      <c r="V39" s="39"/>
    </row>
    <row r="40" spans="1:26">
      <c r="A40" s="31"/>
      <c r="B40" s="20"/>
      <c r="C40" s="40"/>
      <c r="P40" s="50" t="e">
        <f>SUM(P11:P39)</f>
        <v>#REF!</v>
      </c>
      <c r="U40" s="60" t="s">
        <v>54</v>
      </c>
    </row>
    <row r="41" spans="1:26">
      <c r="A41" s="31"/>
      <c r="B41" s="20"/>
      <c r="C41" s="40"/>
    </row>
    <row r="42" spans="1:26">
      <c r="A42" s="308" t="s">
        <v>0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</row>
    <row r="43" spans="1:26">
      <c r="A43" s="315" t="s">
        <v>1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</row>
    <row r="44" spans="1:26">
      <c r="A44" s="313" t="s">
        <v>2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</row>
    <row r="45" spans="1:26">
      <c r="B45" s="9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51"/>
      <c r="T45" s="9"/>
      <c r="U45" s="9"/>
      <c r="V45" s="9"/>
    </row>
    <row r="46" spans="1:26" ht="18">
      <c r="A46" s="316" t="s">
        <v>3</v>
      </c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</row>
    <row r="47" spans="1:26" ht="12.75" customHeight="1">
      <c r="A47" s="313" t="s">
        <v>55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/>
    </row>
    <row r="48" spans="1:26" ht="6" customHeight="1">
      <c r="A48" s="10"/>
      <c r="B48" s="4"/>
      <c r="D48" s="10"/>
      <c r="E48" s="1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26" ht="14.25" customHeight="1">
      <c r="A49" s="336" t="s">
        <v>5</v>
      </c>
      <c r="B49" s="337"/>
      <c r="C49" s="332" t="s">
        <v>56</v>
      </c>
      <c r="D49" s="329" t="s">
        <v>7</v>
      </c>
      <c r="E49" s="329" t="s">
        <v>8</v>
      </c>
      <c r="F49" s="319" t="s">
        <v>9</v>
      </c>
      <c r="G49" s="319" t="s">
        <v>10</v>
      </c>
      <c r="H49" s="321" t="s">
        <v>11</v>
      </c>
      <c r="I49" s="319" t="s">
        <v>12</v>
      </c>
      <c r="J49" s="319" t="s">
        <v>13</v>
      </c>
      <c r="K49" s="319" t="s">
        <v>14</v>
      </c>
      <c r="L49" s="319" t="s">
        <v>15</v>
      </c>
      <c r="M49" s="319" t="s">
        <v>16</v>
      </c>
      <c r="N49" s="319" t="s">
        <v>17</v>
      </c>
      <c r="O49" s="319" t="s">
        <v>18</v>
      </c>
      <c r="P49" s="319" t="s">
        <v>19</v>
      </c>
      <c r="Q49" s="319" t="s">
        <v>20</v>
      </c>
      <c r="R49" s="327" t="s">
        <v>21</v>
      </c>
      <c r="S49" s="323" t="s">
        <v>22</v>
      </c>
      <c r="T49" s="342" t="s">
        <v>23</v>
      </c>
      <c r="U49" s="329" t="s">
        <v>24</v>
      </c>
      <c r="V49" s="325" t="s">
        <v>25</v>
      </c>
    </row>
    <row r="50" spans="1:26" ht="16.5" customHeight="1">
      <c r="A50" s="338"/>
      <c r="B50" s="339"/>
      <c r="C50" s="333"/>
      <c r="D50" s="330"/>
      <c r="E50" s="330"/>
      <c r="F50" s="320"/>
      <c r="G50" s="320"/>
      <c r="H50" s="322"/>
      <c r="I50" s="320"/>
      <c r="J50" s="320"/>
      <c r="K50" s="320"/>
      <c r="L50" s="320"/>
      <c r="M50" s="320"/>
      <c r="N50" s="320"/>
      <c r="O50" s="320"/>
      <c r="P50" s="320"/>
      <c r="Q50" s="320"/>
      <c r="R50" s="328"/>
      <c r="S50" s="324"/>
      <c r="T50" s="343"/>
      <c r="U50" s="330"/>
      <c r="V50" s="326"/>
    </row>
    <row r="51" spans="1:26" ht="5.25" customHeight="1">
      <c r="A51" s="41"/>
      <c r="B51" s="16"/>
      <c r="C51" s="42"/>
      <c r="D51" s="43"/>
      <c r="E51" s="43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61"/>
      <c r="T51" s="44"/>
      <c r="U51" s="44"/>
      <c r="V51" s="44"/>
    </row>
    <row r="52" spans="1:26">
      <c r="A52" s="23">
        <v>29</v>
      </c>
      <c r="B52" s="27" t="s">
        <v>57</v>
      </c>
      <c r="C52" s="21">
        <f>2021.27+12.03</f>
        <v>2033.3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46">
        <f t="shared" ref="P52:P78" si="2">C52+D52+E52+F52+G52+H52+I52+J52+K52+L52+M52+N52+O52</f>
        <v>2033.3</v>
      </c>
      <c r="Q52" s="22">
        <f>P52/12</f>
        <v>169.441666666667</v>
      </c>
      <c r="R52" s="22">
        <f>SCPR2020!AD52</f>
        <v>20.742147495294901</v>
      </c>
      <c r="S52" s="52"/>
      <c r="T52" s="22"/>
      <c r="U52" s="53"/>
      <c r="V52" s="22"/>
      <c r="Y52" s="67"/>
      <c r="Z52" s="65"/>
    </row>
    <row r="53" spans="1:26" s="2" customFormat="1">
      <c r="A53" s="23">
        <v>30</v>
      </c>
      <c r="B53" s="20" t="s">
        <v>58</v>
      </c>
      <c r="C53" s="21">
        <f>2100+12.5</f>
        <v>2112.5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46">
        <f t="shared" si="2"/>
        <v>2112.5</v>
      </c>
      <c r="Q53" s="22">
        <f t="shared" ref="Q53:Q78" si="3">P53/12</f>
        <v>176.041666666667</v>
      </c>
      <c r="R53" s="22">
        <f>SCPR2020!AD53</f>
        <v>21.550069876918599</v>
      </c>
      <c r="S53" s="56"/>
      <c r="T53" s="25"/>
      <c r="U53" s="53"/>
      <c r="V53" s="25"/>
      <c r="Y53" s="62"/>
      <c r="Z53" s="62"/>
    </row>
    <row r="54" spans="1:26">
      <c r="A54" s="23">
        <v>31</v>
      </c>
      <c r="B54" s="20" t="s">
        <v>59</v>
      </c>
      <c r="C54" s="21">
        <f>2534+15.08</f>
        <v>2549.08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46">
        <f t="shared" si="2"/>
        <v>2549.08</v>
      </c>
      <c r="Q54" s="22">
        <f t="shared" si="3"/>
        <v>212.42333333333301</v>
      </c>
      <c r="R54" s="22">
        <f>SCPR2020!AD54</f>
        <v>26.906801532038401</v>
      </c>
      <c r="S54" s="52"/>
      <c r="T54" s="22"/>
      <c r="U54" s="53"/>
      <c r="V54" s="22"/>
      <c r="X54" s="55"/>
      <c r="Y54" s="67"/>
      <c r="Z54" s="65"/>
    </row>
    <row r="55" spans="1:26">
      <c r="A55" s="23">
        <v>32</v>
      </c>
      <c r="B55" s="27" t="s">
        <v>60</v>
      </c>
      <c r="C55" s="21">
        <f>2554+37.02</f>
        <v>2591.02</v>
      </c>
      <c r="D55" s="22"/>
      <c r="E55" s="22"/>
      <c r="F55" s="22"/>
      <c r="G55" s="22"/>
      <c r="H55" s="22"/>
      <c r="I55" s="22"/>
      <c r="J55" s="22"/>
      <c r="K55" s="22"/>
      <c r="L55" s="32"/>
      <c r="M55" s="22"/>
      <c r="N55" s="22"/>
      <c r="O55" s="22"/>
      <c r="P55" s="46">
        <f t="shared" si="2"/>
        <v>2591.02</v>
      </c>
      <c r="Q55" s="22">
        <f t="shared" si="3"/>
        <v>215.91833333333301</v>
      </c>
      <c r="R55" s="22">
        <f>SCPR2020!AD55</f>
        <v>28.3639967332395</v>
      </c>
      <c r="S55" s="52"/>
      <c r="T55" s="22"/>
      <c r="U55" s="53"/>
      <c r="V55" s="22"/>
      <c r="X55" s="55"/>
      <c r="Y55" s="67"/>
      <c r="Z55" s="65"/>
    </row>
    <row r="56" spans="1:26" s="2" customFormat="1">
      <c r="A56" s="19">
        <v>33</v>
      </c>
      <c r="B56" s="20" t="s">
        <v>61</v>
      </c>
      <c r="C56" s="21">
        <v>1100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46">
        <f t="shared" si="2"/>
        <v>1100</v>
      </c>
      <c r="Q56" s="22">
        <f t="shared" si="3"/>
        <v>91.6666666666667</v>
      </c>
      <c r="R56" s="22">
        <f>SCPR2020!AD56</f>
        <v>11.288131840290699</v>
      </c>
      <c r="S56" s="56"/>
      <c r="T56" s="22"/>
      <c r="U56" s="57"/>
      <c r="V56" s="25"/>
      <c r="Y56" s="62"/>
      <c r="Z56" s="62"/>
    </row>
    <row r="57" spans="1:26">
      <c r="A57" s="19">
        <v>34</v>
      </c>
      <c r="B57" s="27" t="s">
        <v>62</v>
      </c>
      <c r="C57" s="34">
        <v>1000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46">
        <f t="shared" si="2"/>
        <v>1000</v>
      </c>
      <c r="Q57" s="22">
        <f t="shared" si="3"/>
        <v>83.3333333333333</v>
      </c>
      <c r="R57" s="22">
        <f>SCPR2020!AD57</f>
        <v>10.2619380366279</v>
      </c>
      <c r="S57" s="52"/>
      <c r="T57" s="22"/>
      <c r="U57" s="53"/>
      <c r="V57" s="22"/>
    </row>
    <row r="58" spans="1:26" s="2" customFormat="1">
      <c r="A58" s="19">
        <v>35</v>
      </c>
      <c r="B58" s="20" t="s">
        <v>63</v>
      </c>
      <c r="C58" s="34">
        <v>935.84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46">
        <f t="shared" si="2"/>
        <v>935.84</v>
      </c>
      <c r="Q58" s="22">
        <f t="shared" si="3"/>
        <v>77.986666666666693</v>
      </c>
      <c r="R58" s="22">
        <f>SCPR2020!AD58</f>
        <v>10.4655348872746</v>
      </c>
      <c r="S58" s="56"/>
      <c r="T58" s="22"/>
      <c r="U58" s="53"/>
      <c r="V58" s="25"/>
      <c r="X58" s="54"/>
      <c r="Y58" s="67"/>
      <c r="Z58" s="65"/>
    </row>
    <row r="59" spans="1:26">
      <c r="A59" s="19">
        <v>36</v>
      </c>
      <c r="B59" s="20" t="s">
        <v>64</v>
      </c>
      <c r="C59" s="34">
        <v>300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46">
        <f t="shared" si="2"/>
        <v>300</v>
      </c>
      <c r="Q59" s="22">
        <f t="shared" si="3"/>
        <v>25</v>
      </c>
      <c r="R59" s="22">
        <f>SCPR2020!AD59</f>
        <v>3.0785814109883698</v>
      </c>
      <c r="S59" s="52"/>
      <c r="T59" s="22"/>
      <c r="U59" s="53"/>
      <c r="V59" s="22"/>
      <c r="X59" s="54"/>
      <c r="Y59" s="67"/>
      <c r="Z59" s="65"/>
    </row>
    <row r="60" spans="1:26">
      <c r="A60" s="19">
        <v>37</v>
      </c>
      <c r="B60" s="20" t="s">
        <v>65</v>
      </c>
      <c r="C60" s="34">
        <v>650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46">
        <f t="shared" si="2"/>
        <v>650</v>
      </c>
      <c r="Q60" s="22">
        <f t="shared" si="3"/>
        <v>54.1666666666667</v>
      </c>
      <c r="R60" s="22">
        <f>SCPR2020!AD60</f>
        <v>6.6702597238081403</v>
      </c>
      <c r="S60" s="52"/>
      <c r="T60" s="22"/>
      <c r="U60" s="53"/>
      <c r="V60" s="22"/>
      <c r="X60" s="54"/>
    </row>
    <row r="61" spans="1:26">
      <c r="A61" s="19">
        <v>38</v>
      </c>
      <c r="B61" s="20" t="s">
        <v>66</v>
      </c>
      <c r="C61" s="34">
        <v>350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46">
        <f t="shared" si="2"/>
        <v>350</v>
      </c>
      <c r="Q61" s="22">
        <f t="shared" si="3"/>
        <v>29.1666666666667</v>
      </c>
      <c r="R61" s="22">
        <f>SCPR2020!AD61</f>
        <v>3.59167831281977</v>
      </c>
      <c r="S61" s="52"/>
      <c r="T61" s="22"/>
      <c r="U61" s="53"/>
      <c r="V61" s="22"/>
      <c r="X61" s="54"/>
    </row>
    <row r="62" spans="1:26">
      <c r="A62" s="19">
        <v>39</v>
      </c>
      <c r="B62" s="20" t="s">
        <v>67</v>
      </c>
      <c r="C62" s="28">
        <v>150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46">
        <f t="shared" si="2"/>
        <v>150</v>
      </c>
      <c r="Q62" s="22">
        <f t="shared" si="3"/>
        <v>12.5</v>
      </c>
      <c r="R62" s="22">
        <f>SCPR2020!AD62</f>
        <v>1.53929070549419</v>
      </c>
      <c r="S62" s="52"/>
      <c r="T62" s="22"/>
      <c r="U62" s="53"/>
      <c r="V62" s="22"/>
      <c r="X62" s="54"/>
    </row>
    <row r="63" spans="1:26">
      <c r="A63" s="23">
        <v>40</v>
      </c>
      <c r="B63" s="20" t="s">
        <v>68</v>
      </c>
      <c r="C63" s="21">
        <f>2540+36.94</f>
        <v>2576.94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46">
        <f t="shared" si="2"/>
        <v>2576.94</v>
      </c>
      <c r="Q63" s="22">
        <f t="shared" si="3"/>
        <v>214.745</v>
      </c>
      <c r="R63" s="22">
        <f>SCPR2020!AD63</f>
        <v>26.927325408111599</v>
      </c>
      <c r="S63" s="52"/>
      <c r="T63" s="22"/>
      <c r="U63" s="53"/>
      <c r="V63" s="22"/>
      <c r="X63" s="55"/>
      <c r="Y63" s="67"/>
      <c r="Z63" s="65"/>
    </row>
    <row r="64" spans="1:26">
      <c r="A64" s="29">
        <v>41</v>
      </c>
      <c r="B64" s="20" t="s">
        <v>69</v>
      </c>
      <c r="C64" s="21">
        <v>7000</v>
      </c>
      <c r="D64" s="45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46">
        <f t="shared" si="2"/>
        <v>7000</v>
      </c>
      <c r="Q64" s="22">
        <f t="shared" si="3"/>
        <v>583.33333333333303</v>
      </c>
      <c r="R64" s="22">
        <f>SCPR2020!AD64</f>
        <v>71.833566256395301</v>
      </c>
      <c r="S64" s="52"/>
      <c r="T64" s="22"/>
      <c r="U64" s="53"/>
      <c r="V64" s="22"/>
      <c r="X64" s="55"/>
      <c r="Y64" s="67"/>
      <c r="Z64" s="65"/>
    </row>
    <row r="65" spans="1:26">
      <c r="A65" s="29">
        <v>42</v>
      </c>
      <c r="B65" s="20" t="s">
        <v>70</v>
      </c>
      <c r="C65" s="21">
        <v>7000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46">
        <f t="shared" si="2"/>
        <v>7000</v>
      </c>
      <c r="Q65" s="22">
        <f t="shared" si="3"/>
        <v>583.33333333333303</v>
      </c>
      <c r="R65" s="22">
        <f>SCPR2020!AD65</f>
        <v>71.833566256395301</v>
      </c>
      <c r="S65" s="52"/>
      <c r="T65" s="22"/>
      <c r="U65" s="53"/>
      <c r="V65" s="22"/>
      <c r="X65" s="55"/>
      <c r="Y65" s="67"/>
      <c r="Z65" s="65"/>
    </row>
    <row r="66" spans="1:26">
      <c r="A66" s="29">
        <v>43</v>
      </c>
      <c r="B66" s="20" t="s">
        <v>71</v>
      </c>
      <c r="C66" s="21">
        <v>7000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46">
        <f t="shared" si="2"/>
        <v>7000</v>
      </c>
      <c r="Q66" s="22">
        <f t="shared" si="3"/>
        <v>583.33333333333303</v>
      </c>
      <c r="R66" s="22">
        <f>SCPR2020!AD66</f>
        <v>71.833566256395301</v>
      </c>
      <c r="S66" s="52"/>
      <c r="T66" s="22"/>
      <c r="U66" s="53"/>
      <c r="V66" s="22"/>
      <c r="X66" s="55"/>
      <c r="Y66" s="67"/>
      <c r="Z66" s="65"/>
    </row>
    <row r="67" spans="1:26">
      <c r="A67" s="23">
        <v>44</v>
      </c>
      <c r="B67" s="20" t="s">
        <v>72</v>
      </c>
      <c r="C67" s="21">
        <f>2021.27+12.03</f>
        <v>2033.3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46">
        <f t="shared" si="2"/>
        <v>2033.3</v>
      </c>
      <c r="Q67" s="22">
        <f t="shared" si="3"/>
        <v>169.441666666667</v>
      </c>
      <c r="R67" s="22">
        <f>SCPR2020!AD67</f>
        <v>20.523876073255799</v>
      </c>
      <c r="S67" s="52"/>
      <c r="T67" s="22"/>
      <c r="U67" s="53"/>
      <c r="V67" s="22"/>
      <c r="Y67" s="67"/>
      <c r="Z67" s="65"/>
    </row>
    <row r="68" spans="1:26">
      <c r="A68" s="23">
        <v>45</v>
      </c>
      <c r="B68" s="20" t="s">
        <v>73</v>
      </c>
      <c r="C68" s="21">
        <f>3218+62.79</f>
        <v>3280.79</v>
      </c>
      <c r="D68" s="22"/>
      <c r="E68" s="22"/>
      <c r="F68" s="22"/>
      <c r="G68" s="22"/>
      <c r="H68" s="22"/>
      <c r="I68" s="22"/>
      <c r="J68" s="22"/>
      <c r="K68" s="22"/>
      <c r="L68" s="22"/>
      <c r="M68" s="32"/>
      <c r="N68" s="22"/>
      <c r="O68" s="22"/>
      <c r="P68" s="46">
        <f t="shared" si="2"/>
        <v>3280.79</v>
      </c>
      <c r="Q68" s="22">
        <f t="shared" si="3"/>
        <v>273.39916666666699</v>
      </c>
      <c r="R68" s="22">
        <f>SCPR2020!AD68</f>
        <v>32.899773345429097</v>
      </c>
      <c r="S68" s="52"/>
      <c r="T68" s="22"/>
      <c r="U68" s="53"/>
      <c r="V68" s="93"/>
      <c r="X68" s="55"/>
      <c r="Y68" s="67"/>
      <c r="Z68" s="65"/>
    </row>
    <row r="69" spans="1:26">
      <c r="A69" s="23">
        <v>46</v>
      </c>
      <c r="B69" s="20" t="s">
        <v>74</v>
      </c>
      <c r="C69" s="21">
        <v>7000</v>
      </c>
      <c r="D69" s="32"/>
      <c r="E69" s="32"/>
      <c r="F69" s="22"/>
      <c r="G69" s="22"/>
      <c r="H69" s="22"/>
      <c r="I69" s="32"/>
      <c r="J69" s="45"/>
      <c r="K69" s="22"/>
      <c r="L69" s="22"/>
      <c r="M69" s="22"/>
      <c r="N69" s="32"/>
      <c r="O69" s="22"/>
      <c r="P69" s="46">
        <f t="shared" si="2"/>
        <v>7000</v>
      </c>
      <c r="Q69" s="22">
        <f t="shared" si="3"/>
        <v>583.33333333333303</v>
      </c>
      <c r="R69" s="22">
        <f>SCPR2020!AD69</f>
        <v>53.567316551197699</v>
      </c>
      <c r="S69" s="52"/>
      <c r="T69" s="22"/>
      <c r="U69" s="53"/>
      <c r="V69" s="93"/>
      <c r="X69" s="55"/>
      <c r="Y69" s="67"/>
      <c r="Z69" s="65"/>
    </row>
    <row r="70" spans="1:26" s="2" customFormat="1" ht="16.5" customHeight="1">
      <c r="A70" s="19">
        <v>47</v>
      </c>
      <c r="B70" s="68" t="s">
        <v>75</v>
      </c>
      <c r="C70" s="34">
        <v>550</v>
      </c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46">
        <f t="shared" si="2"/>
        <v>550</v>
      </c>
      <c r="Q70" s="25">
        <f t="shared" si="3"/>
        <v>45.8333333333333</v>
      </c>
      <c r="R70" s="22">
        <f>SCPR2020!AD70</f>
        <v>5.6440659201453496</v>
      </c>
      <c r="S70" s="56"/>
      <c r="T70" s="22"/>
      <c r="U70" s="57"/>
      <c r="V70" s="94"/>
      <c r="Y70" s="62"/>
      <c r="Z70" s="62"/>
    </row>
    <row r="71" spans="1:26">
      <c r="A71" s="19">
        <v>48</v>
      </c>
      <c r="B71" s="20" t="s">
        <v>76</v>
      </c>
      <c r="C71" s="34">
        <v>800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46">
        <f t="shared" si="2"/>
        <v>800</v>
      </c>
      <c r="Q71" s="22">
        <f t="shared" si="3"/>
        <v>66.6666666666667</v>
      </c>
      <c r="R71" s="22">
        <f>SCPR2020!AD71</f>
        <v>8.2095504293023307</v>
      </c>
      <c r="S71" s="52"/>
      <c r="T71" s="22"/>
      <c r="U71" s="53"/>
      <c r="V71" s="93"/>
    </row>
    <row r="72" spans="1:26">
      <c r="A72" s="23">
        <v>49</v>
      </c>
      <c r="B72" s="20" t="s">
        <v>77</v>
      </c>
      <c r="C72" s="34">
        <f>5520+32.85</f>
        <v>5552.85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46">
        <f t="shared" si="2"/>
        <v>5552.85</v>
      </c>
      <c r="Q72" s="22">
        <f t="shared" si="3"/>
        <v>462.73750000000001</v>
      </c>
      <c r="R72" s="22">
        <f>SCPR2020!AD72</f>
        <v>58.903524330244203</v>
      </c>
      <c r="S72" s="52"/>
      <c r="T72" s="22"/>
      <c r="U72" s="53"/>
      <c r="V72" s="93"/>
    </row>
    <row r="73" spans="1:26">
      <c r="A73" s="19">
        <v>50</v>
      </c>
      <c r="B73" s="20" t="s">
        <v>78</v>
      </c>
      <c r="C73" s="28">
        <v>200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46">
        <f t="shared" si="2"/>
        <v>200</v>
      </c>
      <c r="Q73" s="22">
        <f t="shared" si="3"/>
        <v>16.6666666666667</v>
      </c>
      <c r="R73" s="22">
        <f>SCPR2020!AD73</f>
        <v>2.05238760732558</v>
      </c>
      <c r="S73" s="52"/>
      <c r="T73" s="22"/>
      <c r="U73" s="53"/>
      <c r="V73" s="93"/>
      <c r="X73" s="54"/>
      <c r="Y73" s="67"/>
      <c r="Z73" s="65"/>
    </row>
    <row r="74" spans="1:26">
      <c r="A74" s="19">
        <v>51</v>
      </c>
      <c r="B74" s="69" t="s">
        <v>79</v>
      </c>
      <c r="C74" s="28">
        <v>200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46">
        <f t="shared" si="2"/>
        <v>200</v>
      </c>
      <c r="Q74" s="22">
        <f t="shared" si="3"/>
        <v>16.6666666666667</v>
      </c>
      <c r="R74" s="22">
        <f>SCPR2020!AD74</f>
        <v>2.05238760732558</v>
      </c>
      <c r="S74" s="52"/>
      <c r="T74" s="22"/>
      <c r="U74" s="53"/>
      <c r="V74" s="93"/>
      <c r="X74" s="54"/>
      <c r="Y74" s="67"/>
      <c r="Z74" s="65"/>
    </row>
    <row r="75" spans="1:26">
      <c r="A75" s="19">
        <v>52</v>
      </c>
      <c r="B75" s="20" t="s">
        <v>80</v>
      </c>
      <c r="C75" s="34">
        <v>1550</v>
      </c>
      <c r="D75" s="5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46">
        <f t="shared" si="2"/>
        <v>1550</v>
      </c>
      <c r="Q75" s="22">
        <f t="shared" si="3"/>
        <v>129.166666666667</v>
      </c>
      <c r="R75" s="22">
        <f>SCPR2020!AD75</f>
        <v>15.906003956773301</v>
      </c>
      <c r="S75" s="52"/>
      <c r="T75" s="22"/>
      <c r="U75" s="53"/>
      <c r="V75" s="93"/>
    </row>
    <row r="76" spans="1:26">
      <c r="A76" s="23">
        <v>53</v>
      </c>
      <c r="B76" s="20" t="s">
        <v>81</v>
      </c>
      <c r="C76" s="34">
        <f>2000+11.9</f>
        <v>2011.9</v>
      </c>
      <c r="D76" s="22"/>
      <c r="E76" s="22"/>
      <c r="F76" s="22"/>
      <c r="G76" s="22"/>
      <c r="H76" s="22"/>
      <c r="I76" s="22"/>
      <c r="J76" s="22"/>
      <c r="K76" s="33"/>
      <c r="L76" s="22"/>
      <c r="M76" s="22"/>
      <c r="N76" s="22"/>
      <c r="O76" s="22"/>
      <c r="P76" s="46">
        <f t="shared" si="2"/>
        <v>2011.9</v>
      </c>
      <c r="Q76" s="22">
        <f t="shared" si="3"/>
        <v>167.65833333333299</v>
      </c>
      <c r="R76" s="22">
        <f>SCPR2020!AD76</f>
        <v>20.523876073255799</v>
      </c>
      <c r="S76" s="52"/>
      <c r="T76" s="22"/>
      <c r="U76" s="53"/>
      <c r="V76" s="95"/>
    </row>
    <row r="77" spans="1:26">
      <c r="A77" s="19">
        <v>54</v>
      </c>
      <c r="B77" s="70" t="s">
        <v>82</v>
      </c>
      <c r="C77" s="34">
        <f>1460+43.64</f>
        <v>1503.64</v>
      </c>
      <c r="D77" s="3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46">
        <f t="shared" si="2"/>
        <v>1503.64</v>
      </c>
      <c r="Q77" s="22">
        <f t="shared" si="3"/>
        <v>125.303333333333</v>
      </c>
      <c r="R77" s="22">
        <f>SCPR2020!AD77</f>
        <v>16.213862097872099</v>
      </c>
      <c r="S77" s="52"/>
      <c r="T77" s="22"/>
      <c r="U77" s="53"/>
      <c r="V77" s="93"/>
      <c r="X77" s="54"/>
      <c r="Y77" s="67"/>
      <c r="Z77" s="65"/>
    </row>
    <row r="78" spans="1:26">
      <c r="A78" s="19">
        <v>55</v>
      </c>
      <c r="B78" s="70" t="s">
        <v>83</v>
      </c>
      <c r="C78" s="34">
        <f>1760+43.64</f>
        <v>1803.64</v>
      </c>
      <c r="D78" s="22"/>
      <c r="E78" s="22"/>
      <c r="F78" s="71"/>
      <c r="G78" s="72"/>
      <c r="H78" s="32"/>
      <c r="I78" s="22"/>
      <c r="J78" s="22"/>
      <c r="K78" s="22"/>
      <c r="L78" s="22"/>
      <c r="M78" s="22"/>
      <c r="N78" s="22"/>
      <c r="O78" s="22"/>
      <c r="P78" s="46">
        <f t="shared" si="2"/>
        <v>1803.64</v>
      </c>
      <c r="Q78" s="22">
        <f t="shared" si="3"/>
        <v>150.303333333333</v>
      </c>
      <c r="R78" s="22">
        <f>SCPR2020!AD78</f>
        <v>17.835248307659299</v>
      </c>
      <c r="S78" s="52"/>
      <c r="T78" s="22"/>
      <c r="U78" s="53"/>
      <c r="V78" s="93"/>
      <c r="X78" s="54"/>
      <c r="Y78" s="67"/>
      <c r="Z78" s="65"/>
    </row>
    <row r="79" spans="1:26" ht="7.5" customHeight="1">
      <c r="A79" s="35"/>
      <c r="B79" s="73"/>
      <c r="C79" s="74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90"/>
      <c r="Q79" s="38"/>
      <c r="R79" s="38"/>
      <c r="S79" s="96"/>
      <c r="T79" s="38"/>
      <c r="U79" s="38"/>
      <c r="V79" s="89"/>
    </row>
    <row r="80" spans="1:26">
      <c r="A80" s="31"/>
      <c r="B80" s="70"/>
      <c r="C80" s="40"/>
      <c r="P80" s="50">
        <f>SUM(P52:P79)</f>
        <v>63834.8</v>
      </c>
      <c r="U80" s="60" t="s">
        <v>84</v>
      </c>
    </row>
    <row r="81" spans="1:26">
      <c r="A81" s="31"/>
      <c r="B81" s="70"/>
      <c r="C81" s="40"/>
      <c r="U81" s="3"/>
    </row>
    <row r="82" spans="1:26">
      <c r="A82" s="31"/>
      <c r="B82" s="70"/>
      <c r="C82" s="40"/>
    </row>
    <row r="83" spans="1:26">
      <c r="A83" s="308" t="s">
        <v>0</v>
      </c>
      <c r="B83" s="308"/>
      <c r="C83" s="308"/>
      <c r="D83" s="308"/>
      <c r="E83" s="308"/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</row>
    <row r="84" spans="1:26">
      <c r="A84" s="315" t="s">
        <v>1</v>
      </c>
      <c r="B84" s="315"/>
      <c r="C84" s="315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</row>
    <row r="85" spans="1:26">
      <c r="A85" s="313" t="s">
        <v>2</v>
      </c>
      <c r="B85" s="313"/>
      <c r="C85" s="313"/>
      <c r="D85" s="313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</row>
    <row r="86" spans="1:26">
      <c r="B86" s="9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51"/>
      <c r="T86" s="9"/>
      <c r="U86" s="9"/>
      <c r="V86" s="9"/>
    </row>
    <row r="87" spans="1:26" ht="18">
      <c r="A87" s="316" t="s">
        <v>3</v>
      </c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</row>
    <row r="88" spans="1:26" ht="12.75" customHeight="1">
      <c r="A88" s="313" t="s">
        <v>55</v>
      </c>
      <c r="B88" s="313"/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</row>
    <row r="89" spans="1:26" ht="3.75" customHeight="1">
      <c r="A89" s="10"/>
      <c r="B89" s="4"/>
      <c r="D89" s="10"/>
      <c r="E89" s="1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26" ht="17.25" customHeight="1">
      <c r="A90" s="336" t="s">
        <v>5</v>
      </c>
      <c r="B90" s="337"/>
      <c r="C90" s="332" t="s">
        <v>56</v>
      </c>
      <c r="D90" s="329" t="s">
        <v>7</v>
      </c>
      <c r="E90" s="329" t="s">
        <v>8</v>
      </c>
      <c r="F90" s="319" t="s">
        <v>9</v>
      </c>
      <c r="G90" s="319" t="s">
        <v>10</v>
      </c>
      <c r="H90" s="321" t="s">
        <v>11</v>
      </c>
      <c r="I90" s="319" t="s">
        <v>12</v>
      </c>
      <c r="J90" s="319" t="s">
        <v>13</v>
      </c>
      <c r="K90" s="319" t="s">
        <v>14</v>
      </c>
      <c r="L90" s="319" t="s">
        <v>15</v>
      </c>
      <c r="M90" s="319" t="s">
        <v>16</v>
      </c>
      <c r="N90" s="319" t="s">
        <v>17</v>
      </c>
      <c r="O90" s="319" t="s">
        <v>18</v>
      </c>
      <c r="P90" s="319" t="s">
        <v>19</v>
      </c>
      <c r="Q90" s="319" t="s">
        <v>20</v>
      </c>
      <c r="R90" s="327" t="s">
        <v>21</v>
      </c>
      <c r="S90" s="323" t="s">
        <v>22</v>
      </c>
      <c r="T90" s="342" t="s">
        <v>23</v>
      </c>
      <c r="U90" s="329" t="s">
        <v>24</v>
      </c>
      <c r="V90" s="325" t="s">
        <v>25</v>
      </c>
    </row>
    <row r="91" spans="1:26" ht="16.5" customHeight="1">
      <c r="A91" s="338"/>
      <c r="B91" s="339"/>
      <c r="C91" s="333"/>
      <c r="D91" s="330"/>
      <c r="E91" s="330"/>
      <c r="F91" s="320"/>
      <c r="G91" s="320"/>
      <c r="H91" s="322"/>
      <c r="I91" s="320"/>
      <c r="J91" s="320"/>
      <c r="K91" s="320"/>
      <c r="L91" s="320"/>
      <c r="M91" s="320"/>
      <c r="N91" s="320"/>
      <c r="O91" s="320"/>
      <c r="P91" s="320"/>
      <c r="Q91" s="320"/>
      <c r="R91" s="328"/>
      <c r="S91" s="324"/>
      <c r="T91" s="343"/>
      <c r="U91" s="330"/>
      <c r="V91" s="326"/>
    </row>
    <row r="92" spans="1:26" ht="4.5" customHeight="1">
      <c r="A92" s="41"/>
      <c r="B92" s="75"/>
      <c r="C92" s="42"/>
      <c r="D92" s="43"/>
      <c r="E92" s="43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61"/>
      <c r="T92" s="44"/>
      <c r="U92" s="44"/>
      <c r="V92" s="44"/>
    </row>
    <row r="93" spans="1:26">
      <c r="A93" s="23">
        <v>56</v>
      </c>
      <c r="B93" s="70" t="s">
        <v>85</v>
      </c>
      <c r="C93" s="76">
        <f>2200.1+34.91</f>
        <v>2235.0100000000002</v>
      </c>
      <c r="D93" s="77"/>
      <c r="E93" s="77"/>
      <c r="F93" s="32"/>
      <c r="G93" s="22"/>
      <c r="H93" s="22"/>
      <c r="I93" s="22"/>
      <c r="J93" s="22"/>
      <c r="K93" s="22"/>
      <c r="L93" s="22"/>
      <c r="M93" s="22"/>
      <c r="N93" s="22"/>
      <c r="O93" s="22"/>
      <c r="P93" s="46">
        <f t="shared" ref="P93:P98" si="4">C93+D93+E93+F93+G93+H93+I93+J93+K93+L93+M93+N93+O93</f>
        <v>2235.0100000000002</v>
      </c>
      <c r="Q93" s="22">
        <f t="shared" ref="Q93:Q137" si="5">P93/12</f>
        <v>186.25083333333299</v>
      </c>
      <c r="R93" s="22">
        <f>SCPR2020!AD93</f>
        <v>23.398244917315299</v>
      </c>
      <c r="S93" s="97"/>
      <c r="T93" s="93"/>
      <c r="U93" s="53"/>
      <c r="V93" s="93"/>
      <c r="Y93" s="67"/>
      <c r="Z93" s="65"/>
    </row>
    <row r="94" spans="1:26">
      <c r="A94" s="23">
        <v>57</v>
      </c>
      <c r="B94" s="70" t="s">
        <v>86</v>
      </c>
      <c r="C94" s="76">
        <f>2122.33+12.63</f>
        <v>2134.96</v>
      </c>
      <c r="D94" s="77"/>
      <c r="E94" s="77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46">
        <f t="shared" si="4"/>
        <v>2134.96</v>
      </c>
      <c r="Q94" s="22">
        <f t="shared" si="5"/>
        <v>177.91333333333299</v>
      </c>
      <c r="R94" s="22">
        <f>SCPR2020!AD94</f>
        <v>21.779218953276501</v>
      </c>
      <c r="S94" s="97"/>
      <c r="T94" s="93"/>
      <c r="U94" s="53"/>
      <c r="V94" s="93"/>
    </row>
    <row r="95" spans="1:26">
      <c r="A95" s="23">
        <v>58</v>
      </c>
      <c r="B95" s="70" t="s">
        <v>87</v>
      </c>
      <c r="C95" s="76">
        <f>2465+14.67</f>
        <v>2479.67</v>
      </c>
      <c r="D95" s="77"/>
      <c r="E95" s="77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46">
        <f t="shared" si="4"/>
        <v>2479.67</v>
      </c>
      <c r="Q95" s="22">
        <f t="shared" si="5"/>
        <v>206.63916666666699</v>
      </c>
      <c r="R95" s="22">
        <f>SCPR2020!AD95</f>
        <v>26.814444089708701</v>
      </c>
      <c r="S95" s="52"/>
      <c r="T95" s="22"/>
      <c r="U95" s="53"/>
      <c r="V95" s="93"/>
      <c r="X95" s="55"/>
      <c r="Y95" s="67"/>
      <c r="Z95" s="65"/>
    </row>
    <row r="96" spans="1:26">
      <c r="A96" s="29">
        <v>59</v>
      </c>
      <c r="B96" s="70" t="str">
        <f>[1]Membership!$B$71</f>
        <v>Concepcion B. Cruz</v>
      </c>
      <c r="C96" s="76">
        <v>7000</v>
      </c>
      <c r="D96" s="45"/>
      <c r="E96" s="77"/>
      <c r="F96" s="45"/>
      <c r="G96" s="22"/>
      <c r="H96" s="22"/>
      <c r="I96" s="22"/>
      <c r="J96" s="22"/>
      <c r="K96" s="22"/>
      <c r="L96" s="22"/>
      <c r="M96" s="22"/>
      <c r="N96" s="22"/>
      <c r="O96" s="22"/>
      <c r="P96" s="46">
        <f t="shared" si="4"/>
        <v>7000</v>
      </c>
      <c r="Q96" s="22">
        <f t="shared" si="5"/>
        <v>583.33333333333303</v>
      </c>
      <c r="R96" s="22">
        <f>SCPR2020!AD96</f>
        <v>71.833566256395301</v>
      </c>
      <c r="S96" s="52"/>
      <c r="T96" s="22"/>
      <c r="U96" s="53"/>
      <c r="V96" s="93"/>
    </row>
    <row r="97" spans="1:26">
      <c r="A97" s="23">
        <v>60</v>
      </c>
      <c r="B97" s="70" t="str">
        <f>[1]Membership!$B$72</f>
        <v>Leonardo B. Cruz</v>
      </c>
      <c r="C97" s="76">
        <f>2435+14.49</f>
        <v>2449.4899999999998</v>
      </c>
      <c r="D97" s="22"/>
      <c r="E97" s="77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46">
        <f t="shared" si="4"/>
        <v>2449.4899999999998</v>
      </c>
      <c r="Q97" s="22">
        <f t="shared" si="5"/>
        <v>204.12416666666701</v>
      </c>
      <c r="R97" s="22">
        <f>SCPR2020!AD97</f>
        <v>25.8908696664122</v>
      </c>
      <c r="S97" s="52"/>
      <c r="T97" s="22"/>
      <c r="U97" s="53"/>
      <c r="V97" s="93"/>
      <c r="X97" s="55"/>
      <c r="Y97" s="67"/>
      <c r="Z97" s="65"/>
    </row>
    <row r="98" spans="1:26">
      <c r="A98" s="23">
        <v>61</v>
      </c>
      <c r="B98" s="70" t="str">
        <f>[1]Membership!$B$73</f>
        <v>Annalyn B. Cruz</v>
      </c>
      <c r="C98" s="76">
        <f>2450.8+14.58</f>
        <v>2465.38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46">
        <f t="shared" si="4"/>
        <v>2465.38</v>
      </c>
      <c r="Q98" s="22">
        <f t="shared" si="5"/>
        <v>205.44833333333301</v>
      </c>
      <c r="R98" s="22">
        <f>SCPR2020!AD98</f>
        <v>26.011960535244398</v>
      </c>
      <c r="S98" s="52"/>
      <c r="T98" s="22"/>
      <c r="U98" s="53"/>
      <c r="V98" s="93"/>
      <c r="Y98" s="67"/>
      <c r="Z98" s="65"/>
    </row>
    <row r="99" spans="1:26">
      <c r="A99" s="19">
        <v>62</v>
      </c>
      <c r="B99" s="78"/>
      <c r="C99" s="76"/>
      <c r="D99" s="77"/>
      <c r="E99" s="77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46"/>
      <c r="Q99" s="22"/>
      <c r="R99" s="22">
        <f>SCPR2020!AD99</f>
        <v>1.02619380366279</v>
      </c>
      <c r="S99" s="97"/>
      <c r="T99" s="22"/>
      <c r="U99" s="98"/>
      <c r="V99" s="93"/>
    </row>
    <row r="100" spans="1:26">
      <c r="A100" s="23">
        <v>63</v>
      </c>
      <c r="B100" s="70" t="str">
        <f>[1]Membership!$B$75</f>
        <v>Milben Rex P. Balao</v>
      </c>
      <c r="C100" s="76">
        <f>3590+108.65</f>
        <v>3698.65</v>
      </c>
      <c r="D100" s="22"/>
      <c r="E100" s="77"/>
      <c r="F100" s="47"/>
      <c r="G100" s="22"/>
      <c r="H100" s="22"/>
      <c r="I100" s="22"/>
      <c r="J100" s="22"/>
      <c r="K100" s="22"/>
      <c r="L100" s="22"/>
      <c r="M100" s="22"/>
      <c r="N100" s="22"/>
      <c r="O100" s="22"/>
      <c r="P100" s="46">
        <f>C100+D100+E100+F100+G100+H100+I100+J100+K100+L100+M100+N100+O100</f>
        <v>3698.65</v>
      </c>
      <c r="Q100" s="22">
        <f t="shared" si="5"/>
        <v>308.22083333333302</v>
      </c>
      <c r="R100" s="22">
        <f>SCPR2020!AD100</f>
        <v>36.840357551494201</v>
      </c>
      <c r="S100" s="52"/>
      <c r="T100" s="22"/>
      <c r="U100" s="53"/>
      <c r="V100" s="93"/>
    </row>
    <row r="101" spans="1:26">
      <c r="A101" s="19">
        <v>64</v>
      </c>
      <c r="B101" s="208" t="s">
        <v>88</v>
      </c>
      <c r="C101" s="209">
        <v>100</v>
      </c>
      <c r="D101" s="81"/>
      <c r="E101" s="8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91">
        <f>C101+D101+E101+F101+G101+H101+I101+J101+K101+L101+M101+N101+O101</f>
        <v>100</v>
      </c>
      <c r="Q101" s="58">
        <f t="shared" si="5"/>
        <v>8.3333333333333304</v>
      </c>
      <c r="R101" s="22">
        <f>SCPR2020!AD101</f>
        <v>0</v>
      </c>
      <c r="S101" s="71"/>
      <c r="T101" s="22"/>
      <c r="U101" s="99"/>
      <c r="V101" s="93"/>
      <c r="X101" s="54"/>
      <c r="Y101" s="67"/>
      <c r="Z101" s="65"/>
    </row>
    <row r="102" spans="1:26">
      <c r="A102" s="23">
        <v>65</v>
      </c>
      <c r="B102" s="70" t="s">
        <v>89</v>
      </c>
      <c r="C102" s="76">
        <f>2715+16.16</f>
        <v>2731.16</v>
      </c>
      <c r="D102" s="77"/>
      <c r="E102" s="77"/>
      <c r="F102" s="22"/>
      <c r="G102" s="22"/>
      <c r="H102" s="32"/>
      <c r="I102" s="22"/>
      <c r="J102" s="22"/>
      <c r="K102" s="22"/>
      <c r="L102" s="22"/>
      <c r="M102" s="22"/>
      <c r="N102" s="22"/>
      <c r="O102" s="22"/>
      <c r="P102" s="46">
        <f>C102+D102+E102+F102+G102+H102+I102+J102+K102+L102+M102+N102+O102</f>
        <v>2731.16</v>
      </c>
      <c r="Q102" s="22">
        <f t="shared" si="5"/>
        <v>227.59666666666701</v>
      </c>
      <c r="R102" s="22">
        <f>SCPR2020!AD102</f>
        <v>25.2956772602878</v>
      </c>
      <c r="S102" s="52"/>
      <c r="T102" s="22"/>
      <c r="U102" s="53"/>
      <c r="V102" s="93"/>
      <c r="X102" s="55"/>
      <c r="Y102" s="67"/>
      <c r="Z102" s="65"/>
    </row>
    <row r="103" spans="1:26">
      <c r="A103" s="29">
        <v>66</v>
      </c>
      <c r="B103" s="70" t="s">
        <v>90</v>
      </c>
      <c r="C103" s="76">
        <v>7000</v>
      </c>
      <c r="D103" s="77"/>
      <c r="E103" s="77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46">
        <f>C103</f>
        <v>7000</v>
      </c>
      <c r="Q103" s="22">
        <f t="shared" si="5"/>
        <v>583.33333333333303</v>
      </c>
      <c r="R103" s="22">
        <f>SCPR2020!AD103</f>
        <v>71.833566256395301</v>
      </c>
      <c r="S103" s="52"/>
      <c r="T103" s="22"/>
      <c r="U103" s="53"/>
      <c r="V103" s="93"/>
    </row>
    <row r="104" spans="1:26">
      <c r="A104" s="23">
        <v>67</v>
      </c>
      <c r="B104" s="9" t="s">
        <v>91</v>
      </c>
      <c r="C104" s="76">
        <f>2261.81+13.46</f>
        <v>2275.27</v>
      </c>
      <c r="D104" s="77"/>
      <c r="E104" s="77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46">
        <f t="shared" ref="P104:P119" si="6">C104+D104+E104+F104+G104+H104+I104+J104+K104+L104+M104+N104+O104</f>
        <v>2275.27</v>
      </c>
      <c r="Q104" s="22">
        <f t="shared" si="5"/>
        <v>189.60583333333301</v>
      </c>
      <c r="R104" s="22">
        <f>SCPR2020!AD104</f>
        <v>23.210554070625399</v>
      </c>
      <c r="S104" s="52"/>
      <c r="T104" s="22"/>
      <c r="U104" s="53"/>
      <c r="V104" s="93"/>
    </row>
    <row r="105" spans="1:26">
      <c r="A105" s="19">
        <v>68</v>
      </c>
      <c r="B105" s="70" t="s">
        <v>92</v>
      </c>
      <c r="C105" s="82">
        <v>220</v>
      </c>
      <c r="D105" s="77"/>
      <c r="E105" s="77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46">
        <f t="shared" si="6"/>
        <v>220</v>
      </c>
      <c r="Q105" s="22">
        <f t="shared" si="5"/>
        <v>18.3333333333333</v>
      </c>
      <c r="R105" s="22">
        <f>SCPR2020!AD105</f>
        <v>2.2576263680581401</v>
      </c>
      <c r="S105" s="52"/>
      <c r="T105" s="22"/>
      <c r="U105" s="53"/>
      <c r="V105" s="93"/>
    </row>
    <row r="106" spans="1:26">
      <c r="A106" s="19">
        <v>69</v>
      </c>
      <c r="B106" s="70" t="s">
        <v>93</v>
      </c>
      <c r="C106" s="83">
        <v>100</v>
      </c>
      <c r="D106" s="77"/>
      <c r="E106" s="77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46">
        <f t="shared" si="6"/>
        <v>100</v>
      </c>
      <c r="Q106" s="22">
        <f t="shared" si="5"/>
        <v>8.3333333333333304</v>
      </c>
      <c r="R106" s="22">
        <f>SCPR2020!AD106</f>
        <v>1.02619380366279</v>
      </c>
      <c r="S106" s="97"/>
      <c r="T106" s="22"/>
      <c r="U106" s="98"/>
      <c r="V106" s="93"/>
    </row>
    <row r="107" spans="1:26">
      <c r="A107" s="19">
        <v>70</v>
      </c>
      <c r="B107" s="70" t="s">
        <v>94</v>
      </c>
      <c r="C107" s="83">
        <v>100</v>
      </c>
      <c r="D107" s="77"/>
      <c r="E107" s="77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46">
        <f t="shared" si="6"/>
        <v>100</v>
      </c>
      <c r="Q107" s="22">
        <f t="shared" si="5"/>
        <v>8.3333333333333304</v>
      </c>
      <c r="R107" s="22">
        <f>SCPR2020!AD107</f>
        <v>1.02619380366279</v>
      </c>
      <c r="S107" s="97"/>
      <c r="T107" s="22"/>
      <c r="U107" s="98"/>
      <c r="V107" s="93"/>
    </row>
    <row r="108" spans="1:26">
      <c r="A108" s="19">
        <v>71</v>
      </c>
      <c r="B108" s="70" t="s">
        <v>95</v>
      </c>
      <c r="C108" s="83">
        <v>420</v>
      </c>
      <c r="D108" s="77"/>
      <c r="E108" s="77"/>
      <c r="F108" s="22"/>
      <c r="G108" s="22"/>
      <c r="H108" s="22"/>
      <c r="I108" s="22"/>
      <c r="J108" s="45"/>
      <c r="K108" s="22"/>
      <c r="L108" s="22"/>
      <c r="M108" s="22"/>
      <c r="N108" s="22"/>
      <c r="O108" s="22"/>
      <c r="P108" s="46">
        <f t="shared" si="6"/>
        <v>420</v>
      </c>
      <c r="Q108" s="22">
        <f t="shared" si="5"/>
        <v>35</v>
      </c>
      <c r="R108" s="22">
        <f>SCPR2020!AD108</f>
        <v>5.8287808048046497</v>
      </c>
      <c r="S108" s="52"/>
      <c r="T108" s="22"/>
      <c r="U108" s="53"/>
      <c r="V108" s="93"/>
    </row>
    <row r="109" spans="1:26">
      <c r="A109" s="19">
        <v>72</v>
      </c>
      <c r="B109" s="70" t="s">
        <v>96</v>
      </c>
      <c r="C109" s="83">
        <v>340</v>
      </c>
      <c r="D109" s="22"/>
      <c r="E109" s="77"/>
      <c r="F109" s="22"/>
      <c r="G109" s="22"/>
      <c r="H109" s="22"/>
      <c r="I109" s="22"/>
      <c r="J109" s="45"/>
      <c r="K109" s="22"/>
      <c r="L109" s="22"/>
      <c r="M109" s="22"/>
      <c r="N109" s="22"/>
      <c r="O109" s="22"/>
      <c r="P109" s="46">
        <f t="shared" si="6"/>
        <v>340</v>
      </c>
      <c r="Q109" s="22">
        <f t="shared" si="5"/>
        <v>28.3333333333333</v>
      </c>
      <c r="R109" s="22">
        <f>SCPR2020!AD109</f>
        <v>11.082893079558101</v>
      </c>
      <c r="S109" s="52"/>
      <c r="T109" s="22"/>
      <c r="U109" s="53"/>
      <c r="V109" s="93"/>
    </row>
    <row r="110" spans="1:26">
      <c r="A110" s="19">
        <v>73</v>
      </c>
      <c r="B110" s="70" t="s">
        <v>97</v>
      </c>
      <c r="C110" s="76">
        <v>440</v>
      </c>
      <c r="D110" s="22"/>
      <c r="E110" s="77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46">
        <f t="shared" si="6"/>
        <v>440</v>
      </c>
      <c r="Q110" s="22">
        <f t="shared" si="5"/>
        <v>36.6666666666667</v>
      </c>
      <c r="R110" s="22">
        <f>SCPR2020!AD110</f>
        <v>7.69645352747093</v>
      </c>
      <c r="S110" s="97"/>
      <c r="T110" s="22"/>
      <c r="U110" s="98"/>
      <c r="V110" s="93"/>
    </row>
    <row r="111" spans="1:26">
      <c r="A111" s="19">
        <v>74</v>
      </c>
      <c r="B111" s="70" t="s">
        <v>98</v>
      </c>
      <c r="C111" s="83">
        <v>520</v>
      </c>
      <c r="D111" s="22"/>
      <c r="E111" s="77"/>
      <c r="F111" s="45"/>
      <c r="G111" s="22"/>
      <c r="H111" s="22"/>
      <c r="I111" s="22"/>
      <c r="J111" s="22"/>
      <c r="K111" s="22"/>
      <c r="L111" s="22"/>
      <c r="M111" s="22"/>
      <c r="N111" s="22"/>
      <c r="O111" s="22"/>
      <c r="P111" s="46">
        <f t="shared" si="6"/>
        <v>520</v>
      </c>
      <c r="Q111" s="22">
        <f t="shared" si="5"/>
        <v>43.3333333333333</v>
      </c>
      <c r="R111" s="22">
        <f>SCPR2020!AD111</f>
        <v>7.2859760060058099</v>
      </c>
      <c r="S111" s="52"/>
      <c r="T111" s="22"/>
      <c r="U111" s="53"/>
      <c r="V111" s="93"/>
    </row>
    <row r="112" spans="1:26">
      <c r="A112" s="19">
        <v>75</v>
      </c>
      <c r="B112" s="70" t="s">
        <v>99</v>
      </c>
      <c r="C112" s="76">
        <v>7000</v>
      </c>
      <c r="D112" s="22"/>
      <c r="E112" s="81"/>
      <c r="F112" s="71"/>
      <c r="G112" s="32"/>
      <c r="H112" s="22"/>
      <c r="I112" s="32"/>
      <c r="J112" s="32"/>
      <c r="K112" s="32"/>
      <c r="L112" s="32"/>
      <c r="M112" s="32"/>
      <c r="N112" s="32"/>
      <c r="O112" s="22"/>
      <c r="P112" s="46">
        <f t="shared" si="6"/>
        <v>7000</v>
      </c>
      <c r="Q112" s="22">
        <f t="shared" si="5"/>
        <v>583.33333333333303</v>
      </c>
      <c r="R112" s="22"/>
      <c r="S112" s="52"/>
      <c r="T112" s="22"/>
      <c r="U112" s="53"/>
      <c r="V112" s="93"/>
    </row>
    <row r="113" spans="1:22">
      <c r="A113" s="84">
        <v>76</v>
      </c>
      <c r="B113" s="70" t="s">
        <v>100</v>
      </c>
      <c r="C113" s="76">
        <v>200</v>
      </c>
      <c r="D113" s="77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46">
        <f t="shared" si="6"/>
        <v>200</v>
      </c>
      <c r="Q113" s="22">
        <f t="shared" si="5"/>
        <v>16.6666666666667</v>
      </c>
      <c r="R113" s="22">
        <f>SCPR2020!AD113</f>
        <v>2.05238760732558</v>
      </c>
      <c r="S113" s="52"/>
      <c r="T113" s="22"/>
      <c r="U113" s="53"/>
      <c r="V113" s="93"/>
    </row>
    <row r="114" spans="1:22">
      <c r="A114" s="84">
        <v>77</v>
      </c>
      <c r="B114" s="70" t="s">
        <v>101</v>
      </c>
      <c r="C114" s="76">
        <v>340</v>
      </c>
      <c r="D114" s="77"/>
      <c r="E114" s="77"/>
      <c r="F114" s="45"/>
      <c r="G114" s="22"/>
      <c r="H114" s="22"/>
      <c r="I114" s="22"/>
      <c r="J114" s="45"/>
      <c r="K114" s="22"/>
      <c r="L114" s="22"/>
      <c r="M114" s="22"/>
      <c r="N114" s="22"/>
      <c r="O114" s="22"/>
      <c r="P114" s="46">
        <f t="shared" si="6"/>
        <v>340</v>
      </c>
      <c r="Q114" s="22">
        <f t="shared" si="5"/>
        <v>28.3333333333333</v>
      </c>
      <c r="R114" s="22">
        <f>SCPR2020!AD114</f>
        <v>3.48905893245349</v>
      </c>
      <c r="S114" s="52"/>
      <c r="T114" s="22"/>
      <c r="U114" s="53"/>
      <c r="V114" s="93"/>
    </row>
    <row r="115" spans="1:22">
      <c r="A115" s="84">
        <v>78</v>
      </c>
      <c r="B115" s="70" t="s">
        <v>102</v>
      </c>
      <c r="C115" s="76">
        <v>100</v>
      </c>
      <c r="D115" s="77"/>
      <c r="E115" s="77"/>
      <c r="F115" s="22"/>
      <c r="G115" s="22"/>
      <c r="H115" s="22"/>
      <c r="I115" s="22"/>
      <c r="J115" s="45"/>
      <c r="K115" s="22"/>
      <c r="L115" s="22"/>
      <c r="M115" s="22"/>
      <c r="N115" s="22"/>
      <c r="O115" s="22"/>
      <c r="P115" s="46">
        <f t="shared" si="6"/>
        <v>100</v>
      </c>
      <c r="Q115" s="22">
        <f t="shared" si="5"/>
        <v>8.3333333333333304</v>
      </c>
      <c r="R115" s="22">
        <f>SCPR2020!AD115</f>
        <v>1.02619380366279</v>
      </c>
      <c r="S115" s="97"/>
      <c r="T115" s="22"/>
      <c r="U115" s="98"/>
      <c r="V115" s="93"/>
    </row>
    <row r="116" spans="1:22">
      <c r="A116" s="84">
        <v>79</v>
      </c>
      <c r="B116" s="70" t="s">
        <v>103</v>
      </c>
      <c r="C116" s="76">
        <f>400+21.82</f>
        <v>421.82</v>
      </c>
      <c r="D116" s="77"/>
      <c r="E116" s="77"/>
      <c r="F116" s="22"/>
      <c r="G116" s="22"/>
      <c r="H116" s="22"/>
      <c r="I116" s="22"/>
      <c r="J116" s="45"/>
      <c r="K116" s="32"/>
      <c r="L116" s="22"/>
      <c r="M116" s="22"/>
      <c r="N116" s="22"/>
      <c r="O116" s="22"/>
      <c r="P116" s="46">
        <f t="shared" si="6"/>
        <v>421.82</v>
      </c>
      <c r="Q116" s="22">
        <f t="shared" si="5"/>
        <v>35.151666666666699</v>
      </c>
      <c r="R116" s="22">
        <f>SCPR2020!AD116</f>
        <v>1.02619380366279</v>
      </c>
      <c r="S116" s="97"/>
      <c r="T116" s="22"/>
      <c r="U116" s="98"/>
      <c r="V116" s="93"/>
    </row>
    <row r="117" spans="1:22">
      <c r="A117" s="84"/>
      <c r="B117" s="70" t="s">
        <v>104</v>
      </c>
      <c r="C117" s="76">
        <v>100</v>
      </c>
      <c r="D117" s="77"/>
      <c r="E117" s="77"/>
      <c r="F117" s="22"/>
      <c r="G117" s="22"/>
      <c r="H117" s="22"/>
      <c r="I117" s="22"/>
      <c r="J117" s="45"/>
      <c r="K117" s="32"/>
      <c r="L117" s="22"/>
      <c r="M117" s="22"/>
      <c r="N117" s="22"/>
      <c r="O117" s="22"/>
      <c r="P117" s="46">
        <f t="shared" si="6"/>
        <v>100</v>
      </c>
      <c r="Q117" s="22">
        <f t="shared" si="5"/>
        <v>8.3333333333333304</v>
      </c>
      <c r="R117" s="22">
        <f>SCPR2020!AD117</f>
        <v>1.02619380366279</v>
      </c>
      <c r="S117" s="97"/>
      <c r="T117" s="22"/>
      <c r="U117" s="98"/>
      <c r="V117" s="93"/>
    </row>
    <row r="118" spans="1:22">
      <c r="A118" s="84">
        <v>81</v>
      </c>
      <c r="B118" s="70" t="s">
        <v>105</v>
      </c>
      <c r="C118" s="76">
        <v>220</v>
      </c>
      <c r="D118" s="77"/>
      <c r="E118" s="77"/>
      <c r="F118" s="22"/>
      <c r="G118" s="22"/>
      <c r="H118" s="22"/>
      <c r="I118" s="22"/>
      <c r="J118" s="45"/>
      <c r="K118" s="22"/>
      <c r="L118" s="22"/>
      <c r="M118" s="22"/>
      <c r="N118" s="22"/>
      <c r="O118" s="22"/>
      <c r="P118" s="46">
        <f t="shared" si="6"/>
        <v>220</v>
      </c>
      <c r="Q118" s="22">
        <f t="shared" si="5"/>
        <v>18.3333333333333</v>
      </c>
      <c r="R118" s="22">
        <f>SCPR2020!AD118</f>
        <v>2.2576263680581401</v>
      </c>
      <c r="S118" s="52"/>
      <c r="T118" s="22"/>
      <c r="U118" s="53"/>
      <c r="V118" s="93"/>
    </row>
    <row r="119" spans="1:22">
      <c r="A119" s="84">
        <v>82</v>
      </c>
      <c r="B119" s="70" t="s">
        <v>106</v>
      </c>
      <c r="C119" s="76">
        <f>220+30.55</f>
        <v>250.55</v>
      </c>
      <c r="D119" s="77"/>
      <c r="E119" s="81">
        <v>60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46">
        <f t="shared" si="6"/>
        <v>310.55</v>
      </c>
      <c r="Q119" s="22">
        <f t="shared" si="5"/>
        <v>25.879166666666698</v>
      </c>
      <c r="R119" s="22">
        <f>SCPR2020!AD119</f>
        <v>1.6419100858604601</v>
      </c>
      <c r="S119" s="52"/>
      <c r="T119" s="22"/>
      <c r="U119" s="53"/>
      <c r="V119" s="93"/>
    </row>
    <row r="120" spans="1:22" ht="6" customHeight="1">
      <c r="A120" s="85"/>
      <c r="B120" s="86"/>
      <c r="C120" s="87"/>
      <c r="D120" s="88"/>
      <c r="E120" s="88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100"/>
      <c r="T120" s="89"/>
      <c r="U120" s="89"/>
      <c r="V120" s="89"/>
    </row>
    <row r="121" spans="1:22">
      <c r="P121" s="50">
        <f>SUM(P93:P120)</f>
        <v>45401.96</v>
      </c>
      <c r="U121" s="60" t="s">
        <v>107</v>
      </c>
    </row>
    <row r="122" spans="1:22">
      <c r="A122" s="31"/>
      <c r="B122" s="70"/>
      <c r="C122" s="40"/>
      <c r="U122" s="3"/>
    </row>
    <row r="123" spans="1:22">
      <c r="A123" s="31"/>
      <c r="B123" s="70"/>
      <c r="C123" s="40"/>
    </row>
    <row r="124" spans="1:22">
      <c r="A124" s="308" t="s">
        <v>0</v>
      </c>
      <c r="B124" s="308"/>
      <c r="C124" s="308"/>
      <c r="D124" s="308"/>
      <c r="E124" s="308"/>
      <c r="F124" s="308"/>
      <c r="G124" s="308"/>
      <c r="H124" s="308"/>
      <c r="I124" s="308"/>
      <c r="J124" s="308"/>
      <c r="K124" s="308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</row>
    <row r="125" spans="1:22">
      <c r="A125" s="315" t="s">
        <v>1</v>
      </c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</row>
    <row r="126" spans="1:22">
      <c r="A126" s="313" t="s">
        <v>2</v>
      </c>
      <c r="B126" s="313"/>
      <c r="C126" s="313"/>
      <c r="D126" s="313"/>
      <c r="E126" s="313"/>
      <c r="F126" s="313"/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  <c r="T126" s="313"/>
      <c r="U126" s="313"/>
      <c r="V126" s="313"/>
    </row>
    <row r="127" spans="1:22">
      <c r="B127" s="9"/>
      <c r="C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51"/>
      <c r="T127" s="9"/>
      <c r="U127" s="9"/>
      <c r="V127" s="9"/>
    </row>
    <row r="128" spans="1:22" ht="18">
      <c r="A128" s="316" t="s">
        <v>3</v>
      </c>
      <c r="B128" s="316"/>
      <c r="C128" s="316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</row>
    <row r="129" spans="1:22">
      <c r="A129" s="313" t="s">
        <v>55</v>
      </c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</row>
    <row r="130" spans="1:22" ht="5.25" customHeight="1"/>
    <row r="131" spans="1:22" ht="15.75" customHeight="1">
      <c r="A131" s="336" t="s">
        <v>5</v>
      </c>
      <c r="B131" s="337"/>
      <c r="C131" s="334" t="s">
        <v>56</v>
      </c>
      <c r="D131" s="329" t="s">
        <v>7</v>
      </c>
      <c r="E131" s="329" t="s">
        <v>8</v>
      </c>
      <c r="F131" s="319" t="s">
        <v>9</v>
      </c>
      <c r="G131" s="319" t="s">
        <v>10</v>
      </c>
      <c r="H131" s="329" t="s">
        <v>11</v>
      </c>
      <c r="I131" s="319" t="s">
        <v>12</v>
      </c>
      <c r="J131" s="319" t="s">
        <v>13</v>
      </c>
      <c r="K131" s="319" t="s">
        <v>14</v>
      </c>
      <c r="L131" s="319" t="s">
        <v>15</v>
      </c>
      <c r="M131" s="319" t="s">
        <v>16</v>
      </c>
      <c r="N131" s="319" t="s">
        <v>17</v>
      </c>
      <c r="O131" s="319" t="s">
        <v>18</v>
      </c>
      <c r="P131" s="319" t="s">
        <v>19</v>
      </c>
      <c r="Q131" s="319" t="s">
        <v>20</v>
      </c>
      <c r="R131" s="327" t="s">
        <v>21</v>
      </c>
      <c r="S131" s="323" t="s">
        <v>22</v>
      </c>
      <c r="T131" s="342" t="s">
        <v>23</v>
      </c>
      <c r="U131" s="329" t="s">
        <v>24</v>
      </c>
      <c r="V131" s="325" t="s">
        <v>25</v>
      </c>
    </row>
    <row r="132" spans="1:22" ht="18" customHeight="1">
      <c r="A132" s="338"/>
      <c r="B132" s="339"/>
      <c r="C132" s="335"/>
      <c r="D132" s="330"/>
      <c r="E132" s="330"/>
      <c r="F132" s="320"/>
      <c r="G132" s="320"/>
      <c r="H132" s="330"/>
      <c r="I132" s="320"/>
      <c r="J132" s="320"/>
      <c r="K132" s="320"/>
      <c r="L132" s="320"/>
      <c r="M132" s="320"/>
      <c r="N132" s="320"/>
      <c r="O132" s="320"/>
      <c r="P132" s="320"/>
      <c r="Q132" s="320"/>
      <c r="R132" s="328"/>
      <c r="S132" s="324"/>
      <c r="T132" s="343"/>
      <c r="U132" s="330"/>
      <c r="V132" s="326"/>
    </row>
    <row r="133" spans="1:22" ht="3.75" customHeight="1">
      <c r="C133" s="101"/>
      <c r="D133" s="43"/>
      <c r="E133" s="43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61"/>
      <c r="T133" s="44"/>
      <c r="U133" s="44"/>
      <c r="V133" s="44"/>
    </row>
    <row r="134" spans="1:22">
      <c r="A134" s="29">
        <v>83</v>
      </c>
      <c r="B134" s="70" t="s">
        <v>108</v>
      </c>
      <c r="C134" s="76">
        <v>7000</v>
      </c>
      <c r="D134" s="77"/>
      <c r="E134" s="77"/>
      <c r="F134" s="22"/>
      <c r="G134" s="22"/>
      <c r="H134" s="22"/>
      <c r="I134" s="22"/>
      <c r="J134" s="22"/>
      <c r="K134" s="22"/>
      <c r="L134" s="22"/>
      <c r="M134" s="47"/>
      <c r="N134" s="33"/>
      <c r="O134" s="33"/>
      <c r="P134" s="46">
        <f t="shared" ref="P134:P144" si="7">C134+D134+E134+F134+G134+H134+I134+J134+K134+L134+M134+N134+O134</f>
        <v>7000</v>
      </c>
      <c r="Q134" s="22">
        <f>P134/12</f>
        <v>583.33333333333303</v>
      </c>
      <c r="R134" s="22">
        <f>SCPR2020!AD134</f>
        <v>71.833566256395301</v>
      </c>
      <c r="S134" s="97"/>
      <c r="T134" s="93"/>
      <c r="U134" s="53"/>
      <c r="V134" s="93"/>
    </row>
    <row r="135" spans="1:22">
      <c r="A135" s="84">
        <v>84</v>
      </c>
      <c r="B135" s="62" t="s">
        <v>109</v>
      </c>
      <c r="C135" s="76">
        <v>100</v>
      </c>
      <c r="D135" s="77"/>
      <c r="E135" s="77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46">
        <f t="shared" si="7"/>
        <v>100</v>
      </c>
      <c r="Q135" s="22">
        <f>P135/12</f>
        <v>8.3333333333333304</v>
      </c>
      <c r="R135" s="22">
        <f>SCPR2020!AD135</f>
        <v>1.02619380366279</v>
      </c>
      <c r="S135" s="97"/>
      <c r="T135" s="93"/>
      <c r="U135" s="98"/>
      <c r="V135" s="93"/>
    </row>
    <row r="136" spans="1:22">
      <c r="A136" s="84">
        <v>85</v>
      </c>
      <c r="B136" s="9" t="s">
        <v>110</v>
      </c>
      <c r="C136" s="76">
        <v>100</v>
      </c>
      <c r="D136" s="77"/>
      <c r="E136" s="77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46">
        <f t="shared" si="7"/>
        <v>100</v>
      </c>
      <c r="Q136" s="22">
        <f t="shared" si="5"/>
        <v>8.3333333333333304</v>
      </c>
      <c r="R136" s="22">
        <f>SCPR2020!AD136</f>
        <v>1.02619380366279</v>
      </c>
      <c r="S136" s="97"/>
      <c r="T136" s="93"/>
      <c r="U136" s="98"/>
      <c r="V136" s="93"/>
    </row>
    <row r="137" spans="1:22">
      <c r="A137" s="29">
        <v>86</v>
      </c>
      <c r="B137" s="9" t="s">
        <v>111</v>
      </c>
      <c r="C137" s="76">
        <v>7000</v>
      </c>
      <c r="D137" s="77"/>
      <c r="E137" s="77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46">
        <f t="shared" si="7"/>
        <v>7000</v>
      </c>
      <c r="Q137" s="22">
        <f t="shared" si="5"/>
        <v>583.33333333333303</v>
      </c>
      <c r="R137" s="22">
        <f>SCPR2020!AD137</f>
        <v>71.833566256395301</v>
      </c>
      <c r="S137" s="97"/>
      <c r="T137" s="93"/>
      <c r="U137" s="53"/>
      <c r="V137" s="93"/>
    </row>
    <row r="138" spans="1:22">
      <c r="A138" s="29">
        <v>87</v>
      </c>
      <c r="B138" s="9" t="s">
        <v>112</v>
      </c>
      <c r="C138" s="76">
        <f>2200+123.09</f>
        <v>2323.09</v>
      </c>
      <c r="D138" s="81"/>
      <c r="E138" s="81"/>
      <c r="F138" s="22"/>
      <c r="G138" s="22"/>
      <c r="H138" s="22"/>
      <c r="I138" s="22"/>
      <c r="J138" s="32"/>
      <c r="K138" s="22"/>
      <c r="L138" s="22"/>
      <c r="M138" s="22"/>
      <c r="N138" s="22"/>
      <c r="O138" s="22"/>
      <c r="P138" s="46">
        <f t="shared" si="7"/>
        <v>2323.09</v>
      </c>
      <c r="Q138" s="22"/>
      <c r="R138" s="22"/>
      <c r="S138" s="97"/>
      <c r="T138" s="93"/>
      <c r="U138" s="53"/>
      <c r="V138" s="93"/>
    </row>
    <row r="139" spans="1:22">
      <c r="A139" s="29">
        <v>88</v>
      </c>
      <c r="B139" s="9" t="s">
        <v>113</v>
      </c>
      <c r="C139" s="76">
        <f>3600+21.42</f>
        <v>3621.42</v>
      </c>
      <c r="D139" s="77"/>
      <c r="E139" s="8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46">
        <f t="shared" si="7"/>
        <v>3621.42</v>
      </c>
      <c r="Q139" s="22"/>
      <c r="R139" s="22"/>
      <c r="S139" s="97"/>
      <c r="T139" s="93"/>
      <c r="U139" s="53"/>
      <c r="V139" s="93"/>
    </row>
    <row r="140" spans="1:22">
      <c r="A140" s="29">
        <v>89</v>
      </c>
      <c r="B140" s="9" t="s">
        <v>114</v>
      </c>
      <c r="C140" s="76">
        <f>2750+16.36</f>
        <v>2766.36</v>
      </c>
      <c r="D140" s="77"/>
      <c r="E140" s="77"/>
      <c r="F140" s="32"/>
      <c r="G140" s="22"/>
      <c r="H140" s="22"/>
      <c r="I140" s="22"/>
      <c r="J140" s="22"/>
      <c r="K140" s="32"/>
      <c r="L140" s="22"/>
      <c r="M140" s="22"/>
      <c r="N140" s="22"/>
      <c r="O140" s="22"/>
      <c r="P140" s="46">
        <f t="shared" si="7"/>
        <v>2766.36</v>
      </c>
      <c r="Q140" s="22"/>
      <c r="R140" s="22"/>
      <c r="S140" s="97"/>
      <c r="T140" s="93"/>
      <c r="U140" s="53"/>
      <c r="V140" s="93"/>
    </row>
    <row r="141" spans="1:22">
      <c r="A141" s="29">
        <v>90</v>
      </c>
      <c r="B141" s="9" t="s">
        <v>115</v>
      </c>
      <c r="C141" s="76">
        <v>1600</v>
      </c>
      <c r="D141" s="77"/>
      <c r="E141" s="77"/>
      <c r="F141" s="22"/>
      <c r="G141" s="22"/>
      <c r="H141" s="22"/>
      <c r="I141" s="22"/>
      <c r="J141" s="32"/>
      <c r="K141" s="22"/>
      <c r="L141" s="32"/>
      <c r="M141" s="32"/>
      <c r="N141" s="22"/>
      <c r="O141" s="22"/>
      <c r="P141" s="46">
        <f t="shared" si="7"/>
        <v>1600</v>
      </c>
      <c r="Q141" s="22"/>
      <c r="R141" s="22"/>
      <c r="S141" s="97"/>
      <c r="T141" s="93"/>
      <c r="U141" s="53"/>
      <c r="V141" s="93"/>
    </row>
    <row r="142" spans="1:22">
      <c r="A142" s="29">
        <v>91</v>
      </c>
      <c r="B142" s="9" t="s">
        <v>116</v>
      </c>
      <c r="C142" s="76">
        <v>100</v>
      </c>
      <c r="D142" s="77"/>
      <c r="E142" s="77"/>
      <c r="F142" s="22"/>
      <c r="G142" s="22"/>
      <c r="H142" s="22"/>
      <c r="I142" s="22"/>
      <c r="J142" s="22"/>
      <c r="K142" s="32"/>
      <c r="L142" s="22"/>
      <c r="M142" s="22"/>
      <c r="N142" s="22"/>
      <c r="O142" s="22"/>
      <c r="P142" s="46">
        <f t="shared" si="7"/>
        <v>100</v>
      </c>
      <c r="Q142" s="22"/>
      <c r="R142" s="22"/>
      <c r="S142" s="97"/>
      <c r="T142" s="93"/>
      <c r="U142" s="53"/>
      <c r="V142" s="93"/>
    </row>
    <row r="143" spans="1:22">
      <c r="A143" s="29">
        <v>92</v>
      </c>
      <c r="B143" s="9" t="s">
        <v>117</v>
      </c>
      <c r="C143" s="76">
        <v>100</v>
      </c>
      <c r="D143" s="77"/>
      <c r="E143" s="77"/>
      <c r="F143" s="22"/>
      <c r="G143" s="22"/>
      <c r="H143" s="22"/>
      <c r="I143" s="22"/>
      <c r="J143" s="22"/>
      <c r="K143" s="32"/>
      <c r="L143" s="22"/>
      <c r="M143" s="22"/>
      <c r="N143" s="22"/>
      <c r="O143" s="22"/>
      <c r="P143" s="46">
        <f t="shared" si="7"/>
        <v>100</v>
      </c>
      <c r="Q143" s="22"/>
      <c r="R143" s="22"/>
      <c r="S143" s="97"/>
      <c r="T143" s="93"/>
      <c r="U143" s="53"/>
      <c r="V143" s="93"/>
    </row>
    <row r="144" spans="1:22">
      <c r="A144" s="29">
        <v>93</v>
      </c>
      <c r="B144" s="9" t="s">
        <v>118</v>
      </c>
      <c r="C144" s="76">
        <v>100</v>
      </c>
      <c r="D144" s="77"/>
      <c r="E144" s="77"/>
      <c r="F144" s="22"/>
      <c r="G144" s="22"/>
      <c r="H144" s="22"/>
      <c r="I144" s="22"/>
      <c r="J144" s="22"/>
      <c r="K144" s="22"/>
      <c r="L144" s="22"/>
      <c r="M144" s="22"/>
      <c r="N144" s="32"/>
      <c r="O144" s="22"/>
      <c r="P144" s="46">
        <f t="shared" si="7"/>
        <v>100</v>
      </c>
      <c r="Q144" s="22"/>
      <c r="R144" s="22"/>
      <c r="S144" s="97"/>
      <c r="T144" s="93"/>
      <c r="U144" s="53"/>
      <c r="V144" s="93"/>
    </row>
    <row r="145" spans="1:28">
      <c r="A145" s="29">
        <v>94</v>
      </c>
      <c r="B145" s="9" t="s">
        <v>119</v>
      </c>
      <c r="C145" s="76"/>
      <c r="D145" s="77"/>
      <c r="E145" s="77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46"/>
      <c r="Q145" s="22"/>
      <c r="R145" s="22"/>
      <c r="S145" s="97"/>
      <c r="T145" s="93"/>
      <c r="U145" s="53"/>
      <c r="V145" s="93"/>
    </row>
    <row r="146" spans="1:28">
      <c r="A146" s="29"/>
      <c r="B146" s="9"/>
      <c r="C146" s="76"/>
      <c r="D146" s="77"/>
      <c r="E146" s="77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46"/>
      <c r="Q146" s="22"/>
      <c r="R146" s="22"/>
      <c r="S146" s="97"/>
      <c r="T146" s="93"/>
      <c r="U146" s="53"/>
      <c r="V146" s="93"/>
    </row>
    <row r="147" spans="1:28" ht="11.55" customHeight="1">
      <c r="A147" s="85"/>
      <c r="B147" s="102"/>
      <c r="C147" s="87"/>
      <c r="D147" s="88"/>
      <c r="E147" s="88"/>
      <c r="F147" s="38"/>
      <c r="G147" s="38"/>
      <c r="H147" s="38"/>
      <c r="I147" s="38"/>
      <c r="J147" s="38"/>
      <c r="K147" s="38"/>
      <c r="L147" s="38"/>
      <c r="M147" s="38"/>
      <c r="N147" s="89"/>
      <c r="O147" s="38"/>
      <c r="P147" s="89"/>
      <c r="Q147" s="89"/>
      <c r="R147" s="89"/>
      <c r="S147" s="100"/>
      <c r="T147" s="89"/>
      <c r="U147" s="89"/>
      <c r="V147" s="89"/>
    </row>
    <row r="148" spans="1:28">
      <c r="A148" s="85"/>
      <c r="B148" s="103" t="s">
        <v>120</v>
      </c>
      <c r="C148" s="104">
        <f t="shared" ref="C148:N148" si="8">SUM(C11:C147)</f>
        <v>201581.25</v>
      </c>
      <c r="D148" s="105">
        <f t="shared" si="8"/>
        <v>0</v>
      </c>
      <c r="E148" s="105">
        <f t="shared" si="8"/>
        <v>60</v>
      </c>
      <c r="F148" s="106">
        <f t="shared" si="8"/>
        <v>0</v>
      </c>
      <c r="G148" s="106">
        <f t="shared" si="8"/>
        <v>0</v>
      </c>
      <c r="H148" s="105">
        <f t="shared" si="8"/>
        <v>0</v>
      </c>
      <c r="I148" s="106">
        <f t="shared" si="8"/>
        <v>0</v>
      </c>
      <c r="J148" s="106">
        <f t="shared" si="8"/>
        <v>0</v>
      </c>
      <c r="K148" s="106">
        <f t="shared" si="8"/>
        <v>0</v>
      </c>
      <c r="L148" s="106">
        <f t="shared" si="8"/>
        <v>0</v>
      </c>
      <c r="M148" s="106">
        <f t="shared" si="8"/>
        <v>0</v>
      </c>
      <c r="N148" s="106">
        <f t="shared" si="8"/>
        <v>0</v>
      </c>
      <c r="O148" s="106"/>
      <c r="P148" s="108" t="e">
        <f>P40+P80+P121+P134+P135+P136+P137+P138+P139+P140+P141+P142+P143+P144</f>
        <v>#REF!</v>
      </c>
      <c r="Q148" s="114" t="e">
        <f>SUM(Q11:Q147)</f>
        <v>#REF!</v>
      </c>
      <c r="R148" s="105">
        <f>SUM(R11:R147)</f>
        <v>1189.59618231072</v>
      </c>
      <c r="S148" s="115">
        <f>SUM(S11:S147)</f>
        <v>0</v>
      </c>
      <c r="T148" s="105">
        <f>SUM(T11:T147)</f>
        <v>0</v>
      </c>
      <c r="U148" s="116">
        <f>SUM(U11:U147)</f>
        <v>0</v>
      </c>
      <c r="V148" s="88"/>
    </row>
    <row r="149" spans="1:28" ht="6.75" customHeight="1"/>
    <row r="150" spans="1:28">
      <c r="AB150" s="50"/>
    </row>
    <row r="151" spans="1:28" ht="12.75" customHeight="1">
      <c r="F151" s="313"/>
      <c r="G151" s="313"/>
      <c r="H151" s="313"/>
      <c r="I151" s="313"/>
      <c r="J151" s="109"/>
      <c r="K151" s="110"/>
    </row>
    <row r="152" spans="1:28" ht="12.75" customHeight="1">
      <c r="J152" s="4"/>
      <c r="K152" s="4"/>
      <c r="L152" s="4"/>
      <c r="M152" s="4"/>
      <c r="P152" s="109"/>
      <c r="S152" s="110"/>
    </row>
    <row r="153" spans="1:28" ht="12.75" customHeight="1">
      <c r="J153" s="4"/>
      <c r="K153" s="4"/>
      <c r="L153" s="4"/>
      <c r="M153" s="4"/>
      <c r="P153" s="109"/>
      <c r="S153" s="110"/>
    </row>
    <row r="154" spans="1:28">
      <c r="J154" s="4"/>
      <c r="K154" s="4"/>
      <c r="L154" s="4"/>
      <c r="M154" s="4"/>
      <c r="P154" s="67"/>
      <c r="S154" s="117"/>
    </row>
    <row r="155" spans="1:28" ht="12" customHeight="1">
      <c r="A155" t="s">
        <v>121</v>
      </c>
      <c r="E155" s="3" t="s">
        <v>122</v>
      </c>
      <c r="K155" t="s">
        <v>123</v>
      </c>
      <c r="P155" t="s">
        <v>124</v>
      </c>
      <c r="S155"/>
    </row>
    <row r="156" spans="1:28">
      <c r="S156"/>
    </row>
    <row r="157" spans="1:28">
      <c r="S157"/>
    </row>
    <row r="158" spans="1:28" ht="12" customHeight="1">
      <c r="B158" s="107" t="s">
        <v>125</v>
      </c>
      <c r="F158" s="107" t="s">
        <v>126</v>
      </c>
      <c r="L158" s="308" t="s">
        <v>127</v>
      </c>
      <c r="M158" s="308"/>
      <c r="N158" s="308"/>
      <c r="Q158" s="308" t="s">
        <v>128</v>
      </c>
      <c r="R158" s="308"/>
      <c r="S158" s="308"/>
    </row>
    <row r="159" spans="1:28" ht="12" customHeight="1">
      <c r="F159" s="311" t="s">
        <v>129</v>
      </c>
      <c r="G159" s="311"/>
      <c r="H159" s="311"/>
      <c r="L159" s="313" t="s">
        <v>130</v>
      </c>
      <c r="M159" s="313"/>
      <c r="N159" s="313"/>
      <c r="Q159" s="313" t="s">
        <v>131</v>
      </c>
      <c r="R159" s="313"/>
      <c r="S159" s="313"/>
    </row>
    <row r="169" spans="12:21">
      <c r="U169" s="60" t="s">
        <v>132</v>
      </c>
    </row>
    <row r="170" spans="12:21">
      <c r="U170" s="60"/>
    </row>
    <row r="171" spans="12:21">
      <c r="N171" s="314"/>
      <c r="O171" s="314"/>
      <c r="S171" s="110"/>
    </row>
    <row r="172" spans="12:21">
      <c r="L172" s="112"/>
      <c r="N172" s="314"/>
      <c r="O172" s="314"/>
      <c r="S172" s="110"/>
    </row>
    <row r="173" spans="12:21">
      <c r="N173" s="331"/>
      <c r="O173" s="331"/>
      <c r="S173" s="110"/>
    </row>
  </sheetData>
  <mergeCells count="113">
    <mergeCell ref="V131:V132"/>
    <mergeCell ref="A131:B132"/>
    <mergeCell ref="A90:B91"/>
    <mergeCell ref="A49:B50"/>
    <mergeCell ref="A9:B10"/>
    <mergeCell ref="S49:S50"/>
    <mergeCell ref="S90:S91"/>
    <mergeCell ref="S131:S132"/>
    <mergeCell ref="T9:T10"/>
    <mergeCell ref="T49:T50"/>
    <mergeCell ref="T90:T91"/>
    <mergeCell ref="T131:T132"/>
    <mergeCell ref="U9:U10"/>
    <mergeCell ref="U49:U50"/>
    <mergeCell ref="U90:U91"/>
    <mergeCell ref="U131:U132"/>
    <mergeCell ref="P49:P50"/>
    <mergeCell ref="P90:P91"/>
    <mergeCell ref="P131:P132"/>
    <mergeCell ref="Q9:Q10"/>
    <mergeCell ref="A47:V47"/>
    <mergeCell ref="A83:V83"/>
    <mergeCell ref="A84:V84"/>
    <mergeCell ref="A85:V85"/>
    <mergeCell ref="N172:O172"/>
    <mergeCell ref="N173:O173"/>
    <mergeCell ref="C9:C10"/>
    <mergeCell ref="C49:C50"/>
    <mergeCell ref="C90:C91"/>
    <mergeCell ref="C131:C132"/>
    <mergeCell ref="D9:D10"/>
    <mergeCell ref="D49:D50"/>
    <mergeCell ref="D90:D91"/>
    <mergeCell ref="D131:D132"/>
    <mergeCell ref="E9:E10"/>
    <mergeCell ref="E49:E50"/>
    <mergeCell ref="E90:E91"/>
    <mergeCell ref="E131:E132"/>
    <mergeCell ref="F9:F10"/>
    <mergeCell ref="F49:F50"/>
    <mergeCell ref="F90:F91"/>
    <mergeCell ref="F131:F132"/>
    <mergeCell ref="G9:G10"/>
    <mergeCell ref="G49:G50"/>
    <mergeCell ref="M90:M91"/>
    <mergeCell ref="N49:N50"/>
    <mergeCell ref="A128:V128"/>
    <mergeCell ref="A129:V129"/>
    <mergeCell ref="V49:V50"/>
    <mergeCell ref="V90:V91"/>
    <mergeCell ref="A125:V125"/>
    <mergeCell ref="A126:V126"/>
    <mergeCell ref="H90:H91"/>
    <mergeCell ref="I49:I50"/>
    <mergeCell ref="I90:I91"/>
    <mergeCell ref="J49:J50"/>
    <mergeCell ref="J90:J91"/>
    <mergeCell ref="K49:K50"/>
    <mergeCell ref="K90:K91"/>
    <mergeCell ref="R49:R50"/>
    <mergeCell ref="R90:R91"/>
    <mergeCell ref="L49:L50"/>
    <mergeCell ref="L90:L91"/>
    <mergeCell ref="M49:M50"/>
    <mergeCell ref="N90:N91"/>
    <mergeCell ref="O49:O50"/>
    <mergeCell ref="O90:O91"/>
    <mergeCell ref="G90:G91"/>
    <mergeCell ref="H49:H50"/>
    <mergeCell ref="A87:V87"/>
    <mergeCell ref="A88:V88"/>
    <mergeCell ref="F159:H159"/>
    <mergeCell ref="L159:N159"/>
    <mergeCell ref="Q159:S159"/>
    <mergeCell ref="N171:O171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Q131:Q132"/>
    <mergeCell ref="G131:G132"/>
    <mergeCell ref="R131:R132"/>
    <mergeCell ref="F151:I151"/>
    <mergeCell ref="L158:N158"/>
    <mergeCell ref="Q158:S158"/>
    <mergeCell ref="A124:V124"/>
    <mergeCell ref="Q49:Q50"/>
    <mergeCell ref="A2:V2"/>
    <mergeCell ref="A3:V3"/>
    <mergeCell ref="A4:V4"/>
    <mergeCell ref="A6:V6"/>
    <mergeCell ref="A7:V7"/>
    <mergeCell ref="A42:V42"/>
    <mergeCell ref="A43:V43"/>
    <mergeCell ref="A44:V44"/>
    <mergeCell ref="A46:V46"/>
    <mergeCell ref="I9:I10"/>
    <mergeCell ref="J9:J10"/>
    <mergeCell ref="K9:K10"/>
    <mergeCell ref="L9:L10"/>
    <mergeCell ref="M9:M10"/>
    <mergeCell ref="N9:N10"/>
    <mergeCell ref="O9:O10"/>
    <mergeCell ref="H9:H10"/>
    <mergeCell ref="P9:P10"/>
    <mergeCell ref="S9:S10"/>
    <mergeCell ref="V9:V10"/>
    <mergeCell ref="R9:R10"/>
    <mergeCell ref="Q90:Q91"/>
  </mergeCells>
  <pageMargins left="1.18055555555556" right="0.25" top="0.25" bottom="0.25" header="0.3" footer="0.3"/>
  <pageSetup paperSize="5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179"/>
  <sheetViews>
    <sheetView topLeftCell="A142" zoomScale="110" zoomScaleNormal="110" workbookViewId="0">
      <selection activeCell="K119" sqref="K119"/>
    </sheetView>
  </sheetViews>
  <sheetFormatPr defaultColWidth="9" defaultRowHeight="14.4"/>
  <cols>
    <col min="1" max="1" width="2.77734375" style="3" customWidth="1"/>
    <col min="2" max="2" width="18.21875" customWidth="1"/>
    <col min="3" max="3" width="9" style="4" customWidth="1"/>
    <col min="4" max="6" width="6.77734375" style="3" customWidth="1"/>
    <col min="7" max="9" width="6.77734375" customWidth="1"/>
    <col min="10" max="10" width="7.21875" customWidth="1"/>
    <col min="11" max="13" width="6.77734375" customWidth="1"/>
    <col min="14" max="14" width="7" customWidth="1"/>
    <col min="15" max="15" width="7.77734375" customWidth="1"/>
    <col min="16" max="16" width="8.21875" customWidth="1"/>
    <col min="17" max="17" width="8.77734375" customWidth="1"/>
    <col min="18" max="18" width="10.5546875" customWidth="1"/>
    <col min="19" max="19" width="7.77734375" customWidth="1"/>
    <col min="20" max="20" width="7.21875" customWidth="1"/>
    <col min="21" max="21" width="7.77734375" style="5" customWidth="1"/>
    <col min="22" max="22" width="7.21875" customWidth="1"/>
    <col min="23" max="23" width="7.44140625" customWidth="1"/>
    <col min="24" max="24" width="7.21875" customWidth="1"/>
    <col min="27" max="28" width="9" style="6"/>
  </cols>
  <sheetData>
    <row r="2" spans="1:32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</row>
    <row r="3" spans="1:32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</row>
    <row r="4" spans="1:32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</row>
    <row r="5" spans="1:32">
      <c r="B5" s="9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51"/>
      <c r="V5" s="9"/>
      <c r="W5" s="9"/>
      <c r="X5" s="9"/>
      <c r="Y5" s="9"/>
      <c r="Z5" s="9"/>
      <c r="AA5" s="62"/>
      <c r="AB5" s="62"/>
      <c r="AC5" s="9"/>
      <c r="AD5" s="9"/>
      <c r="AE5" s="9"/>
      <c r="AF5" s="9"/>
    </row>
    <row r="6" spans="1:32" ht="18">
      <c r="A6" s="316" t="s">
        <v>3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</row>
    <row r="7" spans="1:32" ht="12.75" customHeight="1">
      <c r="A7" s="313" t="s">
        <v>55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</row>
    <row r="8" spans="1:32" ht="7.5" customHeight="1">
      <c r="A8" s="10"/>
      <c r="B8" s="4"/>
      <c r="D8" s="10"/>
      <c r="E8" s="10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32" s="1" customFormat="1" ht="16.5" customHeight="1">
      <c r="A9" s="336" t="s">
        <v>5</v>
      </c>
      <c r="B9" s="337"/>
      <c r="C9" s="332" t="s">
        <v>56</v>
      </c>
      <c r="D9" s="329" t="s">
        <v>7</v>
      </c>
      <c r="E9" s="329" t="s">
        <v>8</v>
      </c>
      <c r="F9" s="11"/>
      <c r="G9" s="319" t="s">
        <v>9</v>
      </c>
      <c r="H9" s="319" t="s">
        <v>10</v>
      </c>
      <c r="I9" s="321" t="s">
        <v>11</v>
      </c>
      <c r="J9" s="319" t="s">
        <v>12</v>
      </c>
      <c r="K9" s="319" t="s">
        <v>13</v>
      </c>
      <c r="L9" s="12"/>
      <c r="M9" s="319" t="s">
        <v>14</v>
      </c>
      <c r="N9" s="319" t="s">
        <v>15</v>
      </c>
      <c r="O9" s="319" t="s">
        <v>16</v>
      </c>
      <c r="P9" s="319" t="s">
        <v>17</v>
      </c>
      <c r="Q9" s="319" t="s">
        <v>18</v>
      </c>
      <c r="R9" s="319" t="s">
        <v>19</v>
      </c>
      <c r="S9" s="319" t="s">
        <v>20</v>
      </c>
      <c r="T9" s="327" t="s">
        <v>21</v>
      </c>
      <c r="U9" s="323" t="s">
        <v>22</v>
      </c>
      <c r="V9" s="340" t="s">
        <v>23</v>
      </c>
      <c r="W9" s="329" t="s">
        <v>24</v>
      </c>
      <c r="X9" s="325" t="s">
        <v>25</v>
      </c>
      <c r="AA9" s="63"/>
      <c r="AB9" s="64"/>
    </row>
    <row r="10" spans="1:32" s="1" customFormat="1" ht="18" customHeight="1">
      <c r="A10" s="338"/>
      <c r="B10" s="339"/>
      <c r="C10" s="333"/>
      <c r="D10" s="330"/>
      <c r="E10" s="330"/>
      <c r="F10" s="13" t="s">
        <v>133</v>
      </c>
      <c r="G10" s="320"/>
      <c r="H10" s="320"/>
      <c r="I10" s="322"/>
      <c r="J10" s="320"/>
      <c r="K10" s="320"/>
      <c r="L10" s="14"/>
      <c r="M10" s="320"/>
      <c r="N10" s="320"/>
      <c r="O10" s="320"/>
      <c r="P10" s="320"/>
      <c r="Q10" s="320"/>
      <c r="R10" s="320"/>
      <c r="S10" s="320"/>
      <c r="T10" s="328"/>
      <c r="U10" s="324"/>
      <c r="V10" s="341"/>
      <c r="W10" s="330"/>
      <c r="X10" s="326"/>
      <c r="AA10" s="63"/>
      <c r="AB10" s="64"/>
    </row>
    <row r="11" spans="1:32" s="2" customFormat="1">
      <c r="A11" s="15">
        <v>1</v>
      </c>
      <c r="B11" s="16" t="s">
        <v>26</v>
      </c>
      <c r="C11" s="17">
        <f>2154.73+13.01</f>
        <v>2167.7399999999998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46">
        <f t="shared" ref="R11:R38" si="0">C11+D11+E11+G11+H11+I11+J11+K11+M11+N11+O11+P11+Q11</f>
        <v>2167.7399999999998</v>
      </c>
      <c r="S11" s="22">
        <f t="shared" ref="S11:S38" si="1">R11/12</f>
        <v>180.64500000000001</v>
      </c>
      <c r="T11" s="22"/>
      <c r="U11" s="52"/>
      <c r="V11" s="22"/>
      <c r="W11" s="53"/>
      <c r="X11" s="26"/>
      <c r="AA11" s="62"/>
      <c r="AB11" s="65"/>
    </row>
    <row r="12" spans="1:32">
      <c r="A12" s="19">
        <v>2</v>
      </c>
      <c r="B12" s="20" t="s">
        <v>27</v>
      </c>
      <c r="C12" s="21">
        <v>1300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46">
        <f t="shared" si="0"/>
        <v>1300</v>
      </c>
      <c r="S12" s="22">
        <f t="shared" si="1"/>
        <v>108.333333333333</v>
      </c>
      <c r="T12" s="22"/>
      <c r="U12" s="52"/>
      <c r="V12" s="22"/>
      <c r="W12" s="53"/>
      <c r="X12" s="22"/>
    </row>
    <row r="13" spans="1:32" s="2" customFormat="1">
      <c r="A13" s="23">
        <v>3</v>
      </c>
      <c r="B13" s="24" t="s">
        <v>28</v>
      </c>
      <c r="C13" s="21">
        <f>2238.34+13.51</f>
        <v>2251.85</v>
      </c>
      <c r="D13" s="25"/>
      <c r="E13" s="25"/>
      <c r="F13" s="25"/>
      <c r="G13" s="26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46">
        <f t="shared" si="0"/>
        <v>2251.85</v>
      </c>
      <c r="S13" s="22">
        <f t="shared" si="1"/>
        <v>187.65416666666701</v>
      </c>
      <c r="T13" s="22"/>
      <c r="U13" s="52"/>
      <c r="V13" s="22"/>
      <c r="W13" s="53"/>
      <c r="X13" s="26"/>
      <c r="Z13" s="54"/>
      <c r="AA13" s="66"/>
      <c r="AB13" s="65"/>
    </row>
    <row r="14" spans="1:32">
      <c r="A14" s="19">
        <v>4</v>
      </c>
      <c r="B14" s="27" t="s">
        <v>29</v>
      </c>
      <c r="C14" s="21">
        <v>750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46">
        <f t="shared" si="0"/>
        <v>750</v>
      </c>
      <c r="S14" s="22">
        <f t="shared" si="1"/>
        <v>62.5</v>
      </c>
      <c r="T14" s="22"/>
      <c r="U14" s="52"/>
      <c r="V14" s="22"/>
      <c r="W14" s="53"/>
      <c r="X14" s="22"/>
    </row>
    <row r="15" spans="1:32">
      <c r="A15" s="23">
        <v>5</v>
      </c>
      <c r="B15" s="27" t="s">
        <v>30</v>
      </c>
      <c r="C15" s="21">
        <v>7000</v>
      </c>
      <c r="D15" s="22"/>
      <c r="E15" s="22"/>
      <c r="F15" s="22"/>
      <c r="G15" s="22"/>
      <c r="H15" s="22"/>
      <c r="I15" s="22"/>
      <c r="J15" s="22"/>
      <c r="K15" s="47"/>
      <c r="L15" s="47"/>
      <c r="M15" s="22"/>
      <c r="N15" s="33"/>
      <c r="O15" s="22"/>
      <c r="P15" s="32"/>
      <c r="Q15" s="22"/>
      <c r="R15" s="46">
        <f t="shared" si="0"/>
        <v>7000</v>
      </c>
      <c r="S15" s="22">
        <f t="shared" si="1"/>
        <v>583.33333333333303</v>
      </c>
      <c r="T15" s="22"/>
      <c r="U15" s="52"/>
      <c r="V15" s="22"/>
      <c r="W15" s="53"/>
      <c r="X15" s="45"/>
      <c r="AB15" s="65"/>
    </row>
    <row r="16" spans="1:32" s="2" customFormat="1">
      <c r="A16" s="19">
        <v>6</v>
      </c>
      <c r="B16" s="20" t="s">
        <v>31</v>
      </c>
      <c r="C16" s="28">
        <v>150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46">
        <f t="shared" si="0"/>
        <v>150</v>
      </c>
      <c r="S16" s="22">
        <f t="shared" si="1"/>
        <v>12.5</v>
      </c>
      <c r="T16" s="22"/>
      <c r="U16" s="52"/>
      <c r="V16" s="22"/>
      <c r="W16" s="53"/>
      <c r="X16" s="25"/>
      <c r="AA16" s="62"/>
      <c r="AB16" s="62"/>
    </row>
    <row r="17" spans="1:28">
      <c r="A17" s="29">
        <v>7</v>
      </c>
      <c r="B17" s="20" t="s">
        <v>32</v>
      </c>
      <c r="C17" s="21">
        <v>7000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46">
        <f t="shared" si="0"/>
        <v>7000</v>
      </c>
      <c r="S17" s="22">
        <f t="shared" si="1"/>
        <v>583.33333333333303</v>
      </c>
      <c r="T17" s="22"/>
      <c r="U17" s="52"/>
      <c r="V17" s="22"/>
      <c r="W17" s="53"/>
      <c r="X17" s="22"/>
      <c r="Z17" s="55"/>
      <c r="AB17" s="65"/>
    </row>
    <row r="18" spans="1:28" s="2" customFormat="1">
      <c r="A18" s="29">
        <v>8</v>
      </c>
      <c r="B18" s="20" t="s">
        <v>33</v>
      </c>
      <c r="C18" s="21">
        <v>7000</v>
      </c>
      <c r="D18" s="26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46">
        <f t="shared" si="0"/>
        <v>7000</v>
      </c>
      <c r="S18" s="25">
        <f t="shared" si="1"/>
        <v>583.33333333333303</v>
      </c>
      <c r="T18" s="22"/>
      <c r="U18" s="56"/>
      <c r="V18" s="22"/>
      <c r="W18" s="57"/>
      <c r="X18" s="25"/>
      <c r="Z18" s="55"/>
      <c r="AA18" s="62"/>
      <c r="AB18" s="65"/>
    </row>
    <row r="19" spans="1:28">
      <c r="A19" s="23">
        <v>9</v>
      </c>
      <c r="B19" s="20" t="s">
        <v>34</v>
      </c>
      <c r="C19" s="21">
        <f>2033.3+12.27</f>
        <v>2045.57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46">
        <f t="shared" si="0"/>
        <v>2045.57</v>
      </c>
      <c r="S19" s="22">
        <f t="shared" si="1"/>
        <v>170.46416666666701</v>
      </c>
      <c r="T19" s="22"/>
      <c r="U19" s="52"/>
      <c r="V19" s="22"/>
      <c r="W19" s="53"/>
      <c r="X19" s="22"/>
      <c r="Z19" s="55"/>
      <c r="AB19" s="65"/>
    </row>
    <row r="20" spans="1:28">
      <c r="A20" s="23">
        <v>10</v>
      </c>
      <c r="B20" s="27" t="s">
        <v>35</v>
      </c>
      <c r="C20" s="21">
        <f>2744.95+16.57</f>
        <v>2761.52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46">
        <f t="shared" si="0"/>
        <v>2761.52</v>
      </c>
      <c r="S20" s="22">
        <f t="shared" si="1"/>
        <v>230.12666666666701</v>
      </c>
      <c r="T20" s="22"/>
      <c r="U20" s="52"/>
      <c r="V20" s="22"/>
      <c r="W20" s="53"/>
      <c r="X20" s="22"/>
      <c r="Z20" s="55"/>
      <c r="AB20" s="65"/>
    </row>
    <row r="21" spans="1:28">
      <c r="A21" s="19">
        <v>11</v>
      </c>
      <c r="B21" s="30" t="s">
        <v>36</v>
      </c>
      <c r="C21" s="21">
        <v>700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46">
        <f t="shared" si="0"/>
        <v>700</v>
      </c>
      <c r="S21" s="22">
        <f t="shared" si="1"/>
        <v>58.3333333333333</v>
      </c>
      <c r="T21" s="22"/>
      <c r="U21" s="52"/>
      <c r="V21" s="22"/>
      <c r="W21" s="53"/>
      <c r="X21" s="22"/>
      <c r="Z21" s="54"/>
      <c r="AA21" s="67"/>
      <c r="AB21" s="65"/>
    </row>
    <row r="22" spans="1:28">
      <c r="A22" s="23">
        <v>12</v>
      </c>
      <c r="B22" s="31" t="s">
        <v>37</v>
      </c>
      <c r="C22" s="21">
        <f>2093.66+12.64</f>
        <v>2106.3000000000002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46">
        <f t="shared" si="0"/>
        <v>2106.3000000000002</v>
      </c>
      <c r="S22" s="22">
        <f t="shared" si="1"/>
        <v>175.52500000000001</v>
      </c>
      <c r="T22" s="22"/>
      <c r="U22" s="52"/>
      <c r="V22" s="22"/>
      <c r="W22" s="53"/>
      <c r="X22" s="22"/>
      <c r="Z22" s="55"/>
      <c r="AA22" s="67"/>
      <c r="AB22" s="65"/>
    </row>
    <row r="23" spans="1:28">
      <c r="A23" s="23">
        <v>13</v>
      </c>
      <c r="B23" s="27" t="s">
        <v>38</v>
      </c>
      <c r="C23" s="21">
        <f>2134.96+12.89</f>
        <v>2147.85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46">
        <f t="shared" si="0"/>
        <v>2147.85</v>
      </c>
      <c r="S23" s="22">
        <f t="shared" si="1"/>
        <v>178.98750000000001</v>
      </c>
      <c r="T23" s="22"/>
      <c r="U23" s="58"/>
      <c r="V23" s="22"/>
      <c r="W23" s="53"/>
      <c r="X23" s="22"/>
      <c r="Z23" s="55"/>
      <c r="AA23" s="67"/>
      <c r="AB23" s="65"/>
    </row>
    <row r="24" spans="1:28">
      <c r="A24" s="23">
        <v>14</v>
      </c>
      <c r="B24" s="27" t="s">
        <v>39</v>
      </c>
      <c r="C24" s="21">
        <f>5593.09+33.76</f>
        <v>5626.85</v>
      </c>
      <c r="D24" s="22"/>
      <c r="E24" s="22"/>
      <c r="F24" s="22"/>
      <c r="G24" s="22"/>
      <c r="H24" s="32"/>
      <c r="I24" s="32"/>
      <c r="J24" s="22"/>
      <c r="K24" s="22"/>
      <c r="L24" s="22"/>
      <c r="M24" s="22"/>
      <c r="N24" s="22"/>
      <c r="O24" s="22"/>
      <c r="P24" s="22"/>
      <c r="Q24" s="22"/>
      <c r="R24" s="46">
        <f t="shared" si="0"/>
        <v>5626.85</v>
      </c>
      <c r="S24" s="22">
        <f t="shared" si="1"/>
        <v>468.90416666666698</v>
      </c>
      <c r="T24" s="22"/>
      <c r="U24" s="52"/>
      <c r="V24" s="22"/>
      <c r="W24" s="53"/>
      <c r="X24" s="22"/>
      <c r="AA24" s="67"/>
      <c r="AB24" s="65"/>
    </row>
    <row r="25" spans="1:28" s="2" customFormat="1">
      <c r="A25" s="19">
        <v>15</v>
      </c>
      <c r="B25" s="20" t="s">
        <v>40</v>
      </c>
      <c r="C25" s="28">
        <v>150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46">
        <f t="shared" si="0"/>
        <v>150</v>
      </c>
      <c r="S25" s="22">
        <f t="shared" si="1"/>
        <v>12.5</v>
      </c>
      <c r="T25" s="22"/>
      <c r="U25" s="56"/>
      <c r="V25" s="22"/>
      <c r="W25" s="57"/>
      <c r="X25" s="25"/>
      <c r="AA25" s="62"/>
      <c r="AB25" s="62"/>
    </row>
    <row r="26" spans="1:28">
      <c r="A26" s="19">
        <v>16</v>
      </c>
      <c r="B26" s="27" t="s">
        <v>41</v>
      </c>
      <c r="C26" s="21">
        <v>1200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46">
        <f t="shared" si="0"/>
        <v>1200</v>
      </c>
      <c r="S26" s="22">
        <f t="shared" si="1"/>
        <v>100</v>
      </c>
      <c r="T26" s="22"/>
      <c r="U26" s="52"/>
      <c r="V26" s="22"/>
      <c r="W26" s="53"/>
      <c r="X26" s="22"/>
    </row>
    <row r="27" spans="1:28">
      <c r="A27" s="19">
        <v>17</v>
      </c>
      <c r="B27" s="27" t="s">
        <v>42</v>
      </c>
      <c r="C27" s="28">
        <v>200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46">
        <f t="shared" si="0"/>
        <v>200</v>
      </c>
      <c r="S27" s="22">
        <f t="shared" si="1"/>
        <v>16.6666666666667</v>
      </c>
      <c r="T27" s="22"/>
      <c r="U27" s="52"/>
      <c r="V27" s="22"/>
      <c r="W27" s="53"/>
      <c r="X27" s="22"/>
      <c r="Z27" s="54"/>
      <c r="AA27" s="67"/>
      <c r="AB27" s="65"/>
    </row>
    <row r="28" spans="1:28" s="2" customFormat="1">
      <c r="A28" s="23">
        <v>18</v>
      </c>
      <c r="B28" s="20" t="s">
        <v>43</v>
      </c>
      <c r="C28" s="21">
        <f>2420+14.4+14.7</f>
        <v>2449.1</v>
      </c>
      <c r="D28" s="25"/>
      <c r="E28" s="25"/>
      <c r="F28" s="25"/>
      <c r="G28" s="2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46">
        <f t="shared" si="0"/>
        <v>2449.1</v>
      </c>
      <c r="S28" s="22">
        <f t="shared" si="1"/>
        <v>204.09166666666701</v>
      </c>
      <c r="T28" s="22"/>
      <c r="U28" s="56"/>
      <c r="V28" s="22"/>
      <c r="W28" s="57"/>
      <c r="X28" s="25"/>
      <c r="AA28" s="62"/>
      <c r="AB28" s="62"/>
    </row>
    <row r="29" spans="1:28">
      <c r="A29" s="29">
        <v>19</v>
      </c>
      <c r="B29" s="30" t="s">
        <v>44</v>
      </c>
      <c r="C29" s="21">
        <v>7000</v>
      </c>
      <c r="D29" s="22"/>
      <c r="E29" s="22"/>
      <c r="F29" s="22"/>
      <c r="G29" s="33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46">
        <f t="shared" si="0"/>
        <v>7000</v>
      </c>
      <c r="S29" s="22">
        <f t="shared" si="1"/>
        <v>583.33333333333303</v>
      </c>
      <c r="T29" s="22"/>
      <c r="U29" s="52"/>
      <c r="V29" s="22"/>
      <c r="W29" s="53"/>
      <c r="X29" s="22"/>
      <c r="Z29" s="55"/>
      <c r="AA29" s="67"/>
      <c r="AB29" s="65"/>
    </row>
    <row r="30" spans="1:28" s="2" customFormat="1">
      <c r="A30" s="19">
        <v>20</v>
      </c>
      <c r="B30" s="20" t="s">
        <v>45</v>
      </c>
      <c r="C30" s="21">
        <v>1300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46">
        <f t="shared" si="0"/>
        <v>1300</v>
      </c>
      <c r="S30" s="22">
        <f t="shared" si="1"/>
        <v>108.333333333333</v>
      </c>
      <c r="T30" s="22"/>
      <c r="U30" s="56"/>
      <c r="V30" s="22"/>
      <c r="W30" s="57"/>
      <c r="X30" s="25"/>
      <c r="AA30" s="62"/>
      <c r="AB30" s="62"/>
    </row>
    <row r="31" spans="1:28">
      <c r="A31" s="19">
        <v>21</v>
      </c>
      <c r="B31" s="20" t="s">
        <v>46</v>
      </c>
      <c r="C31" s="34">
        <v>750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46">
        <f t="shared" si="0"/>
        <v>750</v>
      </c>
      <c r="S31" s="22">
        <f t="shared" si="1"/>
        <v>62.5</v>
      </c>
      <c r="T31" s="22"/>
      <c r="U31" s="52"/>
      <c r="V31" s="22"/>
      <c r="W31" s="53"/>
      <c r="X31" s="22"/>
    </row>
    <row r="32" spans="1:28">
      <c r="A32" s="19">
        <v>22</v>
      </c>
      <c r="B32" s="27" t="s">
        <v>47</v>
      </c>
      <c r="C32" s="34">
        <v>1200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46">
        <f t="shared" si="0"/>
        <v>1200</v>
      </c>
      <c r="S32" s="22">
        <f t="shared" si="1"/>
        <v>100</v>
      </c>
      <c r="T32" s="22"/>
      <c r="U32" s="52"/>
      <c r="V32" s="22"/>
      <c r="W32" s="53"/>
      <c r="X32" s="22"/>
      <c r="Z32" s="54"/>
      <c r="AA32" s="67"/>
      <c r="AB32" s="65"/>
    </row>
    <row r="33" spans="1:28" s="2" customFormat="1" ht="18" customHeight="1">
      <c r="A33" s="19">
        <v>23</v>
      </c>
      <c r="B33" s="20" t="s">
        <v>48</v>
      </c>
      <c r="C33" s="28">
        <v>100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48">
        <f t="shared" si="0"/>
        <v>100</v>
      </c>
      <c r="S33" s="25">
        <f t="shared" si="1"/>
        <v>8.3333333333333304</v>
      </c>
      <c r="T33" s="22"/>
      <c r="U33" s="56"/>
      <c r="V33" s="22"/>
      <c r="W33" s="57"/>
      <c r="X33" s="25"/>
      <c r="AA33" s="62"/>
      <c r="AB33" s="62"/>
    </row>
    <row r="34" spans="1:28">
      <c r="A34" s="23">
        <v>24</v>
      </c>
      <c r="B34" s="20" t="s">
        <v>49</v>
      </c>
      <c r="C34" s="34">
        <f>2020.96+12.2</f>
        <v>2033.16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46">
        <f t="shared" si="0"/>
        <v>2033.16</v>
      </c>
      <c r="S34" s="22">
        <f t="shared" si="1"/>
        <v>169.43</v>
      </c>
      <c r="T34" s="22"/>
      <c r="U34" s="52"/>
      <c r="V34" s="22"/>
      <c r="W34" s="53"/>
      <c r="X34" s="22"/>
      <c r="Z34" s="54"/>
      <c r="AA34" s="67"/>
      <c r="AB34" s="65"/>
    </row>
    <row r="35" spans="1:28" s="2" customFormat="1">
      <c r="A35" s="19">
        <v>25</v>
      </c>
      <c r="B35" s="20" t="s">
        <v>50</v>
      </c>
      <c r="C35" s="34">
        <v>600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46">
        <f t="shared" si="0"/>
        <v>600</v>
      </c>
      <c r="S35" s="22">
        <f t="shared" si="1"/>
        <v>50</v>
      </c>
      <c r="T35" s="22"/>
      <c r="U35" s="56"/>
      <c r="V35" s="22"/>
      <c r="W35" s="57"/>
      <c r="X35" s="25"/>
      <c r="AA35" s="62"/>
      <c r="AB35" s="62"/>
    </row>
    <row r="36" spans="1:28">
      <c r="A36" s="23">
        <v>26</v>
      </c>
      <c r="B36" s="20" t="s">
        <v>51</v>
      </c>
      <c r="C36" s="21">
        <f>2902.17+17.52</f>
        <v>2919.69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46">
        <f t="shared" si="0"/>
        <v>2919.69</v>
      </c>
      <c r="S36" s="22">
        <f t="shared" si="1"/>
        <v>243.3075</v>
      </c>
      <c r="T36" s="22"/>
      <c r="U36" s="52"/>
      <c r="V36" s="22"/>
      <c r="W36" s="53"/>
      <c r="X36" s="22"/>
      <c r="Z36" s="55"/>
      <c r="AA36" s="67"/>
      <c r="AB36" s="65"/>
    </row>
    <row r="37" spans="1:28" s="2" customFormat="1">
      <c r="A37" s="23">
        <v>27</v>
      </c>
      <c r="B37" s="20" t="s">
        <v>52</v>
      </c>
      <c r="C37" s="21">
        <f>2132.62+12.87</f>
        <v>2145.4899999999998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46">
        <f t="shared" si="0"/>
        <v>2145.4899999999998</v>
      </c>
      <c r="S37" s="22">
        <f t="shared" si="1"/>
        <v>178.79083333333301</v>
      </c>
      <c r="T37" s="22"/>
      <c r="U37" s="56"/>
      <c r="V37" s="22"/>
      <c r="W37" s="53"/>
      <c r="X37" s="25"/>
      <c r="Z37" s="55"/>
      <c r="AA37" s="67"/>
      <c r="AB37" s="65"/>
    </row>
    <row r="38" spans="1:28">
      <c r="A38" s="23">
        <v>28</v>
      </c>
      <c r="B38" s="20" t="s">
        <v>53</v>
      </c>
      <c r="C38" s="21">
        <f>2683.92+16.2</f>
        <v>2700.12</v>
      </c>
      <c r="D38" s="22"/>
      <c r="E38" s="22"/>
      <c r="F38" s="22"/>
      <c r="G38" s="22"/>
      <c r="H38" s="22"/>
      <c r="I38" s="22"/>
      <c r="J38" s="32"/>
      <c r="K38" s="22"/>
      <c r="L38" s="22"/>
      <c r="M38" s="22"/>
      <c r="N38" s="22"/>
      <c r="O38" s="22"/>
      <c r="P38" s="22"/>
      <c r="Q38" s="22"/>
      <c r="R38" s="46">
        <f t="shared" si="0"/>
        <v>2700.12</v>
      </c>
      <c r="S38" s="22">
        <f t="shared" si="1"/>
        <v>225.01</v>
      </c>
      <c r="T38" s="22"/>
      <c r="U38" s="52"/>
      <c r="V38" s="22"/>
      <c r="W38" s="53"/>
      <c r="X38" s="22"/>
      <c r="AA38" s="67"/>
      <c r="AB38" s="65"/>
    </row>
    <row r="39" spans="1:28" ht="5.25" customHeight="1">
      <c r="A39" s="35"/>
      <c r="B39" s="36"/>
      <c r="C39" s="37"/>
      <c r="D39" s="38"/>
      <c r="E39" s="38"/>
      <c r="F39" s="38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49"/>
      <c r="S39" s="39"/>
      <c r="T39" s="39"/>
      <c r="U39" s="59"/>
      <c r="V39" s="39"/>
      <c r="W39" s="39"/>
      <c r="X39" s="39"/>
    </row>
    <row r="40" spans="1:28">
      <c r="A40" s="31"/>
      <c r="B40" s="20"/>
      <c r="C40" s="40"/>
      <c r="R40" s="50">
        <f>SUM(R11:R39)</f>
        <v>67755.240000000005</v>
      </c>
      <c r="W40" s="60" t="s">
        <v>54</v>
      </c>
    </row>
    <row r="41" spans="1:28">
      <c r="A41" s="31"/>
      <c r="B41" s="20"/>
      <c r="C41" s="40"/>
    </row>
    <row r="42" spans="1:28">
      <c r="A42" s="308" t="s">
        <v>0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</row>
    <row r="43" spans="1:28">
      <c r="A43" s="315" t="s">
        <v>1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</row>
    <row r="44" spans="1:28">
      <c r="A44" s="313" t="s">
        <v>2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3"/>
      <c r="X44" s="313"/>
    </row>
    <row r="45" spans="1:28">
      <c r="B45" s="9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51"/>
      <c r="V45" s="9"/>
      <c r="W45" s="9"/>
      <c r="X45" s="9"/>
    </row>
    <row r="46" spans="1:28" ht="18">
      <c r="A46" s="316" t="s">
        <v>3</v>
      </c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</row>
    <row r="47" spans="1:28" ht="12.75" customHeight="1">
      <c r="A47" s="313" t="s">
        <v>55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/>
      <c r="W47" s="313"/>
      <c r="X47" s="313"/>
    </row>
    <row r="48" spans="1:28" ht="6" customHeight="1">
      <c r="A48" s="10"/>
      <c r="B48" s="4"/>
      <c r="D48" s="10"/>
      <c r="E48" s="10"/>
      <c r="F48" s="1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28" ht="14.25" customHeight="1">
      <c r="A49" s="336" t="s">
        <v>5</v>
      </c>
      <c r="B49" s="337"/>
      <c r="C49" s="332" t="s">
        <v>56</v>
      </c>
      <c r="D49" s="329" t="s">
        <v>7</v>
      </c>
      <c r="E49" s="329" t="s">
        <v>8</v>
      </c>
      <c r="F49" s="11"/>
      <c r="G49" s="319" t="s">
        <v>9</v>
      </c>
      <c r="H49" s="319" t="s">
        <v>10</v>
      </c>
      <c r="I49" s="321" t="s">
        <v>11</v>
      </c>
      <c r="J49" s="319" t="s">
        <v>12</v>
      </c>
      <c r="K49" s="319" t="s">
        <v>13</v>
      </c>
      <c r="L49" s="12"/>
      <c r="M49" s="319" t="s">
        <v>14</v>
      </c>
      <c r="N49" s="319" t="s">
        <v>15</v>
      </c>
      <c r="O49" s="319" t="s">
        <v>16</v>
      </c>
      <c r="P49" s="319" t="s">
        <v>17</v>
      </c>
      <c r="Q49" s="319" t="s">
        <v>18</v>
      </c>
      <c r="R49" s="319" t="s">
        <v>19</v>
      </c>
      <c r="S49" s="319" t="s">
        <v>20</v>
      </c>
      <c r="T49" s="327" t="s">
        <v>21</v>
      </c>
      <c r="U49" s="323" t="s">
        <v>22</v>
      </c>
      <c r="V49" s="342" t="s">
        <v>23</v>
      </c>
      <c r="W49" s="329" t="s">
        <v>24</v>
      </c>
      <c r="X49" s="325" t="s">
        <v>25</v>
      </c>
    </row>
    <row r="50" spans="1:28" ht="16.5" customHeight="1">
      <c r="A50" s="338"/>
      <c r="B50" s="339"/>
      <c r="C50" s="333"/>
      <c r="D50" s="330"/>
      <c r="E50" s="330"/>
      <c r="F50" s="13"/>
      <c r="G50" s="320"/>
      <c r="H50" s="320"/>
      <c r="I50" s="322"/>
      <c r="J50" s="320"/>
      <c r="K50" s="320"/>
      <c r="L50" s="14"/>
      <c r="M50" s="320"/>
      <c r="N50" s="320"/>
      <c r="O50" s="320"/>
      <c r="P50" s="320"/>
      <c r="Q50" s="320"/>
      <c r="R50" s="320"/>
      <c r="S50" s="320"/>
      <c r="T50" s="328"/>
      <c r="U50" s="324"/>
      <c r="V50" s="343"/>
      <c r="W50" s="330"/>
      <c r="X50" s="326"/>
    </row>
    <row r="51" spans="1:28" ht="5.25" customHeight="1">
      <c r="A51" s="41"/>
      <c r="B51" s="16"/>
      <c r="C51" s="42"/>
      <c r="D51" s="43"/>
      <c r="E51" s="43"/>
      <c r="F51" s="43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61"/>
      <c r="V51" s="44"/>
      <c r="W51" s="44"/>
      <c r="X51" s="44"/>
    </row>
    <row r="52" spans="1:28">
      <c r="A52" s="23">
        <v>29</v>
      </c>
      <c r="B52" s="27" t="s">
        <v>57</v>
      </c>
      <c r="C52" s="21">
        <f>2033.3+12.27</f>
        <v>2045.57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46">
        <f t="shared" ref="R52:R78" si="2">C52+D52+E52+G52+H52+I52+J52+K52+M52+N52+O52+P52+Q52</f>
        <v>2045.57</v>
      </c>
      <c r="S52" s="22">
        <f t="shared" ref="S52:S78" si="3">R52/12</f>
        <v>170.46416666666701</v>
      </c>
      <c r="T52" s="22">
        <f>SCPR2020!AD52</f>
        <v>20.742147495294901</v>
      </c>
      <c r="U52" s="52"/>
      <c r="V52" s="22"/>
      <c r="W52" s="53"/>
      <c r="X52" s="22"/>
      <c r="AA52" s="67"/>
      <c r="AB52" s="65"/>
    </row>
    <row r="53" spans="1:28" s="2" customFormat="1">
      <c r="A53" s="23">
        <v>30</v>
      </c>
      <c r="B53" s="20" t="s">
        <v>58</v>
      </c>
      <c r="C53" s="21">
        <f>2112.5+12.75</f>
        <v>2125.25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46">
        <f t="shared" si="2"/>
        <v>2125.25</v>
      </c>
      <c r="S53" s="22">
        <f t="shared" si="3"/>
        <v>177.104166666667</v>
      </c>
      <c r="T53" s="22">
        <f>SCPR2020!AD53</f>
        <v>21.550069876918599</v>
      </c>
      <c r="U53" s="56"/>
      <c r="V53" s="25"/>
      <c r="W53" s="53"/>
      <c r="X53" s="25"/>
      <c r="AA53" s="62"/>
      <c r="AB53" s="62"/>
    </row>
    <row r="54" spans="1:28">
      <c r="A54" s="23">
        <v>31</v>
      </c>
      <c r="B54" s="20" t="s">
        <v>59</v>
      </c>
      <c r="C54" s="21">
        <f>2549.08+15.39</f>
        <v>2564.4699999999998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164">
        <v>200</v>
      </c>
      <c r="O54" s="22"/>
      <c r="P54" s="22"/>
      <c r="Q54" s="22"/>
      <c r="R54" s="46">
        <f t="shared" si="2"/>
        <v>2764.47</v>
      </c>
      <c r="S54" s="22">
        <f t="shared" si="3"/>
        <v>230.3725</v>
      </c>
      <c r="T54" s="22">
        <f>SCPR2020!AD54</f>
        <v>26.906801532038401</v>
      </c>
      <c r="U54" s="52"/>
      <c r="V54" s="22"/>
      <c r="W54" s="53"/>
      <c r="X54" s="22"/>
      <c r="Z54" s="55"/>
      <c r="AA54" s="67"/>
      <c r="AB54" s="65"/>
    </row>
    <row r="55" spans="1:28">
      <c r="A55" s="23">
        <v>32</v>
      </c>
      <c r="B55" s="27" t="s">
        <v>60</v>
      </c>
      <c r="C55" s="21">
        <f>2591.02+15.64</f>
        <v>2606.66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32"/>
      <c r="O55" s="22"/>
      <c r="P55" s="22"/>
      <c r="Q55" s="22"/>
      <c r="R55" s="46">
        <f t="shared" si="2"/>
        <v>2606.66</v>
      </c>
      <c r="S55" s="22">
        <f t="shared" si="3"/>
        <v>217.22166666666701</v>
      </c>
      <c r="T55" s="22">
        <f>SCPR2020!AD55</f>
        <v>28.3639967332395</v>
      </c>
      <c r="U55" s="52"/>
      <c r="V55" s="22"/>
      <c r="W55" s="53"/>
      <c r="X55" s="22"/>
      <c r="Z55" s="55"/>
      <c r="AA55" s="67"/>
      <c r="AB55" s="65"/>
    </row>
    <row r="56" spans="1:28" s="2" customFormat="1">
      <c r="A56" s="19">
        <v>33</v>
      </c>
      <c r="B56" s="20" t="s">
        <v>61</v>
      </c>
      <c r="C56" s="21">
        <v>1100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46">
        <f t="shared" si="2"/>
        <v>1100</v>
      </c>
      <c r="S56" s="22">
        <f t="shared" si="3"/>
        <v>91.6666666666667</v>
      </c>
      <c r="T56" s="22">
        <f>SCPR2020!AD56</f>
        <v>11.288131840290699</v>
      </c>
      <c r="U56" s="56"/>
      <c r="V56" s="22"/>
      <c r="W56" s="57"/>
      <c r="X56" s="25"/>
      <c r="AA56" s="62"/>
      <c r="AB56" s="62"/>
    </row>
    <row r="57" spans="1:28">
      <c r="A57" s="19">
        <v>34</v>
      </c>
      <c r="B57" s="27" t="s">
        <v>62</v>
      </c>
      <c r="C57" s="34">
        <v>1000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46">
        <f t="shared" si="2"/>
        <v>1000</v>
      </c>
      <c r="S57" s="22">
        <f t="shared" si="3"/>
        <v>83.3333333333333</v>
      </c>
      <c r="T57" s="22">
        <f>SCPR2020!AD57</f>
        <v>10.2619380366279</v>
      </c>
      <c r="U57" s="52"/>
      <c r="V57" s="22"/>
      <c r="W57" s="53"/>
      <c r="X57" s="22"/>
    </row>
    <row r="58" spans="1:28" s="2" customFormat="1">
      <c r="A58" s="19">
        <v>35</v>
      </c>
      <c r="B58" s="20" t="s">
        <v>63</v>
      </c>
      <c r="C58" s="34">
        <v>935.84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07"/>
      <c r="O58" s="25"/>
      <c r="P58" s="25"/>
      <c r="Q58" s="25"/>
      <c r="R58" s="46">
        <f t="shared" si="2"/>
        <v>935.84</v>
      </c>
      <c r="S58" s="22">
        <f t="shared" si="3"/>
        <v>77.986666666666693</v>
      </c>
      <c r="T58" s="22">
        <f>SCPR2020!AD58</f>
        <v>10.4655348872746</v>
      </c>
      <c r="U58" s="56"/>
      <c r="V58" s="22"/>
      <c r="W58" s="53"/>
      <c r="X58" s="25"/>
      <c r="Z58" s="54"/>
      <c r="AA58" s="67"/>
      <c r="AB58" s="65"/>
    </row>
    <row r="59" spans="1:28">
      <c r="A59" s="19">
        <v>36</v>
      </c>
      <c r="B59" s="20" t="s">
        <v>64</v>
      </c>
      <c r="C59" s="34">
        <v>300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46">
        <f t="shared" si="2"/>
        <v>300</v>
      </c>
      <c r="S59" s="22">
        <f t="shared" si="3"/>
        <v>25</v>
      </c>
      <c r="T59" s="22">
        <f>SCPR2020!AD59</f>
        <v>3.0785814109883698</v>
      </c>
      <c r="U59" s="52"/>
      <c r="V59" s="22"/>
      <c r="W59" s="53"/>
      <c r="X59" s="22"/>
      <c r="Z59" s="54"/>
      <c r="AA59" s="67"/>
      <c r="AB59" s="65"/>
    </row>
    <row r="60" spans="1:28">
      <c r="A60" s="19">
        <v>37</v>
      </c>
      <c r="B60" s="20" t="s">
        <v>65</v>
      </c>
      <c r="C60" s="34">
        <v>650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46">
        <f t="shared" si="2"/>
        <v>650</v>
      </c>
      <c r="S60" s="22">
        <f t="shared" si="3"/>
        <v>54.1666666666667</v>
      </c>
      <c r="T60" s="22">
        <f>SCPR2020!AD60</f>
        <v>6.6702597238081403</v>
      </c>
      <c r="U60" s="52"/>
      <c r="V60" s="22"/>
      <c r="W60" s="53"/>
      <c r="X60" s="22"/>
      <c r="Z60" s="54"/>
    </row>
    <row r="61" spans="1:28">
      <c r="A61" s="19">
        <v>38</v>
      </c>
      <c r="B61" s="20" t="s">
        <v>66</v>
      </c>
      <c r="C61" s="34">
        <v>350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46">
        <f t="shared" si="2"/>
        <v>350</v>
      </c>
      <c r="S61" s="22">
        <f t="shared" si="3"/>
        <v>29.1666666666667</v>
      </c>
      <c r="T61" s="22">
        <f>SCPR2020!AD61</f>
        <v>3.59167831281977</v>
      </c>
      <c r="U61" s="52"/>
      <c r="V61" s="22"/>
      <c r="W61" s="53"/>
      <c r="X61" s="22"/>
      <c r="Z61" s="54"/>
    </row>
    <row r="62" spans="1:28">
      <c r="A62" s="19">
        <v>39</v>
      </c>
      <c r="B62" s="20" t="s">
        <v>67</v>
      </c>
      <c r="C62" s="28">
        <v>150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46">
        <f t="shared" si="2"/>
        <v>150</v>
      </c>
      <c r="S62" s="22">
        <f t="shared" si="3"/>
        <v>12.5</v>
      </c>
      <c r="T62" s="22">
        <f>SCPR2020!AD62</f>
        <v>1.53929070549419</v>
      </c>
      <c r="U62" s="52"/>
      <c r="V62" s="22"/>
      <c r="W62" s="53"/>
      <c r="X62" s="22"/>
      <c r="Z62" s="54"/>
    </row>
    <row r="63" spans="1:28">
      <c r="A63" s="23">
        <v>40</v>
      </c>
      <c r="B63" s="20" t="s">
        <v>68</v>
      </c>
      <c r="C63" s="21">
        <f>2733.39+16.5</f>
        <v>2749.89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46">
        <f t="shared" si="2"/>
        <v>2749.89</v>
      </c>
      <c r="S63" s="22">
        <f t="shared" si="3"/>
        <v>229.1575</v>
      </c>
      <c r="T63" s="22">
        <f>SCPR2020!AD63</f>
        <v>26.927325408111599</v>
      </c>
      <c r="U63" s="52"/>
      <c r="V63" s="22"/>
      <c r="W63" s="53"/>
      <c r="X63" s="22"/>
      <c r="Z63" s="55"/>
      <c r="AA63" s="67"/>
      <c r="AB63" s="65"/>
    </row>
    <row r="64" spans="1:28">
      <c r="A64" s="29">
        <v>41</v>
      </c>
      <c r="B64" s="20" t="s">
        <v>69</v>
      </c>
      <c r="C64" s="21">
        <v>7000</v>
      </c>
      <c r="D64" s="45"/>
      <c r="E64" s="22"/>
      <c r="F64" s="32">
        <v>8821.14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46">
        <f t="shared" si="2"/>
        <v>7000</v>
      </c>
      <c r="S64" s="22">
        <f t="shared" si="3"/>
        <v>583.33333333333303</v>
      </c>
      <c r="T64" s="22">
        <f>SCPR2020!AD64</f>
        <v>71.833566256395301</v>
      </c>
      <c r="U64" s="52"/>
      <c r="V64" s="22"/>
      <c r="W64" s="53"/>
      <c r="X64" s="22"/>
      <c r="Z64" s="55"/>
      <c r="AA64" s="67"/>
      <c r="AB64" s="65"/>
    </row>
    <row r="65" spans="1:28">
      <c r="A65" s="29">
        <v>42</v>
      </c>
      <c r="B65" s="20" t="s">
        <v>70</v>
      </c>
      <c r="C65" s="21">
        <v>7000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46">
        <f t="shared" si="2"/>
        <v>7000</v>
      </c>
      <c r="S65" s="22">
        <f t="shared" si="3"/>
        <v>583.33333333333303</v>
      </c>
      <c r="T65" s="22">
        <f>SCPR2020!AD65</f>
        <v>71.833566256395301</v>
      </c>
      <c r="U65" s="52"/>
      <c r="V65" s="22"/>
      <c r="W65" s="53"/>
      <c r="X65" s="22"/>
      <c r="Z65" s="55"/>
      <c r="AA65" s="67"/>
      <c r="AB65" s="65"/>
    </row>
    <row r="66" spans="1:28">
      <c r="A66" s="29">
        <v>43</v>
      </c>
      <c r="B66" s="20" t="s">
        <v>71</v>
      </c>
      <c r="C66" s="21">
        <v>7000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46">
        <f t="shared" si="2"/>
        <v>7000</v>
      </c>
      <c r="S66" s="22">
        <f t="shared" si="3"/>
        <v>583.33333333333303</v>
      </c>
      <c r="T66" s="22">
        <f>SCPR2020!AD66</f>
        <v>71.833566256395301</v>
      </c>
      <c r="U66" s="52"/>
      <c r="V66" s="22"/>
      <c r="W66" s="53"/>
      <c r="X66" s="22"/>
      <c r="Z66" s="55"/>
      <c r="AA66" s="67"/>
      <c r="AB66" s="65"/>
    </row>
    <row r="67" spans="1:28">
      <c r="A67" s="23">
        <v>44</v>
      </c>
      <c r="B67" s="20" t="s">
        <v>72</v>
      </c>
      <c r="C67" s="21">
        <f>2033.3+12.27</f>
        <v>2045.57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46">
        <f t="shared" si="2"/>
        <v>2045.57</v>
      </c>
      <c r="S67" s="22">
        <f t="shared" si="3"/>
        <v>170.46416666666701</v>
      </c>
      <c r="T67" s="22">
        <f>SCPR2020!AD67</f>
        <v>20.523876073255799</v>
      </c>
      <c r="U67" s="52"/>
      <c r="V67" s="22"/>
      <c r="W67" s="53"/>
      <c r="X67" s="22"/>
      <c r="AA67" s="67"/>
      <c r="AB67" s="65"/>
    </row>
    <row r="68" spans="1:28">
      <c r="A68" s="23">
        <v>45</v>
      </c>
      <c r="B68" s="20" t="s">
        <v>73</v>
      </c>
      <c r="C68" s="21">
        <f>3340.79+135.71</f>
        <v>3476.5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32"/>
      <c r="P68" s="22"/>
      <c r="Q68" s="22"/>
      <c r="R68" s="46">
        <f t="shared" si="2"/>
        <v>3476.5</v>
      </c>
      <c r="S68" s="22">
        <f t="shared" si="3"/>
        <v>289.70833333333297</v>
      </c>
      <c r="T68" s="22">
        <f>SCPR2020!AD68</f>
        <v>32.899773345429097</v>
      </c>
      <c r="U68" s="52"/>
      <c r="V68" s="22"/>
      <c r="W68" s="53"/>
      <c r="X68" s="93"/>
      <c r="Z68" s="55"/>
      <c r="AA68" s="67"/>
      <c r="AB68" s="65"/>
    </row>
    <row r="69" spans="1:28">
      <c r="A69" s="23">
        <v>46</v>
      </c>
      <c r="B69" s="20" t="s">
        <v>74</v>
      </c>
      <c r="C69" s="21">
        <v>7000</v>
      </c>
      <c r="D69" s="32"/>
      <c r="E69" s="32"/>
      <c r="F69" s="32"/>
      <c r="G69" s="22"/>
      <c r="H69" s="22"/>
      <c r="I69" s="22"/>
      <c r="J69" s="32"/>
      <c r="K69" s="45"/>
      <c r="L69" s="45"/>
      <c r="M69" s="22"/>
      <c r="N69" s="22"/>
      <c r="O69" s="22"/>
      <c r="P69" s="32"/>
      <c r="Q69" s="22"/>
      <c r="R69" s="46">
        <f t="shared" si="2"/>
        <v>7000</v>
      </c>
      <c r="S69" s="22">
        <f t="shared" si="3"/>
        <v>583.33333333333303</v>
      </c>
      <c r="T69" s="22">
        <f>SCPR2020!AD69</f>
        <v>53.567316551197699</v>
      </c>
      <c r="U69" s="52"/>
      <c r="V69" s="22"/>
      <c r="W69" s="53"/>
      <c r="X69" s="93"/>
      <c r="Z69" s="55"/>
      <c r="AA69" s="67"/>
      <c r="AB69" s="65"/>
    </row>
    <row r="70" spans="1:28" s="2" customFormat="1" ht="16.5" customHeight="1">
      <c r="A70" s="19">
        <v>47</v>
      </c>
      <c r="B70" s="68" t="s">
        <v>75</v>
      </c>
      <c r="C70" s="34">
        <v>550</v>
      </c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46">
        <f t="shared" si="2"/>
        <v>550</v>
      </c>
      <c r="S70" s="25">
        <f t="shared" si="3"/>
        <v>45.8333333333333</v>
      </c>
      <c r="T70" s="22">
        <f>SCPR2020!AD70</f>
        <v>5.6440659201453496</v>
      </c>
      <c r="U70" s="56"/>
      <c r="V70" s="22"/>
      <c r="W70" s="57"/>
      <c r="X70" s="94"/>
      <c r="AA70" s="62"/>
      <c r="AB70" s="62"/>
    </row>
    <row r="71" spans="1:28">
      <c r="A71" s="19">
        <v>48</v>
      </c>
      <c r="B71" s="20" t="s">
        <v>76</v>
      </c>
      <c r="C71" s="34">
        <v>800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46">
        <f t="shared" si="2"/>
        <v>800</v>
      </c>
      <c r="S71" s="22">
        <f t="shared" si="3"/>
        <v>66.6666666666667</v>
      </c>
      <c r="T71" s="22">
        <f>SCPR2020!AD71</f>
        <v>8.2095504293023307</v>
      </c>
      <c r="U71" s="52"/>
      <c r="V71" s="22"/>
      <c r="W71" s="53"/>
      <c r="X71" s="93"/>
    </row>
    <row r="72" spans="1:28">
      <c r="A72" s="23">
        <v>49</v>
      </c>
      <c r="B72" s="20" t="s">
        <v>77</v>
      </c>
      <c r="C72" s="34">
        <f>5552.85+33.52</f>
        <v>5586.37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46">
        <f t="shared" si="2"/>
        <v>5586.37</v>
      </c>
      <c r="S72" s="22">
        <f t="shared" si="3"/>
        <v>465.53083333333302</v>
      </c>
      <c r="T72" s="22">
        <f>SCPR2020!AD72</f>
        <v>58.903524330244203</v>
      </c>
      <c r="U72" s="52"/>
      <c r="V72" s="22"/>
      <c r="W72" s="53"/>
      <c r="X72" s="93"/>
    </row>
    <row r="73" spans="1:28">
      <c r="A73" s="19">
        <v>50</v>
      </c>
      <c r="B73" s="20" t="s">
        <v>78</v>
      </c>
      <c r="C73" s="28">
        <v>200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46">
        <f t="shared" si="2"/>
        <v>200</v>
      </c>
      <c r="S73" s="22">
        <f t="shared" si="3"/>
        <v>16.6666666666667</v>
      </c>
      <c r="T73" s="22">
        <f>SCPR2020!AD73</f>
        <v>2.05238760732558</v>
      </c>
      <c r="U73" s="52"/>
      <c r="V73" s="22"/>
      <c r="W73" s="53"/>
      <c r="X73" s="93"/>
      <c r="Z73" s="54"/>
      <c r="AA73" s="67"/>
      <c r="AB73" s="65"/>
    </row>
    <row r="74" spans="1:28">
      <c r="A74" s="19">
        <v>51</v>
      </c>
      <c r="B74" s="69" t="s">
        <v>79</v>
      </c>
      <c r="C74" s="28">
        <v>200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46">
        <f t="shared" si="2"/>
        <v>200</v>
      </c>
      <c r="S74" s="22">
        <f t="shared" si="3"/>
        <v>16.6666666666667</v>
      </c>
      <c r="T74" s="22">
        <f>SCPR2020!AD74</f>
        <v>2.05238760732558</v>
      </c>
      <c r="U74" s="52"/>
      <c r="V74" s="22"/>
      <c r="W74" s="53"/>
      <c r="X74" s="93"/>
      <c r="Z74" s="54"/>
      <c r="AA74" s="67"/>
      <c r="AB74" s="65"/>
    </row>
    <row r="75" spans="1:28">
      <c r="A75" s="19">
        <v>52</v>
      </c>
      <c r="B75" s="20" t="s">
        <v>80</v>
      </c>
      <c r="C75" s="34">
        <v>1550</v>
      </c>
      <c r="D75" s="5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46">
        <f t="shared" si="2"/>
        <v>1550</v>
      </c>
      <c r="S75" s="22">
        <f t="shared" si="3"/>
        <v>129.166666666667</v>
      </c>
      <c r="T75" s="22">
        <f>SCPR2020!AD75</f>
        <v>15.906003956773301</v>
      </c>
      <c r="U75" s="52"/>
      <c r="V75" s="22"/>
      <c r="W75" s="53"/>
      <c r="X75" s="93"/>
    </row>
    <row r="76" spans="1:28">
      <c r="A76" s="23">
        <v>53</v>
      </c>
      <c r="B76" s="20" t="s">
        <v>81</v>
      </c>
      <c r="C76" s="34">
        <f>2011.9+12.14</f>
        <v>2024.04</v>
      </c>
      <c r="D76" s="22"/>
      <c r="E76" s="22"/>
      <c r="F76" s="22"/>
      <c r="G76" s="22"/>
      <c r="H76" s="22"/>
      <c r="I76" s="22"/>
      <c r="J76" s="22"/>
      <c r="K76" s="22"/>
      <c r="L76" s="22"/>
      <c r="M76" s="33"/>
      <c r="N76" s="22"/>
      <c r="O76" s="22"/>
      <c r="P76" s="22"/>
      <c r="Q76" s="22"/>
      <c r="R76" s="46">
        <f t="shared" si="2"/>
        <v>2024.04</v>
      </c>
      <c r="S76" s="22">
        <f t="shared" si="3"/>
        <v>168.67</v>
      </c>
      <c r="T76" s="22">
        <f>SCPR2020!AD76</f>
        <v>20.523876073255799</v>
      </c>
      <c r="U76" s="52"/>
      <c r="V76" s="22"/>
      <c r="W76" s="53"/>
      <c r="X76" s="95"/>
    </row>
    <row r="77" spans="1:28">
      <c r="A77" s="19">
        <v>54</v>
      </c>
      <c r="B77" s="70" t="s">
        <v>82</v>
      </c>
      <c r="C77" s="34">
        <f>1460+43.64</f>
        <v>1503.64</v>
      </c>
      <c r="D77" s="3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46">
        <f t="shared" si="2"/>
        <v>1503.64</v>
      </c>
      <c r="S77" s="22">
        <f t="shared" si="3"/>
        <v>125.303333333333</v>
      </c>
      <c r="T77" s="22">
        <f>SCPR2020!AD77</f>
        <v>16.213862097872099</v>
      </c>
      <c r="U77" s="52"/>
      <c r="V77" s="22"/>
      <c r="W77" s="53"/>
      <c r="X77" s="93"/>
      <c r="Z77" s="54"/>
      <c r="AA77" s="67"/>
      <c r="AB77" s="65"/>
    </row>
    <row r="78" spans="1:28">
      <c r="A78" s="19">
        <v>55</v>
      </c>
      <c r="B78" s="70" t="s">
        <v>83</v>
      </c>
      <c r="C78" s="34">
        <f>1760+43.64</f>
        <v>1803.64</v>
      </c>
      <c r="D78" s="22"/>
      <c r="E78" s="22"/>
      <c r="F78" s="22"/>
      <c r="G78" s="71"/>
      <c r="H78" s="72"/>
      <c r="I78" s="32"/>
      <c r="J78" s="22"/>
      <c r="K78" s="22"/>
      <c r="L78" s="22"/>
      <c r="M78" s="22"/>
      <c r="N78" s="22"/>
      <c r="O78" s="22"/>
      <c r="P78" s="22"/>
      <c r="Q78" s="22"/>
      <c r="R78" s="46">
        <f t="shared" si="2"/>
        <v>1803.64</v>
      </c>
      <c r="S78" s="22">
        <f t="shared" si="3"/>
        <v>150.303333333333</v>
      </c>
      <c r="T78" s="22">
        <f>SCPR2020!AD78</f>
        <v>17.835248307659299</v>
      </c>
      <c r="U78" s="52"/>
      <c r="V78" s="22"/>
      <c r="W78" s="53"/>
      <c r="X78" s="93"/>
      <c r="Z78" s="54"/>
      <c r="AA78" s="67"/>
      <c r="AB78" s="65"/>
    </row>
    <row r="79" spans="1:28" ht="7.5" customHeight="1">
      <c r="A79" s="35"/>
      <c r="B79" s="73"/>
      <c r="C79" s="74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90"/>
      <c r="S79" s="38"/>
      <c r="T79" s="38"/>
      <c r="U79" s="96"/>
      <c r="V79" s="38"/>
      <c r="W79" s="38"/>
      <c r="X79" s="89"/>
    </row>
    <row r="80" spans="1:28">
      <c r="A80" s="31"/>
      <c r="B80" s="70"/>
      <c r="C80" s="40"/>
      <c r="R80" s="50">
        <f>SUM(R52:R79)</f>
        <v>64517.440000000002</v>
      </c>
      <c r="W80" s="60" t="s">
        <v>84</v>
      </c>
    </row>
    <row r="81" spans="1:28">
      <c r="A81" s="31"/>
      <c r="B81" s="70"/>
      <c r="C81" s="40"/>
      <c r="W81" s="3"/>
    </row>
    <row r="82" spans="1:28">
      <c r="A82" s="31"/>
      <c r="B82" s="70"/>
      <c r="C82" s="40"/>
    </row>
    <row r="83" spans="1:28">
      <c r="A83" s="308" t="s">
        <v>0</v>
      </c>
      <c r="B83" s="308"/>
      <c r="C83" s="308"/>
      <c r="D83" s="308"/>
      <c r="E83" s="308"/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  <c r="W83" s="308"/>
      <c r="X83" s="308"/>
    </row>
    <row r="84" spans="1:28">
      <c r="A84" s="315" t="s">
        <v>1</v>
      </c>
      <c r="B84" s="315"/>
      <c r="C84" s="315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</row>
    <row r="85" spans="1:28">
      <c r="A85" s="313" t="s">
        <v>2</v>
      </c>
      <c r="B85" s="313"/>
      <c r="C85" s="313"/>
      <c r="D85" s="313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</row>
    <row r="86" spans="1:28">
      <c r="B86" s="9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51"/>
      <c r="V86" s="9"/>
      <c r="W86" s="9"/>
      <c r="X86" s="9"/>
    </row>
    <row r="87" spans="1:28" ht="18">
      <c r="A87" s="316" t="s">
        <v>3</v>
      </c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</row>
    <row r="88" spans="1:28" ht="12.75" customHeight="1">
      <c r="A88" s="313" t="s">
        <v>55</v>
      </c>
      <c r="B88" s="313"/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  <c r="W88" s="313"/>
      <c r="X88" s="313"/>
    </row>
    <row r="89" spans="1:28" ht="3.75" customHeight="1">
      <c r="A89" s="10"/>
      <c r="B89" s="4"/>
      <c r="D89" s="10"/>
      <c r="E89" s="10"/>
      <c r="F89" s="1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28" ht="17.25" customHeight="1">
      <c r="A90" s="336" t="s">
        <v>5</v>
      </c>
      <c r="B90" s="337"/>
      <c r="C90" s="332" t="s">
        <v>56</v>
      </c>
      <c r="D90" s="329" t="s">
        <v>7</v>
      </c>
      <c r="E90" s="329" t="s">
        <v>8</v>
      </c>
      <c r="F90" s="11"/>
      <c r="G90" s="319" t="s">
        <v>9</v>
      </c>
      <c r="H90" s="319" t="s">
        <v>10</v>
      </c>
      <c r="I90" s="321" t="s">
        <v>11</v>
      </c>
      <c r="J90" s="319" t="s">
        <v>12</v>
      </c>
      <c r="K90" s="319" t="s">
        <v>13</v>
      </c>
      <c r="L90" s="12"/>
      <c r="M90" s="319" t="s">
        <v>14</v>
      </c>
      <c r="N90" s="319" t="s">
        <v>15</v>
      </c>
      <c r="O90" s="319" t="s">
        <v>16</v>
      </c>
      <c r="P90" s="319" t="s">
        <v>17</v>
      </c>
      <c r="Q90" s="319" t="s">
        <v>18</v>
      </c>
      <c r="R90" s="319" t="s">
        <v>19</v>
      </c>
      <c r="S90" s="319" t="s">
        <v>20</v>
      </c>
      <c r="T90" s="327" t="s">
        <v>21</v>
      </c>
      <c r="U90" s="323" t="s">
        <v>22</v>
      </c>
      <c r="V90" s="342" t="s">
        <v>23</v>
      </c>
      <c r="W90" s="329" t="s">
        <v>24</v>
      </c>
      <c r="X90" s="325" t="s">
        <v>25</v>
      </c>
    </row>
    <row r="91" spans="1:28" ht="16.5" customHeight="1">
      <c r="A91" s="338"/>
      <c r="B91" s="339"/>
      <c r="C91" s="333"/>
      <c r="D91" s="330"/>
      <c r="E91" s="330"/>
      <c r="F91" s="13"/>
      <c r="G91" s="320"/>
      <c r="H91" s="320"/>
      <c r="I91" s="322"/>
      <c r="J91" s="320"/>
      <c r="K91" s="320"/>
      <c r="L91" s="14"/>
      <c r="M91" s="320"/>
      <c r="N91" s="320"/>
      <c r="O91" s="320"/>
      <c r="P91" s="320"/>
      <c r="Q91" s="320"/>
      <c r="R91" s="320"/>
      <c r="S91" s="320"/>
      <c r="T91" s="328"/>
      <c r="U91" s="324"/>
      <c r="V91" s="343"/>
      <c r="W91" s="330"/>
      <c r="X91" s="326"/>
    </row>
    <row r="92" spans="1:28" ht="4.5" customHeight="1">
      <c r="A92" s="41"/>
      <c r="B92" s="75"/>
      <c r="C92" s="42"/>
      <c r="D92" s="43"/>
      <c r="E92" s="43"/>
      <c r="F92" s="43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61"/>
      <c r="V92" s="44"/>
      <c r="W92" s="44"/>
      <c r="X92" s="44"/>
    </row>
    <row r="93" spans="1:28">
      <c r="A93" s="23">
        <v>56</v>
      </c>
      <c r="B93" s="70" t="s">
        <v>85</v>
      </c>
      <c r="C93" s="76">
        <f>2235.01+34.49</f>
        <v>2269.5</v>
      </c>
      <c r="D93" s="77"/>
      <c r="E93" s="77"/>
      <c r="F93" s="77"/>
      <c r="G93" s="3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46">
        <f t="shared" ref="R93:R99" si="4">C93+D93+E93+G93+H93+I93+J93+K93+M93+N93+O93+P93+Q93</f>
        <v>2269.5</v>
      </c>
      <c r="S93" s="22">
        <f t="shared" ref="S93:S98" si="5">R93/12</f>
        <v>189.125</v>
      </c>
      <c r="T93" s="22">
        <f>SCPR2020!AD93</f>
        <v>23.398244917315299</v>
      </c>
      <c r="U93" s="97"/>
      <c r="V93" s="93"/>
      <c r="W93" s="53"/>
      <c r="X93" s="93"/>
      <c r="AA93" s="67"/>
      <c r="AB93" s="65"/>
    </row>
    <row r="94" spans="1:28">
      <c r="A94" s="23">
        <v>57</v>
      </c>
      <c r="B94" s="70" t="s">
        <v>86</v>
      </c>
      <c r="C94" s="76">
        <f>2134.96+12.89</f>
        <v>2147.85</v>
      </c>
      <c r="D94" s="77"/>
      <c r="E94" s="77"/>
      <c r="F94" s="77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46">
        <f t="shared" si="4"/>
        <v>2147.85</v>
      </c>
      <c r="S94" s="22">
        <f t="shared" si="5"/>
        <v>178.98750000000001</v>
      </c>
      <c r="T94" s="22">
        <f>SCPR2020!AD94</f>
        <v>21.779218953276501</v>
      </c>
      <c r="U94" s="97"/>
      <c r="V94" s="93"/>
      <c r="W94" s="53"/>
      <c r="X94" s="93"/>
    </row>
    <row r="95" spans="1:28">
      <c r="A95" s="23">
        <v>58</v>
      </c>
      <c r="B95" s="70" t="s">
        <v>87</v>
      </c>
      <c r="C95" s="76">
        <f>2479.67+14.97</f>
        <v>2494.64</v>
      </c>
      <c r="D95" s="77"/>
      <c r="E95" s="77"/>
      <c r="F95" s="77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46">
        <f t="shared" si="4"/>
        <v>2494.64</v>
      </c>
      <c r="S95" s="22">
        <f t="shared" si="5"/>
        <v>207.886666666667</v>
      </c>
      <c r="T95" s="22">
        <f>SCPR2020!AD95</f>
        <v>26.814444089708701</v>
      </c>
      <c r="U95" s="52"/>
      <c r="V95" s="22"/>
      <c r="W95" s="53"/>
      <c r="X95" s="93"/>
      <c r="Z95" s="55"/>
      <c r="AA95" s="67"/>
      <c r="AB95" s="65"/>
    </row>
    <row r="96" spans="1:28">
      <c r="A96" s="29">
        <v>59</v>
      </c>
      <c r="B96" s="70" t="str">
        <f>[1]Membership!$B$71</f>
        <v>Concepcion B. Cruz</v>
      </c>
      <c r="C96" s="76">
        <v>7000</v>
      </c>
      <c r="D96" s="45"/>
      <c r="E96" s="77"/>
      <c r="F96" s="77"/>
      <c r="G96" s="45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46">
        <f t="shared" si="4"/>
        <v>7000</v>
      </c>
      <c r="S96" s="22">
        <f t="shared" si="5"/>
        <v>583.33333333333303</v>
      </c>
      <c r="T96" s="22">
        <f>SCPR2020!AD96</f>
        <v>71.833566256395301</v>
      </c>
      <c r="U96" s="52"/>
      <c r="V96" s="22"/>
      <c r="W96" s="53"/>
      <c r="X96" s="93"/>
    </row>
    <row r="97" spans="1:28">
      <c r="A97" s="23">
        <v>60</v>
      </c>
      <c r="B97" s="70" t="str">
        <f>[1]Membership!$B$72</f>
        <v>Leonardo B. Cruz</v>
      </c>
      <c r="C97" s="76">
        <f>2509.49+72.92</f>
        <v>2582.41</v>
      </c>
      <c r="D97" s="22"/>
      <c r="E97" s="77"/>
      <c r="F97" s="77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46">
        <f t="shared" si="4"/>
        <v>2582.41</v>
      </c>
      <c r="S97" s="22">
        <f t="shared" si="5"/>
        <v>215.20083333333301</v>
      </c>
      <c r="T97" s="22">
        <f>SCPR2020!AD97</f>
        <v>25.8908696664122</v>
      </c>
      <c r="U97" s="52"/>
      <c r="V97" s="22"/>
      <c r="W97" s="53"/>
      <c r="X97" s="93"/>
      <c r="Z97" s="55"/>
      <c r="AA97" s="67"/>
      <c r="AB97" s="65"/>
    </row>
    <row r="98" spans="1:28">
      <c r="A98" s="23">
        <v>61</v>
      </c>
      <c r="B98" s="70" t="str">
        <f>[1]Membership!$B$73</f>
        <v>Annalyn B. Cruz</v>
      </c>
      <c r="C98" s="76">
        <f>2465.38+14.88</f>
        <v>2480.2600000000002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46">
        <f t="shared" si="4"/>
        <v>2480.2600000000002</v>
      </c>
      <c r="S98" s="22">
        <f t="shared" si="5"/>
        <v>206.68833333333299</v>
      </c>
      <c r="T98" s="22">
        <f>SCPR2020!AD98</f>
        <v>26.011960535244398</v>
      </c>
      <c r="U98" s="52"/>
      <c r="V98" s="22"/>
      <c r="W98" s="53"/>
      <c r="X98" s="93"/>
      <c r="AA98" s="67"/>
      <c r="AB98" s="65"/>
    </row>
    <row r="99" spans="1:28">
      <c r="A99" s="19">
        <v>62</v>
      </c>
      <c r="B99" s="51" t="s">
        <v>134</v>
      </c>
      <c r="C99" s="76">
        <v>100</v>
      </c>
      <c r="D99" s="77"/>
      <c r="E99" s="77"/>
      <c r="F99" s="77"/>
      <c r="G99" s="22"/>
      <c r="H99" s="22"/>
      <c r="I99" s="22"/>
      <c r="J99" s="164">
        <f>500+500</f>
        <v>1000</v>
      </c>
      <c r="K99" s="164">
        <v>500</v>
      </c>
      <c r="L99" s="22"/>
      <c r="M99" s="22"/>
      <c r="N99" s="22"/>
      <c r="O99" s="164">
        <v>1500</v>
      </c>
      <c r="P99" s="22"/>
      <c r="Q99" s="22"/>
      <c r="R99" s="46">
        <f t="shared" si="4"/>
        <v>3100</v>
      </c>
      <c r="S99" s="22"/>
      <c r="T99" s="22">
        <f>SCPR2020!AD99</f>
        <v>1.02619380366279</v>
      </c>
      <c r="U99" s="97"/>
      <c r="V99" s="22"/>
      <c r="W99" s="98"/>
      <c r="X99" s="93"/>
    </row>
    <row r="100" spans="1:28">
      <c r="A100" s="23">
        <v>63</v>
      </c>
      <c r="B100" s="70" t="str">
        <f>[1]Membership!$B$75</f>
        <v>Milben Rex P. Balao</v>
      </c>
      <c r="C100" s="76">
        <f>3698.65+22.33</f>
        <v>3720.98</v>
      </c>
      <c r="D100" s="22"/>
      <c r="E100" s="77"/>
      <c r="F100" s="77"/>
      <c r="G100" s="47"/>
      <c r="H100" s="22"/>
      <c r="I100" s="22"/>
      <c r="J100" s="22"/>
      <c r="K100" s="22">
        <v>1000</v>
      </c>
      <c r="L100" s="22"/>
      <c r="M100" s="22"/>
      <c r="N100" s="22"/>
      <c r="O100" s="22"/>
      <c r="P100" s="22"/>
      <c r="Q100" s="22"/>
      <c r="R100" s="46">
        <f t="shared" ref="R100:R102" si="6">C100+D100+E100+G100+H100+I100+J100+K100+M100+N100+O100+P100+Q100</f>
        <v>4720.9799999999996</v>
      </c>
      <c r="S100" s="22">
        <f t="shared" ref="S100:S119" si="7">R100/12</f>
        <v>393.41500000000002</v>
      </c>
      <c r="T100" s="22">
        <f>SCPR2020!AD100</f>
        <v>36.840357551494201</v>
      </c>
      <c r="U100" s="52"/>
      <c r="V100" s="22"/>
      <c r="W100" s="53"/>
      <c r="X100" s="93"/>
    </row>
    <row r="101" spans="1:28">
      <c r="A101" s="19">
        <v>64</v>
      </c>
      <c r="B101" s="208" t="s">
        <v>88</v>
      </c>
      <c r="C101" s="209">
        <v>100</v>
      </c>
      <c r="D101" s="81"/>
      <c r="E101" s="81"/>
      <c r="F101" s="8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91">
        <f t="shared" si="6"/>
        <v>100</v>
      </c>
      <c r="S101" s="58">
        <f t="shared" si="7"/>
        <v>8.3333333333333304</v>
      </c>
      <c r="T101" s="22">
        <f>SCPR2020!AD101</f>
        <v>0</v>
      </c>
      <c r="U101" s="71"/>
      <c r="V101" s="22"/>
      <c r="W101" s="99"/>
      <c r="X101" s="93"/>
      <c r="Z101" s="54"/>
      <c r="AA101" s="67"/>
      <c r="AB101" s="65"/>
    </row>
    <row r="102" spans="1:28">
      <c r="A102" s="23">
        <v>65</v>
      </c>
      <c r="B102" s="70" t="s">
        <v>89</v>
      </c>
      <c r="C102" s="76">
        <f>2731.16+16.49</f>
        <v>2747.65</v>
      </c>
      <c r="D102" s="77"/>
      <c r="E102" s="77"/>
      <c r="F102" s="77"/>
      <c r="G102" s="22"/>
      <c r="H102" s="22"/>
      <c r="I102" s="32"/>
      <c r="J102" s="22"/>
      <c r="K102" s="22"/>
      <c r="L102" s="22"/>
      <c r="M102" s="22"/>
      <c r="N102" s="22"/>
      <c r="O102" s="22"/>
      <c r="P102" s="22"/>
      <c r="Q102" s="22"/>
      <c r="R102" s="46">
        <f t="shared" si="6"/>
        <v>2747.65</v>
      </c>
      <c r="S102" s="22">
        <f t="shared" si="7"/>
        <v>228.97083333333299</v>
      </c>
      <c r="T102" s="22">
        <f>SCPR2020!AD102</f>
        <v>25.2956772602878</v>
      </c>
      <c r="U102" s="52"/>
      <c r="V102" s="22"/>
      <c r="W102" s="53"/>
      <c r="X102" s="93"/>
      <c r="Z102" s="55"/>
      <c r="AA102" s="67"/>
      <c r="AB102" s="65"/>
    </row>
    <row r="103" spans="1:28">
      <c r="A103" s="29">
        <v>66</v>
      </c>
      <c r="B103" s="70" t="s">
        <v>90</v>
      </c>
      <c r="C103" s="76">
        <v>7000</v>
      </c>
      <c r="D103" s="77"/>
      <c r="E103" s="77"/>
      <c r="F103" s="77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46">
        <f>C103</f>
        <v>7000</v>
      </c>
      <c r="S103" s="22">
        <f t="shared" si="7"/>
        <v>583.33333333333303</v>
      </c>
      <c r="T103" s="22">
        <f>SCPR2020!AD103</f>
        <v>71.833566256395301</v>
      </c>
      <c r="U103" s="52"/>
      <c r="V103" s="22"/>
      <c r="W103" s="53"/>
      <c r="X103" s="93"/>
    </row>
    <row r="104" spans="1:28">
      <c r="A104" s="23">
        <v>67</v>
      </c>
      <c r="B104" s="9" t="s">
        <v>91</v>
      </c>
      <c r="C104" s="76">
        <f>2275.27+13.73</f>
        <v>2289</v>
      </c>
      <c r="D104" s="77"/>
      <c r="E104" s="77"/>
      <c r="F104" s="77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46">
        <f t="shared" ref="R104:R119" si="8">C104+D104+E104+G104+H104+I104+J104+K104+M104+N104+O104+P104+Q104</f>
        <v>2289</v>
      </c>
      <c r="S104" s="22">
        <f t="shared" si="7"/>
        <v>190.75</v>
      </c>
      <c r="T104" s="22">
        <f>SCPR2020!AD104</f>
        <v>23.210554070625399</v>
      </c>
      <c r="U104" s="52"/>
      <c r="V104" s="22"/>
      <c r="W104" s="53"/>
      <c r="X104" s="93"/>
    </row>
    <row r="105" spans="1:28">
      <c r="A105" s="19">
        <v>68</v>
      </c>
      <c r="B105" s="70" t="s">
        <v>92</v>
      </c>
      <c r="C105" s="82">
        <v>220</v>
      </c>
      <c r="D105" s="77"/>
      <c r="E105" s="77"/>
      <c r="F105" s="77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46">
        <f t="shared" si="8"/>
        <v>220</v>
      </c>
      <c r="S105" s="22">
        <f t="shared" si="7"/>
        <v>18.3333333333333</v>
      </c>
      <c r="T105" s="22">
        <f>SCPR2020!AD105</f>
        <v>2.2576263680581401</v>
      </c>
      <c r="U105" s="52"/>
      <c r="V105" s="22"/>
      <c r="W105" s="53"/>
      <c r="X105" s="93"/>
    </row>
    <row r="106" spans="1:28">
      <c r="A106" s="19">
        <v>69</v>
      </c>
      <c r="B106" s="70" t="s">
        <v>93</v>
      </c>
      <c r="C106" s="83">
        <v>100</v>
      </c>
      <c r="D106" s="77"/>
      <c r="E106" s="77"/>
      <c r="F106" s="77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46">
        <f t="shared" si="8"/>
        <v>100</v>
      </c>
      <c r="S106" s="22">
        <f t="shared" si="7"/>
        <v>8.3333333333333304</v>
      </c>
      <c r="T106" s="22">
        <f>SCPR2020!AD106</f>
        <v>1.02619380366279</v>
      </c>
      <c r="U106" s="97"/>
      <c r="V106" s="22"/>
      <c r="W106" s="98"/>
      <c r="X106" s="93"/>
    </row>
    <row r="107" spans="1:28">
      <c r="A107" s="19">
        <v>70</v>
      </c>
      <c r="B107" s="70" t="s">
        <v>94</v>
      </c>
      <c r="C107" s="83">
        <v>100</v>
      </c>
      <c r="D107" s="77"/>
      <c r="E107" s="77"/>
      <c r="F107" s="77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46">
        <f t="shared" si="8"/>
        <v>100</v>
      </c>
      <c r="S107" s="22">
        <f t="shared" si="7"/>
        <v>8.3333333333333304</v>
      </c>
      <c r="T107" s="22">
        <f>SCPR2020!AD107</f>
        <v>1.02619380366279</v>
      </c>
      <c r="U107" s="97"/>
      <c r="V107" s="22"/>
      <c r="W107" s="98"/>
      <c r="X107" s="93"/>
    </row>
    <row r="108" spans="1:28">
      <c r="A108" s="19">
        <v>71</v>
      </c>
      <c r="B108" s="70" t="s">
        <v>95</v>
      </c>
      <c r="C108" s="83">
        <v>420</v>
      </c>
      <c r="D108" s="77"/>
      <c r="E108" s="77"/>
      <c r="F108" s="77"/>
      <c r="G108" s="22"/>
      <c r="H108" s="22"/>
      <c r="I108" s="22"/>
      <c r="J108" s="22"/>
      <c r="K108" s="45"/>
      <c r="L108" s="45"/>
      <c r="M108" s="22"/>
      <c r="N108" s="22"/>
      <c r="O108" s="22"/>
      <c r="P108" s="22"/>
      <c r="Q108" s="22"/>
      <c r="R108" s="46">
        <f t="shared" si="8"/>
        <v>420</v>
      </c>
      <c r="S108" s="22">
        <f t="shared" si="7"/>
        <v>35</v>
      </c>
      <c r="T108" s="22">
        <f>SCPR2020!AD108</f>
        <v>5.8287808048046497</v>
      </c>
      <c r="U108" s="52"/>
      <c r="V108" s="22"/>
      <c r="W108" s="53"/>
      <c r="X108" s="93"/>
    </row>
    <row r="109" spans="1:28">
      <c r="A109" s="19">
        <v>72</v>
      </c>
      <c r="B109" s="70" t="s">
        <v>96</v>
      </c>
      <c r="C109" s="83">
        <v>340</v>
      </c>
      <c r="D109" s="22"/>
      <c r="E109" s="77"/>
      <c r="F109" s="77"/>
      <c r="G109" s="22"/>
      <c r="H109" s="22"/>
      <c r="I109" s="22"/>
      <c r="J109" s="22"/>
      <c r="K109" s="45"/>
      <c r="L109" s="45"/>
      <c r="M109" s="22"/>
      <c r="N109" s="22"/>
      <c r="O109" s="22"/>
      <c r="P109" s="22"/>
      <c r="Q109" s="22"/>
      <c r="R109" s="46">
        <f t="shared" si="8"/>
        <v>340</v>
      </c>
      <c r="S109" s="22">
        <f t="shared" si="7"/>
        <v>28.3333333333333</v>
      </c>
      <c r="T109" s="22">
        <f>SCPR2020!AD109</f>
        <v>11.082893079558101</v>
      </c>
      <c r="U109" s="52"/>
      <c r="V109" s="22"/>
      <c r="W109" s="53"/>
      <c r="X109" s="93"/>
    </row>
    <row r="110" spans="1:28">
      <c r="A110" s="19">
        <v>73</v>
      </c>
      <c r="B110" s="70" t="s">
        <v>97</v>
      </c>
      <c r="C110" s="76">
        <v>440</v>
      </c>
      <c r="D110" s="22"/>
      <c r="E110" s="77"/>
      <c r="F110" s="77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46">
        <f t="shared" si="8"/>
        <v>440</v>
      </c>
      <c r="S110" s="22">
        <f t="shared" si="7"/>
        <v>36.6666666666667</v>
      </c>
      <c r="T110" s="22">
        <f>SCPR2020!AD110</f>
        <v>7.69645352747093</v>
      </c>
      <c r="U110" s="97"/>
      <c r="V110" s="22"/>
      <c r="W110" s="98"/>
      <c r="X110" s="93"/>
    </row>
    <row r="111" spans="1:28">
      <c r="A111" s="19">
        <v>74</v>
      </c>
      <c r="B111" s="70" t="s">
        <v>98</v>
      </c>
      <c r="C111" s="83">
        <v>520</v>
      </c>
      <c r="D111" s="22"/>
      <c r="E111" s="77"/>
      <c r="F111" s="77"/>
      <c r="G111" s="45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46">
        <f t="shared" si="8"/>
        <v>520</v>
      </c>
      <c r="S111" s="22">
        <f t="shared" si="7"/>
        <v>43.3333333333333</v>
      </c>
      <c r="T111" s="22">
        <f>SCPR2020!AD111</f>
        <v>7.2859760060058099</v>
      </c>
      <c r="U111" s="52"/>
      <c r="V111" s="22"/>
      <c r="W111" s="53"/>
      <c r="X111" s="93"/>
    </row>
    <row r="112" spans="1:28">
      <c r="A112" s="19">
        <v>75</v>
      </c>
      <c r="B112" s="70" t="s">
        <v>99</v>
      </c>
      <c r="C112" s="76">
        <v>7000</v>
      </c>
      <c r="D112" s="22"/>
      <c r="E112" s="81"/>
      <c r="F112" s="81"/>
      <c r="G112" s="71"/>
      <c r="H112" s="32"/>
      <c r="I112" s="22"/>
      <c r="J112" s="32"/>
      <c r="K112" s="32"/>
      <c r="L112" s="32"/>
      <c r="M112" s="32"/>
      <c r="N112" s="32"/>
      <c r="O112" s="32"/>
      <c r="P112" s="32"/>
      <c r="Q112" s="22"/>
      <c r="R112" s="46">
        <f t="shared" si="8"/>
        <v>7000</v>
      </c>
      <c r="S112" s="22">
        <f t="shared" si="7"/>
        <v>583.33333333333303</v>
      </c>
      <c r="T112" s="22"/>
      <c r="U112" s="52"/>
      <c r="V112" s="22"/>
      <c r="W112" s="53"/>
      <c r="X112" s="93"/>
    </row>
    <row r="113" spans="1:24">
      <c r="A113" s="84">
        <v>76</v>
      </c>
      <c r="B113" s="70" t="s">
        <v>100</v>
      </c>
      <c r="C113" s="76">
        <v>200</v>
      </c>
      <c r="D113" s="77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46">
        <f t="shared" si="8"/>
        <v>200</v>
      </c>
      <c r="S113" s="22">
        <f t="shared" si="7"/>
        <v>16.6666666666667</v>
      </c>
      <c r="T113" s="22">
        <f>SCPR2020!AD113</f>
        <v>2.05238760732558</v>
      </c>
      <c r="U113" s="52"/>
      <c r="V113" s="22"/>
      <c r="W113" s="53"/>
      <c r="X113" s="93"/>
    </row>
    <row r="114" spans="1:24">
      <c r="A114" s="84">
        <v>77</v>
      </c>
      <c r="B114" s="70" t="s">
        <v>101</v>
      </c>
      <c r="C114" s="76">
        <v>340</v>
      </c>
      <c r="D114" s="77"/>
      <c r="E114" s="77"/>
      <c r="F114" s="77"/>
      <c r="G114" s="45"/>
      <c r="H114" s="22"/>
      <c r="I114" s="22"/>
      <c r="J114" s="22"/>
      <c r="K114" s="45"/>
      <c r="L114" s="45"/>
      <c r="M114" s="22"/>
      <c r="N114" s="22"/>
      <c r="O114" s="22"/>
      <c r="P114" s="22"/>
      <c r="Q114" s="22"/>
      <c r="R114" s="46">
        <f t="shared" si="8"/>
        <v>340</v>
      </c>
      <c r="S114" s="22">
        <f t="shared" si="7"/>
        <v>28.3333333333333</v>
      </c>
      <c r="T114" s="22">
        <f>SCPR2020!AD114</f>
        <v>3.48905893245349</v>
      </c>
      <c r="U114" s="52"/>
      <c r="V114" s="22"/>
      <c r="W114" s="53"/>
      <c r="X114" s="93"/>
    </row>
    <row r="115" spans="1:24">
      <c r="A115" s="84">
        <v>78</v>
      </c>
      <c r="B115" s="70" t="s">
        <v>102</v>
      </c>
      <c r="C115" s="76">
        <v>100</v>
      </c>
      <c r="D115" s="77"/>
      <c r="E115" s="77"/>
      <c r="F115" s="77"/>
      <c r="G115" s="22"/>
      <c r="H115" s="22"/>
      <c r="I115" s="22"/>
      <c r="J115" s="22"/>
      <c r="K115" s="45"/>
      <c r="L115" s="45"/>
      <c r="M115" s="22"/>
      <c r="N115" s="22"/>
      <c r="O115" s="22"/>
      <c r="P115" s="22"/>
      <c r="Q115" s="22"/>
      <c r="R115" s="46">
        <f t="shared" si="8"/>
        <v>100</v>
      </c>
      <c r="S115" s="22">
        <f t="shared" si="7"/>
        <v>8.3333333333333304</v>
      </c>
      <c r="T115" s="22">
        <f>SCPR2020!AD115</f>
        <v>1.02619380366279</v>
      </c>
      <c r="U115" s="97"/>
      <c r="V115" s="22"/>
      <c r="W115" s="98"/>
      <c r="X115" s="93"/>
    </row>
    <row r="116" spans="1:24">
      <c r="A116" s="84">
        <v>79</v>
      </c>
      <c r="B116" s="70" t="s">
        <v>103</v>
      </c>
      <c r="C116" s="76">
        <f>541.82+184.87</f>
        <v>726.69</v>
      </c>
      <c r="D116" s="77"/>
      <c r="E116" s="77"/>
      <c r="F116" s="77"/>
      <c r="G116" s="22"/>
      <c r="H116" s="22"/>
      <c r="I116" s="22"/>
      <c r="J116" s="22"/>
      <c r="K116" s="45"/>
      <c r="L116" s="45"/>
      <c r="M116" s="32"/>
      <c r="N116" s="22"/>
      <c r="O116" s="22"/>
      <c r="P116" s="22"/>
      <c r="Q116" s="22"/>
      <c r="R116" s="46">
        <f t="shared" si="8"/>
        <v>726.69</v>
      </c>
      <c r="S116" s="22">
        <f t="shared" si="7"/>
        <v>60.557499999999997</v>
      </c>
      <c r="T116" s="22">
        <f>SCPR2020!AD116</f>
        <v>1.02619380366279</v>
      </c>
      <c r="U116" s="97"/>
      <c r="V116" s="22"/>
      <c r="W116" s="98"/>
      <c r="X116" s="93"/>
    </row>
    <row r="117" spans="1:24">
      <c r="A117" s="84"/>
      <c r="B117" s="70" t="s">
        <v>104</v>
      </c>
      <c r="C117" s="76">
        <v>100</v>
      </c>
      <c r="D117" s="77"/>
      <c r="E117" s="77"/>
      <c r="F117" s="77"/>
      <c r="G117" s="22"/>
      <c r="H117" s="22"/>
      <c r="I117" s="22"/>
      <c r="J117" s="22"/>
      <c r="K117" s="45"/>
      <c r="L117" s="45"/>
      <c r="M117" s="32"/>
      <c r="N117" s="22"/>
      <c r="O117" s="22"/>
      <c r="P117" s="22"/>
      <c r="Q117" s="22"/>
      <c r="R117" s="46">
        <f t="shared" si="8"/>
        <v>100</v>
      </c>
      <c r="S117" s="22">
        <f t="shared" si="7"/>
        <v>8.3333333333333304</v>
      </c>
      <c r="T117" s="22">
        <f>SCPR2020!AD117</f>
        <v>1.02619380366279</v>
      </c>
      <c r="U117" s="97"/>
      <c r="V117" s="22"/>
      <c r="W117" s="98"/>
      <c r="X117" s="93"/>
    </row>
    <row r="118" spans="1:24">
      <c r="A118" s="84">
        <v>81</v>
      </c>
      <c r="B118" s="70" t="s">
        <v>105</v>
      </c>
      <c r="C118" s="76">
        <v>220</v>
      </c>
      <c r="D118" s="77"/>
      <c r="E118" s="77"/>
      <c r="F118" s="81">
        <v>100</v>
      </c>
      <c r="G118" s="22"/>
      <c r="H118" s="22"/>
      <c r="I118" s="22"/>
      <c r="J118" s="22"/>
      <c r="K118" s="45"/>
      <c r="L118" s="45"/>
      <c r="M118" s="22"/>
      <c r="N118" s="22"/>
      <c r="O118" s="22"/>
      <c r="P118" s="22"/>
      <c r="Q118" s="22"/>
      <c r="R118" s="46">
        <f t="shared" si="8"/>
        <v>220</v>
      </c>
      <c r="S118" s="22">
        <f t="shared" si="7"/>
        <v>18.3333333333333</v>
      </c>
      <c r="T118" s="22">
        <f>SCPR2020!AD118</f>
        <v>2.2576263680581401</v>
      </c>
      <c r="U118" s="52"/>
      <c r="V118" s="22"/>
      <c r="W118" s="53"/>
      <c r="X118" s="93"/>
    </row>
    <row r="119" spans="1:24">
      <c r="A119" s="84">
        <v>82</v>
      </c>
      <c r="B119" s="70" t="s">
        <v>106</v>
      </c>
      <c r="C119" s="76">
        <f>220+30.55</f>
        <v>250.55</v>
      </c>
      <c r="D119" s="77"/>
      <c r="E119" s="81">
        <v>60</v>
      </c>
      <c r="F119" s="81"/>
      <c r="G119" s="22"/>
      <c r="H119" s="22"/>
      <c r="I119" s="22"/>
      <c r="J119" s="22"/>
      <c r="K119" s="164"/>
      <c r="L119" s="22"/>
      <c r="M119" s="22"/>
      <c r="N119" s="22"/>
      <c r="O119" s="22"/>
      <c r="P119" s="22"/>
      <c r="Q119" s="22"/>
      <c r="R119" s="46">
        <f t="shared" si="8"/>
        <v>310.55</v>
      </c>
      <c r="S119" s="22">
        <f t="shared" si="7"/>
        <v>25.879166666666698</v>
      </c>
      <c r="T119" s="22">
        <f>SCPR2020!AD119</f>
        <v>1.6419100858604601</v>
      </c>
      <c r="U119" s="52"/>
      <c r="V119" s="22"/>
      <c r="W119" s="53"/>
      <c r="X119" s="93"/>
    </row>
    <row r="120" spans="1:24" ht="6" customHeight="1">
      <c r="A120" s="85"/>
      <c r="B120" s="86"/>
      <c r="C120" s="87"/>
      <c r="D120" s="88"/>
      <c r="E120" s="88"/>
      <c r="F120" s="88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100"/>
      <c r="V120" s="89"/>
      <c r="W120" s="89"/>
      <c r="X120" s="89"/>
    </row>
    <row r="121" spans="1:24">
      <c r="R121" s="50">
        <f>SUM(R93:R120)</f>
        <v>50069.53</v>
      </c>
      <c r="W121" s="60" t="s">
        <v>107</v>
      </c>
    </row>
    <row r="122" spans="1:24">
      <c r="A122" s="31"/>
      <c r="B122" s="70"/>
      <c r="C122" s="40"/>
      <c r="W122" s="3"/>
    </row>
    <row r="123" spans="1:24">
      <c r="A123" s="31"/>
      <c r="B123" s="70"/>
      <c r="C123" s="40"/>
    </row>
    <row r="124" spans="1:24">
      <c r="A124" s="308" t="s">
        <v>0</v>
      </c>
      <c r="B124" s="308"/>
      <c r="C124" s="308"/>
      <c r="D124" s="308"/>
      <c r="E124" s="308"/>
      <c r="F124" s="308"/>
      <c r="G124" s="308"/>
      <c r="H124" s="308"/>
      <c r="I124" s="308"/>
      <c r="J124" s="308"/>
      <c r="K124" s="308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  <c r="W124" s="308"/>
      <c r="X124" s="308"/>
    </row>
    <row r="125" spans="1:24">
      <c r="A125" s="315" t="s">
        <v>1</v>
      </c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</row>
    <row r="126" spans="1:24">
      <c r="A126" s="313" t="s">
        <v>2</v>
      </c>
      <c r="B126" s="313"/>
      <c r="C126" s="313"/>
      <c r="D126" s="313"/>
      <c r="E126" s="313"/>
      <c r="F126" s="313"/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  <c r="T126" s="313"/>
      <c r="U126" s="313"/>
      <c r="V126" s="313"/>
      <c r="W126" s="313"/>
      <c r="X126" s="313"/>
    </row>
    <row r="127" spans="1:24">
      <c r="B127" s="9"/>
      <c r="C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51"/>
      <c r="V127" s="9"/>
      <c r="W127" s="9"/>
      <c r="X127" s="9"/>
    </row>
    <row r="128" spans="1:24" ht="18">
      <c r="A128" s="316" t="s">
        <v>3</v>
      </c>
      <c r="B128" s="316"/>
      <c r="C128" s="316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  <c r="W128" s="316"/>
      <c r="X128" s="316"/>
    </row>
    <row r="129" spans="1:24">
      <c r="A129" s="313" t="s">
        <v>55</v>
      </c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  <c r="W129" s="313"/>
      <c r="X129" s="313"/>
    </row>
    <row r="130" spans="1:24" ht="5.25" customHeight="1"/>
    <row r="131" spans="1:24" ht="15.75" customHeight="1">
      <c r="A131" s="336" t="s">
        <v>5</v>
      </c>
      <c r="B131" s="337"/>
      <c r="C131" s="334" t="s">
        <v>56</v>
      </c>
      <c r="D131" s="329" t="s">
        <v>7</v>
      </c>
      <c r="E131" s="329" t="s">
        <v>8</v>
      </c>
      <c r="F131" s="11"/>
      <c r="G131" s="319" t="s">
        <v>9</v>
      </c>
      <c r="H131" s="319" t="s">
        <v>10</v>
      </c>
      <c r="I131" s="329" t="s">
        <v>11</v>
      </c>
      <c r="J131" s="319" t="s">
        <v>12</v>
      </c>
      <c r="K131" s="319" t="s">
        <v>13</v>
      </c>
      <c r="L131" s="12"/>
      <c r="M131" s="319" t="s">
        <v>14</v>
      </c>
      <c r="N131" s="319" t="s">
        <v>15</v>
      </c>
      <c r="O131" s="319" t="s">
        <v>16</v>
      </c>
      <c r="P131" s="319" t="s">
        <v>17</v>
      </c>
      <c r="Q131" s="319" t="s">
        <v>18</v>
      </c>
      <c r="R131" s="319" t="s">
        <v>19</v>
      </c>
      <c r="S131" s="319" t="s">
        <v>20</v>
      </c>
      <c r="T131" s="327" t="s">
        <v>21</v>
      </c>
      <c r="U131" s="323" t="s">
        <v>22</v>
      </c>
      <c r="V131" s="342" t="s">
        <v>23</v>
      </c>
      <c r="W131" s="329" t="s">
        <v>24</v>
      </c>
      <c r="X131" s="325" t="s">
        <v>25</v>
      </c>
    </row>
    <row r="132" spans="1:24" ht="18" customHeight="1">
      <c r="A132" s="338"/>
      <c r="B132" s="339"/>
      <c r="C132" s="335"/>
      <c r="D132" s="330"/>
      <c r="E132" s="330"/>
      <c r="F132" s="13"/>
      <c r="G132" s="320"/>
      <c r="H132" s="320"/>
      <c r="I132" s="330"/>
      <c r="J132" s="320"/>
      <c r="K132" s="320"/>
      <c r="L132" s="14" t="s">
        <v>133</v>
      </c>
      <c r="M132" s="320"/>
      <c r="N132" s="320"/>
      <c r="O132" s="320"/>
      <c r="P132" s="320"/>
      <c r="Q132" s="320"/>
      <c r="R132" s="320"/>
      <c r="S132" s="320"/>
      <c r="T132" s="328"/>
      <c r="U132" s="324"/>
      <c r="V132" s="343"/>
      <c r="W132" s="330"/>
      <c r="X132" s="326"/>
    </row>
    <row r="133" spans="1:24" ht="3.75" customHeight="1">
      <c r="C133" s="101"/>
      <c r="D133" s="43"/>
      <c r="E133" s="43"/>
      <c r="F133" s="43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61"/>
      <c r="V133" s="44"/>
      <c r="W133" s="44"/>
      <c r="X133" s="44"/>
    </row>
    <row r="134" spans="1:24">
      <c r="A134" s="29">
        <v>83</v>
      </c>
      <c r="B134" s="70" t="s">
        <v>108</v>
      </c>
      <c r="C134" s="76">
        <v>7000</v>
      </c>
      <c r="D134" s="77"/>
      <c r="E134" s="77"/>
      <c r="F134" s="77"/>
      <c r="G134" s="22"/>
      <c r="H134" s="22"/>
      <c r="I134" s="22"/>
      <c r="J134" s="22"/>
      <c r="K134" s="22"/>
      <c r="L134" s="32">
        <v>7155.75</v>
      </c>
      <c r="M134" s="22"/>
      <c r="N134" s="22"/>
      <c r="O134" s="47"/>
      <c r="P134" s="33"/>
      <c r="Q134" s="33"/>
      <c r="R134" s="46">
        <f t="shared" ref="R134:R144" si="9">C134+D134+E134+G134+H134+I134+J134+K134+M134+N134+O134+P134+Q134</f>
        <v>7000</v>
      </c>
      <c r="S134" s="22">
        <f t="shared" ref="S134:S137" si="10">R134/12</f>
        <v>583.33333333333303</v>
      </c>
      <c r="T134" s="22">
        <f>SCPR2020!AD134</f>
        <v>71.833566256395301</v>
      </c>
      <c r="U134" s="97"/>
      <c r="V134" s="93"/>
      <c r="W134" s="53"/>
      <c r="X134" s="93"/>
    </row>
    <row r="135" spans="1:24">
      <c r="A135" s="84">
        <v>84</v>
      </c>
      <c r="B135" s="62" t="s">
        <v>109</v>
      </c>
      <c r="C135" s="76">
        <v>100</v>
      </c>
      <c r="D135" s="77"/>
      <c r="E135" s="77"/>
      <c r="F135" s="77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46">
        <f t="shared" si="9"/>
        <v>100</v>
      </c>
      <c r="S135" s="22">
        <f t="shared" si="10"/>
        <v>8.3333333333333304</v>
      </c>
      <c r="T135" s="22">
        <f>SCPR2020!AD135</f>
        <v>1.02619380366279</v>
      </c>
      <c r="U135" s="97"/>
      <c r="V135" s="93"/>
      <c r="W135" s="98"/>
      <c r="X135" s="93"/>
    </row>
    <row r="136" spans="1:24">
      <c r="A136" s="84">
        <v>85</v>
      </c>
      <c r="B136" s="9" t="s">
        <v>110</v>
      </c>
      <c r="C136" s="76">
        <v>100</v>
      </c>
      <c r="D136" s="77"/>
      <c r="E136" s="77"/>
      <c r="F136" s="77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46">
        <f t="shared" si="9"/>
        <v>100</v>
      </c>
      <c r="S136" s="22">
        <f t="shared" si="10"/>
        <v>8.3333333333333304</v>
      </c>
      <c r="T136" s="22">
        <f>SCPR2020!AD136</f>
        <v>1.02619380366279</v>
      </c>
      <c r="U136" s="97"/>
      <c r="V136" s="93"/>
      <c r="W136" s="98"/>
      <c r="X136" s="93"/>
    </row>
    <row r="137" spans="1:24">
      <c r="A137" s="29">
        <v>86</v>
      </c>
      <c r="B137" s="9" t="s">
        <v>111</v>
      </c>
      <c r="C137" s="76">
        <v>7000</v>
      </c>
      <c r="D137" s="77"/>
      <c r="E137" s="77"/>
      <c r="F137" s="77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46">
        <f t="shared" si="9"/>
        <v>7000</v>
      </c>
      <c r="S137" s="22">
        <f t="shared" si="10"/>
        <v>583.33333333333303</v>
      </c>
      <c r="T137" s="22">
        <f>SCPR2020!AD137</f>
        <v>71.833566256395301</v>
      </c>
      <c r="U137" s="97"/>
      <c r="V137" s="93"/>
      <c r="W137" s="53"/>
      <c r="X137" s="93"/>
    </row>
    <row r="138" spans="1:24">
      <c r="A138" s="29">
        <v>87</v>
      </c>
      <c r="B138" s="9" t="s">
        <v>112</v>
      </c>
      <c r="C138" s="76">
        <f>2200+123.09</f>
        <v>2323.09</v>
      </c>
      <c r="D138" s="81"/>
      <c r="E138" s="81"/>
      <c r="F138" s="81"/>
      <c r="G138" s="22"/>
      <c r="H138" s="22"/>
      <c r="I138" s="22"/>
      <c r="J138" s="22"/>
      <c r="K138" s="32"/>
      <c r="L138" s="32"/>
      <c r="M138" s="22"/>
      <c r="N138" s="22"/>
      <c r="O138" s="22"/>
      <c r="P138" s="22"/>
      <c r="Q138" s="22"/>
      <c r="R138" s="46">
        <f t="shared" si="9"/>
        <v>2323.09</v>
      </c>
      <c r="S138" s="22"/>
      <c r="T138" s="22"/>
      <c r="U138" s="97"/>
      <c r="V138" s="93"/>
      <c r="W138" s="53"/>
      <c r="X138" s="93"/>
    </row>
    <row r="139" spans="1:24">
      <c r="A139" s="29">
        <v>88</v>
      </c>
      <c r="B139" s="9" t="s">
        <v>113</v>
      </c>
      <c r="C139" s="76">
        <f>3621.42+21.86</f>
        <v>3643.28</v>
      </c>
      <c r="D139" s="77"/>
      <c r="E139" s="81"/>
      <c r="F139" s="81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46">
        <f t="shared" si="9"/>
        <v>3643.28</v>
      </c>
      <c r="S139" s="22"/>
      <c r="T139" s="22"/>
      <c r="U139" s="97"/>
      <c r="V139" s="93"/>
      <c r="W139" s="53"/>
      <c r="X139" s="93"/>
    </row>
    <row r="140" spans="1:24">
      <c r="A140" s="29">
        <v>89</v>
      </c>
      <c r="B140" s="9" t="s">
        <v>114</v>
      </c>
      <c r="C140" s="76">
        <f>2766.36+16.7</f>
        <v>2783.06</v>
      </c>
      <c r="D140" s="77"/>
      <c r="E140" s="77"/>
      <c r="F140" s="77"/>
      <c r="G140" s="32"/>
      <c r="H140" s="22"/>
      <c r="I140" s="22"/>
      <c r="J140" s="22"/>
      <c r="K140" s="22"/>
      <c r="L140" s="22"/>
      <c r="M140" s="32"/>
      <c r="N140" s="22"/>
      <c r="O140" s="22"/>
      <c r="P140" s="22"/>
      <c r="Q140" s="22"/>
      <c r="R140" s="46">
        <f t="shared" si="9"/>
        <v>2783.06</v>
      </c>
      <c r="S140" s="22"/>
      <c r="T140" s="22"/>
      <c r="U140" s="97"/>
      <c r="V140" s="93"/>
      <c r="W140" s="53"/>
      <c r="X140" s="93"/>
    </row>
    <row r="141" spans="1:24">
      <c r="A141" s="29">
        <v>90</v>
      </c>
      <c r="B141" s="9" t="s">
        <v>115</v>
      </c>
      <c r="C141" s="76">
        <v>1600</v>
      </c>
      <c r="D141" s="77"/>
      <c r="E141" s="77"/>
      <c r="F141" s="77"/>
      <c r="G141" s="22"/>
      <c r="H141" s="22"/>
      <c r="I141" s="22"/>
      <c r="J141" s="22"/>
      <c r="K141" s="32"/>
      <c r="L141" s="32"/>
      <c r="M141" s="22"/>
      <c r="N141" s="32"/>
      <c r="O141" s="32"/>
      <c r="P141" s="22"/>
      <c r="Q141" s="22"/>
      <c r="R141" s="46">
        <f t="shared" si="9"/>
        <v>1600</v>
      </c>
      <c r="S141" s="22"/>
      <c r="T141" s="22"/>
      <c r="U141" s="97"/>
      <c r="V141" s="93"/>
      <c r="W141" s="53"/>
      <c r="X141" s="93"/>
    </row>
    <row r="142" spans="1:24">
      <c r="A142" s="29">
        <v>91</v>
      </c>
      <c r="B142" s="9" t="s">
        <v>116</v>
      </c>
      <c r="C142" s="76">
        <v>100</v>
      </c>
      <c r="D142" s="77"/>
      <c r="E142" s="77"/>
      <c r="F142" s="77"/>
      <c r="G142" s="22"/>
      <c r="H142" s="22"/>
      <c r="I142" s="22"/>
      <c r="J142" s="22"/>
      <c r="K142" s="22"/>
      <c r="L142" s="22"/>
      <c r="M142" s="32"/>
      <c r="N142" s="22"/>
      <c r="O142" s="22"/>
      <c r="P142" s="22"/>
      <c r="Q142" s="22"/>
      <c r="R142" s="46">
        <f t="shared" si="9"/>
        <v>100</v>
      </c>
      <c r="S142" s="22"/>
      <c r="T142" s="22"/>
      <c r="U142" s="97"/>
      <c r="V142" s="93"/>
      <c r="W142" s="53"/>
      <c r="X142" s="93"/>
    </row>
    <row r="143" spans="1:24">
      <c r="A143" s="29">
        <v>92</v>
      </c>
      <c r="B143" s="9" t="s">
        <v>117</v>
      </c>
      <c r="C143" s="76">
        <v>100</v>
      </c>
      <c r="D143" s="77"/>
      <c r="E143" s="77"/>
      <c r="F143" s="77"/>
      <c r="G143" s="22"/>
      <c r="H143" s="22"/>
      <c r="I143" s="22"/>
      <c r="J143" s="22">
        <v>1000</v>
      </c>
      <c r="K143" s="22"/>
      <c r="L143" s="22"/>
      <c r="M143" s="32"/>
      <c r="N143" s="22"/>
      <c r="O143" s="22"/>
      <c r="P143" s="22"/>
      <c r="Q143" s="22"/>
      <c r="R143" s="46">
        <f t="shared" si="9"/>
        <v>1100</v>
      </c>
      <c r="S143" s="22"/>
      <c r="T143" s="22"/>
      <c r="U143" s="97"/>
      <c r="V143" s="93"/>
      <c r="W143" s="53"/>
      <c r="X143" s="93"/>
    </row>
    <row r="144" spans="1:24">
      <c r="A144" s="29">
        <v>93</v>
      </c>
      <c r="B144" s="9" t="s">
        <v>118</v>
      </c>
      <c r="C144" s="76">
        <v>100</v>
      </c>
      <c r="D144" s="77"/>
      <c r="E144" s="77"/>
      <c r="F144" s="77"/>
      <c r="G144" s="22"/>
      <c r="H144" s="22"/>
      <c r="I144" s="22"/>
      <c r="J144" s="22"/>
      <c r="K144" s="22"/>
      <c r="L144" s="22"/>
      <c r="M144" s="22"/>
      <c r="N144" s="22"/>
      <c r="O144" s="22"/>
      <c r="P144" s="32"/>
      <c r="Q144" s="22"/>
      <c r="R144" s="46">
        <f t="shared" si="9"/>
        <v>100</v>
      </c>
      <c r="S144" s="22"/>
      <c r="T144" s="22"/>
      <c r="U144" s="97"/>
      <c r="V144" s="93"/>
      <c r="W144" s="53"/>
      <c r="X144" s="93"/>
    </row>
    <row r="145" spans="1:30">
      <c r="A145" s="29">
        <v>94</v>
      </c>
      <c r="B145" s="9" t="s">
        <v>135</v>
      </c>
      <c r="C145" s="76">
        <v>100</v>
      </c>
      <c r="D145" s="77"/>
      <c r="E145" s="77"/>
      <c r="F145" s="77"/>
      <c r="G145" s="164">
        <v>2100</v>
      </c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46"/>
      <c r="S145" s="22"/>
      <c r="T145" s="22"/>
      <c r="U145" s="97"/>
      <c r="V145" s="93"/>
      <c r="W145" s="53"/>
      <c r="X145" s="93"/>
    </row>
    <row r="146" spans="1:30">
      <c r="A146" s="29">
        <v>95</v>
      </c>
      <c r="B146" s="9"/>
      <c r="C146" s="76"/>
      <c r="D146" s="77"/>
      <c r="E146" s="77"/>
      <c r="F146" s="77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46"/>
      <c r="S146" s="22"/>
      <c r="T146" s="22"/>
      <c r="U146" s="97"/>
      <c r="V146" s="93"/>
      <c r="W146" s="53"/>
      <c r="X146" s="93"/>
    </row>
    <row r="147" spans="1:30" ht="11.55" customHeight="1">
      <c r="A147" s="85"/>
      <c r="B147" s="3" t="s">
        <v>136</v>
      </c>
      <c r="C147" s="87"/>
      <c r="D147" s="88"/>
      <c r="E147" s="88"/>
      <c r="F147" s="88"/>
      <c r="G147" s="38">
        <v>250</v>
      </c>
      <c r="H147" s="38"/>
      <c r="I147" s="38"/>
      <c r="J147" s="38"/>
      <c r="K147" s="38"/>
      <c r="L147" s="38"/>
      <c r="M147" s="38"/>
      <c r="N147" s="38"/>
      <c r="O147" s="38"/>
      <c r="P147" s="89"/>
      <c r="Q147" s="38"/>
      <c r="R147" s="89"/>
      <c r="S147" s="89"/>
      <c r="T147" s="89"/>
      <c r="U147" s="100"/>
      <c r="V147" s="89"/>
      <c r="W147" s="89"/>
      <c r="X147" s="89"/>
    </row>
    <row r="148" spans="1:30" ht="11.55" customHeight="1">
      <c r="A148" s="85"/>
      <c r="B148" s="210" t="s">
        <v>137</v>
      </c>
      <c r="C148" s="104"/>
      <c r="D148" s="88"/>
      <c r="E148" s="88"/>
      <c r="F148" s="88"/>
      <c r="G148" s="38"/>
      <c r="H148" s="211">
        <v>2250</v>
      </c>
      <c r="I148" s="38"/>
      <c r="J148" s="38"/>
      <c r="K148" s="38"/>
      <c r="L148" s="38"/>
      <c r="M148" s="38"/>
      <c r="N148" s="38"/>
      <c r="O148" s="38"/>
      <c r="P148" s="89"/>
      <c r="Q148" s="38"/>
      <c r="R148" s="89"/>
      <c r="S148" s="89"/>
      <c r="T148" s="89"/>
      <c r="U148" s="100"/>
      <c r="V148" s="89"/>
      <c r="W148" s="89"/>
      <c r="X148" s="89"/>
    </row>
    <row r="149" spans="1:30">
      <c r="A149" s="85"/>
      <c r="B149" s="212" t="s">
        <v>138</v>
      </c>
      <c r="C149" s="104"/>
      <c r="D149" s="105"/>
      <c r="E149" s="105"/>
      <c r="F149" s="105"/>
      <c r="G149" s="106"/>
      <c r="H149" s="213">
        <v>200</v>
      </c>
      <c r="I149" s="105"/>
      <c r="J149" s="106"/>
      <c r="K149" s="106"/>
      <c r="L149" s="106"/>
      <c r="M149" s="106">
        <v>100</v>
      </c>
      <c r="N149" s="106"/>
      <c r="O149" s="106"/>
      <c r="P149" s="106"/>
      <c r="Q149" s="106"/>
      <c r="R149" s="108"/>
      <c r="S149" s="114"/>
      <c r="T149" s="105"/>
      <c r="U149" s="115"/>
      <c r="V149" s="105"/>
      <c r="W149" s="116"/>
      <c r="X149" s="88"/>
    </row>
    <row r="150" spans="1:30">
      <c r="A150" s="85"/>
      <c r="B150" s="210" t="s">
        <v>139</v>
      </c>
      <c r="C150" s="104"/>
      <c r="D150" s="105"/>
      <c r="E150" s="105"/>
      <c r="F150" s="105"/>
      <c r="G150" s="106"/>
      <c r="H150" s="213">
        <v>200</v>
      </c>
      <c r="I150" s="105"/>
      <c r="J150" s="106"/>
      <c r="K150" s="106"/>
      <c r="L150" s="106"/>
      <c r="M150" s="106">
        <v>100</v>
      </c>
      <c r="N150" s="106"/>
      <c r="O150" s="106"/>
      <c r="P150" s="106"/>
      <c r="Q150" s="106"/>
      <c r="R150" s="108"/>
      <c r="S150" s="114"/>
      <c r="T150" s="105"/>
      <c r="U150" s="115"/>
      <c r="V150" s="105"/>
      <c r="W150" s="116"/>
      <c r="X150" s="88"/>
    </row>
    <row r="151" spans="1:30">
      <c r="A151" s="85"/>
      <c r="B151" s="210"/>
      <c r="C151" s="104"/>
      <c r="D151" s="105"/>
      <c r="E151" s="105"/>
      <c r="F151" s="105"/>
      <c r="G151" s="106"/>
      <c r="H151" s="106"/>
      <c r="I151" s="105"/>
      <c r="J151" s="106"/>
      <c r="K151" s="106"/>
      <c r="L151" s="106"/>
      <c r="M151" s="106"/>
      <c r="N151" s="106"/>
      <c r="O151" s="106"/>
      <c r="P151" s="106"/>
      <c r="Q151" s="106"/>
      <c r="R151" s="108"/>
      <c r="S151" s="114"/>
      <c r="T151" s="105"/>
      <c r="U151" s="115"/>
      <c r="V151" s="105"/>
      <c r="W151" s="116"/>
      <c r="X151" s="88"/>
    </row>
    <row r="152" spans="1:30">
      <c r="A152" s="85"/>
      <c r="B152" s="214"/>
      <c r="C152" s="104"/>
      <c r="D152" s="105"/>
      <c r="E152" s="105"/>
      <c r="F152" s="105"/>
      <c r="G152" s="106"/>
      <c r="H152" s="106"/>
      <c r="I152" s="105"/>
      <c r="J152" s="106"/>
      <c r="K152" s="106"/>
      <c r="L152" s="106"/>
      <c r="M152" s="106"/>
      <c r="N152" s="106"/>
      <c r="O152" s="106"/>
      <c r="P152" s="106"/>
      <c r="Q152" s="106"/>
      <c r="R152" s="108"/>
      <c r="S152" s="114"/>
      <c r="T152" s="105"/>
      <c r="U152" s="115"/>
      <c r="V152" s="105"/>
      <c r="W152" s="116"/>
      <c r="X152" s="88"/>
    </row>
    <row r="153" spans="1:30">
      <c r="A153" s="85"/>
      <c r="B153" s="214"/>
      <c r="C153" s="104"/>
      <c r="D153" s="105"/>
      <c r="E153" s="105"/>
      <c r="F153" s="105"/>
      <c r="G153" s="106"/>
      <c r="H153" s="106"/>
      <c r="I153" s="105"/>
      <c r="J153" s="106"/>
      <c r="K153" s="106"/>
      <c r="L153" s="106"/>
      <c r="M153" s="106"/>
      <c r="N153" s="106"/>
      <c r="O153" s="106"/>
      <c r="P153" s="106"/>
      <c r="Q153" s="106"/>
      <c r="R153" s="108"/>
      <c r="S153" s="114"/>
      <c r="T153" s="105"/>
      <c r="U153" s="115"/>
      <c r="V153" s="105"/>
      <c r="W153" s="116"/>
      <c r="X153" s="88"/>
    </row>
    <row r="154" spans="1:30">
      <c r="A154" s="85"/>
      <c r="B154" s="103" t="s">
        <v>120</v>
      </c>
      <c r="C154" s="104">
        <f>SUM(C11:C147)</f>
        <v>203031.64</v>
      </c>
      <c r="D154" s="105">
        <f>SUM(D11:D147)</f>
        <v>0</v>
      </c>
      <c r="E154" s="105">
        <f>SUM(E11:E147)</f>
        <v>60</v>
      </c>
      <c r="F154" s="105"/>
      <c r="G154" s="106">
        <f t="shared" ref="G154:K154" si="11">SUM(G11:G147)</f>
        <v>2350</v>
      </c>
      <c r="H154" s="106">
        <f t="shared" si="11"/>
        <v>0</v>
      </c>
      <c r="I154" s="105">
        <f t="shared" si="11"/>
        <v>0</v>
      </c>
      <c r="J154" s="106">
        <f t="shared" si="11"/>
        <v>2000</v>
      </c>
      <c r="K154" s="106">
        <f t="shared" si="11"/>
        <v>1500</v>
      </c>
      <c r="L154" s="106"/>
      <c r="M154" s="106">
        <f>SUM(M11:M147)</f>
        <v>0</v>
      </c>
      <c r="N154" s="106">
        <f>SUM(N11:N147)</f>
        <v>200</v>
      </c>
      <c r="O154" s="106">
        <f>SUM(O11:O147)</f>
        <v>1500</v>
      </c>
      <c r="P154" s="106">
        <f>SUM(P11:P147)</f>
        <v>0</v>
      </c>
      <c r="Q154" s="106"/>
      <c r="R154" s="108">
        <f>R40+R80+R121+R134+R135+R136+R137+R138+R139+R140+R141+R142+R143+R144</f>
        <v>208191.64</v>
      </c>
      <c r="S154" s="114">
        <f t="shared" ref="S154:W154" si="12">SUM(S11:S147)</f>
        <v>16120.184166666701</v>
      </c>
      <c r="T154" s="105">
        <f t="shared" si="12"/>
        <v>1189.59618231072</v>
      </c>
      <c r="U154" s="115">
        <f t="shared" si="12"/>
        <v>0</v>
      </c>
      <c r="V154" s="105">
        <f t="shared" si="12"/>
        <v>0</v>
      </c>
      <c r="W154" s="116">
        <f t="shared" si="12"/>
        <v>0</v>
      </c>
      <c r="X154" s="88"/>
    </row>
    <row r="155" spans="1:30" ht="6.75" customHeight="1"/>
    <row r="156" spans="1:30">
      <c r="AD156" s="50"/>
    </row>
    <row r="157" spans="1:30" ht="12.75" customHeight="1">
      <c r="G157" s="313"/>
      <c r="H157" s="313"/>
      <c r="I157" s="313"/>
      <c r="J157" s="313"/>
      <c r="K157" s="109"/>
      <c r="L157" s="109"/>
      <c r="M157" s="110"/>
    </row>
    <row r="158" spans="1:30" ht="12.75" customHeight="1">
      <c r="K158" s="4"/>
      <c r="L158" s="4"/>
      <c r="M158" s="4"/>
      <c r="N158" s="4"/>
      <c r="O158" s="4"/>
      <c r="R158" s="109"/>
      <c r="U158" s="110"/>
    </row>
    <row r="159" spans="1:30" ht="12.75" customHeight="1">
      <c r="K159" s="4"/>
      <c r="L159" s="4"/>
      <c r="M159" s="4"/>
      <c r="N159" s="4"/>
      <c r="O159" s="4"/>
      <c r="R159" s="109"/>
      <c r="U159" s="110"/>
    </row>
    <row r="160" spans="1:30">
      <c r="K160" s="4"/>
      <c r="L160" s="4"/>
      <c r="M160" s="4"/>
      <c r="N160" s="4"/>
      <c r="O160" s="4"/>
      <c r="R160" s="67"/>
      <c r="U160" s="117"/>
    </row>
    <row r="161" spans="1:23" ht="12" customHeight="1">
      <c r="A161" t="s">
        <v>121</v>
      </c>
      <c r="E161" s="3" t="s">
        <v>122</v>
      </c>
      <c r="M161" t="s">
        <v>123</v>
      </c>
      <c r="R161" t="s">
        <v>124</v>
      </c>
      <c r="U161"/>
    </row>
    <row r="162" spans="1:23">
      <c r="U162"/>
    </row>
    <row r="163" spans="1:23">
      <c r="U163"/>
    </row>
    <row r="164" spans="1:23" ht="12" customHeight="1">
      <c r="B164" s="107" t="s">
        <v>125</v>
      </c>
      <c r="G164" s="107" t="s">
        <v>126</v>
      </c>
      <c r="N164" s="308" t="s">
        <v>127</v>
      </c>
      <c r="O164" s="308"/>
      <c r="P164" s="308"/>
      <c r="S164" s="308" t="s">
        <v>128</v>
      </c>
      <c r="T164" s="308"/>
      <c r="U164" s="308"/>
    </row>
    <row r="165" spans="1:23" ht="12" customHeight="1">
      <c r="G165" s="311" t="s">
        <v>129</v>
      </c>
      <c r="H165" s="311"/>
      <c r="I165" s="311"/>
      <c r="N165" s="313" t="s">
        <v>130</v>
      </c>
      <c r="O165" s="313"/>
      <c r="P165" s="313"/>
      <c r="S165" s="313" t="s">
        <v>131</v>
      </c>
      <c r="T165" s="313"/>
      <c r="U165" s="313"/>
    </row>
    <row r="175" spans="1:23">
      <c r="W175" s="60" t="s">
        <v>132</v>
      </c>
    </row>
    <row r="176" spans="1:23">
      <c r="W176" s="60"/>
    </row>
    <row r="177" spans="14:21">
      <c r="P177" s="314"/>
      <c r="Q177" s="314"/>
      <c r="U177" s="110"/>
    </row>
    <row r="178" spans="14:21">
      <c r="N178" s="112"/>
      <c r="P178" s="314"/>
      <c r="Q178" s="314"/>
      <c r="U178" s="110"/>
    </row>
    <row r="179" spans="14:21">
      <c r="P179" s="331"/>
      <c r="Q179" s="331"/>
      <c r="U179" s="110"/>
    </row>
  </sheetData>
  <mergeCells count="113">
    <mergeCell ref="X131:X132"/>
    <mergeCell ref="A9:B10"/>
    <mergeCell ref="A49:B50"/>
    <mergeCell ref="A90:B91"/>
    <mergeCell ref="A131:B132"/>
    <mergeCell ref="U49:U50"/>
    <mergeCell ref="U90:U91"/>
    <mergeCell ref="U131:U132"/>
    <mergeCell ref="V9:V10"/>
    <mergeCell ref="V49:V50"/>
    <mergeCell ref="V90:V91"/>
    <mergeCell ref="V131:V132"/>
    <mergeCell ref="W9:W10"/>
    <mergeCell ref="W49:W50"/>
    <mergeCell ref="W90:W91"/>
    <mergeCell ref="W131:W132"/>
    <mergeCell ref="R49:R50"/>
    <mergeCell ref="R90:R91"/>
    <mergeCell ref="R131:R132"/>
    <mergeCell ref="S9:S10"/>
    <mergeCell ref="A47:X47"/>
    <mergeCell ref="A83:X83"/>
    <mergeCell ref="A84:X84"/>
    <mergeCell ref="A85:X85"/>
    <mergeCell ref="P178:Q178"/>
    <mergeCell ref="P179:Q179"/>
    <mergeCell ref="C9:C10"/>
    <mergeCell ref="C49:C50"/>
    <mergeCell ref="C90:C91"/>
    <mergeCell ref="C131:C132"/>
    <mergeCell ref="D9:D10"/>
    <mergeCell ref="D49:D50"/>
    <mergeCell ref="D90:D91"/>
    <mergeCell ref="D131:D132"/>
    <mergeCell ref="E9:E10"/>
    <mergeCell ref="E49:E50"/>
    <mergeCell ref="E90:E91"/>
    <mergeCell ref="E131:E132"/>
    <mergeCell ref="G9:G10"/>
    <mergeCell ref="G49:G50"/>
    <mergeCell ref="G90:G91"/>
    <mergeCell ref="G131:G132"/>
    <mergeCell ref="H9:H10"/>
    <mergeCell ref="H49:H50"/>
    <mergeCell ref="O90:O91"/>
    <mergeCell ref="P49:P50"/>
    <mergeCell ref="A128:X128"/>
    <mergeCell ref="A129:X129"/>
    <mergeCell ref="X49:X50"/>
    <mergeCell ref="X90:X91"/>
    <mergeCell ref="A125:X125"/>
    <mergeCell ref="A126:X126"/>
    <mergeCell ref="I90:I91"/>
    <mergeCell ref="J49:J50"/>
    <mergeCell ref="J90:J91"/>
    <mergeCell ref="K49:K50"/>
    <mergeCell ref="K90:K91"/>
    <mergeCell ref="M49:M50"/>
    <mergeCell ref="M90:M91"/>
    <mergeCell ref="T49:T50"/>
    <mergeCell ref="T90:T91"/>
    <mergeCell ref="N49:N50"/>
    <mergeCell ref="N90:N91"/>
    <mergeCell ref="O49:O50"/>
    <mergeCell ref="P90:P91"/>
    <mergeCell ref="Q49:Q50"/>
    <mergeCell ref="Q90:Q91"/>
    <mergeCell ref="H90:H91"/>
    <mergeCell ref="I49:I50"/>
    <mergeCell ref="A87:X87"/>
    <mergeCell ref="A88:X88"/>
    <mergeCell ref="G165:I165"/>
    <mergeCell ref="N165:P165"/>
    <mergeCell ref="S165:U165"/>
    <mergeCell ref="P177:Q177"/>
    <mergeCell ref="I131:I132"/>
    <mergeCell ref="J131:J132"/>
    <mergeCell ref="K131:K132"/>
    <mergeCell ref="M131:M132"/>
    <mergeCell ref="N131:N132"/>
    <mergeCell ref="O131:O132"/>
    <mergeCell ref="P131:P132"/>
    <mergeCell ref="Q131:Q132"/>
    <mergeCell ref="S131:S132"/>
    <mergeCell ref="H131:H132"/>
    <mergeCell ref="T131:T132"/>
    <mergeCell ref="G157:J157"/>
    <mergeCell ref="N164:P164"/>
    <mergeCell ref="S164:U164"/>
    <mergeCell ref="A124:X124"/>
    <mergeCell ref="S49:S50"/>
    <mergeCell ref="A2:X2"/>
    <mergeCell ref="A3:X3"/>
    <mergeCell ref="A4:X4"/>
    <mergeCell ref="A6:X6"/>
    <mergeCell ref="A7:X7"/>
    <mergeCell ref="A42:X42"/>
    <mergeCell ref="A43:X43"/>
    <mergeCell ref="A44:X44"/>
    <mergeCell ref="A46:X46"/>
    <mergeCell ref="J9:J10"/>
    <mergeCell ref="K9:K10"/>
    <mergeCell ref="M9:M10"/>
    <mergeCell ref="N9:N10"/>
    <mergeCell ref="O9:O10"/>
    <mergeCell ref="P9:P10"/>
    <mergeCell ref="Q9:Q10"/>
    <mergeCell ref="I9:I10"/>
    <mergeCell ref="R9:R10"/>
    <mergeCell ref="U9:U10"/>
    <mergeCell ref="X9:X10"/>
    <mergeCell ref="T9:T10"/>
    <mergeCell ref="S90:S91"/>
  </mergeCells>
  <pageMargins left="1.18055555555556" right="0.25" top="0.25" bottom="0.25" header="0.3" footer="0.3"/>
  <pageSetup paperSize="5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F180"/>
  <sheetViews>
    <sheetView tabSelected="1" topLeftCell="A86" zoomScale="110" zoomScaleNormal="110" workbookViewId="0">
      <selection activeCell="V160" sqref="V160"/>
    </sheetView>
  </sheetViews>
  <sheetFormatPr defaultColWidth="9" defaultRowHeight="14.4"/>
  <cols>
    <col min="1" max="1" width="10.44140625" customWidth="1"/>
    <col min="2" max="2" width="2.77734375" style="3" customWidth="1"/>
    <col min="3" max="3" width="17.109375" customWidth="1"/>
    <col min="4" max="4" width="8.77734375" customWidth="1"/>
    <col min="5" max="5" width="8.44140625" style="4" customWidth="1"/>
    <col min="6" max="6" width="6.77734375" style="3" customWidth="1"/>
    <col min="7" max="7" width="6.21875" style="3" customWidth="1"/>
    <col min="8" max="8" width="5.6640625" customWidth="1"/>
    <col min="9" max="9" width="5.109375" customWidth="1"/>
    <col min="10" max="10" width="6.21875" customWidth="1"/>
    <col min="11" max="11" width="5.44140625" customWidth="1"/>
    <col min="12" max="12" width="5.33203125" customWidth="1"/>
    <col min="13" max="13" width="5.77734375" customWidth="1"/>
    <col min="14" max="14" width="6" customWidth="1"/>
    <col min="15" max="15" width="5.88671875" customWidth="1"/>
    <col min="16" max="16" width="7.21875" customWidth="1"/>
    <col min="17" max="17" width="6.44140625" customWidth="1"/>
    <col min="18" max="18" width="8.44140625" customWidth="1"/>
    <col min="19" max="19" width="7.77734375" customWidth="1"/>
    <col min="20" max="20" width="7.21875" customWidth="1"/>
    <col min="21" max="21" width="7.77734375" style="5" customWidth="1"/>
    <col min="22" max="22" width="7.21875" customWidth="1"/>
    <col min="23" max="23" width="7.44140625" customWidth="1"/>
    <col min="24" max="24" width="7.21875" customWidth="1"/>
    <col min="27" max="28" width="9" style="6"/>
  </cols>
  <sheetData>
    <row r="2" spans="2:32">
      <c r="B2" s="308" t="s">
        <v>0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</row>
    <row r="3" spans="2:32">
      <c r="B3" s="315" t="s">
        <v>1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</row>
    <row r="4" spans="2:32">
      <c r="B4" s="313" t="s">
        <v>2</v>
      </c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</row>
    <row r="5" spans="2:32">
      <c r="C5" s="9"/>
      <c r="D5" s="9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51"/>
      <c r="V5" s="9"/>
      <c r="W5" s="9"/>
      <c r="X5" s="9"/>
      <c r="Y5" s="9"/>
      <c r="Z5" s="9"/>
      <c r="AA5" s="62"/>
      <c r="AB5" s="62"/>
      <c r="AC5" s="9"/>
      <c r="AD5" s="9"/>
      <c r="AE5" s="9"/>
      <c r="AF5" s="9"/>
    </row>
    <row r="6" spans="2:32" ht="18">
      <c r="B6" s="316" t="s">
        <v>3</v>
      </c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</row>
    <row r="7" spans="2:32" ht="12.75" customHeight="1">
      <c r="B7" s="313" t="s">
        <v>224</v>
      </c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</row>
    <row r="8" spans="2:32" ht="7.5" customHeight="1">
      <c r="B8" s="10"/>
      <c r="C8" s="4"/>
      <c r="D8" s="4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2:32" s="1" customFormat="1" ht="16.5" customHeight="1">
      <c r="B9" s="336" t="s">
        <v>5</v>
      </c>
      <c r="C9" s="337"/>
      <c r="D9" s="332" t="s">
        <v>230</v>
      </c>
      <c r="E9" s="332" t="s">
        <v>225</v>
      </c>
      <c r="F9" s="344" t="s">
        <v>7</v>
      </c>
      <c r="G9" s="344" t="s">
        <v>8</v>
      </c>
      <c r="H9" s="344" t="s">
        <v>9</v>
      </c>
      <c r="I9" s="344" t="s">
        <v>10</v>
      </c>
      <c r="J9" s="344" t="s">
        <v>11</v>
      </c>
      <c r="K9" s="344" t="s">
        <v>12</v>
      </c>
      <c r="L9" s="344" t="s">
        <v>13</v>
      </c>
      <c r="M9" s="344" t="s">
        <v>14</v>
      </c>
      <c r="N9" s="344" t="s">
        <v>231</v>
      </c>
      <c r="O9" s="344" t="s">
        <v>16</v>
      </c>
      <c r="P9" s="344" t="s">
        <v>17</v>
      </c>
      <c r="Q9" s="344" t="s">
        <v>18</v>
      </c>
      <c r="R9" s="319" t="s">
        <v>19</v>
      </c>
      <c r="S9" s="319" t="s">
        <v>20</v>
      </c>
      <c r="T9" s="327" t="s">
        <v>21</v>
      </c>
      <c r="U9" s="323" t="s">
        <v>22</v>
      </c>
      <c r="V9" s="349" t="s">
        <v>23</v>
      </c>
      <c r="W9" s="329" t="s">
        <v>24</v>
      </c>
      <c r="X9" s="325" t="s">
        <v>25</v>
      </c>
      <c r="AA9" s="63"/>
      <c r="AB9" s="64"/>
    </row>
    <row r="10" spans="2:32" s="1" customFormat="1" ht="18" customHeight="1">
      <c r="B10" s="338"/>
      <c r="C10" s="339"/>
      <c r="D10" s="333"/>
      <c r="E10" s="333"/>
      <c r="F10" s="345"/>
      <c r="G10" s="345"/>
      <c r="H10" s="345"/>
      <c r="I10" s="345"/>
      <c r="J10" s="345"/>
      <c r="K10" s="345"/>
      <c r="L10" s="345"/>
      <c r="M10" s="345"/>
      <c r="N10" s="345"/>
      <c r="O10" s="345"/>
      <c r="P10" s="345"/>
      <c r="Q10" s="345"/>
      <c r="R10" s="320"/>
      <c r="S10" s="320"/>
      <c r="T10" s="328"/>
      <c r="U10" s="324"/>
      <c r="V10" s="350"/>
      <c r="W10" s="330"/>
      <c r="X10" s="326"/>
      <c r="AA10" s="63"/>
      <c r="AB10" s="64"/>
    </row>
    <row r="11" spans="2:32" s="1" customFormat="1" ht="4.2" customHeight="1">
      <c r="B11" s="292"/>
      <c r="C11" s="177"/>
      <c r="D11" s="293"/>
      <c r="E11" s="294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6"/>
      <c r="S11" s="296"/>
      <c r="T11" s="296"/>
      <c r="U11" s="299"/>
      <c r="V11" s="300"/>
      <c r="W11" s="297"/>
      <c r="X11" s="298"/>
      <c r="AA11" s="63"/>
      <c r="AB11" s="64"/>
    </row>
    <row r="12" spans="2:32">
      <c r="B12" s="245">
        <v>1</v>
      </c>
      <c r="C12" s="301" t="s">
        <v>26</v>
      </c>
      <c r="D12" s="302" t="str">
        <f>'[2]2025'!$D$5</f>
        <v>AN-16-0001</v>
      </c>
      <c r="E12" s="257">
        <f>2163.78+16.47+2.4</f>
        <v>2182.65</v>
      </c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9">
        <f t="shared" ref="R12:R39" si="0">E12+F12+G12+H12+I12+J12+K12+L12+M12+N12+O12+P12+Q12</f>
        <v>2182.65</v>
      </c>
      <c r="S12" s="258">
        <f>R12/12</f>
        <v>181.88750000000002</v>
      </c>
      <c r="T12" s="258"/>
      <c r="U12" s="260"/>
      <c r="V12" s="258"/>
      <c r="W12" s="303">
        <f>T12+V12</f>
        <v>0</v>
      </c>
      <c r="X12" s="304"/>
      <c r="AB12" s="261"/>
    </row>
    <row r="13" spans="2:32">
      <c r="B13" s="19">
        <v>2</v>
      </c>
      <c r="C13" s="246" t="s">
        <v>27</v>
      </c>
      <c r="D13" s="226" t="str">
        <f>'[2]2025'!$D$6</f>
        <v>AN-16-0002</v>
      </c>
      <c r="E13" s="21">
        <v>1300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52">
        <f t="shared" si="0"/>
        <v>1300</v>
      </c>
      <c r="S13" s="22">
        <f t="shared" ref="S13:S39" si="1">R13/12</f>
        <v>108.33333333333333</v>
      </c>
      <c r="T13" s="22"/>
      <c r="U13" s="52"/>
      <c r="V13" s="22"/>
      <c r="W13" s="53">
        <f>T13+V13</f>
        <v>0</v>
      </c>
      <c r="X13" s="22"/>
    </row>
    <row r="14" spans="2:32" s="2" customFormat="1">
      <c r="B14" s="23">
        <v>3</v>
      </c>
      <c r="C14" s="248" t="s">
        <v>28</v>
      </c>
      <c r="D14" s="226" t="str">
        <f>'[2]2025'!$D$7</f>
        <v>AN-16-0003</v>
      </c>
      <c r="E14" s="21">
        <f>2247.74+17.11+2.49</f>
        <v>2267.3399999999997</v>
      </c>
      <c r="F14" s="25"/>
      <c r="G14" s="25"/>
      <c r="H14" s="26"/>
      <c r="I14" s="25"/>
      <c r="J14" s="25"/>
      <c r="K14" s="25"/>
      <c r="L14" s="25"/>
      <c r="M14" s="25"/>
      <c r="N14" s="25"/>
      <c r="O14" s="25"/>
      <c r="P14" s="25"/>
      <c r="Q14" s="25"/>
      <c r="R14" s="252">
        <f t="shared" si="0"/>
        <v>2267.3399999999997</v>
      </c>
      <c r="S14" s="22">
        <f t="shared" si="1"/>
        <v>188.94499999999996</v>
      </c>
      <c r="T14" s="22"/>
      <c r="U14" s="52"/>
      <c r="V14" s="22"/>
      <c r="W14" s="53">
        <f t="shared" ref="W14:W39" si="2">T14+V14</f>
        <v>0</v>
      </c>
      <c r="X14" s="26"/>
      <c r="Z14" s="54"/>
      <c r="AA14" s="66"/>
      <c r="AB14" s="65"/>
    </row>
    <row r="15" spans="2:32">
      <c r="B15" s="19">
        <v>4</v>
      </c>
      <c r="C15" s="247" t="s">
        <v>29</v>
      </c>
      <c r="D15" s="230" t="str">
        <f>'[2]2025'!$D$8</f>
        <v>AN-16-0004</v>
      </c>
      <c r="E15" s="28">
        <v>750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52">
        <f t="shared" si="0"/>
        <v>750</v>
      </c>
      <c r="S15" s="22">
        <f t="shared" si="1"/>
        <v>62.5</v>
      </c>
      <c r="T15" s="22"/>
      <c r="U15" s="52"/>
      <c r="V15" s="22"/>
      <c r="W15" s="53">
        <f t="shared" si="2"/>
        <v>0</v>
      </c>
      <c r="X15" s="22"/>
    </row>
    <row r="16" spans="2:32">
      <c r="B16" s="235">
        <v>5</v>
      </c>
      <c r="C16" s="27" t="s">
        <v>30</v>
      </c>
      <c r="D16" s="230" t="str">
        <f>'[2]2025'!$D$9</f>
        <v>AN-16-0005</v>
      </c>
      <c r="E16" s="21">
        <f>7.75+7053.28</f>
        <v>7061.03</v>
      </c>
      <c r="F16" s="22"/>
      <c r="G16" s="22"/>
      <c r="H16" s="22"/>
      <c r="I16" s="22"/>
      <c r="J16" s="22"/>
      <c r="K16" s="22"/>
      <c r="L16" s="47"/>
      <c r="M16" s="22"/>
      <c r="N16" s="33"/>
      <c r="O16" s="22"/>
      <c r="P16" s="32"/>
      <c r="Q16" s="22"/>
      <c r="R16" s="252">
        <f t="shared" si="0"/>
        <v>7061.03</v>
      </c>
      <c r="S16" s="22">
        <f t="shared" si="1"/>
        <v>588.41916666666668</v>
      </c>
      <c r="T16" s="22"/>
      <c r="U16" s="52"/>
      <c r="V16" s="22"/>
      <c r="W16" s="53">
        <f t="shared" si="2"/>
        <v>0</v>
      </c>
      <c r="X16" s="45"/>
      <c r="AB16" s="65"/>
    </row>
    <row r="17" spans="2:28" s="2" customFormat="1">
      <c r="B17" s="19">
        <v>6</v>
      </c>
      <c r="C17" s="20" t="s">
        <v>31</v>
      </c>
      <c r="D17" s="230" t="str">
        <f>'[2]2025'!$D$10</f>
        <v>AN-16-0006</v>
      </c>
      <c r="E17" s="28">
        <v>150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2">
        <f t="shared" si="0"/>
        <v>150</v>
      </c>
      <c r="S17" s="22">
        <f t="shared" si="1"/>
        <v>12.5</v>
      </c>
      <c r="T17" s="22"/>
      <c r="U17" s="52"/>
      <c r="V17" s="22"/>
      <c r="W17" s="53">
        <f t="shared" si="2"/>
        <v>0</v>
      </c>
      <c r="X17" s="25"/>
      <c r="AA17" s="62"/>
      <c r="AB17" s="62"/>
    </row>
    <row r="18" spans="2:28">
      <c r="B18" s="29">
        <v>7</v>
      </c>
      <c r="C18" s="246" t="s">
        <v>32</v>
      </c>
      <c r="D18" s="230" t="str">
        <f>'[2]2025'!$D$11</f>
        <v>AN-16-0007</v>
      </c>
      <c r="E18" s="21">
        <f>7455.7+45.01</f>
        <v>7500.71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52">
        <f t="shared" si="0"/>
        <v>7500.71</v>
      </c>
      <c r="S18" s="22">
        <f t="shared" si="1"/>
        <v>625.05916666666667</v>
      </c>
      <c r="T18" s="22"/>
      <c r="U18" s="52"/>
      <c r="V18" s="22"/>
      <c r="W18" s="53">
        <f t="shared" si="2"/>
        <v>0</v>
      </c>
      <c r="X18" s="22"/>
      <c r="Z18" s="55"/>
      <c r="AB18" s="65"/>
    </row>
    <row r="19" spans="2:28" s="2" customFormat="1">
      <c r="B19" s="29">
        <v>8</v>
      </c>
      <c r="C19" s="246" t="s">
        <v>33</v>
      </c>
      <c r="D19" s="230" t="str">
        <f>'[2]2025'!$D$12</f>
        <v>AN-16-0008</v>
      </c>
      <c r="E19" s="21">
        <f>8133.18+31.95</f>
        <v>8165.13</v>
      </c>
      <c r="F19" s="26">
        <v>0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2">
        <f t="shared" si="0"/>
        <v>8165.13</v>
      </c>
      <c r="S19" s="25">
        <f t="shared" si="1"/>
        <v>680.42750000000001</v>
      </c>
      <c r="T19" s="22"/>
      <c r="U19" s="56"/>
      <c r="V19" s="22"/>
      <c r="W19" s="53">
        <f t="shared" si="2"/>
        <v>0</v>
      </c>
      <c r="X19" s="25"/>
      <c r="Z19" s="55"/>
      <c r="AA19" s="62"/>
      <c r="AB19" s="65"/>
    </row>
    <row r="20" spans="2:28">
      <c r="B20" s="23">
        <v>9</v>
      </c>
      <c r="C20" s="246" t="s">
        <v>34</v>
      </c>
      <c r="D20" s="230" t="str">
        <f>'[2]2025'!$D$13</f>
        <v>AN-16-0009</v>
      </c>
      <c r="E20" s="21">
        <f>15.54+2041.84+2.26</f>
        <v>2059.6400000000003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52">
        <f t="shared" si="0"/>
        <v>2059.6400000000003</v>
      </c>
      <c r="S20" s="22">
        <f t="shared" si="1"/>
        <v>171.63666666666668</v>
      </c>
      <c r="T20" s="22"/>
      <c r="U20" s="52"/>
      <c r="V20" s="22"/>
      <c r="W20" s="53">
        <f t="shared" si="2"/>
        <v>0</v>
      </c>
      <c r="X20" s="22"/>
      <c r="Z20" s="55"/>
      <c r="AB20" s="65"/>
    </row>
    <row r="21" spans="2:28">
      <c r="B21" s="23">
        <v>10</v>
      </c>
      <c r="C21" s="247" t="s">
        <v>35</v>
      </c>
      <c r="D21" s="230" t="str">
        <f>'[2]2025'!$D$14</f>
        <v>AN-16-0010</v>
      </c>
      <c r="E21" s="21">
        <f>128.45+2756.48+3.17</f>
        <v>2888.1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52">
        <f t="shared" si="0"/>
        <v>2888.1</v>
      </c>
      <c r="S21" s="22">
        <f t="shared" si="1"/>
        <v>240.67499999999998</v>
      </c>
      <c r="T21" s="22"/>
      <c r="U21" s="52"/>
      <c r="V21" s="22"/>
      <c r="W21" s="53">
        <f t="shared" si="2"/>
        <v>0</v>
      </c>
      <c r="X21" s="22"/>
      <c r="Z21" s="55"/>
      <c r="AB21" s="65"/>
    </row>
    <row r="22" spans="2:28">
      <c r="B22" s="19">
        <v>11</v>
      </c>
      <c r="C22" s="30" t="s">
        <v>36</v>
      </c>
      <c r="D22" s="230" t="str">
        <f>'[2]2025'!$D$15</f>
        <v>AN-16-0011</v>
      </c>
      <c r="E22" s="28">
        <v>700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52">
        <f t="shared" si="0"/>
        <v>700</v>
      </c>
      <c r="S22" s="22">
        <f t="shared" si="1"/>
        <v>58.333333333333336</v>
      </c>
      <c r="T22" s="22"/>
      <c r="U22" s="52"/>
      <c r="V22" s="22"/>
      <c r="W22" s="53">
        <f t="shared" si="2"/>
        <v>0</v>
      </c>
      <c r="X22" s="22"/>
      <c r="Z22" s="54"/>
      <c r="AA22" s="67"/>
      <c r="AB22" s="65"/>
    </row>
    <row r="23" spans="2:28">
      <c r="B23" s="23">
        <v>12</v>
      </c>
      <c r="C23" s="31" t="s">
        <v>37</v>
      </c>
      <c r="D23" s="230" t="str">
        <f>'[2]2025'!$D$16</f>
        <v>AN-16-0012</v>
      </c>
      <c r="E23" s="21">
        <f>16+2102.46+2.33</f>
        <v>2120.79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52">
        <f t="shared" si="0"/>
        <v>2120.79</v>
      </c>
      <c r="S23" s="22">
        <f t="shared" si="1"/>
        <v>176.73249999999999</v>
      </c>
      <c r="T23" s="22"/>
      <c r="U23" s="52"/>
      <c r="V23" s="22"/>
      <c r="W23" s="53">
        <f t="shared" si="2"/>
        <v>0</v>
      </c>
      <c r="X23" s="22"/>
      <c r="Z23" s="55"/>
      <c r="AA23" s="67"/>
      <c r="AB23" s="65"/>
    </row>
    <row r="24" spans="2:28">
      <c r="B24" s="23">
        <v>13</v>
      </c>
      <c r="C24" s="247" t="s">
        <v>38</v>
      </c>
      <c r="D24" s="230" t="str">
        <f>'[2]2025'!$D$17</f>
        <v>AN-16-0013</v>
      </c>
      <c r="E24" s="21">
        <f>16.32+2143.93+2.37</f>
        <v>2162.62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52">
        <f t="shared" si="0"/>
        <v>2162.62</v>
      </c>
      <c r="S24" s="22">
        <f t="shared" si="1"/>
        <v>180.21833333333333</v>
      </c>
      <c r="T24" s="22"/>
      <c r="U24" s="58"/>
      <c r="V24" s="22"/>
      <c r="W24" s="53">
        <f t="shared" si="2"/>
        <v>0</v>
      </c>
      <c r="X24" s="22"/>
      <c r="Z24" s="55"/>
      <c r="AA24" s="67"/>
      <c r="AB24" s="65"/>
    </row>
    <row r="25" spans="2:28">
      <c r="B25" s="23">
        <v>14</v>
      </c>
      <c r="C25" s="247" t="s">
        <v>39</v>
      </c>
      <c r="D25" s="230" t="str">
        <f>'[2]2025'!$D$18</f>
        <v>AN-16-0014</v>
      </c>
      <c r="E25" s="21">
        <f>42.75+5616.59+6.22</f>
        <v>5665.56</v>
      </c>
      <c r="F25" s="22"/>
      <c r="G25" s="22"/>
      <c r="H25" s="22"/>
      <c r="I25" s="32"/>
      <c r="J25" s="32"/>
      <c r="K25" s="22"/>
      <c r="L25" s="22"/>
      <c r="M25" s="22"/>
      <c r="N25" s="22"/>
      <c r="O25" s="22"/>
      <c r="P25" s="22"/>
      <c r="Q25" s="22"/>
      <c r="R25" s="252">
        <f t="shared" si="0"/>
        <v>5665.56</v>
      </c>
      <c r="S25" s="22">
        <f t="shared" si="1"/>
        <v>472.13000000000005</v>
      </c>
      <c r="T25" s="22"/>
      <c r="U25" s="52"/>
      <c r="V25" s="22"/>
      <c r="W25" s="53">
        <f t="shared" si="2"/>
        <v>0</v>
      </c>
      <c r="X25" s="22"/>
      <c r="AA25" s="67"/>
      <c r="AB25" s="65"/>
    </row>
    <row r="26" spans="2:28" s="2" customFormat="1">
      <c r="B26" s="19">
        <v>15</v>
      </c>
      <c r="C26" s="246" t="s">
        <v>40</v>
      </c>
      <c r="D26" s="230" t="str">
        <f>'[2]2025'!$D$19</f>
        <v>AN-16-0015</v>
      </c>
      <c r="E26" s="28">
        <v>150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2">
        <f t="shared" si="0"/>
        <v>150</v>
      </c>
      <c r="S26" s="22">
        <f t="shared" si="1"/>
        <v>12.5</v>
      </c>
      <c r="T26" s="22"/>
      <c r="U26" s="56"/>
      <c r="V26" s="22"/>
      <c r="W26" s="53">
        <f t="shared" si="2"/>
        <v>0</v>
      </c>
      <c r="X26" s="25"/>
      <c r="AA26" s="62"/>
      <c r="AB26" s="62"/>
    </row>
    <row r="27" spans="2:28">
      <c r="B27" s="19">
        <v>16</v>
      </c>
      <c r="C27" s="247" t="s">
        <v>41</v>
      </c>
      <c r="D27" s="230" t="str">
        <f>'[2]2025'!$D$20</f>
        <v>AN-16-0016</v>
      </c>
      <c r="E27" s="21">
        <v>1200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52">
        <f t="shared" si="0"/>
        <v>1200</v>
      </c>
      <c r="S27" s="22">
        <f t="shared" si="1"/>
        <v>100</v>
      </c>
      <c r="T27" s="22"/>
      <c r="U27" s="52"/>
      <c r="V27" s="22"/>
      <c r="W27" s="53">
        <f t="shared" si="2"/>
        <v>0</v>
      </c>
      <c r="X27" s="22"/>
    </row>
    <row r="28" spans="2:28">
      <c r="B28" s="19">
        <v>17</v>
      </c>
      <c r="C28" s="247" t="s">
        <v>42</v>
      </c>
      <c r="D28" s="230" t="str">
        <f>'[2]2025'!$D$21</f>
        <v>AN-16-0017</v>
      </c>
      <c r="E28" s="28">
        <v>200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52">
        <f t="shared" si="0"/>
        <v>200</v>
      </c>
      <c r="S28" s="22">
        <f t="shared" si="1"/>
        <v>16.666666666666668</v>
      </c>
      <c r="T28" s="22"/>
      <c r="U28" s="52"/>
      <c r="V28" s="22"/>
      <c r="W28" s="53">
        <f t="shared" si="2"/>
        <v>0</v>
      </c>
      <c r="X28" s="22"/>
      <c r="Z28" s="54"/>
      <c r="AA28" s="67"/>
      <c r="AB28" s="65"/>
    </row>
    <row r="29" spans="2:28" s="2" customFormat="1">
      <c r="B29" s="23">
        <v>18</v>
      </c>
      <c r="C29" s="246" t="s">
        <v>43</v>
      </c>
      <c r="D29" s="230" t="str">
        <f>'[2]2025'!$D$22</f>
        <v>AN-16-0018</v>
      </c>
      <c r="E29" s="21">
        <f>18.61+2444.63+2.71</f>
        <v>2465.9500000000003</v>
      </c>
      <c r="F29" s="25"/>
      <c r="G29" s="25"/>
      <c r="H29" s="26"/>
      <c r="I29" s="25"/>
      <c r="J29" s="25"/>
      <c r="K29" s="25"/>
      <c r="L29" s="25"/>
      <c r="M29" s="25"/>
      <c r="N29" s="25"/>
      <c r="O29" s="25"/>
      <c r="P29" s="25"/>
      <c r="Q29" s="25"/>
      <c r="R29" s="252">
        <f t="shared" si="0"/>
        <v>2465.9500000000003</v>
      </c>
      <c r="S29" s="22">
        <f t="shared" si="1"/>
        <v>205.49583333333337</v>
      </c>
      <c r="T29" s="22"/>
      <c r="U29" s="56"/>
      <c r="V29" s="22"/>
      <c r="W29" s="53">
        <f t="shared" si="2"/>
        <v>0</v>
      </c>
      <c r="X29" s="25"/>
      <c r="AA29" s="62"/>
      <c r="AB29" s="62"/>
    </row>
    <row r="30" spans="2:28">
      <c r="B30" s="29">
        <v>19</v>
      </c>
      <c r="C30" s="30" t="s">
        <v>44</v>
      </c>
      <c r="D30" s="230" t="str">
        <f>'[2]2025'!$D$23</f>
        <v>AN-16-0019</v>
      </c>
      <c r="E30" s="21">
        <f>160.76+7000+12.51</f>
        <v>7173.27</v>
      </c>
      <c r="F30" s="22"/>
      <c r="G30" s="22"/>
      <c r="H30" s="33"/>
      <c r="I30" s="22"/>
      <c r="J30" s="22"/>
      <c r="K30" s="22"/>
      <c r="L30" s="22"/>
      <c r="M30" s="22"/>
      <c r="N30" s="22"/>
      <c r="O30" s="22"/>
      <c r="P30" s="22"/>
      <c r="Q30" s="22"/>
      <c r="R30" s="252">
        <f t="shared" si="0"/>
        <v>7173.27</v>
      </c>
      <c r="S30" s="22">
        <f t="shared" si="1"/>
        <v>597.77250000000004</v>
      </c>
      <c r="T30" s="22"/>
      <c r="U30" s="52"/>
      <c r="V30" s="22"/>
      <c r="W30" s="53">
        <f t="shared" si="2"/>
        <v>0</v>
      </c>
      <c r="X30" s="22"/>
      <c r="Z30" s="55"/>
      <c r="AA30" s="67"/>
      <c r="AB30" s="65"/>
    </row>
    <row r="31" spans="2:28" s="2" customFormat="1">
      <c r="B31" s="19">
        <v>20</v>
      </c>
      <c r="C31" s="246" t="s">
        <v>45</v>
      </c>
      <c r="D31" s="230" t="str">
        <f>'[2]2025'!$D$24</f>
        <v>AN-16-0020</v>
      </c>
      <c r="E31" s="21">
        <v>1300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2">
        <f t="shared" si="0"/>
        <v>1300</v>
      </c>
      <c r="S31" s="22">
        <f t="shared" si="1"/>
        <v>108.33333333333333</v>
      </c>
      <c r="T31" s="22"/>
      <c r="U31" s="56"/>
      <c r="V31" s="22"/>
      <c r="W31" s="53">
        <f t="shared" si="2"/>
        <v>0</v>
      </c>
      <c r="X31" s="25"/>
      <c r="AA31" s="62"/>
      <c r="AB31" s="62"/>
    </row>
    <row r="32" spans="2:28">
      <c r="B32" s="19">
        <v>21</v>
      </c>
      <c r="C32" s="246" t="s">
        <v>46</v>
      </c>
      <c r="D32" s="230" t="str">
        <f>'[2]2025'!$D$25</f>
        <v>AN-16-0021</v>
      </c>
      <c r="E32" s="28">
        <v>750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52">
        <f t="shared" si="0"/>
        <v>750</v>
      </c>
      <c r="S32" s="22">
        <f t="shared" si="1"/>
        <v>62.5</v>
      </c>
      <c r="T32" s="22"/>
      <c r="U32" s="52"/>
      <c r="V32" s="22"/>
      <c r="W32" s="53">
        <f t="shared" si="2"/>
        <v>0</v>
      </c>
      <c r="X32" s="22"/>
    </row>
    <row r="33" spans="2:28">
      <c r="B33" s="19">
        <v>22</v>
      </c>
      <c r="C33" s="247" t="s">
        <v>47</v>
      </c>
      <c r="D33" s="230" t="str">
        <f>'[2]2025'!$D$26</f>
        <v>AN-16-0022</v>
      </c>
      <c r="E33" s="34">
        <v>1200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52">
        <f t="shared" si="0"/>
        <v>1200</v>
      </c>
      <c r="S33" s="22">
        <f t="shared" si="1"/>
        <v>100</v>
      </c>
      <c r="T33" s="22"/>
      <c r="U33" s="52"/>
      <c r="V33" s="22"/>
      <c r="W33" s="53">
        <f t="shared" si="2"/>
        <v>0</v>
      </c>
      <c r="X33" s="22"/>
      <c r="Z33" s="54"/>
      <c r="AA33" s="67"/>
      <c r="AB33" s="65"/>
    </row>
    <row r="34" spans="2:28" s="2" customFormat="1" ht="18" customHeight="1">
      <c r="B34" s="19">
        <v>23</v>
      </c>
      <c r="C34" s="246" t="s">
        <v>48</v>
      </c>
      <c r="D34" s="230" t="str">
        <f>'[2]2025'!$D$27</f>
        <v>AN-16-0023</v>
      </c>
      <c r="E34" s="28">
        <v>100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4">
        <f t="shared" si="0"/>
        <v>100</v>
      </c>
      <c r="S34" s="25">
        <f t="shared" si="1"/>
        <v>8.3333333333333339</v>
      </c>
      <c r="T34" s="22"/>
      <c r="U34" s="56"/>
      <c r="V34" s="22"/>
      <c r="W34" s="53">
        <f t="shared" si="2"/>
        <v>0</v>
      </c>
      <c r="X34" s="25"/>
      <c r="AA34" s="62"/>
      <c r="AB34" s="62"/>
    </row>
    <row r="35" spans="2:28">
      <c r="B35" s="23">
        <v>24</v>
      </c>
      <c r="C35" s="246" t="s">
        <v>49</v>
      </c>
      <c r="D35" s="230" t="str">
        <f>'[2]2025'!$D$28</f>
        <v>AN-16-0024</v>
      </c>
      <c r="E35" s="34">
        <f>15.45+2029.45+2.25</f>
        <v>2047.15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52">
        <f t="shared" si="0"/>
        <v>2047.15</v>
      </c>
      <c r="S35" s="22">
        <f t="shared" si="1"/>
        <v>170.59583333333333</v>
      </c>
      <c r="T35" s="22"/>
      <c r="U35" s="52"/>
      <c r="V35" s="22"/>
      <c r="W35" s="53">
        <f t="shared" si="2"/>
        <v>0</v>
      </c>
      <c r="X35" s="22"/>
      <c r="Z35" s="54"/>
      <c r="AA35" s="67"/>
      <c r="AB35" s="65"/>
    </row>
    <row r="36" spans="2:28" s="2" customFormat="1">
      <c r="B36" s="19">
        <v>25</v>
      </c>
      <c r="C36" s="20" t="s">
        <v>50</v>
      </c>
      <c r="D36" s="230" t="str">
        <f>'[2]2025'!$D$29</f>
        <v>AN-16-0025</v>
      </c>
      <c r="E36" s="28">
        <v>600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2">
        <f t="shared" si="0"/>
        <v>600</v>
      </c>
      <c r="S36" s="22">
        <f t="shared" si="1"/>
        <v>50</v>
      </c>
      <c r="T36" s="22"/>
      <c r="U36" s="56"/>
      <c r="V36" s="22"/>
      <c r="W36" s="53">
        <f t="shared" si="2"/>
        <v>0</v>
      </c>
      <c r="X36" s="25"/>
      <c r="AA36" s="62"/>
      <c r="AB36" s="62"/>
    </row>
    <row r="37" spans="2:28">
      <c r="B37" s="23">
        <v>26</v>
      </c>
      <c r="C37" s="20" t="s">
        <v>51</v>
      </c>
      <c r="D37" s="230" t="str">
        <f>'[2]2025'!$D$30</f>
        <v>AN-16-0026</v>
      </c>
      <c r="E37" s="21">
        <f>22.18+2914.36+3.23</f>
        <v>2939.77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52">
        <f t="shared" si="0"/>
        <v>2939.77</v>
      </c>
      <c r="S37" s="22">
        <f t="shared" si="1"/>
        <v>244.98083333333332</v>
      </c>
      <c r="T37" s="22"/>
      <c r="U37" s="52"/>
      <c r="V37" s="22"/>
      <c r="W37" s="53">
        <f t="shared" si="2"/>
        <v>0</v>
      </c>
      <c r="X37" s="22"/>
      <c r="Z37" s="55"/>
      <c r="AA37" s="67"/>
      <c r="AB37" s="65"/>
    </row>
    <row r="38" spans="2:28" s="2" customFormat="1">
      <c r="B38" s="23">
        <v>27</v>
      </c>
      <c r="C38" s="20" t="s">
        <v>52</v>
      </c>
      <c r="D38" s="230" t="str">
        <f>'[2]2025'!$D$31</f>
        <v>AN-16-0027</v>
      </c>
      <c r="E38" s="21">
        <f>16.3+2141.58+2.37</f>
        <v>2160.25</v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2">
        <f t="shared" si="0"/>
        <v>2160.25</v>
      </c>
      <c r="S38" s="22">
        <f t="shared" si="1"/>
        <v>180.02083333333334</v>
      </c>
      <c r="T38" s="22"/>
      <c r="U38" s="56"/>
      <c r="V38" s="22"/>
      <c r="W38" s="53">
        <f t="shared" si="2"/>
        <v>0</v>
      </c>
      <c r="X38" s="25"/>
      <c r="Z38" s="55"/>
      <c r="AA38" s="67"/>
      <c r="AB38" s="65"/>
    </row>
    <row r="39" spans="2:28">
      <c r="B39" s="23">
        <v>28</v>
      </c>
      <c r="C39" s="20" t="s">
        <v>53</v>
      </c>
      <c r="D39" s="230" t="str">
        <f>'[2]2025'!$D$32</f>
        <v>AN-16-0028</v>
      </c>
      <c r="E39" s="21">
        <f>20.52+2695.2+2.98</f>
        <v>2718.7</v>
      </c>
      <c r="F39" s="22"/>
      <c r="G39" s="22"/>
      <c r="H39" s="22"/>
      <c r="I39" s="22"/>
      <c r="J39" s="22"/>
      <c r="K39" s="32"/>
      <c r="L39" s="22"/>
      <c r="M39" s="22"/>
      <c r="N39" s="22"/>
      <c r="O39" s="22"/>
      <c r="P39" s="22"/>
      <c r="Q39" s="22"/>
      <c r="R39" s="252">
        <f t="shared" si="0"/>
        <v>2718.7</v>
      </c>
      <c r="S39" s="22">
        <f t="shared" si="1"/>
        <v>226.55833333333331</v>
      </c>
      <c r="T39" s="22"/>
      <c r="U39" s="52"/>
      <c r="V39" s="22"/>
      <c r="W39" s="53">
        <f t="shared" si="2"/>
        <v>0</v>
      </c>
      <c r="X39" s="22"/>
      <c r="AA39" s="67"/>
      <c r="AB39" s="65"/>
    </row>
    <row r="40" spans="2:28" ht="5.25" customHeight="1">
      <c r="B40" s="35"/>
      <c r="C40" s="36"/>
      <c r="D40" s="36"/>
      <c r="E40" s="37"/>
      <c r="F40" s="38"/>
      <c r="G40" s="38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49"/>
      <c r="S40" s="39"/>
      <c r="T40" s="39"/>
      <c r="U40" s="59"/>
      <c r="V40" s="39"/>
      <c r="W40" s="39"/>
      <c r="X40" s="39"/>
    </row>
    <row r="41" spans="2:28">
      <c r="B41" s="31"/>
      <c r="C41" s="20"/>
      <c r="D41" s="20"/>
      <c r="E41" s="40"/>
      <c r="R41" s="239">
        <f>SUM(R12:R40)</f>
        <v>69978.659999999989</v>
      </c>
    </row>
    <row r="42" spans="2:28">
      <c r="B42" s="31"/>
      <c r="C42" s="20"/>
      <c r="D42" s="20"/>
      <c r="E42" s="40"/>
      <c r="R42" s="239"/>
      <c r="W42" s="60"/>
      <c r="X42" s="267" t="s">
        <v>54</v>
      </c>
    </row>
    <row r="43" spans="2:28">
      <c r="B43" s="31"/>
      <c r="C43" s="20"/>
      <c r="D43" s="20"/>
      <c r="E43" s="40"/>
    </row>
    <row r="44" spans="2:28">
      <c r="B44" s="308" t="s">
        <v>0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W44" s="308"/>
      <c r="X44" s="308"/>
    </row>
    <row r="45" spans="2:28">
      <c r="B45" s="315" t="s">
        <v>1</v>
      </c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</row>
    <row r="46" spans="2:28">
      <c r="B46" s="313" t="s">
        <v>2</v>
      </c>
      <c r="C46" s="313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</row>
    <row r="47" spans="2:28">
      <c r="C47" s="9"/>
      <c r="D47" s="9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51"/>
      <c r="V47" s="9"/>
      <c r="W47" s="9"/>
      <c r="X47" s="9"/>
    </row>
    <row r="48" spans="2:28" ht="18">
      <c r="B48" s="316" t="s">
        <v>3</v>
      </c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</row>
    <row r="49" spans="2:28" ht="12.75" customHeight="1">
      <c r="B49" s="313" t="s">
        <v>224</v>
      </c>
      <c r="C49" s="313"/>
      <c r="D49" s="313"/>
      <c r="E49" s="313"/>
      <c r="F49" s="313"/>
      <c r="G49" s="313"/>
      <c r="H49" s="313"/>
      <c r="I49" s="313"/>
      <c r="J49" s="313"/>
      <c r="K49" s="313"/>
      <c r="L49" s="313"/>
      <c r="M49" s="313"/>
      <c r="N49" s="313"/>
      <c r="O49" s="313"/>
      <c r="P49" s="313"/>
      <c r="Q49" s="313"/>
      <c r="R49" s="313"/>
      <c r="S49" s="313"/>
      <c r="T49" s="313"/>
      <c r="U49" s="313"/>
      <c r="V49" s="313"/>
      <c r="W49" s="313"/>
      <c r="X49" s="313"/>
    </row>
    <row r="50" spans="2:28" ht="6" customHeight="1">
      <c r="B50" s="10"/>
      <c r="C50" s="4"/>
      <c r="D50" s="4"/>
      <c r="F50" s="10"/>
      <c r="G50" s="10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2:28" ht="14.25" customHeight="1">
      <c r="B51" s="336" t="s">
        <v>5</v>
      </c>
      <c r="C51" s="337"/>
      <c r="D51" s="332" t="s">
        <v>230</v>
      </c>
      <c r="E51" s="332" t="s">
        <v>225</v>
      </c>
      <c r="F51" s="346" t="s">
        <v>7</v>
      </c>
      <c r="G51" s="346" t="s">
        <v>8</v>
      </c>
      <c r="H51" s="346" t="s">
        <v>9</v>
      </c>
      <c r="I51" s="346" t="s">
        <v>10</v>
      </c>
      <c r="J51" s="346" t="s">
        <v>11</v>
      </c>
      <c r="K51" s="346" t="s">
        <v>12</v>
      </c>
      <c r="L51" s="346" t="s">
        <v>13</v>
      </c>
      <c r="M51" s="346" t="s">
        <v>14</v>
      </c>
      <c r="N51" s="346" t="s">
        <v>15</v>
      </c>
      <c r="O51" s="346" t="s">
        <v>16</v>
      </c>
      <c r="P51" s="346" t="s">
        <v>17</v>
      </c>
      <c r="Q51" s="346" t="s">
        <v>18</v>
      </c>
      <c r="R51" s="319" t="s">
        <v>19</v>
      </c>
      <c r="S51" s="319" t="s">
        <v>20</v>
      </c>
      <c r="T51" s="327" t="s">
        <v>21</v>
      </c>
      <c r="U51" s="323" t="s">
        <v>22</v>
      </c>
      <c r="V51" s="342" t="s">
        <v>23</v>
      </c>
      <c r="W51" s="329" t="s">
        <v>24</v>
      </c>
      <c r="X51" s="325" t="s">
        <v>25</v>
      </c>
    </row>
    <row r="52" spans="2:28" ht="16.5" customHeight="1">
      <c r="B52" s="338"/>
      <c r="C52" s="339"/>
      <c r="D52" s="333"/>
      <c r="E52" s="333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20"/>
      <c r="S52" s="320"/>
      <c r="T52" s="328"/>
      <c r="U52" s="324"/>
      <c r="V52" s="343"/>
      <c r="W52" s="330"/>
      <c r="X52" s="326"/>
    </row>
    <row r="53" spans="2:28" ht="5.25" customHeight="1">
      <c r="B53" s="41"/>
      <c r="C53" s="16"/>
      <c r="D53" s="16"/>
      <c r="E53" s="42"/>
      <c r="F53" s="43"/>
      <c r="G53" s="43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61"/>
      <c r="V53" s="44"/>
      <c r="W53" s="44"/>
      <c r="X53" s="44"/>
    </row>
    <row r="54" spans="2:28">
      <c r="B54" s="245">
        <v>29</v>
      </c>
      <c r="C54" s="263" t="s">
        <v>57</v>
      </c>
      <c r="D54" s="264" t="str">
        <f>'[2]2025'!$D$33</f>
        <v>AN-16-0029</v>
      </c>
      <c r="E54" s="257">
        <f>15.54+2041.84+2.26</f>
        <v>2059.6400000000003</v>
      </c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9">
        <f t="shared" ref="R54:R80" si="3">E54+F54+G54+H54+I54+J54+K54+L54+M54+N54+O54+P54+Q54</f>
        <v>2059.6400000000003</v>
      </c>
      <c r="S54" s="258">
        <f t="shared" ref="S54:S80" si="4">R54/12</f>
        <v>171.63666666666668</v>
      </c>
      <c r="T54" s="258">
        <v>0</v>
      </c>
      <c r="U54" s="260"/>
      <c r="V54" s="258"/>
      <c r="W54" s="53">
        <f t="shared" ref="W54:W80" si="5">T54+V54</f>
        <v>0</v>
      </c>
      <c r="X54" s="258"/>
      <c r="AA54" s="67"/>
      <c r="AB54" s="261"/>
    </row>
    <row r="55" spans="2:28">
      <c r="B55" s="245">
        <v>30</v>
      </c>
      <c r="C55" s="255" t="s">
        <v>58</v>
      </c>
      <c r="D55" s="256" t="str">
        <f>'[2]2025'!$D$34</f>
        <v>AN-16-0030</v>
      </c>
      <c r="E55" s="257">
        <f>16.15+2121.38+2.35</f>
        <v>2139.88</v>
      </c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9">
        <f t="shared" si="3"/>
        <v>2139.88</v>
      </c>
      <c r="S55" s="258">
        <f t="shared" si="4"/>
        <v>178.32333333333335</v>
      </c>
      <c r="T55" s="258">
        <v>0</v>
      </c>
      <c r="U55" s="260"/>
      <c r="V55" s="258"/>
      <c r="W55" s="53">
        <f t="shared" si="5"/>
        <v>0</v>
      </c>
      <c r="X55" s="258"/>
    </row>
    <row r="56" spans="2:28">
      <c r="B56" s="245">
        <v>31</v>
      </c>
      <c r="C56" s="255" t="s">
        <v>59</v>
      </c>
      <c r="D56" s="256" t="str">
        <f>'[2]2025'!$D$35</f>
        <v>AN-16-0031</v>
      </c>
      <c r="E56" s="257">
        <f>126.96+2559.79+2.95</f>
        <v>2689.7</v>
      </c>
      <c r="F56" s="258"/>
      <c r="G56" s="258"/>
      <c r="H56" s="258"/>
      <c r="I56" s="258"/>
      <c r="J56" s="258"/>
      <c r="K56" s="258"/>
      <c r="L56" s="258"/>
      <c r="M56" s="258"/>
      <c r="N56" s="265"/>
      <c r="O56" s="258"/>
      <c r="P56" s="258"/>
      <c r="Q56" s="258"/>
      <c r="R56" s="259">
        <f t="shared" si="3"/>
        <v>2689.7</v>
      </c>
      <c r="S56" s="258">
        <f t="shared" si="4"/>
        <v>224.14166666666665</v>
      </c>
      <c r="T56" s="258">
        <v>0</v>
      </c>
      <c r="U56" s="260"/>
      <c r="V56" s="258"/>
      <c r="W56" s="53">
        <f t="shared" si="5"/>
        <v>0</v>
      </c>
      <c r="X56" s="258"/>
      <c r="Z56" s="50"/>
      <c r="AA56" s="67"/>
      <c r="AB56" s="261"/>
    </row>
    <row r="57" spans="2:28">
      <c r="B57" s="245">
        <v>32</v>
      </c>
      <c r="C57" s="263" t="s">
        <v>60</v>
      </c>
      <c r="D57" s="264" t="str">
        <f>'[2]2025'!$D$36</f>
        <v>AN-16-0032</v>
      </c>
      <c r="E57" s="257">
        <f>19.81+2601.91+2.88</f>
        <v>2624.6</v>
      </c>
      <c r="F57" s="258"/>
      <c r="G57" s="258"/>
      <c r="H57" s="258"/>
      <c r="I57" s="258"/>
      <c r="J57" s="258"/>
      <c r="K57" s="258"/>
      <c r="L57" s="258"/>
      <c r="M57" s="258"/>
      <c r="N57" s="266"/>
      <c r="O57" s="258"/>
      <c r="P57" s="258"/>
      <c r="Q57" s="258"/>
      <c r="R57" s="259">
        <f t="shared" si="3"/>
        <v>2624.6</v>
      </c>
      <c r="S57" s="258">
        <f t="shared" si="4"/>
        <v>218.71666666666667</v>
      </c>
      <c r="T57" s="258">
        <v>0</v>
      </c>
      <c r="U57" s="260"/>
      <c r="V57" s="258"/>
      <c r="W57" s="53">
        <f t="shared" si="5"/>
        <v>0</v>
      </c>
      <c r="X57" s="258"/>
      <c r="Z57" s="50"/>
      <c r="AA57" s="67"/>
      <c r="AB57" s="261"/>
    </row>
    <row r="58" spans="2:28">
      <c r="B58" s="236">
        <v>33</v>
      </c>
      <c r="C58" s="255" t="s">
        <v>61</v>
      </c>
      <c r="D58" s="256" t="str">
        <f>'[2]2025'!$D$37</f>
        <v>AN-16-0033</v>
      </c>
      <c r="E58" s="257">
        <v>1100</v>
      </c>
      <c r="F58" s="25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9">
        <f t="shared" si="3"/>
        <v>1100</v>
      </c>
      <c r="S58" s="258">
        <f t="shared" si="4"/>
        <v>91.666666666666671</v>
      </c>
      <c r="T58" s="258">
        <v>0</v>
      </c>
      <c r="U58" s="260"/>
      <c r="V58" s="258"/>
      <c r="W58" s="53">
        <f t="shared" si="5"/>
        <v>0</v>
      </c>
      <c r="X58" s="258"/>
    </row>
    <row r="59" spans="2:28">
      <c r="B59" s="19">
        <v>34</v>
      </c>
      <c r="C59" s="27" t="s">
        <v>62</v>
      </c>
      <c r="D59" s="227" t="str">
        <f>'[2]2025'!$D$38</f>
        <v>AN-16-0034</v>
      </c>
      <c r="E59" s="34">
        <v>1000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52">
        <f t="shared" si="3"/>
        <v>1000</v>
      </c>
      <c r="S59" s="22">
        <f t="shared" si="4"/>
        <v>83.333333333333329</v>
      </c>
      <c r="T59" s="258">
        <v>0</v>
      </c>
      <c r="U59" s="52"/>
      <c r="V59" s="22"/>
      <c r="W59" s="53">
        <f t="shared" si="5"/>
        <v>0</v>
      </c>
      <c r="X59" s="22"/>
    </row>
    <row r="60" spans="2:28" s="2" customFormat="1">
      <c r="B60" s="19">
        <v>35</v>
      </c>
      <c r="C60" s="20" t="s">
        <v>63</v>
      </c>
      <c r="D60" s="228" t="str">
        <f>'[2]2025'!$D$39</f>
        <v>AN-16-0035</v>
      </c>
      <c r="E60" s="28">
        <v>935.84</v>
      </c>
      <c r="F60" s="25"/>
      <c r="G60" s="25"/>
      <c r="H60" s="25"/>
      <c r="I60" s="25"/>
      <c r="J60" s="25"/>
      <c r="K60" s="25"/>
      <c r="L60" s="25"/>
      <c r="M60" s="25"/>
      <c r="N60" s="207"/>
      <c r="O60" s="25"/>
      <c r="P60" s="25"/>
      <c r="Q60" s="25"/>
      <c r="R60" s="252">
        <f t="shared" si="3"/>
        <v>935.84</v>
      </c>
      <c r="S60" s="22">
        <f t="shared" si="4"/>
        <v>77.986666666666665</v>
      </c>
      <c r="T60" s="258">
        <v>0</v>
      </c>
      <c r="U60" s="56"/>
      <c r="V60" s="22"/>
      <c r="W60" s="53">
        <f t="shared" si="5"/>
        <v>0</v>
      </c>
      <c r="X60" s="25"/>
      <c r="Z60" s="54"/>
      <c r="AA60" s="67"/>
      <c r="AB60" s="65"/>
    </row>
    <row r="61" spans="2:28" ht="13.8" customHeight="1">
      <c r="B61" s="19">
        <v>36</v>
      </c>
      <c r="C61" s="20" t="s">
        <v>64</v>
      </c>
      <c r="D61" s="228" t="str">
        <f>'[2]2025'!$D$40</f>
        <v>AN-17-0036</v>
      </c>
      <c r="E61" s="28">
        <v>300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52">
        <f t="shared" si="3"/>
        <v>300</v>
      </c>
      <c r="S61" s="22">
        <f t="shared" si="4"/>
        <v>25</v>
      </c>
      <c r="T61" s="258">
        <v>0</v>
      </c>
      <c r="U61" s="52"/>
      <c r="V61" s="22"/>
      <c r="W61" s="53">
        <f t="shared" si="5"/>
        <v>0</v>
      </c>
      <c r="X61" s="22"/>
      <c r="Z61" s="54"/>
      <c r="AA61" s="67"/>
      <c r="AB61" s="65"/>
    </row>
    <row r="62" spans="2:28">
      <c r="B62" s="19">
        <v>37</v>
      </c>
      <c r="C62" s="20" t="s">
        <v>65</v>
      </c>
      <c r="D62" s="228" t="str">
        <f>'[2]2025'!$D$41</f>
        <v>AN-17-0037</v>
      </c>
      <c r="E62" s="28">
        <v>650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52">
        <f t="shared" si="3"/>
        <v>650</v>
      </c>
      <c r="S62" s="22">
        <f t="shared" si="4"/>
        <v>54.166666666666664</v>
      </c>
      <c r="T62" s="258">
        <v>0</v>
      </c>
      <c r="U62" s="52"/>
      <c r="V62" s="22"/>
      <c r="W62" s="53">
        <f t="shared" si="5"/>
        <v>0</v>
      </c>
      <c r="X62" s="22"/>
      <c r="Z62" s="54"/>
    </row>
    <row r="63" spans="2:28">
      <c r="B63" s="19">
        <v>38</v>
      </c>
      <c r="C63" s="20" t="s">
        <v>66</v>
      </c>
      <c r="D63" s="228" t="str">
        <f>'[2]2025'!$D$42</f>
        <v>AN-17-0038</v>
      </c>
      <c r="E63" s="28">
        <v>350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52">
        <f t="shared" si="3"/>
        <v>350</v>
      </c>
      <c r="S63" s="22">
        <f t="shared" si="4"/>
        <v>29.166666666666668</v>
      </c>
      <c r="T63" s="258">
        <v>0</v>
      </c>
      <c r="U63" s="52"/>
      <c r="V63" s="22"/>
      <c r="W63" s="53">
        <f t="shared" si="5"/>
        <v>0</v>
      </c>
      <c r="X63" s="22"/>
      <c r="Z63" s="54"/>
    </row>
    <row r="64" spans="2:28">
      <c r="B64" s="19">
        <v>39</v>
      </c>
      <c r="C64" s="20" t="s">
        <v>67</v>
      </c>
      <c r="D64" s="228" t="str">
        <f>'[2]2025'!$D$43</f>
        <v>AN-17-0039</v>
      </c>
      <c r="E64" s="28">
        <v>150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52">
        <f t="shared" si="3"/>
        <v>150</v>
      </c>
      <c r="S64" s="22">
        <f t="shared" si="4"/>
        <v>12.5</v>
      </c>
      <c r="T64" s="258">
        <v>0</v>
      </c>
      <c r="U64" s="52"/>
      <c r="V64" s="22"/>
      <c r="W64" s="53">
        <f t="shared" si="5"/>
        <v>0</v>
      </c>
      <c r="X64" s="22"/>
      <c r="Z64" s="54"/>
    </row>
    <row r="65" spans="2:28">
      <c r="B65" s="23">
        <v>40</v>
      </c>
      <c r="C65" s="246" t="str">
        <f>'[2]2025'!$X$44</f>
        <v>Cort Wensley J.  Balao</v>
      </c>
      <c r="D65" s="228" t="str">
        <f>'[2]2025'!$D$44</f>
        <v>AN-17-0040</v>
      </c>
      <c r="E65" s="21">
        <f>KIDDY2024!S10</f>
        <v>2844.9657499999998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52">
        <f t="shared" si="3"/>
        <v>2844.9657499999998</v>
      </c>
      <c r="S65" s="22">
        <f t="shared" si="4"/>
        <v>237.08047916666666</v>
      </c>
      <c r="T65" s="258">
        <v>0</v>
      </c>
      <c r="U65" s="52"/>
      <c r="V65" s="22"/>
      <c r="W65" s="53">
        <f t="shared" si="5"/>
        <v>0</v>
      </c>
      <c r="X65" s="22"/>
      <c r="Z65" s="55"/>
      <c r="AA65" s="67"/>
      <c r="AB65" s="65"/>
    </row>
    <row r="66" spans="2:28">
      <c r="B66" s="19">
        <v>41</v>
      </c>
      <c r="C66" s="228" t="str">
        <f>[3]CShare!$J$28</f>
        <v>PURISIMO C. ABRENILLO</v>
      </c>
      <c r="D66" s="228" t="str">
        <f>'[2]2025'!$D$45</f>
        <v>AN-17-0041</v>
      </c>
      <c r="E66" s="21">
        <f>1439.75+10.79</f>
        <v>1450.54</v>
      </c>
      <c r="F66" s="45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52">
        <f t="shared" si="3"/>
        <v>1450.54</v>
      </c>
      <c r="S66" s="22">
        <f t="shared" si="4"/>
        <v>120.87833333333333</v>
      </c>
      <c r="T66" s="258">
        <v>0</v>
      </c>
      <c r="U66" s="52"/>
      <c r="V66" s="22"/>
      <c r="W66" s="53">
        <f t="shared" si="5"/>
        <v>0</v>
      </c>
      <c r="X66" s="22"/>
      <c r="Z66" s="55"/>
      <c r="AA66" s="67"/>
      <c r="AB66" s="65"/>
    </row>
    <row r="67" spans="2:28">
      <c r="B67" s="29">
        <v>42</v>
      </c>
      <c r="C67" s="20" t="s">
        <v>70</v>
      </c>
      <c r="D67" s="228" t="str">
        <f>'[2]2025'!$D$46</f>
        <v>AN-17-0042</v>
      </c>
      <c r="E67" s="21">
        <f>53.28+7000+7.75</f>
        <v>7061.03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52">
        <f t="shared" si="3"/>
        <v>7061.03</v>
      </c>
      <c r="S67" s="22">
        <f t="shared" si="4"/>
        <v>588.41916666666668</v>
      </c>
      <c r="T67" s="258">
        <v>0</v>
      </c>
      <c r="U67" s="52"/>
      <c r="V67" s="22"/>
      <c r="W67" s="53">
        <f t="shared" si="5"/>
        <v>0</v>
      </c>
      <c r="X67" s="22"/>
      <c r="Z67" s="55"/>
      <c r="AA67" s="67"/>
      <c r="AB67" s="65"/>
    </row>
    <row r="68" spans="2:28">
      <c r="B68" s="29">
        <v>43</v>
      </c>
      <c r="C68" s="20" t="s">
        <v>71</v>
      </c>
      <c r="D68" s="228" t="str">
        <f>'[2]2025'!$D$47</f>
        <v>AN-17-0043</v>
      </c>
      <c r="E68" s="21">
        <f>53.28+7000+40.05</f>
        <v>7093.33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52">
        <f t="shared" si="3"/>
        <v>7093.33</v>
      </c>
      <c r="S68" s="22">
        <f t="shared" si="4"/>
        <v>591.11083333333329</v>
      </c>
      <c r="T68" s="258">
        <v>0</v>
      </c>
      <c r="U68" s="52"/>
      <c r="V68" s="22"/>
      <c r="W68" s="53">
        <f t="shared" si="5"/>
        <v>0</v>
      </c>
      <c r="X68" s="22"/>
      <c r="Z68" s="55"/>
      <c r="AA68" s="67"/>
      <c r="AB68" s="65"/>
    </row>
    <row r="69" spans="2:28" s="2" customFormat="1" ht="18.600000000000001" customHeight="1">
      <c r="B69" s="23">
        <v>44</v>
      </c>
      <c r="C69" s="20" t="s">
        <v>72</v>
      </c>
      <c r="D69" s="228" t="str">
        <f>'[2]2025'!$D$48</f>
        <v>AN-17-0044</v>
      </c>
      <c r="E69" s="21">
        <f>15.54+2041.84+2.26</f>
        <v>2059.6400000000003</v>
      </c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4">
        <f t="shared" si="3"/>
        <v>2059.6400000000003</v>
      </c>
      <c r="S69" s="25">
        <f t="shared" si="4"/>
        <v>171.63666666666668</v>
      </c>
      <c r="T69" s="258">
        <v>0</v>
      </c>
      <c r="U69" s="56"/>
      <c r="V69" s="25"/>
      <c r="W69" s="57">
        <f t="shared" si="5"/>
        <v>0</v>
      </c>
      <c r="X69" s="25"/>
      <c r="AA69" s="262"/>
      <c r="AB69" s="65"/>
    </row>
    <row r="70" spans="2:28">
      <c r="B70" s="23">
        <v>45</v>
      </c>
      <c r="C70" s="20" t="s">
        <v>73</v>
      </c>
      <c r="D70" s="228" t="str">
        <f>'[2]2025'!$D$49</f>
        <v>AN-17-0045</v>
      </c>
      <c r="E70" s="21">
        <f>26.15+3435.28+3.8</f>
        <v>3465.2300000000005</v>
      </c>
      <c r="F70" s="22"/>
      <c r="G70" s="22"/>
      <c r="H70" s="22"/>
      <c r="I70" s="22"/>
      <c r="J70" s="22"/>
      <c r="K70" s="22"/>
      <c r="L70" s="22"/>
      <c r="M70" s="22"/>
      <c r="N70" s="22"/>
      <c r="O70" s="32"/>
      <c r="P70" s="22"/>
      <c r="Q70" s="22"/>
      <c r="R70" s="252">
        <f t="shared" si="3"/>
        <v>3465.2300000000005</v>
      </c>
      <c r="S70" s="22">
        <f t="shared" si="4"/>
        <v>288.76916666666671</v>
      </c>
      <c r="T70" s="258">
        <v>0</v>
      </c>
      <c r="U70" s="52"/>
      <c r="V70" s="22"/>
      <c r="W70" s="53">
        <f t="shared" si="5"/>
        <v>0</v>
      </c>
      <c r="X70" s="93"/>
      <c r="Z70" s="55"/>
      <c r="AA70" s="67"/>
      <c r="AB70" s="65"/>
    </row>
    <row r="71" spans="2:28">
      <c r="B71" s="235">
        <v>46</v>
      </c>
      <c r="C71" s="20" t="s">
        <v>74</v>
      </c>
      <c r="D71" s="228" t="str">
        <f>'[2]2025'!$D$50</f>
        <v>AN-17-0046</v>
      </c>
      <c r="E71" s="21">
        <f>160.76+7000+12.51</f>
        <v>7173.27</v>
      </c>
      <c r="F71" s="32"/>
      <c r="G71" s="32"/>
      <c r="H71" s="22"/>
      <c r="I71" s="22"/>
      <c r="J71" s="22"/>
      <c r="K71" s="32"/>
      <c r="L71" s="45"/>
      <c r="M71" s="22"/>
      <c r="N71" s="22"/>
      <c r="O71" s="22"/>
      <c r="P71" s="32"/>
      <c r="Q71" s="22"/>
      <c r="R71" s="252">
        <f t="shared" si="3"/>
        <v>7173.27</v>
      </c>
      <c r="S71" s="22">
        <f t="shared" si="4"/>
        <v>597.77250000000004</v>
      </c>
      <c r="T71" s="258">
        <v>0</v>
      </c>
      <c r="U71" s="52"/>
      <c r="V71" s="22"/>
      <c r="W71" s="53">
        <f t="shared" si="5"/>
        <v>0</v>
      </c>
      <c r="X71" s="93"/>
      <c r="Z71" s="55"/>
      <c r="AA71" s="67"/>
      <c r="AB71" s="65"/>
    </row>
    <row r="72" spans="2:28" s="2" customFormat="1" ht="16.5" customHeight="1">
      <c r="B72" s="19">
        <v>47</v>
      </c>
      <c r="C72" s="68" t="s">
        <v>75</v>
      </c>
      <c r="D72" s="228" t="str">
        <f>'[2]2025'!$D$51</f>
        <v>AN-17-0047</v>
      </c>
      <c r="E72" s="28">
        <v>550</v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4">
        <f t="shared" si="3"/>
        <v>550</v>
      </c>
      <c r="S72" s="25">
        <f t="shared" si="4"/>
        <v>45.833333333333336</v>
      </c>
      <c r="T72" s="258">
        <v>0</v>
      </c>
      <c r="U72" s="56"/>
      <c r="V72" s="25"/>
      <c r="W72" s="57">
        <f t="shared" si="5"/>
        <v>0</v>
      </c>
      <c r="X72" s="94"/>
      <c r="AA72" s="62"/>
      <c r="AB72" s="62"/>
    </row>
    <row r="73" spans="2:28">
      <c r="B73" s="19">
        <v>48</v>
      </c>
      <c r="C73" s="20" t="s">
        <v>76</v>
      </c>
      <c r="D73" s="228" t="str">
        <f>'[2]2025'!$D$52</f>
        <v>AN-17-0048</v>
      </c>
      <c r="E73" s="28">
        <v>800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52">
        <f t="shared" si="3"/>
        <v>800</v>
      </c>
      <c r="S73" s="22">
        <f t="shared" si="4"/>
        <v>66.666666666666671</v>
      </c>
      <c r="T73" s="258">
        <v>0</v>
      </c>
      <c r="U73" s="52"/>
      <c r="V73" s="22"/>
      <c r="W73" s="53">
        <f t="shared" si="5"/>
        <v>0</v>
      </c>
      <c r="X73" s="93"/>
    </row>
    <row r="74" spans="2:28">
      <c r="B74" s="23">
        <v>49</v>
      </c>
      <c r="C74" s="20" t="s">
        <v>77</v>
      </c>
      <c r="D74" s="228" t="str">
        <f>'[2]2025'!$D$53</f>
        <v>AN-17-0049</v>
      </c>
      <c r="E74" s="34">
        <f>42.44+5576.18+6.17</f>
        <v>5624.79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52">
        <f t="shared" si="3"/>
        <v>5624.79</v>
      </c>
      <c r="S74" s="22">
        <f t="shared" si="4"/>
        <v>468.73250000000002</v>
      </c>
      <c r="T74" s="258">
        <v>0</v>
      </c>
      <c r="U74" s="52"/>
      <c r="V74" s="22"/>
      <c r="W74" s="53">
        <f t="shared" si="5"/>
        <v>0</v>
      </c>
      <c r="X74" s="93"/>
    </row>
    <row r="75" spans="2:28">
      <c r="B75" s="19">
        <v>50</v>
      </c>
      <c r="C75" s="20" t="s">
        <v>78</v>
      </c>
      <c r="D75" s="228" t="str">
        <f>'[2]2025'!$D$54</f>
        <v>AN-18-0050</v>
      </c>
      <c r="E75" s="28">
        <v>200</v>
      </c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52">
        <f t="shared" si="3"/>
        <v>200</v>
      </c>
      <c r="S75" s="22">
        <f t="shared" si="4"/>
        <v>16.666666666666668</v>
      </c>
      <c r="T75" s="258">
        <v>0</v>
      </c>
      <c r="U75" s="52"/>
      <c r="V75" s="22"/>
      <c r="W75" s="53">
        <f t="shared" si="5"/>
        <v>0</v>
      </c>
      <c r="X75" s="93"/>
      <c r="Z75" s="54"/>
      <c r="AA75" s="67"/>
      <c r="AB75" s="65"/>
    </row>
    <row r="76" spans="2:28">
      <c r="B76" s="19">
        <v>51</v>
      </c>
      <c r="C76" s="69" t="s">
        <v>79</v>
      </c>
      <c r="D76" s="228" t="str">
        <f>'[2]2025'!$D$55</f>
        <v>AN-18-0051</v>
      </c>
      <c r="E76" s="28">
        <v>200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52">
        <f t="shared" si="3"/>
        <v>200</v>
      </c>
      <c r="S76" s="22">
        <f t="shared" si="4"/>
        <v>16.666666666666668</v>
      </c>
      <c r="T76" s="258">
        <v>0</v>
      </c>
      <c r="U76" s="52"/>
      <c r="V76" s="22"/>
      <c r="W76" s="53">
        <f t="shared" si="5"/>
        <v>0</v>
      </c>
      <c r="X76" s="93"/>
      <c r="Z76" s="54"/>
      <c r="AA76" s="67"/>
      <c r="AB76" s="65"/>
    </row>
    <row r="77" spans="2:28">
      <c r="B77" s="19">
        <v>52</v>
      </c>
      <c r="C77" s="20" t="s">
        <v>80</v>
      </c>
      <c r="D77" s="228" t="str">
        <f>'[2]2025'!$D$56</f>
        <v>AN-18-0052</v>
      </c>
      <c r="E77" s="21">
        <v>1550</v>
      </c>
      <c r="F77" s="5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52">
        <f t="shared" si="3"/>
        <v>1550</v>
      </c>
      <c r="S77" s="22">
        <f t="shared" si="4"/>
        <v>129.16666666666666</v>
      </c>
      <c r="T77" s="258">
        <v>0</v>
      </c>
      <c r="U77" s="52"/>
      <c r="V77" s="22"/>
      <c r="W77" s="53">
        <f t="shared" si="5"/>
        <v>0</v>
      </c>
      <c r="X77" s="93"/>
    </row>
    <row r="78" spans="2:28">
      <c r="B78" s="23">
        <v>53</v>
      </c>
      <c r="C78" s="20" t="s">
        <v>81</v>
      </c>
      <c r="D78" s="228" t="str">
        <f>'[2]2025'!$D$57</f>
        <v>AN-18-0053</v>
      </c>
      <c r="E78" s="34">
        <f>15.38+2020.35+2.24</f>
        <v>2037.97</v>
      </c>
      <c r="F78" s="22"/>
      <c r="G78" s="22"/>
      <c r="H78" s="22"/>
      <c r="I78" s="22"/>
      <c r="J78" s="22"/>
      <c r="K78" s="22"/>
      <c r="L78" s="22"/>
      <c r="M78" s="33"/>
      <c r="N78" s="22"/>
      <c r="O78" s="22"/>
      <c r="P78" s="22"/>
      <c r="Q78" s="22"/>
      <c r="R78" s="252">
        <f t="shared" si="3"/>
        <v>2037.97</v>
      </c>
      <c r="S78" s="22">
        <f t="shared" si="4"/>
        <v>169.83083333333335</v>
      </c>
      <c r="T78" s="258">
        <v>0</v>
      </c>
      <c r="U78" s="52"/>
      <c r="V78" s="22"/>
      <c r="W78" s="53">
        <f t="shared" si="5"/>
        <v>0</v>
      </c>
      <c r="X78" s="95"/>
    </row>
    <row r="79" spans="2:28">
      <c r="B79" s="19">
        <v>54</v>
      </c>
      <c r="C79" s="232" t="s">
        <v>229</v>
      </c>
      <c r="D79" s="231" t="str">
        <f>'[2]2025'!$D$58</f>
        <v>AN-18-0054</v>
      </c>
      <c r="E79" s="28">
        <v>100</v>
      </c>
      <c r="F79" s="32"/>
      <c r="G79" s="22"/>
      <c r="H79" s="22">
        <f>200</f>
        <v>200</v>
      </c>
      <c r="I79" s="22"/>
      <c r="J79" s="240">
        <f>1700+20</f>
        <v>1720</v>
      </c>
      <c r="K79" s="22"/>
      <c r="L79" s="22"/>
      <c r="M79" s="22"/>
      <c r="N79" s="22"/>
      <c r="O79" s="22"/>
      <c r="P79" s="22"/>
      <c r="Q79" s="22"/>
      <c r="R79" s="252">
        <f t="shared" si="3"/>
        <v>2020</v>
      </c>
      <c r="S79" s="22">
        <f t="shared" si="4"/>
        <v>168.33333333333334</v>
      </c>
      <c r="T79" s="258">
        <v>0</v>
      </c>
      <c r="U79" s="52">
        <f>'[4]2025loaners'!$H$6</f>
        <v>3000</v>
      </c>
      <c r="V79" s="22"/>
      <c r="W79" s="53">
        <f t="shared" si="5"/>
        <v>0</v>
      </c>
      <c r="X79" s="93"/>
      <c r="Z79" s="54"/>
      <c r="AA79" s="67"/>
      <c r="AB79" s="65"/>
    </row>
    <row r="80" spans="2:28">
      <c r="B80" s="23">
        <v>55</v>
      </c>
      <c r="C80" s="70" t="str">
        <f>'[2]2025'!$X$59</f>
        <v>Brett Colin J.  Balao</v>
      </c>
      <c r="D80" s="229" t="str">
        <f>'[2]2025'!$D$59</f>
        <v>AN-18-0055</v>
      </c>
      <c r="E80" s="34">
        <f>KIDDY2024!S12</f>
        <v>2812.1905999999999</v>
      </c>
      <c r="F80" s="22"/>
      <c r="G80" s="22"/>
      <c r="H80" s="71"/>
      <c r="I80" s="72"/>
      <c r="J80" s="32"/>
      <c r="K80" s="22"/>
      <c r="L80" s="22"/>
      <c r="M80" s="22"/>
      <c r="N80" s="22"/>
      <c r="O80" s="22"/>
      <c r="P80" s="22"/>
      <c r="Q80" s="22"/>
      <c r="R80" s="252">
        <f t="shared" si="3"/>
        <v>2812.1905999999999</v>
      </c>
      <c r="S80" s="22">
        <f t="shared" si="4"/>
        <v>234.34921666666665</v>
      </c>
      <c r="T80" s="258">
        <v>0</v>
      </c>
      <c r="U80" s="52"/>
      <c r="V80" s="22"/>
      <c r="W80" s="53">
        <f t="shared" si="5"/>
        <v>0</v>
      </c>
      <c r="X80" s="93"/>
      <c r="Z80" s="54"/>
      <c r="AA80" s="67"/>
      <c r="AB80" s="65"/>
    </row>
    <row r="81" spans="2:28" ht="4.2" customHeight="1">
      <c r="B81" s="35"/>
      <c r="C81" s="73"/>
      <c r="D81" s="73"/>
      <c r="E81" s="74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90"/>
      <c r="S81" s="38"/>
      <c r="T81" s="38"/>
      <c r="U81" s="96"/>
      <c r="V81" s="38"/>
      <c r="W81" s="38"/>
      <c r="X81" s="89"/>
    </row>
    <row r="82" spans="2:28">
      <c r="B82" s="31"/>
      <c r="C82" s="70"/>
      <c r="D82" s="70"/>
      <c r="E82" s="40"/>
      <c r="R82" s="239">
        <f>SUM(R54:R81)</f>
        <v>60942.616350000004</v>
      </c>
    </row>
    <row r="83" spans="2:28">
      <c r="B83" s="31"/>
      <c r="C83" s="70"/>
      <c r="D83" s="70"/>
      <c r="E83" s="40"/>
      <c r="W83" s="3"/>
      <c r="X83" s="267" t="s">
        <v>84</v>
      </c>
    </row>
    <row r="84" spans="2:28">
      <c r="B84" s="31"/>
      <c r="C84" s="70"/>
      <c r="D84" s="70"/>
      <c r="E84" s="40"/>
    </row>
    <row r="85" spans="2:28">
      <c r="B85" s="308" t="s">
        <v>0</v>
      </c>
      <c r="C85" s="308"/>
      <c r="D85" s="308"/>
      <c r="E85" s="308"/>
      <c r="F85" s="308"/>
      <c r="G85" s="308"/>
      <c r="H85" s="308"/>
      <c r="I85" s="308"/>
      <c r="J85" s="308"/>
      <c r="K85" s="308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308"/>
      <c r="W85" s="308"/>
      <c r="X85" s="308"/>
    </row>
    <row r="86" spans="2:28">
      <c r="B86" s="315" t="s">
        <v>1</v>
      </c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</row>
    <row r="87" spans="2:28">
      <c r="B87" s="313" t="s">
        <v>2</v>
      </c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</row>
    <row r="88" spans="2:28">
      <c r="C88" s="9"/>
      <c r="D88" s="9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51"/>
      <c r="V88" s="9"/>
      <c r="W88" s="9"/>
      <c r="X88" s="9"/>
    </row>
    <row r="89" spans="2:28" ht="18">
      <c r="B89" s="316" t="s">
        <v>3</v>
      </c>
      <c r="C89" s="316"/>
      <c r="D89" s="316"/>
      <c r="E89" s="316"/>
      <c r="F89" s="316"/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</row>
    <row r="90" spans="2:28" ht="12.75" customHeight="1">
      <c r="B90" s="313" t="s">
        <v>224</v>
      </c>
      <c r="C90" s="313"/>
      <c r="D90" s="313"/>
      <c r="E90" s="313"/>
      <c r="F90" s="313"/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  <c r="T90" s="313"/>
      <c r="U90" s="313"/>
      <c r="V90" s="313"/>
      <c r="W90" s="313"/>
      <c r="X90" s="313"/>
    </row>
    <row r="91" spans="2:28" ht="3.75" customHeight="1">
      <c r="B91" s="10"/>
      <c r="C91" s="4"/>
      <c r="D91" s="4"/>
      <c r="F91" s="10"/>
      <c r="G91" s="10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2:28" ht="17.25" customHeight="1">
      <c r="B92" s="336" t="s">
        <v>5</v>
      </c>
      <c r="C92" s="337"/>
      <c r="D92" s="332" t="s">
        <v>230</v>
      </c>
      <c r="E92" s="332" t="s">
        <v>225</v>
      </c>
      <c r="F92" s="346" t="s">
        <v>7</v>
      </c>
      <c r="G92" s="346" t="s">
        <v>8</v>
      </c>
      <c r="H92" s="346" t="s">
        <v>9</v>
      </c>
      <c r="I92" s="346" t="s">
        <v>10</v>
      </c>
      <c r="J92" s="346" t="s">
        <v>11</v>
      </c>
      <c r="K92" s="346" t="s">
        <v>12</v>
      </c>
      <c r="L92" s="346" t="s">
        <v>13</v>
      </c>
      <c r="M92" s="346" t="s">
        <v>14</v>
      </c>
      <c r="N92" s="346" t="s">
        <v>15</v>
      </c>
      <c r="O92" s="346" t="s">
        <v>16</v>
      </c>
      <c r="P92" s="346" t="s">
        <v>17</v>
      </c>
      <c r="Q92" s="346" t="s">
        <v>18</v>
      </c>
      <c r="R92" s="319" t="s">
        <v>19</v>
      </c>
      <c r="S92" s="319" t="s">
        <v>20</v>
      </c>
      <c r="T92" s="327" t="s">
        <v>21</v>
      </c>
      <c r="U92" s="323" t="s">
        <v>22</v>
      </c>
      <c r="V92" s="342" t="s">
        <v>23</v>
      </c>
      <c r="W92" s="329" t="s">
        <v>24</v>
      </c>
      <c r="X92" s="325" t="s">
        <v>25</v>
      </c>
    </row>
    <row r="93" spans="2:28" ht="16.5" customHeight="1">
      <c r="B93" s="338"/>
      <c r="C93" s="339"/>
      <c r="D93" s="333"/>
      <c r="E93" s="333"/>
      <c r="F93" s="347"/>
      <c r="G93" s="347"/>
      <c r="H93" s="347"/>
      <c r="I93" s="347"/>
      <c r="J93" s="347"/>
      <c r="K93" s="347"/>
      <c r="L93" s="347"/>
      <c r="M93" s="347"/>
      <c r="N93" s="347"/>
      <c r="O93" s="347"/>
      <c r="P93" s="347"/>
      <c r="Q93" s="347"/>
      <c r="R93" s="320"/>
      <c r="S93" s="320"/>
      <c r="T93" s="328"/>
      <c r="U93" s="324"/>
      <c r="V93" s="343"/>
      <c r="W93" s="330"/>
      <c r="X93" s="326"/>
    </row>
    <row r="94" spans="2:28" ht="4.5" customHeight="1">
      <c r="B94" s="41"/>
      <c r="C94" s="75"/>
      <c r="D94" s="75"/>
      <c r="E94" s="42"/>
      <c r="F94" s="43"/>
      <c r="G94" s="43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61"/>
      <c r="V94" s="44"/>
      <c r="W94" s="44"/>
      <c r="X94" s="44"/>
    </row>
    <row r="95" spans="2:28">
      <c r="B95" s="23">
        <v>56</v>
      </c>
      <c r="C95" s="234" t="s">
        <v>85</v>
      </c>
      <c r="D95" s="230" t="str">
        <f>'[2]2025'!$D$60</f>
        <v>AN-18-0056</v>
      </c>
      <c r="E95" s="76">
        <f>17.08+2244.4+2.48</f>
        <v>2263.96</v>
      </c>
      <c r="F95" s="77"/>
      <c r="G95" s="77"/>
      <c r="H95" s="32"/>
      <c r="I95" s="22"/>
      <c r="J95" s="22"/>
      <c r="K95" s="22"/>
      <c r="L95" s="22"/>
      <c r="M95" s="22"/>
      <c r="N95" s="22"/>
      <c r="O95" s="22"/>
      <c r="P95" s="22"/>
      <c r="Q95" s="22"/>
      <c r="R95" s="252">
        <f t="shared" ref="R95:R104" si="6">E95+F95+G95+H95+I95+J95+K95+L95+M95+N95+O95+P95+Q95</f>
        <v>2263.96</v>
      </c>
      <c r="S95" s="22">
        <f t="shared" ref="S95:S101" si="7">R95/12</f>
        <v>188.66333333333333</v>
      </c>
      <c r="T95" s="22">
        <v>0</v>
      </c>
      <c r="U95" s="97"/>
      <c r="V95" s="93"/>
      <c r="W95" s="53">
        <f>T95+V95</f>
        <v>0</v>
      </c>
      <c r="X95" s="93"/>
      <c r="AA95" s="67"/>
      <c r="AB95" s="65"/>
    </row>
    <row r="96" spans="2:28">
      <c r="B96" s="23">
        <v>57</v>
      </c>
      <c r="C96" s="234" t="s">
        <v>86</v>
      </c>
      <c r="D96" s="229" t="str">
        <f>'[2]2025'!$D$61</f>
        <v>AN-18-0057</v>
      </c>
      <c r="E96" s="76">
        <f>16.32+2143.93+2.37</f>
        <v>2162.62</v>
      </c>
      <c r="F96" s="77"/>
      <c r="G96" s="77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52">
        <f t="shared" si="6"/>
        <v>2162.62</v>
      </c>
      <c r="S96" s="22">
        <f t="shared" si="7"/>
        <v>180.21833333333333</v>
      </c>
      <c r="T96" s="22">
        <v>0</v>
      </c>
      <c r="U96" s="97"/>
      <c r="V96" s="93"/>
      <c r="W96" s="53">
        <f t="shared" ref="W96:W121" si="8">T96+V96</f>
        <v>0</v>
      </c>
      <c r="X96" s="93"/>
    </row>
    <row r="97" spans="2:28">
      <c r="B97" s="23">
        <v>58</v>
      </c>
      <c r="C97" s="234" t="s">
        <v>87</v>
      </c>
      <c r="D97" s="229" t="str">
        <f>'[2]2025'!$D$62</f>
        <v>AN-18-0058</v>
      </c>
      <c r="E97" s="76">
        <f>18.95+2490.09+2.76</f>
        <v>2511.8000000000002</v>
      </c>
      <c r="F97" s="77"/>
      <c r="G97" s="77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52">
        <f t="shared" si="6"/>
        <v>2511.8000000000002</v>
      </c>
      <c r="S97" s="22">
        <f t="shared" si="7"/>
        <v>209.31666666666669</v>
      </c>
      <c r="T97" s="22">
        <v>0</v>
      </c>
      <c r="U97" s="52"/>
      <c r="V97" s="22"/>
      <c r="W97" s="53">
        <f t="shared" si="8"/>
        <v>0</v>
      </c>
      <c r="X97" s="93"/>
      <c r="Z97" s="55"/>
      <c r="AA97" s="67"/>
      <c r="AB97" s="65"/>
    </row>
    <row r="98" spans="2:28">
      <c r="B98" s="235">
        <v>59</v>
      </c>
      <c r="C98" s="234" t="str">
        <f>[1]Membership!$B$71</f>
        <v>Concepcion B. Cruz</v>
      </c>
      <c r="D98" s="229" t="str">
        <f>'[2]2025'!$D$63</f>
        <v>AN-18-0059</v>
      </c>
      <c r="E98" s="76">
        <f>53.28+7000+7.75</f>
        <v>7061.03</v>
      </c>
      <c r="F98" s="45"/>
      <c r="G98" s="77"/>
      <c r="H98" s="45"/>
      <c r="I98" s="22"/>
      <c r="J98" s="22"/>
      <c r="K98" s="22"/>
      <c r="L98" s="22"/>
      <c r="M98" s="22"/>
      <c r="N98" s="22"/>
      <c r="O98" s="22"/>
      <c r="P98" s="22"/>
      <c r="Q98" s="22"/>
      <c r="R98" s="252">
        <f t="shared" si="6"/>
        <v>7061.03</v>
      </c>
      <c r="S98" s="22">
        <f t="shared" si="7"/>
        <v>588.41916666666668</v>
      </c>
      <c r="T98" s="22">
        <v>0</v>
      </c>
      <c r="U98" s="52"/>
      <c r="V98" s="22"/>
      <c r="W98" s="53">
        <f t="shared" si="8"/>
        <v>0</v>
      </c>
      <c r="X98" s="93"/>
    </row>
    <row r="99" spans="2:28">
      <c r="B99" s="23">
        <v>60</v>
      </c>
      <c r="C99" s="234" t="str">
        <f>[1]Membership!$B$72</f>
        <v>Leonardo B. Cruz</v>
      </c>
      <c r="D99" s="229" t="str">
        <f>'[2]2025'!$D$64</f>
        <v>AN-18-0060</v>
      </c>
      <c r="E99" s="76">
        <f>19.49+2560.26+2.83</f>
        <v>2582.58</v>
      </c>
      <c r="F99" s="22"/>
      <c r="G99" s="77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52">
        <f t="shared" si="6"/>
        <v>2582.58</v>
      </c>
      <c r="S99" s="22">
        <f t="shared" si="7"/>
        <v>215.215</v>
      </c>
      <c r="T99" s="22">
        <v>0</v>
      </c>
      <c r="U99" s="52"/>
      <c r="V99" s="22"/>
      <c r="W99" s="53">
        <f t="shared" si="8"/>
        <v>0</v>
      </c>
      <c r="X99" s="93"/>
      <c r="Z99" s="55"/>
      <c r="AA99" s="67"/>
      <c r="AB99" s="65"/>
    </row>
    <row r="100" spans="2:28">
      <c r="B100" s="23">
        <v>61</v>
      </c>
      <c r="C100" s="234" t="str">
        <f>[1]Membership!$B$73</f>
        <v>Annalyn B. Cruz</v>
      </c>
      <c r="D100" s="229" t="str">
        <f>'[2]2025'!$D$65</f>
        <v>AN-18-0061</v>
      </c>
      <c r="E100" s="76">
        <f>18.84+2475.74+2.74</f>
        <v>2497.3199999999997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52">
        <f t="shared" si="6"/>
        <v>2497.3199999999997</v>
      </c>
      <c r="S100" s="22">
        <f t="shared" si="7"/>
        <v>208.10999999999999</v>
      </c>
      <c r="T100" s="22">
        <v>0</v>
      </c>
      <c r="U100" s="52"/>
      <c r="V100" s="22"/>
      <c r="W100" s="53">
        <f t="shared" si="8"/>
        <v>0</v>
      </c>
      <c r="X100" s="93"/>
      <c r="AA100" s="67"/>
      <c r="AB100" s="65"/>
    </row>
    <row r="101" spans="2:28">
      <c r="B101" s="23">
        <v>62</v>
      </c>
      <c r="C101" s="51" t="str">
        <f>'[2]2025'!$X$66</f>
        <v>ROWENA B. TELLIDUA</v>
      </c>
      <c r="D101" s="233" t="str">
        <f>'[2]2025'!$D$66</f>
        <v>AN-18-0062</v>
      </c>
      <c r="E101" s="76">
        <v>4100</v>
      </c>
      <c r="F101" s="77"/>
      <c r="G101" s="77"/>
      <c r="H101" s="22">
        <v>0</v>
      </c>
      <c r="I101" s="22"/>
      <c r="J101" s="22"/>
      <c r="K101" s="164"/>
      <c r="L101" s="276">
        <v>500</v>
      </c>
      <c r="M101" s="22"/>
      <c r="N101" s="22"/>
      <c r="O101" s="164"/>
      <c r="P101" s="22"/>
      <c r="Q101" s="22"/>
      <c r="R101" s="252">
        <f>E101+F101+G101+H101+I101+J101+K101+L101+M101+N101+O101+P101+Q101</f>
        <v>4600</v>
      </c>
      <c r="S101" s="22">
        <f t="shared" si="7"/>
        <v>383.33333333333331</v>
      </c>
      <c r="T101" s="22">
        <v>0</v>
      </c>
      <c r="U101" s="97"/>
      <c r="V101" s="22"/>
      <c r="W101" s="53">
        <f t="shared" si="8"/>
        <v>0</v>
      </c>
      <c r="X101" s="93"/>
    </row>
    <row r="102" spans="2:28">
      <c r="B102" s="23">
        <v>63</v>
      </c>
      <c r="C102" s="234" t="str">
        <f>[1]Membership!$B$75</f>
        <v>Milben Rex P. Balao</v>
      </c>
      <c r="D102" s="229" t="str">
        <f>'[2]2025'!$D$67</f>
        <v>AN-18-0063</v>
      </c>
      <c r="E102" s="76">
        <f>4790.07+10.79</f>
        <v>4800.8599999999997</v>
      </c>
      <c r="F102" s="22"/>
      <c r="G102" s="77"/>
      <c r="H102" s="47"/>
      <c r="I102" s="22"/>
      <c r="J102" s="22"/>
      <c r="K102" s="22"/>
      <c r="L102" s="22"/>
      <c r="M102" s="22"/>
      <c r="N102" s="22"/>
      <c r="O102" s="22"/>
      <c r="P102" s="22"/>
      <c r="Q102" s="22"/>
      <c r="R102" s="252">
        <f t="shared" si="6"/>
        <v>4800.8599999999997</v>
      </c>
      <c r="S102" s="22">
        <f t="shared" ref="S102:S121" si="9">R102/12</f>
        <v>400.07166666666666</v>
      </c>
      <c r="T102" s="22">
        <v>0</v>
      </c>
      <c r="U102" s="52"/>
      <c r="V102" s="22"/>
      <c r="W102" s="53">
        <f t="shared" si="8"/>
        <v>0</v>
      </c>
      <c r="X102" s="93"/>
    </row>
    <row r="103" spans="2:28">
      <c r="B103" s="19">
        <v>64</v>
      </c>
      <c r="C103" s="208" t="s">
        <v>88</v>
      </c>
      <c r="D103" s="233" t="str">
        <f>'[2]2025'!$D$68</f>
        <v>AN-18-0064</v>
      </c>
      <c r="E103" s="82">
        <v>100</v>
      </c>
      <c r="F103" s="81"/>
      <c r="G103" s="8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253">
        <f t="shared" si="6"/>
        <v>100</v>
      </c>
      <c r="S103" s="58">
        <f t="shared" si="9"/>
        <v>8.3333333333333339</v>
      </c>
      <c r="T103" s="22">
        <v>0</v>
      </c>
      <c r="U103" s="71"/>
      <c r="V103" s="22"/>
      <c r="W103" s="53">
        <f t="shared" si="8"/>
        <v>0</v>
      </c>
      <c r="X103" s="93"/>
      <c r="Z103" s="54"/>
      <c r="AA103" s="67"/>
      <c r="AB103" s="65"/>
    </row>
    <row r="104" spans="2:28">
      <c r="B104" s="23">
        <v>65</v>
      </c>
      <c r="C104" s="234" t="s">
        <v>89</v>
      </c>
      <c r="D104" s="229" t="str">
        <f>'[2]2025'!$D$69</f>
        <v>AN-18-0065</v>
      </c>
      <c r="E104" s="76">
        <f>20.88+2742.63+3.04</f>
        <v>2766.55</v>
      </c>
      <c r="F104" s="77"/>
      <c r="G104" s="77"/>
      <c r="H104" s="22"/>
      <c r="I104" s="22"/>
      <c r="J104" s="32"/>
      <c r="K104" s="22"/>
      <c r="L104" s="22"/>
      <c r="M104" s="22"/>
      <c r="N104" s="22"/>
      <c r="O104" s="22"/>
      <c r="P104" s="22"/>
      <c r="Q104" s="22"/>
      <c r="R104" s="252">
        <f t="shared" si="6"/>
        <v>2766.55</v>
      </c>
      <c r="S104" s="22">
        <f t="shared" si="9"/>
        <v>230.54583333333335</v>
      </c>
      <c r="T104" s="22">
        <v>0</v>
      </c>
      <c r="U104" s="52"/>
      <c r="V104" s="22"/>
      <c r="W104" s="53">
        <f t="shared" si="8"/>
        <v>0</v>
      </c>
      <c r="X104" s="93"/>
      <c r="Z104" s="55"/>
      <c r="AA104" s="67"/>
      <c r="AB104" s="65"/>
    </row>
    <row r="105" spans="2:28">
      <c r="B105" s="29">
        <v>66</v>
      </c>
      <c r="C105" s="234" t="s">
        <v>90</v>
      </c>
      <c r="D105" s="229" t="str">
        <f>'[2]2025'!$D$70</f>
        <v>AN-18-0066</v>
      </c>
      <c r="E105" s="76">
        <f>7294.49+17.22</f>
        <v>7311.71</v>
      </c>
      <c r="F105" s="77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>
        <f>20</f>
        <v>20</v>
      </c>
      <c r="R105" s="252">
        <f t="shared" ref="R105:R121" si="10">E105+F105+G105+H105+I105+J105+K105+L105+M105+N105+O105+P105+Q105</f>
        <v>7331.71</v>
      </c>
      <c r="S105" s="22">
        <f t="shared" si="9"/>
        <v>610.9758333333333</v>
      </c>
      <c r="T105" s="22">
        <v>0</v>
      </c>
      <c r="U105" s="52">
        <f>'[4]2025loaners'!$H$4</f>
        <v>900</v>
      </c>
      <c r="V105" s="22"/>
      <c r="W105" s="53">
        <f t="shared" si="8"/>
        <v>0</v>
      </c>
      <c r="X105" s="93"/>
    </row>
    <row r="106" spans="2:28">
      <c r="B106" s="23">
        <v>67</v>
      </c>
      <c r="C106" s="9" t="s">
        <v>91</v>
      </c>
      <c r="D106" s="229" t="str">
        <f>'[2]2025'!$D$71</f>
        <v>AN-18-0067</v>
      </c>
      <c r="E106" s="76">
        <f>17.39+2284.83+2.53</f>
        <v>2304.75</v>
      </c>
      <c r="F106" s="77"/>
      <c r="G106" s="77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52">
        <f t="shared" si="10"/>
        <v>2304.75</v>
      </c>
      <c r="S106" s="22">
        <f t="shared" si="9"/>
        <v>192.0625</v>
      </c>
      <c r="T106" s="22">
        <v>0</v>
      </c>
      <c r="U106" s="52"/>
      <c r="V106" s="22"/>
      <c r="W106" s="53">
        <f t="shared" si="8"/>
        <v>0</v>
      </c>
      <c r="X106" s="93"/>
    </row>
    <row r="107" spans="2:28">
      <c r="B107" s="19">
        <v>68</v>
      </c>
      <c r="C107" s="234" t="s">
        <v>92</v>
      </c>
      <c r="D107" s="229" t="str">
        <f>'[2]2025'!$D$72</f>
        <v>AN-18-0068</v>
      </c>
      <c r="E107" s="82">
        <v>220</v>
      </c>
      <c r="F107" s="77"/>
      <c r="G107" s="77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52">
        <f t="shared" si="10"/>
        <v>220</v>
      </c>
      <c r="S107" s="22">
        <f t="shared" si="9"/>
        <v>18.333333333333332</v>
      </c>
      <c r="T107" s="22">
        <v>0</v>
      </c>
      <c r="U107" s="52"/>
      <c r="V107" s="22"/>
      <c r="W107" s="53">
        <f t="shared" si="8"/>
        <v>0</v>
      </c>
      <c r="X107" s="93"/>
    </row>
    <row r="108" spans="2:28">
      <c r="B108" s="19">
        <v>69</v>
      </c>
      <c r="C108" s="234" t="s">
        <v>93</v>
      </c>
      <c r="D108" s="229" t="str">
        <f>'[2]2025'!$D$73</f>
        <v>AN-18-0069</v>
      </c>
      <c r="E108" s="83">
        <v>100</v>
      </c>
      <c r="F108" s="77"/>
      <c r="G108" s="77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52">
        <f t="shared" si="10"/>
        <v>100</v>
      </c>
      <c r="S108" s="22">
        <f t="shared" si="9"/>
        <v>8.3333333333333339</v>
      </c>
      <c r="T108" s="22">
        <v>0</v>
      </c>
      <c r="U108" s="97"/>
      <c r="V108" s="22"/>
      <c r="W108" s="53">
        <f t="shared" si="8"/>
        <v>0</v>
      </c>
      <c r="X108" s="93"/>
    </row>
    <row r="109" spans="2:28">
      <c r="B109" s="19">
        <v>70</v>
      </c>
      <c r="C109" s="234" t="s">
        <v>94</v>
      </c>
      <c r="D109" s="229" t="str">
        <f>'[2]2025'!$D$74</f>
        <v>AN-19-0070</v>
      </c>
      <c r="E109" s="83">
        <v>100</v>
      </c>
      <c r="F109" s="77"/>
      <c r="G109" s="77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52">
        <f t="shared" si="10"/>
        <v>100</v>
      </c>
      <c r="S109" s="22">
        <f t="shared" si="9"/>
        <v>8.3333333333333339</v>
      </c>
      <c r="T109" s="22">
        <v>0</v>
      </c>
      <c r="U109" s="97"/>
      <c r="V109" s="22"/>
      <c r="W109" s="53">
        <f t="shared" si="8"/>
        <v>0</v>
      </c>
      <c r="X109" s="93"/>
    </row>
    <row r="110" spans="2:28">
      <c r="B110" s="19">
        <v>71</v>
      </c>
      <c r="C110" s="234" t="s">
        <v>95</v>
      </c>
      <c r="D110" s="229" t="str">
        <f>'[2]2025'!$D$75</f>
        <v>AN-19-0071</v>
      </c>
      <c r="E110" s="83">
        <v>420</v>
      </c>
      <c r="F110" s="77"/>
      <c r="G110" s="77"/>
      <c r="H110" s="22"/>
      <c r="I110" s="22"/>
      <c r="J110" s="22"/>
      <c r="K110" s="22"/>
      <c r="L110" s="45"/>
      <c r="M110" s="22"/>
      <c r="N110" s="22"/>
      <c r="O110" s="22"/>
      <c r="P110" s="22"/>
      <c r="Q110" s="22"/>
      <c r="R110" s="252">
        <f t="shared" si="10"/>
        <v>420</v>
      </c>
      <c r="S110" s="22">
        <f t="shared" si="9"/>
        <v>35</v>
      </c>
      <c r="T110" s="22">
        <v>0</v>
      </c>
      <c r="U110" s="52"/>
      <c r="V110" s="22"/>
      <c r="W110" s="53">
        <f t="shared" si="8"/>
        <v>0</v>
      </c>
      <c r="X110" s="93"/>
    </row>
    <row r="111" spans="2:28">
      <c r="B111" s="19">
        <v>72</v>
      </c>
      <c r="C111" s="234" t="s">
        <v>96</v>
      </c>
      <c r="D111" s="229" t="str">
        <f>'[2]2025'!$D$76</f>
        <v>AN-19-0072</v>
      </c>
      <c r="E111" s="83">
        <v>340</v>
      </c>
      <c r="F111" s="22"/>
      <c r="G111" s="77"/>
      <c r="H111" s="22"/>
      <c r="I111" s="22"/>
      <c r="J111" s="22"/>
      <c r="K111" s="22"/>
      <c r="L111" s="45"/>
      <c r="M111" s="22"/>
      <c r="N111" s="22"/>
      <c r="O111" s="22"/>
      <c r="P111" s="22"/>
      <c r="Q111" s="22"/>
      <c r="R111" s="252">
        <f t="shared" si="10"/>
        <v>340</v>
      </c>
      <c r="S111" s="22">
        <f t="shared" si="9"/>
        <v>28.333333333333332</v>
      </c>
      <c r="T111" s="22">
        <v>0</v>
      </c>
      <c r="U111" s="52"/>
      <c r="V111" s="22"/>
      <c r="W111" s="53">
        <f t="shared" si="8"/>
        <v>0</v>
      </c>
      <c r="X111" s="93"/>
    </row>
    <row r="112" spans="2:28">
      <c r="B112" s="19">
        <v>73</v>
      </c>
      <c r="C112" s="234" t="s">
        <v>97</v>
      </c>
      <c r="D112" s="229" t="str">
        <f>'[2]2025'!$D$77</f>
        <v>AN-19-0073</v>
      </c>
      <c r="E112" s="83">
        <v>440</v>
      </c>
      <c r="F112" s="22">
        <v>20</v>
      </c>
      <c r="G112" s="77"/>
      <c r="H112" s="22"/>
      <c r="I112" s="22"/>
      <c r="J112" s="22"/>
      <c r="K112" s="22">
        <v>20</v>
      </c>
      <c r="L112" s="22"/>
      <c r="M112" s="22"/>
      <c r="N112" s="22"/>
      <c r="O112" s="22"/>
      <c r="P112" s="22"/>
      <c r="Q112" s="22"/>
      <c r="R112" s="252">
        <f t="shared" si="10"/>
        <v>480</v>
      </c>
      <c r="S112" s="22">
        <f t="shared" si="9"/>
        <v>40</v>
      </c>
      <c r="T112" s="22">
        <v>0</v>
      </c>
      <c r="U112" s="249">
        <f>'[4]2025loaners'!$H$3+'[4]2025loaners'!$H$8</f>
        <v>800</v>
      </c>
      <c r="V112" s="22"/>
      <c r="W112" s="53">
        <f t="shared" si="8"/>
        <v>0</v>
      </c>
      <c r="X112" s="93"/>
    </row>
    <row r="113" spans="2:24">
      <c r="B113" s="19">
        <v>74</v>
      </c>
      <c r="C113" s="234" t="s">
        <v>98</v>
      </c>
      <c r="D113" s="229" t="str">
        <f>'[2]2025'!$D$78</f>
        <v>AN-19-0074</v>
      </c>
      <c r="E113" s="83">
        <v>520</v>
      </c>
      <c r="F113" s="22"/>
      <c r="G113" s="77"/>
      <c r="H113" s="45"/>
      <c r="I113" s="22"/>
      <c r="J113" s="22"/>
      <c r="K113" s="22"/>
      <c r="L113" s="22"/>
      <c r="M113" s="22"/>
      <c r="N113" s="22"/>
      <c r="O113" s="22"/>
      <c r="P113" s="22"/>
      <c r="Q113" s="22"/>
      <c r="R113" s="252">
        <f t="shared" si="10"/>
        <v>520</v>
      </c>
      <c r="S113" s="22">
        <f t="shared" si="9"/>
        <v>43.333333333333336</v>
      </c>
      <c r="T113" s="22">
        <v>0</v>
      </c>
      <c r="U113" s="52"/>
      <c r="V113" s="22"/>
      <c r="W113" s="53">
        <f t="shared" si="8"/>
        <v>0</v>
      </c>
      <c r="X113" s="93"/>
    </row>
    <row r="114" spans="2:24">
      <c r="B114" s="235">
        <v>75</v>
      </c>
      <c r="C114" s="234" t="s">
        <v>99</v>
      </c>
      <c r="D114" s="229" t="str">
        <f>'[2]2025'!$D$79</f>
        <v>AN-19-0075</v>
      </c>
      <c r="E114" s="76">
        <f>53.28+7000+7.75+500</f>
        <v>7561.03</v>
      </c>
      <c r="F114" s="22"/>
      <c r="G114" s="81"/>
      <c r="H114" s="71"/>
      <c r="I114" s="32"/>
      <c r="J114" s="22"/>
      <c r="K114" s="32"/>
      <c r="L114" s="32"/>
      <c r="M114" s="32"/>
      <c r="N114" s="32"/>
      <c r="O114" s="32"/>
      <c r="P114" s="32"/>
      <c r="Q114" s="22"/>
      <c r="R114" s="252">
        <f t="shared" si="10"/>
        <v>7561.03</v>
      </c>
      <c r="S114" s="22">
        <f t="shared" si="9"/>
        <v>630.08583333333331</v>
      </c>
      <c r="T114" s="22">
        <v>0</v>
      </c>
      <c r="U114" s="52"/>
      <c r="V114" s="22"/>
      <c r="W114" s="53">
        <f t="shared" si="8"/>
        <v>0</v>
      </c>
      <c r="X114" s="93"/>
    </row>
    <row r="115" spans="2:24">
      <c r="B115" s="19">
        <v>76</v>
      </c>
      <c r="C115" s="234" t="s">
        <v>100</v>
      </c>
      <c r="D115" s="229" t="str">
        <f>'[2]2025'!$D$80</f>
        <v>AN-20-0076</v>
      </c>
      <c r="E115" s="83">
        <v>200</v>
      </c>
      <c r="F115" s="77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52">
        <f t="shared" si="10"/>
        <v>200</v>
      </c>
      <c r="S115" s="22">
        <f t="shared" si="9"/>
        <v>16.666666666666668</v>
      </c>
      <c r="T115" s="22">
        <v>0</v>
      </c>
      <c r="U115" s="52"/>
      <c r="V115" s="22"/>
      <c r="W115" s="53">
        <f t="shared" si="8"/>
        <v>0</v>
      </c>
      <c r="X115" s="93"/>
    </row>
    <row r="116" spans="2:24">
      <c r="B116" s="19">
        <v>77</v>
      </c>
      <c r="C116" s="234" t="s">
        <v>101</v>
      </c>
      <c r="D116" s="229" t="str">
        <f>'[2]2025'!$D$81</f>
        <v>AN-20-0077</v>
      </c>
      <c r="E116" s="83">
        <v>340</v>
      </c>
      <c r="F116" s="77"/>
      <c r="G116" s="77"/>
      <c r="H116" s="45"/>
      <c r="I116" s="22"/>
      <c r="J116" s="22"/>
      <c r="K116" s="22"/>
      <c r="L116" s="45"/>
      <c r="M116" s="22"/>
      <c r="N116" s="22"/>
      <c r="O116" s="22"/>
      <c r="P116" s="22"/>
      <c r="Q116" s="22"/>
      <c r="R116" s="252">
        <f t="shared" si="10"/>
        <v>340</v>
      </c>
      <c r="S116" s="22">
        <f t="shared" si="9"/>
        <v>28.333333333333332</v>
      </c>
      <c r="T116" s="22">
        <v>0</v>
      </c>
      <c r="U116" s="52"/>
      <c r="V116" s="22"/>
      <c r="W116" s="53">
        <f t="shared" si="8"/>
        <v>0</v>
      </c>
      <c r="X116" s="93"/>
    </row>
    <row r="117" spans="2:24">
      <c r="B117" s="19">
        <v>78</v>
      </c>
      <c r="C117" s="234" t="s">
        <v>102</v>
      </c>
      <c r="D117" s="229" t="str">
        <f>'[2]2025'!$D$82</f>
        <v>AN-20-0078</v>
      </c>
      <c r="E117" s="83">
        <v>100</v>
      </c>
      <c r="F117" s="77"/>
      <c r="G117" s="77"/>
      <c r="H117" s="22"/>
      <c r="I117" s="22"/>
      <c r="J117" s="22"/>
      <c r="K117" s="22"/>
      <c r="L117" s="45"/>
      <c r="M117" s="22"/>
      <c r="N117" s="22"/>
      <c r="O117" s="22"/>
      <c r="P117" s="22"/>
      <c r="Q117" s="22"/>
      <c r="R117" s="252">
        <f t="shared" si="10"/>
        <v>100</v>
      </c>
      <c r="S117" s="22">
        <f t="shared" si="9"/>
        <v>8.3333333333333339</v>
      </c>
      <c r="T117" s="22">
        <v>0</v>
      </c>
      <c r="U117" s="97"/>
      <c r="V117" s="22"/>
      <c r="W117" s="53">
        <f t="shared" si="8"/>
        <v>0</v>
      </c>
      <c r="X117" s="93"/>
    </row>
    <row r="118" spans="2:24">
      <c r="B118" s="19">
        <v>79</v>
      </c>
      <c r="C118" s="234" t="s">
        <v>103</v>
      </c>
      <c r="D118" s="229" t="str">
        <f>'[2]2025'!$D$83</f>
        <v>AN-20-0079</v>
      </c>
      <c r="E118" s="83">
        <v>421.82</v>
      </c>
      <c r="F118" s="77"/>
      <c r="G118" s="77"/>
      <c r="H118" s="22"/>
      <c r="I118" s="22"/>
      <c r="J118" s="22">
        <v>40</v>
      </c>
      <c r="K118" s="22"/>
      <c r="L118" s="45"/>
      <c r="M118" s="32"/>
      <c r="N118" s="22"/>
      <c r="O118" s="22"/>
      <c r="P118" s="22"/>
      <c r="Q118" s="22"/>
      <c r="R118" s="252">
        <f t="shared" si="10"/>
        <v>461.82</v>
      </c>
      <c r="S118" s="22">
        <f t="shared" si="9"/>
        <v>38.484999999999999</v>
      </c>
      <c r="T118" s="22">
        <v>0</v>
      </c>
      <c r="U118" s="249">
        <f>'[4]2025loaners'!$H$7</f>
        <v>200</v>
      </c>
      <c r="V118" s="22"/>
      <c r="W118" s="53">
        <f t="shared" si="8"/>
        <v>0</v>
      </c>
      <c r="X118" s="93"/>
    </row>
    <row r="119" spans="2:24">
      <c r="B119" s="19">
        <v>78</v>
      </c>
      <c r="C119" s="229" t="s">
        <v>104</v>
      </c>
      <c r="D119" s="229" t="str">
        <f>'[2]2025'!$D$84</f>
        <v>AN-20-0080</v>
      </c>
      <c r="E119" s="83">
        <v>100</v>
      </c>
      <c r="F119" s="77"/>
      <c r="G119" s="77"/>
      <c r="H119" s="22"/>
      <c r="I119" s="22"/>
      <c r="J119" s="22"/>
      <c r="K119" s="22"/>
      <c r="L119" s="45"/>
      <c r="M119" s="32"/>
      <c r="N119" s="22"/>
      <c r="O119" s="22"/>
      <c r="P119" s="22"/>
      <c r="Q119" s="22"/>
      <c r="R119" s="252">
        <f t="shared" si="10"/>
        <v>100</v>
      </c>
      <c r="S119" s="22">
        <f t="shared" si="9"/>
        <v>8.3333333333333339</v>
      </c>
      <c r="T119" s="22">
        <v>0</v>
      </c>
      <c r="U119" s="97"/>
      <c r="V119" s="22"/>
      <c r="W119" s="53">
        <f t="shared" si="8"/>
        <v>0</v>
      </c>
      <c r="X119" s="93"/>
    </row>
    <row r="120" spans="2:24">
      <c r="B120" s="19">
        <v>81</v>
      </c>
      <c r="C120" s="234" t="s">
        <v>105</v>
      </c>
      <c r="D120" s="229" t="str">
        <f>'[2]2025'!$D$85</f>
        <v>AN-20-0081</v>
      </c>
      <c r="E120" s="83">
        <v>220</v>
      </c>
      <c r="F120" s="77"/>
      <c r="G120" s="77"/>
      <c r="H120" s="22"/>
      <c r="I120" s="22"/>
      <c r="J120" s="22"/>
      <c r="K120" s="22"/>
      <c r="L120" s="45"/>
      <c r="M120" s="22"/>
      <c r="N120" s="22"/>
      <c r="O120" s="22"/>
      <c r="P120" s="22"/>
      <c r="Q120" s="22"/>
      <c r="R120" s="252">
        <f t="shared" si="10"/>
        <v>220</v>
      </c>
      <c r="S120" s="22">
        <f t="shared" si="9"/>
        <v>18.333333333333332</v>
      </c>
      <c r="T120" s="22">
        <v>0</v>
      </c>
      <c r="U120" s="52"/>
      <c r="V120" s="22"/>
      <c r="W120" s="53">
        <f t="shared" si="8"/>
        <v>0</v>
      </c>
      <c r="X120" s="93"/>
    </row>
    <row r="121" spans="2:24">
      <c r="B121" s="23">
        <v>82</v>
      </c>
      <c r="C121" s="234" t="s">
        <v>106</v>
      </c>
      <c r="D121" s="229" t="str">
        <f>'[2]2025'!$D$86</f>
        <v>AN-20-0082</v>
      </c>
      <c r="E121" s="76">
        <f>126.76+2277.26</f>
        <v>2404.0200000000004</v>
      </c>
      <c r="F121" s="77"/>
      <c r="G121" s="81"/>
      <c r="H121" s="22">
        <v>20</v>
      </c>
      <c r="I121" s="22"/>
      <c r="J121" s="22"/>
      <c r="K121" s="22"/>
      <c r="L121" s="164"/>
      <c r="M121" s="22"/>
      <c r="N121" s="22"/>
      <c r="O121" s="22"/>
      <c r="P121" s="22">
        <v>20</v>
      </c>
      <c r="Q121" s="22"/>
      <c r="R121" s="252">
        <f t="shared" si="10"/>
        <v>2444.0200000000004</v>
      </c>
      <c r="S121" s="22">
        <f t="shared" si="9"/>
        <v>203.66833333333338</v>
      </c>
      <c r="T121" s="22">
        <v>0</v>
      </c>
      <c r="U121" s="52">
        <f>'[4]2025loaners'!$H$5+'[4]2025loaners'!$H$10</f>
        <v>4400</v>
      </c>
      <c r="V121" s="22"/>
      <c r="W121" s="53">
        <f t="shared" si="8"/>
        <v>0</v>
      </c>
      <c r="X121" s="93"/>
    </row>
    <row r="122" spans="2:24" ht="6" customHeight="1">
      <c r="B122" s="85"/>
      <c r="C122" s="86"/>
      <c r="D122" s="86"/>
      <c r="E122" s="87"/>
      <c r="F122" s="88"/>
      <c r="G122" s="88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100"/>
      <c r="V122" s="89"/>
      <c r="W122" s="89"/>
      <c r="X122" s="89"/>
    </row>
    <row r="123" spans="2:24">
      <c r="R123" s="239">
        <f>SUM(R95:R122)</f>
        <v>54590.05</v>
      </c>
    </row>
    <row r="124" spans="2:24">
      <c r="B124" s="31"/>
      <c r="C124" s="70"/>
      <c r="D124" s="70"/>
      <c r="E124" s="40"/>
      <c r="W124" s="3"/>
    </row>
    <row r="125" spans="2:24">
      <c r="B125" s="31"/>
      <c r="C125" s="70"/>
      <c r="D125" s="70"/>
      <c r="E125" s="40"/>
      <c r="W125" s="3"/>
      <c r="X125" s="267" t="s">
        <v>107</v>
      </c>
    </row>
    <row r="126" spans="2:24">
      <c r="B126" s="31"/>
      <c r="C126" s="70"/>
      <c r="D126" s="70"/>
      <c r="E126" s="40"/>
    </row>
    <row r="127" spans="2:24">
      <c r="B127" s="308" t="s">
        <v>0</v>
      </c>
      <c r="C127" s="308"/>
      <c r="D127" s="308"/>
      <c r="E127" s="308"/>
      <c r="F127" s="308"/>
      <c r="G127" s="308"/>
      <c r="H127" s="308"/>
      <c r="I127" s="308"/>
      <c r="J127" s="308"/>
      <c r="K127" s="308"/>
      <c r="L127" s="308"/>
      <c r="M127" s="308"/>
      <c r="N127" s="308"/>
      <c r="O127" s="308"/>
      <c r="P127" s="308"/>
      <c r="Q127" s="308"/>
      <c r="R127" s="308"/>
      <c r="S127" s="308"/>
      <c r="T127" s="308"/>
      <c r="U127" s="308"/>
      <c r="V127" s="308"/>
      <c r="W127" s="308"/>
      <c r="X127" s="308"/>
    </row>
    <row r="128" spans="2:24">
      <c r="B128" s="315" t="s">
        <v>1</v>
      </c>
      <c r="C128" s="315"/>
      <c r="D128" s="315"/>
      <c r="E128" s="315"/>
      <c r="F128" s="315"/>
      <c r="G128" s="315"/>
      <c r="H128" s="315"/>
      <c r="I128" s="315"/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</row>
    <row r="129" spans="2:24">
      <c r="B129" s="313" t="s">
        <v>2</v>
      </c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  <c r="W129" s="313"/>
      <c r="X129" s="313"/>
    </row>
    <row r="130" spans="2:24">
      <c r="C130" s="9"/>
      <c r="D130" s="9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51"/>
      <c r="V130" s="9"/>
      <c r="W130" s="9"/>
      <c r="X130" s="9"/>
    </row>
    <row r="131" spans="2:24" ht="18">
      <c r="B131" s="316" t="s">
        <v>3</v>
      </c>
      <c r="C131" s="316"/>
      <c r="D131" s="316"/>
      <c r="E131" s="316"/>
      <c r="F131" s="316"/>
      <c r="G131" s="316"/>
      <c r="H131" s="316"/>
      <c r="I131" s="316"/>
      <c r="J131" s="316"/>
      <c r="K131" s="316"/>
      <c r="L131" s="316"/>
      <c r="M131" s="316"/>
      <c r="N131" s="316"/>
      <c r="O131" s="316"/>
      <c r="P131" s="316"/>
      <c r="Q131" s="316"/>
      <c r="R131" s="316"/>
      <c r="S131" s="316"/>
      <c r="T131" s="316"/>
      <c r="U131" s="316"/>
      <c r="V131" s="316"/>
      <c r="W131" s="316"/>
      <c r="X131" s="316"/>
    </row>
    <row r="132" spans="2:24">
      <c r="B132" s="313" t="s">
        <v>224</v>
      </c>
      <c r="C132" s="313"/>
      <c r="D132" s="313"/>
      <c r="E132" s="313"/>
      <c r="F132" s="313"/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  <c r="T132" s="313"/>
      <c r="U132" s="313"/>
      <c r="V132" s="313"/>
      <c r="W132" s="313"/>
      <c r="X132" s="313"/>
    </row>
    <row r="133" spans="2:24" ht="5.25" customHeight="1"/>
    <row r="134" spans="2:24" ht="15.75" customHeight="1">
      <c r="B134" s="336" t="s">
        <v>5</v>
      </c>
      <c r="C134" s="337"/>
      <c r="D134" s="332" t="s">
        <v>230</v>
      </c>
      <c r="E134" s="332" t="s">
        <v>225</v>
      </c>
      <c r="F134" s="346" t="s">
        <v>7</v>
      </c>
      <c r="G134" s="346" t="s">
        <v>8</v>
      </c>
      <c r="H134" s="346" t="s">
        <v>9</v>
      </c>
      <c r="I134" s="346" t="s">
        <v>10</v>
      </c>
      <c r="J134" s="346" t="s">
        <v>11</v>
      </c>
      <c r="K134" s="346" t="s">
        <v>12</v>
      </c>
      <c r="L134" s="346" t="s">
        <v>13</v>
      </c>
      <c r="M134" s="346" t="s">
        <v>14</v>
      </c>
      <c r="N134" s="346" t="s">
        <v>231</v>
      </c>
      <c r="O134" s="346" t="s">
        <v>16</v>
      </c>
      <c r="P134" s="346" t="s">
        <v>17</v>
      </c>
      <c r="Q134" s="346" t="s">
        <v>18</v>
      </c>
      <c r="R134" s="319" t="s">
        <v>19</v>
      </c>
      <c r="S134" s="319" t="s">
        <v>20</v>
      </c>
      <c r="T134" s="327" t="s">
        <v>21</v>
      </c>
      <c r="U134" s="323" t="s">
        <v>22</v>
      </c>
      <c r="V134" s="342" t="s">
        <v>23</v>
      </c>
      <c r="W134" s="329" t="s">
        <v>24</v>
      </c>
      <c r="X134" s="325" t="s">
        <v>25</v>
      </c>
    </row>
    <row r="135" spans="2:24" ht="18" customHeight="1">
      <c r="B135" s="338"/>
      <c r="C135" s="339"/>
      <c r="D135" s="333"/>
      <c r="E135" s="333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20"/>
      <c r="S135" s="320"/>
      <c r="T135" s="328"/>
      <c r="U135" s="324"/>
      <c r="V135" s="343"/>
      <c r="W135" s="330"/>
      <c r="X135" s="326"/>
    </row>
    <row r="136" spans="2:24" ht="3.75" customHeight="1">
      <c r="B136" s="305"/>
      <c r="E136" s="101"/>
      <c r="F136" s="43"/>
      <c r="G136" s="43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61"/>
      <c r="V136" s="44"/>
      <c r="W136" s="44"/>
      <c r="X136" s="44"/>
    </row>
    <row r="137" spans="2:24">
      <c r="B137" s="29">
        <v>83</v>
      </c>
      <c r="C137" s="234" t="s">
        <v>141</v>
      </c>
      <c r="D137" s="230" t="str">
        <f>'[2]2025'!$D$87</f>
        <v>AN-20-0083</v>
      </c>
      <c r="E137" s="76">
        <f>7.75+7053.28</f>
        <v>7061.03</v>
      </c>
      <c r="F137" s="77"/>
      <c r="G137" s="77"/>
      <c r="H137" s="22"/>
      <c r="I137" s="22"/>
      <c r="J137" s="22"/>
      <c r="K137" s="22"/>
      <c r="L137" s="22"/>
      <c r="M137" s="22"/>
      <c r="N137" s="22"/>
      <c r="O137" s="47"/>
      <c r="P137" s="33"/>
      <c r="Q137" s="33"/>
      <c r="R137" s="252">
        <f t="shared" ref="R137:R147" si="11">E137+F137+G137+H137+I137+J137+K137+L137+M137+N137+O137+P137+Q137</f>
        <v>7061.03</v>
      </c>
      <c r="S137" s="22">
        <f t="shared" ref="S137:S152" si="12">R137/12</f>
        <v>588.41916666666668</v>
      </c>
      <c r="T137" s="22">
        <v>0</v>
      </c>
      <c r="U137" s="97"/>
      <c r="V137" s="93"/>
      <c r="W137" s="53">
        <f t="shared" ref="W137:W152" si="13">T137+V137</f>
        <v>0</v>
      </c>
      <c r="X137" s="93"/>
    </row>
    <row r="138" spans="2:24">
      <c r="B138" s="19">
        <v>84</v>
      </c>
      <c r="C138" s="62" t="s">
        <v>109</v>
      </c>
      <c r="D138" s="230" t="str">
        <f>'[2]2025'!$D$88</f>
        <v>AN-20-0084</v>
      </c>
      <c r="E138" s="83">
        <v>100</v>
      </c>
      <c r="F138" s="77"/>
      <c r="G138" s="77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52">
        <f t="shared" si="11"/>
        <v>100</v>
      </c>
      <c r="S138" s="22">
        <f t="shared" si="12"/>
        <v>8.3333333333333339</v>
      </c>
      <c r="T138" s="22">
        <v>0</v>
      </c>
      <c r="U138" s="97"/>
      <c r="V138" s="93"/>
      <c r="W138" s="53">
        <f t="shared" si="13"/>
        <v>0</v>
      </c>
      <c r="X138" s="93"/>
    </row>
    <row r="139" spans="2:24">
      <c r="B139" s="19">
        <v>85</v>
      </c>
      <c r="C139" s="9" t="s">
        <v>110</v>
      </c>
      <c r="D139" s="230" t="str">
        <f>'[2]2025'!$D$89</f>
        <v>AN-20-0085</v>
      </c>
      <c r="E139" s="83">
        <v>100</v>
      </c>
      <c r="F139" s="77"/>
      <c r="G139" s="77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52">
        <f t="shared" si="11"/>
        <v>100</v>
      </c>
      <c r="S139" s="22">
        <f t="shared" si="12"/>
        <v>8.3333333333333339</v>
      </c>
      <c r="T139" s="22">
        <v>0</v>
      </c>
      <c r="U139" s="97"/>
      <c r="V139" s="93"/>
      <c r="W139" s="53">
        <f t="shared" si="13"/>
        <v>0</v>
      </c>
      <c r="X139" s="93"/>
    </row>
    <row r="140" spans="2:24">
      <c r="B140" s="29">
        <v>86</v>
      </c>
      <c r="C140" s="9" t="s">
        <v>111</v>
      </c>
      <c r="D140" s="230" t="str">
        <f>'[2]2025'!$D$90</f>
        <v>AN-20-0086</v>
      </c>
      <c r="E140" s="76">
        <f>53.28+7000+7.75</f>
        <v>7061.03</v>
      </c>
      <c r="F140" s="77"/>
      <c r="G140" s="77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52">
        <f t="shared" si="11"/>
        <v>7061.03</v>
      </c>
      <c r="S140" s="22">
        <f t="shared" si="12"/>
        <v>588.41916666666668</v>
      </c>
      <c r="T140" s="22">
        <v>0</v>
      </c>
      <c r="U140" s="97"/>
      <c r="V140" s="93"/>
      <c r="W140" s="53">
        <f t="shared" si="13"/>
        <v>0</v>
      </c>
      <c r="X140" s="93"/>
    </row>
    <row r="141" spans="2:24">
      <c r="B141" s="29">
        <v>87</v>
      </c>
      <c r="C141" s="234" t="s">
        <v>112</v>
      </c>
      <c r="D141" s="230" t="str">
        <f>'[2]2025'!$D$91</f>
        <v>AN-20-0087</v>
      </c>
      <c r="E141" s="76">
        <f>160.75+7000+7.87</f>
        <v>7168.62</v>
      </c>
      <c r="F141" s="81"/>
      <c r="G141" s="81"/>
      <c r="H141" s="22"/>
      <c r="I141" s="22"/>
      <c r="J141" s="22"/>
      <c r="K141" s="22">
        <v>20</v>
      </c>
      <c r="L141" s="32"/>
      <c r="M141" s="22"/>
      <c r="N141" s="22"/>
      <c r="O141" s="22"/>
      <c r="P141" s="22"/>
      <c r="Q141" s="22"/>
      <c r="R141" s="252">
        <f t="shared" si="11"/>
        <v>7188.62</v>
      </c>
      <c r="S141" s="22">
        <f>R141/12</f>
        <v>599.05166666666662</v>
      </c>
      <c r="T141" s="22">
        <v>0</v>
      </c>
      <c r="U141" s="249">
        <f>'[4]2025loaners'!$H$9</f>
        <v>1200</v>
      </c>
      <c r="V141" s="93"/>
      <c r="W141" s="53">
        <f t="shared" si="13"/>
        <v>0</v>
      </c>
      <c r="X141" s="93"/>
    </row>
    <row r="142" spans="2:24">
      <c r="B142" s="23">
        <v>88</v>
      </c>
      <c r="C142" s="234" t="s">
        <v>241</v>
      </c>
      <c r="D142" s="230" t="str">
        <f>'[2]2025'!$D$92</f>
        <v>AN-20-0088</v>
      </c>
      <c r="E142" s="76">
        <f>27.68+3636.63+4.03</f>
        <v>3668.34</v>
      </c>
      <c r="F142" s="77"/>
      <c r="G142" s="81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52">
        <f t="shared" si="11"/>
        <v>3668.34</v>
      </c>
      <c r="S142" s="22">
        <f t="shared" si="12"/>
        <v>305.69499999999999</v>
      </c>
      <c r="T142" s="22">
        <v>0</v>
      </c>
      <c r="U142" s="97"/>
      <c r="V142" s="93"/>
      <c r="W142" s="53">
        <f t="shared" si="13"/>
        <v>0</v>
      </c>
      <c r="X142" s="93"/>
    </row>
    <row r="143" spans="2:24">
      <c r="B143" s="23">
        <v>89</v>
      </c>
      <c r="C143" s="234" t="str">
        <f>C137</f>
        <v>SIDLAK</v>
      </c>
      <c r="D143" s="230" t="str">
        <f>'[2]2025'!$D$93</f>
        <v>AN-20-0089</v>
      </c>
      <c r="E143" s="244">
        <f>2799.13+3.08</f>
        <v>2802.21</v>
      </c>
      <c r="F143" s="77"/>
      <c r="G143" s="77"/>
      <c r="H143" s="32"/>
      <c r="I143" s="22"/>
      <c r="J143" s="22"/>
      <c r="K143" s="22"/>
      <c r="L143" s="22"/>
      <c r="M143" s="32"/>
      <c r="N143" s="22"/>
      <c r="O143" s="22"/>
      <c r="P143" s="22"/>
      <c r="Q143" s="22"/>
      <c r="R143" s="252">
        <f t="shared" si="11"/>
        <v>2802.21</v>
      </c>
      <c r="S143" s="22">
        <f t="shared" si="12"/>
        <v>233.51750000000001</v>
      </c>
      <c r="T143" s="22">
        <v>0</v>
      </c>
      <c r="U143" s="97"/>
      <c r="V143" s="93"/>
      <c r="W143" s="53">
        <f t="shared" si="13"/>
        <v>0</v>
      </c>
      <c r="X143" s="93"/>
    </row>
    <row r="144" spans="2:24">
      <c r="B144" s="19">
        <v>90</v>
      </c>
      <c r="C144" s="234" t="s">
        <v>141</v>
      </c>
      <c r="D144" s="230" t="str">
        <f>'[2]2025'!$D$94</f>
        <v>AN-21-0090</v>
      </c>
      <c r="E144" s="76">
        <v>1600</v>
      </c>
      <c r="F144" s="77"/>
      <c r="G144" s="77"/>
      <c r="H144" s="22"/>
      <c r="I144" s="22"/>
      <c r="J144" s="22"/>
      <c r="K144" s="22"/>
      <c r="L144" s="32"/>
      <c r="M144" s="22"/>
      <c r="N144" s="32"/>
      <c r="O144" s="32"/>
      <c r="P144" s="22"/>
      <c r="Q144" s="22"/>
      <c r="R144" s="252">
        <f t="shared" si="11"/>
        <v>1600</v>
      </c>
      <c r="S144" s="22">
        <f t="shared" si="12"/>
        <v>133.33333333333334</v>
      </c>
      <c r="T144" s="22">
        <v>0</v>
      </c>
      <c r="U144" s="97"/>
      <c r="V144" s="93"/>
      <c r="W144" s="53">
        <f t="shared" si="13"/>
        <v>0</v>
      </c>
      <c r="X144" s="93"/>
    </row>
    <row r="145" spans="2:30">
      <c r="B145" s="19">
        <v>91</v>
      </c>
      <c r="C145" s="234" t="s">
        <v>239</v>
      </c>
      <c r="D145" s="230" t="str">
        <f>'[2]2025'!$D$95</f>
        <v>AN-21-0091</v>
      </c>
      <c r="E145" s="83">
        <v>100</v>
      </c>
      <c r="F145" s="77"/>
      <c r="G145" s="77"/>
      <c r="H145" s="22"/>
      <c r="I145" s="22"/>
      <c r="J145" s="22"/>
      <c r="K145" s="22"/>
      <c r="L145" s="22"/>
      <c r="M145" s="32"/>
      <c r="N145" s="22"/>
      <c r="O145" s="22"/>
      <c r="P145" s="22"/>
      <c r="Q145" s="240">
        <v>1900</v>
      </c>
      <c r="R145" s="252">
        <f t="shared" si="11"/>
        <v>2000</v>
      </c>
      <c r="S145" s="22">
        <f t="shared" si="12"/>
        <v>166.66666666666666</v>
      </c>
      <c r="T145" s="22">
        <v>0</v>
      </c>
      <c r="U145" s="97"/>
      <c r="V145" s="93"/>
      <c r="W145" s="53">
        <f t="shared" si="13"/>
        <v>0</v>
      </c>
      <c r="X145" s="93"/>
    </row>
    <row r="146" spans="2:30">
      <c r="B146" s="23">
        <v>92</v>
      </c>
      <c r="C146" s="234" t="s">
        <v>232</v>
      </c>
      <c r="D146" s="230" t="str">
        <f>'[2]2025'!$D$96</f>
        <v>AN-21-0092</v>
      </c>
      <c r="E146" s="76">
        <f>3.41+3100</f>
        <v>3103.41</v>
      </c>
      <c r="F146" s="77"/>
      <c r="G146" s="77"/>
      <c r="H146" s="22"/>
      <c r="I146" s="22"/>
      <c r="J146" s="22"/>
      <c r="K146" s="22"/>
      <c r="L146" s="22"/>
      <c r="M146" s="32"/>
      <c r="N146" s="22"/>
      <c r="O146" s="22"/>
      <c r="P146" s="22"/>
      <c r="Q146" s="240">
        <v>1900</v>
      </c>
      <c r="R146" s="252">
        <f t="shared" si="11"/>
        <v>5003.41</v>
      </c>
      <c r="S146" s="22">
        <f t="shared" si="12"/>
        <v>416.95083333333332</v>
      </c>
      <c r="T146" s="22">
        <v>0</v>
      </c>
      <c r="U146" s="97"/>
      <c r="V146" s="93"/>
      <c r="W146" s="53">
        <f t="shared" si="13"/>
        <v>0</v>
      </c>
      <c r="X146" s="93"/>
    </row>
    <row r="147" spans="2:30">
      <c r="B147" s="19">
        <v>93</v>
      </c>
      <c r="C147" s="234" t="s">
        <v>118</v>
      </c>
      <c r="D147" s="230" t="str">
        <f>'[2]2025'!$D$97</f>
        <v>AN-21-0093</v>
      </c>
      <c r="E147" s="83">
        <v>100</v>
      </c>
      <c r="F147" s="77"/>
      <c r="G147" s="77"/>
      <c r="H147" s="22"/>
      <c r="I147" s="22"/>
      <c r="J147" s="22"/>
      <c r="K147" s="22"/>
      <c r="L147" s="22"/>
      <c r="M147" s="22"/>
      <c r="N147" s="22"/>
      <c r="O147" s="22"/>
      <c r="P147" s="32"/>
      <c r="Q147" s="22"/>
      <c r="R147" s="252">
        <f t="shared" si="11"/>
        <v>100</v>
      </c>
      <c r="S147" s="22">
        <f t="shared" si="12"/>
        <v>8.3333333333333339</v>
      </c>
      <c r="T147" s="22">
        <v>0</v>
      </c>
      <c r="U147" s="97"/>
      <c r="V147" s="93"/>
      <c r="W147" s="53">
        <f t="shared" si="13"/>
        <v>0</v>
      </c>
      <c r="X147" s="93"/>
    </row>
    <row r="148" spans="2:30">
      <c r="B148" s="23">
        <v>94</v>
      </c>
      <c r="C148" s="234" t="s">
        <v>240</v>
      </c>
      <c r="D148" s="230" t="str">
        <f>'[2]2025'!$D$98</f>
        <v>AN-21-0094</v>
      </c>
      <c r="E148" s="76">
        <f>16.75+2200+2.44</f>
        <v>2219.19</v>
      </c>
      <c r="F148" s="77"/>
      <c r="G148" s="77"/>
      <c r="H148" s="164"/>
      <c r="I148" s="22"/>
      <c r="J148" s="22"/>
      <c r="K148" s="22"/>
      <c r="L148" s="22"/>
      <c r="M148" s="22"/>
      <c r="N148" s="22"/>
      <c r="O148" s="22"/>
      <c r="P148" s="22"/>
      <c r="Q148" s="22"/>
      <c r="R148" s="252">
        <f t="shared" ref="R148:R152" si="14">E148+F148+G148+H148+I148+J148+K148+L148+M148+N148+O148+P148+Q148</f>
        <v>2219.19</v>
      </c>
      <c r="S148" s="22">
        <f t="shared" si="12"/>
        <v>184.9325</v>
      </c>
      <c r="T148" s="22">
        <v>0</v>
      </c>
      <c r="U148" s="97"/>
      <c r="V148" s="93"/>
      <c r="W148" s="53">
        <f t="shared" si="13"/>
        <v>0</v>
      </c>
      <c r="X148" s="93"/>
    </row>
    <row r="149" spans="2:30" ht="11.55" customHeight="1">
      <c r="B149" s="236">
        <v>95</v>
      </c>
      <c r="C149" s="232" t="s">
        <v>136</v>
      </c>
      <c r="D149" s="230" t="str">
        <f>'[2]2025'!$D$99</f>
        <v>AN-21-0095</v>
      </c>
      <c r="E149" s="243">
        <v>250</v>
      </c>
      <c r="F149" s="77"/>
      <c r="G149" s="77"/>
      <c r="H149" s="22"/>
      <c r="I149" s="22"/>
      <c r="J149" s="22"/>
      <c r="K149" s="22"/>
      <c r="L149" s="22"/>
      <c r="M149" s="22"/>
      <c r="N149" s="22"/>
      <c r="O149" s="22"/>
      <c r="P149" s="93"/>
      <c r="Q149" s="22"/>
      <c r="R149" s="252">
        <f t="shared" si="14"/>
        <v>250</v>
      </c>
      <c r="S149" s="22">
        <f t="shared" si="12"/>
        <v>20.833333333333332</v>
      </c>
      <c r="T149" s="22">
        <v>0</v>
      </c>
      <c r="U149" s="215"/>
      <c r="V149" s="93"/>
      <c r="W149" s="53">
        <f t="shared" si="13"/>
        <v>0</v>
      </c>
      <c r="X149" s="93"/>
    </row>
    <row r="150" spans="2:30" ht="11.55" customHeight="1">
      <c r="B150" s="245">
        <v>96</v>
      </c>
      <c r="C150" s="250" t="s">
        <v>137</v>
      </c>
      <c r="D150" s="230" t="str">
        <f>'[2]2025'!$D$100</f>
        <v>AN-21-0096</v>
      </c>
      <c r="E150" s="242">
        <f>17.13+2250+2.49</f>
        <v>2269.62</v>
      </c>
      <c r="F150" s="77"/>
      <c r="G150" s="77"/>
      <c r="H150" s="22"/>
      <c r="I150" s="164"/>
      <c r="J150" s="22"/>
      <c r="K150" s="22"/>
      <c r="L150" s="22"/>
      <c r="M150" s="22"/>
      <c r="N150" s="22"/>
      <c r="O150" s="22"/>
      <c r="P150" s="93"/>
      <c r="Q150" s="22"/>
      <c r="R150" s="252">
        <f t="shared" si="14"/>
        <v>2269.62</v>
      </c>
      <c r="S150" s="22">
        <f t="shared" si="12"/>
        <v>189.13499999999999</v>
      </c>
      <c r="T150" s="22">
        <v>0</v>
      </c>
      <c r="U150" s="215"/>
      <c r="V150" s="93"/>
      <c r="W150" s="53">
        <f t="shared" si="13"/>
        <v>0</v>
      </c>
      <c r="X150" s="93"/>
    </row>
    <row r="151" spans="2:30">
      <c r="B151" s="236">
        <v>97</v>
      </c>
      <c r="C151" s="3" t="str">
        <f>'[2]2025'!$B$101</f>
        <v>NOLI H.  CAPAHI</v>
      </c>
      <c r="D151" s="230" t="str">
        <f>'[2]2025'!$D$101</f>
        <v>AN-21-0097</v>
      </c>
      <c r="E151" s="243">
        <f>82.88+300+0.42</f>
        <v>383.3</v>
      </c>
      <c r="F151" s="216"/>
      <c r="G151" s="216"/>
      <c r="H151" s="217"/>
      <c r="I151" s="218"/>
      <c r="J151" s="216"/>
      <c r="K151" s="217"/>
      <c r="L151" s="217"/>
      <c r="M151" s="217"/>
      <c r="N151" s="217"/>
      <c r="O151" s="217"/>
      <c r="P151" s="217"/>
      <c r="Q151" s="217"/>
      <c r="R151" s="252">
        <f t="shared" si="14"/>
        <v>383.3</v>
      </c>
      <c r="S151" s="22">
        <f t="shared" si="12"/>
        <v>31.941666666666666</v>
      </c>
      <c r="T151" s="22">
        <v>0</v>
      </c>
      <c r="U151" s="237"/>
      <c r="V151" s="216"/>
      <c r="W151" s="53">
        <f t="shared" si="13"/>
        <v>0</v>
      </c>
      <c r="X151" s="77"/>
    </row>
    <row r="152" spans="2:30">
      <c r="B152" s="236">
        <v>98</v>
      </c>
      <c r="C152" s="250" t="str">
        <f>C137</f>
        <v>SIDLAK</v>
      </c>
      <c r="D152" s="230" t="str">
        <f>'[2]2025'!$D$102</f>
        <v>AN-21-0098</v>
      </c>
      <c r="E152" s="243">
        <v>100</v>
      </c>
      <c r="F152" s="216"/>
      <c r="G152" s="216"/>
      <c r="H152" s="217"/>
      <c r="I152" s="218"/>
      <c r="J152" s="216"/>
      <c r="K152" s="217"/>
      <c r="L152" s="217"/>
      <c r="M152" s="217"/>
      <c r="N152" s="217"/>
      <c r="O152" s="217"/>
      <c r="P152" s="217"/>
      <c r="Q152" s="217"/>
      <c r="R152" s="252">
        <f t="shared" si="14"/>
        <v>100</v>
      </c>
      <c r="S152" s="22">
        <f t="shared" si="12"/>
        <v>8.3333333333333339</v>
      </c>
      <c r="T152" s="22">
        <v>0</v>
      </c>
      <c r="U152" s="237"/>
      <c r="V152" s="216"/>
      <c r="W152" s="53">
        <f t="shared" si="13"/>
        <v>0</v>
      </c>
      <c r="X152" s="77"/>
    </row>
    <row r="153" spans="2:30" ht="4.8" customHeight="1">
      <c r="B153" s="85"/>
      <c r="C153" s="214"/>
      <c r="D153" s="214"/>
      <c r="E153" s="104"/>
      <c r="F153" s="105"/>
      <c r="G153" s="105"/>
      <c r="H153" s="106"/>
      <c r="I153" s="106"/>
      <c r="J153" s="105"/>
      <c r="K153" s="106"/>
      <c r="L153" s="106"/>
      <c r="M153" s="106"/>
      <c r="N153" s="106"/>
      <c r="O153" s="106"/>
      <c r="P153" s="106"/>
      <c r="Q153" s="106"/>
      <c r="R153" s="108"/>
      <c r="S153" s="140"/>
      <c r="T153" s="105"/>
      <c r="U153" s="238"/>
      <c r="V153" s="105"/>
      <c r="W153" s="116"/>
      <c r="X153" s="88"/>
    </row>
    <row r="154" spans="2:30">
      <c r="B154" s="85"/>
      <c r="C154" s="103" t="s">
        <v>120</v>
      </c>
      <c r="D154" s="103"/>
      <c r="E154" s="104">
        <f>SUM(E12:E153)</f>
        <v>221038.0763499999</v>
      </c>
      <c r="F154" s="105">
        <f>SUM(F12:F153)</f>
        <v>20</v>
      </c>
      <c r="G154" s="105">
        <f>SUM(G12:G149)</f>
        <v>0</v>
      </c>
      <c r="H154" s="106">
        <f>SUM(H12:H153)</f>
        <v>220</v>
      </c>
      <c r="I154" s="106">
        <f t="shared" ref="I154:P154" si="15">SUM(I12:I149)</f>
        <v>0</v>
      </c>
      <c r="J154" s="241">
        <f t="shared" si="15"/>
        <v>1760</v>
      </c>
      <c r="K154" s="106">
        <f t="shared" si="15"/>
        <v>40</v>
      </c>
      <c r="L154" s="106">
        <f t="shared" si="15"/>
        <v>500</v>
      </c>
      <c r="M154" s="106">
        <f t="shared" si="15"/>
        <v>0</v>
      </c>
      <c r="N154" s="106">
        <f t="shared" si="15"/>
        <v>0</v>
      </c>
      <c r="O154" s="106">
        <f t="shared" si="15"/>
        <v>0</v>
      </c>
      <c r="P154" s="106">
        <f t="shared" si="15"/>
        <v>20</v>
      </c>
      <c r="Q154" s="106">
        <f>SUM(Q12:Q152)</f>
        <v>3820</v>
      </c>
      <c r="R154" s="108">
        <f>R41+R82+R123+R137+R138+R139+R140+R141+R142+R143+R144+R145+R146+R147+R148+R149+R150+R151+R152</f>
        <v>227418.07634999996</v>
      </c>
      <c r="S154" s="251">
        <f t="shared" ref="S154:X154" si="16">SUM(S12:S153)</f>
        <v>18951.506362500004</v>
      </c>
      <c r="T154" s="105">
        <f>SUM(T12:T153)</f>
        <v>0</v>
      </c>
      <c r="U154" s="219">
        <f>SUM(U12:U153)</f>
        <v>10500</v>
      </c>
      <c r="V154" s="105">
        <f t="shared" si="16"/>
        <v>0</v>
      </c>
      <c r="W154" s="105">
        <f>SUM(W12:W153)</f>
        <v>0</v>
      </c>
      <c r="X154" s="105">
        <f t="shared" si="16"/>
        <v>0</v>
      </c>
    </row>
    <row r="155" spans="2:30" ht="6.75" customHeight="1"/>
    <row r="156" spans="2:30">
      <c r="G156" s="220" t="s">
        <v>208</v>
      </c>
      <c r="AD156" s="50"/>
    </row>
    <row r="157" spans="2:30" ht="12.75" customHeight="1">
      <c r="I157" s="224"/>
      <c r="K157" s="225" t="s">
        <v>228</v>
      </c>
      <c r="L157" s="221" t="s">
        <v>211</v>
      </c>
      <c r="M157" s="348" t="s">
        <v>248</v>
      </c>
      <c r="N157" s="348"/>
      <c r="O157" s="221" t="s">
        <v>211</v>
      </c>
      <c r="P157" s="290">
        <f>(0.5*1513.95)</f>
        <v>756.97500000000002</v>
      </c>
      <c r="Q157" s="222" t="s">
        <v>211</v>
      </c>
      <c r="R157" s="291">
        <f>P157/P158</f>
        <v>3.9942735185307089E-2</v>
      </c>
    </row>
    <row r="158" spans="2:30" ht="12.75" customHeight="1">
      <c r="L158" s="4"/>
      <c r="M158" s="223" t="s">
        <v>226</v>
      </c>
      <c r="N158" s="4"/>
      <c r="O158" s="4"/>
      <c r="P158" s="285">
        <f>S154</f>
        <v>18951.506362500004</v>
      </c>
      <c r="R158" s="109"/>
      <c r="U158" s="110"/>
    </row>
    <row r="159" spans="2:30" ht="12.75" customHeight="1">
      <c r="I159" s="224"/>
      <c r="K159" s="225" t="s">
        <v>23</v>
      </c>
      <c r="L159" s="221" t="s">
        <v>211</v>
      </c>
      <c r="M159" s="348" t="s">
        <v>248</v>
      </c>
      <c r="N159" s="348"/>
      <c r="O159" s="221" t="s">
        <v>211</v>
      </c>
      <c r="P159" s="289">
        <f>(0.5*1513.95)</f>
        <v>756.97500000000002</v>
      </c>
      <c r="Q159" s="222" t="s">
        <v>211</v>
      </c>
      <c r="R159" s="109">
        <f>P159/P160</f>
        <v>7.2092857142857139E-2</v>
      </c>
      <c r="U159" s="110"/>
    </row>
    <row r="160" spans="2:30" ht="12.75" customHeight="1">
      <c r="L160" s="4"/>
      <c r="M160" s="223" t="s">
        <v>227</v>
      </c>
      <c r="N160" s="4"/>
      <c r="O160" s="4"/>
      <c r="P160" s="285">
        <f>U154</f>
        <v>10500</v>
      </c>
      <c r="R160" s="109"/>
      <c r="U160" s="110"/>
    </row>
    <row r="161" spans="2:24">
      <c r="L161" s="4"/>
      <c r="M161" s="4"/>
      <c r="N161" s="4"/>
      <c r="O161" s="4"/>
      <c r="R161" s="67"/>
      <c r="U161" s="117"/>
    </row>
    <row r="162" spans="2:24" ht="12" customHeight="1">
      <c r="B162"/>
      <c r="M162" t="s">
        <v>123</v>
      </c>
      <c r="S162" t="s">
        <v>124</v>
      </c>
      <c r="U162"/>
    </row>
    <row r="163" spans="2:24">
      <c r="U163"/>
    </row>
    <row r="164" spans="2:24">
      <c r="U164"/>
    </row>
    <row r="165" spans="2:24" ht="12" customHeight="1">
      <c r="C165" s="277"/>
      <c r="D165" s="107"/>
      <c r="H165" s="107"/>
      <c r="N165" s="277" t="s">
        <v>242</v>
      </c>
      <c r="O165" s="107"/>
      <c r="P165" s="107"/>
      <c r="T165" s="277" t="s">
        <v>243</v>
      </c>
      <c r="U165" s="107"/>
      <c r="V165" s="107"/>
    </row>
    <row r="166" spans="2:24" ht="12" customHeight="1">
      <c r="H166" s="311"/>
      <c r="I166" s="311"/>
      <c r="J166" s="311"/>
      <c r="N166" t="s">
        <v>130</v>
      </c>
      <c r="T166" t="s">
        <v>131</v>
      </c>
      <c r="U166"/>
    </row>
    <row r="169" spans="2:24">
      <c r="X169" s="267" t="s">
        <v>132</v>
      </c>
    </row>
    <row r="177" spans="14:23">
      <c r="W177" s="60"/>
    </row>
    <row r="178" spans="14:23">
      <c r="P178" s="314"/>
      <c r="Q178" s="314"/>
      <c r="U178" s="110"/>
    </row>
    <row r="179" spans="14:23">
      <c r="N179" s="112"/>
      <c r="P179" s="314"/>
      <c r="Q179" s="314"/>
      <c r="U179" s="110"/>
    </row>
    <row r="180" spans="14:23">
      <c r="P180" s="331"/>
      <c r="Q180" s="331"/>
      <c r="U180" s="110"/>
      <c r="V180" s="288">
        <f>S154/98</f>
        <v>193.38271798469393</v>
      </c>
      <c r="W180">
        <f>1513</f>
        <v>1513</v>
      </c>
    </row>
  </sheetData>
  <mergeCells count="114">
    <mergeCell ref="D51:D52"/>
    <mergeCell ref="D9:D10"/>
    <mergeCell ref="D92:D93"/>
    <mergeCell ref="D134:D135"/>
    <mergeCell ref="X51:X52"/>
    <mergeCell ref="X92:X93"/>
    <mergeCell ref="X134:X135"/>
    <mergeCell ref="B9:C10"/>
    <mergeCell ref="B51:C52"/>
    <mergeCell ref="B92:C93"/>
    <mergeCell ref="B134:C135"/>
    <mergeCell ref="U51:U52"/>
    <mergeCell ref="U92:U93"/>
    <mergeCell ref="U134:U135"/>
    <mergeCell ref="V9:V10"/>
    <mergeCell ref="V51:V52"/>
    <mergeCell ref="V92:V93"/>
    <mergeCell ref="V134:V135"/>
    <mergeCell ref="W9:W10"/>
    <mergeCell ref="W51:W52"/>
    <mergeCell ref="W92:W93"/>
    <mergeCell ref="W134:W135"/>
    <mergeCell ref="R51:R52"/>
    <mergeCell ref="R92:R93"/>
    <mergeCell ref="R134:R135"/>
    <mergeCell ref="S9:S10"/>
    <mergeCell ref="S51:S52"/>
    <mergeCell ref="S92:S93"/>
    <mergeCell ref="T51:T52"/>
    <mergeCell ref="T92:T93"/>
    <mergeCell ref="T134:T135"/>
    <mergeCell ref="P179:Q179"/>
    <mergeCell ref="P180:Q180"/>
    <mergeCell ref="P92:P93"/>
    <mergeCell ref="Q51:Q52"/>
    <mergeCell ref="Q92:Q93"/>
    <mergeCell ref="E134:E135"/>
    <mergeCell ref="F9:F10"/>
    <mergeCell ref="F51:F52"/>
    <mergeCell ref="F92:F93"/>
    <mergeCell ref="F134:F135"/>
    <mergeCell ref="G9:G10"/>
    <mergeCell ref="G51:G52"/>
    <mergeCell ref="G92:G93"/>
    <mergeCell ref="G134:G135"/>
    <mergeCell ref="H134:H135"/>
    <mergeCell ref="I9:I10"/>
    <mergeCell ref="I51:I52"/>
    <mergeCell ref="I92:I93"/>
    <mergeCell ref="I134:I135"/>
    <mergeCell ref="J9:J10"/>
    <mergeCell ref="J51:J52"/>
    <mergeCell ref="B131:X131"/>
    <mergeCell ref="B132:X132"/>
    <mergeCell ref="B49:X49"/>
    <mergeCell ref="B85:X85"/>
    <mergeCell ref="B86:X86"/>
    <mergeCell ref="B87:X87"/>
    <mergeCell ref="B89:X89"/>
    <mergeCell ref="B90:X90"/>
    <mergeCell ref="B127:X127"/>
    <mergeCell ref="B128:X128"/>
    <mergeCell ref="B129:X129"/>
    <mergeCell ref="J92:J93"/>
    <mergeCell ref="K51:K52"/>
    <mergeCell ref="K92:K93"/>
    <mergeCell ref="E9:E10"/>
    <mergeCell ref="E51:E52"/>
    <mergeCell ref="E92:E93"/>
    <mergeCell ref="L51:L52"/>
    <mergeCell ref="L92:L93"/>
    <mergeCell ref="S134:S135"/>
    <mergeCell ref="H166:J166"/>
    <mergeCell ref="P178:Q178"/>
    <mergeCell ref="J134:J135"/>
    <mergeCell ref="K134:K135"/>
    <mergeCell ref="L134:L135"/>
    <mergeCell ref="M134:M135"/>
    <mergeCell ref="N134:N135"/>
    <mergeCell ref="O134:O135"/>
    <mergeCell ref="P134:P135"/>
    <mergeCell ref="Q134:Q135"/>
    <mergeCell ref="M157:N157"/>
    <mergeCell ref="M159:N159"/>
    <mergeCell ref="M51:M52"/>
    <mergeCell ref="M92:M93"/>
    <mergeCell ref="N51:N52"/>
    <mergeCell ref="N92:N93"/>
    <mergeCell ref="O51:O52"/>
    <mergeCell ref="O92:O93"/>
    <mergeCell ref="P51:P52"/>
    <mergeCell ref="H51:H52"/>
    <mergeCell ref="H92:H93"/>
    <mergeCell ref="B2:X2"/>
    <mergeCell ref="B3:X3"/>
    <mergeCell ref="B4:X4"/>
    <mergeCell ref="B6:X6"/>
    <mergeCell ref="B7:X7"/>
    <mergeCell ref="B44:X44"/>
    <mergeCell ref="B45:X45"/>
    <mergeCell ref="B46:X46"/>
    <mergeCell ref="B48:X48"/>
    <mergeCell ref="K9:K10"/>
    <mergeCell ref="L9:L10"/>
    <mergeCell ref="M9:M10"/>
    <mergeCell ref="N9:N10"/>
    <mergeCell ref="O9:O10"/>
    <mergeCell ref="P9:P10"/>
    <mergeCell ref="Q9:Q10"/>
    <mergeCell ref="R9:R10"/>
    <mergeCell ref="U9:U10"/>
    <mergeCell ref="X9:X10"/>
    <mergeCell ref="T9:T10"/>
    <mergeCell ref="H9:H10"/>
  </mergeCells>
  <pageMargins left="0.19685039370078741" right="0.23622047244094491" top="0" bottom="0" header="0.70866141732283472" footer="0"/>
  <pageSetup paperSize="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A63"/>
  <sheetViews>
    <sheetView topLeftCell="H1" zoomScale="110" zoomScaleNormal="110" workbookViewId="0">
      <selection activeCell="S26" sqref="S26"/>
    </sheetView>
  </sheetViews>
  <sheetFormatPr defaultColWidth="9" defaultRowHeight="14.4"/>
  <cols>
    <col min="1" max="1" width="3.5546875" customWidth="1"/>
    <col min="2" max="2" width="26.21875" customWidth="1"/>
    <col min="3" max="3" width="13.21875" customWidth="1"/>
    <col min="4" max="4" width="7.77734375" customWidth="1"/>
    <col min="5" max="5" width="7.5546875" customWidth="1"/>
    <col min="6" max="6" width="7.44140625" customWidth="1"/>
    <col min="7" max="8" width="7.77734375" customWidth="1"/>
    <col min="9" max="9" width="8" customWidth="1"/>
    <col min="10" max="11" width="7.5546875" customWidth="1"/>
    <col min="12" max="12" width="7.77734375" customWidth="1"/>
    <col min="13" max="13" width="6.5546875" customWidth="1"/>
    <col min="14" max="14" width="8.5546875" customWidth="1"/>
    <col min="15" max="15" width="8.21875" customWidth="1"/>
    <col min="16" max="16" width="9.21875" customWidth="1"/>
    <col min="17" max="17" width="8.44140625" customWidth="1"/>
    <col min="18" max="18" width="7.77734375" customWidth="1"/>
    <col min="19" max="19" width="8.44140625" customWidth="1"/>
    <col min="20" max="20" width="9.21875" style="4"/>
  </cols>
  <sheetData>
    <row r="2" spans="1:27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</row>
    <row r="3" spans="1:27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</row>
    <row r="4" spans="1:27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</row>
    <row r="5" spans="1:27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  <c r="U5" s="9"/>
      <c r="V5" s="9"/>
      <c r="W5" s="9"/>
      <c r="X5" s="9"/>
      <c r="Y5" s="9"/>
      <c r="Z5" s="9"/>
      <c r="AA5" s="9"/>
    </row>
    <row r="6" spans="1:27" ht="18">
      <c r="A6" s="316" t="s">
        <v>144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</row>
    <row r="7" spans="1:27">
      <c r="A7" s="313" t="s">
        <v>145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</row>
    <row r="8" spans="1:27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7" s="1" customFormat="1" ht="28.5" customHeight="1">
      <c r="A9" s="317" t="s">
        <v>5</v>
      </c>
      <c r="B9" s="318"/>
      <c r="C9" s="159" t="s">
        <v>146</v>
      </c>
      <c r="D9" s="158" t="s">
        <v>7</v>
      </c>
      <c r="E9" s="158" t="s">
        <v>8</v>
      </c>
      <c r="F9" s="158" t="s">
        <v>9</v>
      </c>
      <c r="G9" s="158" t="s">
        <v>10</v>
      </c>
      <c r="H9" s="158" t="s">
        <v>11</v>
      </c>
      <c r="I9" s="158" t="s">
        <v>12</v>
      </c>
      <c r="J9" s="158" t="s">
        <v>13</v>
      </c>
      <c r="K9" s="158" t="s">
        <v>14</v>
      </c>
      <c r="L9" s="158" t="s">
        <v>15</v>
      </c>
      <c r="M9" s="158" t="s">
        <v>16</v>
      </c>
      <c r="N9" s="158" t="s">
        <v>17</v>
      </c>
      <c r="O9" s="158" t="s">
        <v>18</v>
      </c>
      <c r="P9" s="158" t="s">
        <v>147</v>
      </c>
      <c r="Q9" s="158" t="s">
        <v>148</v>
      </c>
      <c r="R9" s="133" t="s">
        <v>149</v>
      </c>
      <c r="S9" s="133" t="s">
        <v>150</v>
      </c>
      <c r="T9" s="177"/>
    </row>
    <row r="10" spans="1:27" s="2" customFormat="1">
      <c r="A10" s="199">
        <v>1</v>
      </c>
      <c r="B10" s="16" t="s">
        <v>151</v>
      </c>
      <c r="C10" s="161">
        <f>1075+64.5</f>
        <v>1139.5</v>
      </c>
      <c r="D10" s="18">
        <v>160</v>
      </c>
      <c r="E10" s="18"/>
      <c r="F10" s="22"/>
      <c r="G10" s="18"/>
      <c r="H10" s="22"/>
      <c r="I10" s="22"/>
      <c r="J10" s="22"/>
      <c r="K10" s="18"/>
      <c r="L10" s="22"/>
      <c r="M10" s="22"/>
      <c r="N10" s="22"/>
      <c r="O10" s="18">
        <v>300</v>
      </c>
      <c r="P10" s="46">
        <f>C10+D10+E10+F10+G10+H10+I10+J10+K10+L10+M10+N10+O10</f>
        <v>1599.5</v>
      </c>
      <c r="Q10" s="22">
        <f>P10/12</f>
        <v>133.291666666667</v>
      </c>
      <c r="R10" s="22">
        <f>D11+E11+F11+G11+H11+I11+J11+K11+L11+M11+N11+O11</f>
        <v>79.47</v>
      </c>
      <c r="S10" s="22">
        <f>P10+R10</f>
        <v>1678.97</v>
      </c>
      <c r="T10" s="178"/>
    </row>
    <row r="11" spans="1:27" s="2" customFormat="1">
      <c r="A11" s="162"/>
      <c r="B11" s="20"/>
      <c r="C11" s="76" t="s">
        <v>152</v>
      </c>
      <c r="D11" s="22">
        <f>(C10+D10)*0.005</f>
        <v>6.4974999999999996</v>
      </c>
      <c r="E11" s="22">
        <f>(C10+D10+E10)*0.005</f>
        <v>6.4974999999999996</v>
      </c>
      <c r="F11" s="22">
        <f>(+C10+D10+E10+F10)*0.005</f>
        <v>6.4974999999999996</v>
      </c>
      <c r="G11" s="22">
        <f>(C10+D10+E10+F10+G10)*0.005</f>
        <v>6.4974999999999996</v>
      </c>
      <c r="H11" s="22">
        <f>(C10+D10+E10+F10+G10+H10)*0.005</f>
        <v>6.4974999999999996</v>
      </c>
      <c r="I11" s="22">
        <f>(C10+D10+E10+F10+G10+H10+I10)*0.005</f>
        <v>6.4974999999999996</v>
      </c>
      <c r="J11" s="22">
        <f>(C10+D10+E10+F10+G10+H10+I10+J10)*0.005</f>
        <v>6.4974999999999996</v>
      </c>
      <c r="K11" s="22">
        <f>(C10+D10+E10+F10+G10+H10+I10+J10+K10)*0.005</f>
        <v>6.4974999999999996</v>
      </c>
      <c r="L11" s="22">
        <f>(C10+D10+E10+F10+G10+H10+I10+J10+K10+L10)*0.005</f>
        <v>6.4974999999999996</v>
      </c>
      <c r="M11" s="22">
        <f>(C10+D10+E10+F10+G10+H10+I10+J10+K10+L10+M10)*0.005</f>
        <v>6.4974999999999996</v>
      </c>
      <c r="N11" s="22">
        <f>(C10+D10+E10+F10+G10+H10+I10+J10+K10+L10+M10+N10)*0.005</f>
        <v>6.4974999999999996</v>
      </c>
      <c r="O11" s="22">
        <f>(C10+D10+E10+F10+G10+H10+I10+J10+K10+L10+M10+N10+O10)*0.005</f>
        <v>7.9974999999999996</v>
      </c>
      <c r="P11" s="46"/>
      <c r="Q11" s="22"/>
      <c r="R11" s="22"/>
      <c r="S11" s="22"/>
      <c r="T11" s="178"/>
    </row>
    <row r="12" spans="1:27">
      <c r="A12" s="202">
        <v>2</v>
      </c>
      <c r="B12" s="20" t="s">
        <v>153</v>
      </c>
      <c r="C12" s="161">
        <f>1100+66</f>
        <v>1166</v>
      </c>
      <c r="D12" s="22">
        <v>70</v>
      </c>
      <c r="E12" s="22"/>
      <c r="F12" s="22"/>
      <c r="G12" s="22"/>
      <c r="H12" s="22"/>
      <c r="I12" s="22"/>
      <c r="J12" s="22"/>
      <c r="K12" s="22"/>
      <c r="L12" s="22"/>
      <c r="M12" s="22"/>
      <c r="N12" s="22">
        <v>545</v>
      </c>
      <c r="O12" s="22">
        <v>300</v>
      </c>
      <c r="P12" s="46">
        <f>C12+D12+E12+F12+G12+H12+I12+J12+K12+L12+M12+N12+O12</f>
        <v>2081</v>
      </c>
      <c r="Q12" s="22">
        <f>P12/12</f>
        <v>173.416666666667</v>
      </c>
      <c r="R12" s="22">
        <f>D13+E13+F13+G13+H13+I13+J13+K13+L13+M13+N13+O13</f>
        <v>81.11</v>
      </c>
      <c r="S12" s="22">
        <f>P12+R12</f>
        <v>2162.11</v>
      </c>
      <c r="U12" s="2"/>
    </row>
    <row r="13" spans="1:27">
      <c r="A13" s="162"/>
      <c r="B13" s="20"/>
      <c r="C13" s="76" t="s">
        <v>152</v>
      </c>
      <c r="D13" s="22">
        <f>(C12+D12)*0.005</f>
        <v>6.18</v>
      </c>
      <c r="E13" s="22">
        <f>(C12+D12+E12)*0.005</f>
        <v>6.18</v>
      </c>
      <c r="F13" s="22">
        <f>(+C12+D12+E12+F12)*0.005</f>
        <v>6.18</v>
      </c>
      <c r="G13" s="22">
        <f>(C12+D12+E12+F12+G12)*0.005</f>
        <v>6.18</v>
      </c>
      <c r="H13" s="22">
        <f>(C12+D12+E12+F12+G12+H12)*0.005</f>
        <v>6.18</v>
      </c>
      <c r="I13" s="22">
        <f>(C12+D12+E12+F12+G12+H12+I12)*0.005</f>
        <v>6.18</v>
      </c>
      <c r="J13" s="22">
        <f>(C12+D12+E12+F12+G12+H12+I12+J12)*0.005</f>
        <v>6.18</v>
      </c>
      <c r="K13" s="22">
        <f>(C12+D12+E12+F12+G12+H12+I12+J12+K12)*0.005</f>
        <v>6.18</v>
      </c>
      <c r="L13" s="22">
        <f>(C12+D12+E12+F12+G12+H12+I12+J12+K12+L12)*0.005</f>
        <v>6.18</v>
      </c>
      <c r="M13" s="22">
        <f>(C12+D12+E12+F12+G12+H12+I12+J12+K12+L12+M12)*0.005</f>
        <v>6.18</v>
      </c>
      <c r="N13" s="22">
        <f>(C12+D12+E12+F12+G12+H12+I12+J12+K12+L12+M12+N12)*0.005</f>
        <v>8.9049999999999994</v>
      </c>
      <c r="O13" s="22">
        <f>(C12+D12+E12+F12+G12+H12+I12+J12+K12+L12+M12+N12+O12)*0.005</f>
        <v>10.404999999999999</v>
      </c>
      <c r="P13" s="46"/>
      <c r="Q13" s="22"/>
      <c r="R13" s="22"/>
      <c r="S13" s="22"/>
      <c r="U13" s="2"/>
    </row>
    <row r="14" spans="1:27">
      <c r="A14" s="202">
        <v>3</v>
      </c>
      <c r="B14" s="27" t="s">
        <v>154</v>
      </c>
      <c r="C14" s="161">
        <f>2400+144</f>
        <v>2544</v>
      </c>
      <c r="D14" s="22">
        <v>200</v>
      </c>
      <c r="E14" s="22">
        <v>340</v>
      </c>
      <c r="F14" s="22"/>
      <c r="G14" s="22"/>
      <c r="H14" s="22"/>
      <c r="I14" s="22">
        <v>1000</v>
      </c>
      <c r="J14" s="22"/>
      <c r="K14" s="22"/>
      <c r="L14" s="22"/>
      <c r="M14" s="22"/>
      <c r="N14" s="22">
        <v>700</v>
      </c>
      <c r="O14" s="22"/>
      <c r="P14" s="46">
        <f>C14+D14+E14+F14+G14+H14+I14+J14+K14+L14+M14+N14+O14</f>
        <v>4784</v>
      </c>
      <c r="Q14" s="22">
        <f>P14/12</f>
        <v>398.66666666666703</v>
      </c>
      <c r="R14" s="22">
        <f>D15+E15+F15+G15+H15+I15+J15+K15+L15+M15+N15+O15</f>
        <v>225.34</v>
      </c>
      <c r="S14" s="22">
        <f>P14+R14</f>
        <v>5009.34</v>
      </c>
      <c r="U14" s="2"/>
    </row>
    <row r="15" spans="1:27">
      <c r="A15" s="162"/>
      <c r="B15" s="27"/>
      <c r="C15" s="76" t="s">
        <v>152</v>
      </c>
      <c r="D15" s="22">
        <f>(C14+D14)*0.005</f>
        <v>13.72</v>
      </c>
      <c r="E15" s="22">
        <f>(C14+D14+E14)*0.005</f>
        <v>15.42</v>
      </c>
      <c r="F15" s="22">
        <f>(+C14+D14+E14+F14)*0.005</f>
        <v>15.42</v>
      </c>
      <c r="G15" s="22">
        <f>(C14+D14+E14+F14+G14)*0.005</f>
        <v>15.42</v>
      </c>
      <c r="H15" s="22">
        <f>(C14+D14+E14+F14+G14+H14)*0.005</f>
        <v>15.42</v>
      </c>
      <c r="I15" s="22">
        <f>(C14+D14+E14+F14+G14+H14+I14)*0.005</f>
        <v>20.420000000000002</v>
      </c>
      <c r="J15" s="22">
        <f>(C14+D14+E14+F14+G14+H14+I14+J14)*0.005</f>
        <v>20.420000000000002</v>
      </c>
      <c r="K15" s="22">
        <f>(C14+D14+E14+F14+G14+H14+I14+J14+K14)*0.005</f>
        <v>20.420000000000002</v>
      </c>
      <c r="L15" s="22">
        <f>(C14+D14+E14+F14+G14+H14+I14+J14+K14+L14)*0.005</f>
        <v>20.420000000000002</v>
      </c>
      <c r="M15" s="22">
        <f>(C14+D14+E14+F14+G14+H14+I14+J14+K14+L14+M14)*0.005</f>
        <v>20.420000000000002</v>
      </c>
      <c r="N15" s="22">
        <f>(C14+D14+E14+F14+G14+H14+I14+J14+K14+L14+M14+N14)*0.005</f>
        <v>23.92</v>
      </c>
      <c r="O15" s="22">
        <f>(C14+D14+E14+F14+G14+H14+I14+J14+K14+L14+M14+N14+O14)*0.005</f>
        <v>23.92</v>
      </c>
      <c r="P15" s="46"/>
      <c r="Q15" s="22"/>
      <c r="R15" s="22"/>
      <c r="S15" s="22"/>
      <c r="U15" s="2"/>
    </row>
    <row r="16" spans="1:27">
      <c r="A16" s="202">
        <v>4</v>
      </c>
      <c r="B16" s="20" t="s">
        <v>155</v>
      </c>
      <c r="C16" s="161">
        <f>1688+101.28</f>
        <v>1789.28</v>
      </c>
      <c r="D16" s="22">
        <v>280</v>
      </c>
      <c r="E16" s="22">
        <v>0</v>
      </c>
      <c r="F16" s="22">
        <v>0</v>
      </c>
      <c r="G16" s="22">
        <v>0</v>
      </c>
      <c r="H16" s="22">
        <v>0</v>
      </c>
      <c r="I16" s="22"/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600</v>
      </c>
      <c r="P16" s="46">
        <f>C16+D16+E16+F16+G16+H16+I16+J16+K16+L16+M16+N16+O16</f>
        <v>2669.28</v>
      </c>
      <c r="Q16" s="22">
        <f>P16/12</f>
        <v>222.44</v>
      </c>
      <c r="R16" s="22">
        <f>D17+E17+F17+G17+H17+I17+J17+K17+L17+M17+N17+O17</f>
        <v>127.1568</v>
      </c>
      <c r="S16" s="22">
        <f>P16+R16</f>
        <v>2796.4367999999999</v>
      </c>
      <c r="U16" s="179"/>
      <c r="V16" s="2"/>
    </row>
    <row r="17" spans="1:22">
      <c r="A17" s="162"/>
      <c r="B17" s="20"/>
      <c r="C17" s="76" t="s">
        <v>152</v>
      </c>
      <c r="D17" s="22">
        <f>(C16+D16)*0.005</f>
        <v>10.346399999999999</v>
      </c>
      <c r="E17" s="22">
        <f>(C16+D16+E16)*0.005</f>
        <v>10.346399999999999</v>
      </c>
      <c r="F17" s="22">
        <f>(+C16+D16+E16+F16)*0.005</f>
        <v>10.346399999999999</v>
      </c>
      <c r="G17" s="22">
        <f>(C16+D16+E16+F16+G16)*0.005</f>
        <v>10.346399999999999</v>
      </c>
      <c r="H17" s="22">
        <f>(C16+D16+E16+F16+G16+H16)*0.005</f>
        <v>10.346399999999999</v>
      </c>
      <c r="I17" s="22">
        <f>(C16+D16+E16+F16+G16+H16+I16)*0.005</f>
        <v>10.346399999999999</v>
      </c>
      <c r="J17" s="22">
        <f>(C16+D16+E16+F16+G16+H16+I16+J16)*0.005</f>
        <v>10.346399999999999</v>
      </c>
      <c r="K17" s="22">
        <f>(C16+D16+E16+F16+G16+H16+I16+J16+K16)*0.005</f>
        <v>10.346399999999999</v>
      </c>
      <c r="L17" s="22">
        <f>(C16+D16+E16+F16+G16+H16+I16+J16+K16+L16)*0.005</f>
        <v>10.346399999999999</v>
      </c>
      <c r="M17" s="22">
        <f>(C16+D16+E16+F16+G16+H16+I16+J16+K16+L16+M16)*0.005</f>
        <v>10.346399999999999</v>
      </c>
      <c r="N17" s="22">
        <f>(C16+D16+E16+F16+G16+H16+I16+J16+K16+L16+M16+N16)*0.005</f>
        <v>10.346399999999999</v>
      </c>
      <c r="O17" s="22">
        <f>(C16+D16+E16+F16+G16+H16+I16+J16+K16+L16+M16+N16+O16)*0.005</f>
        <v>13.346399999999999</v>
      </c>
      <c r="P17" s="46"/>
      <c r="Q17" s="22"/>
      <c r="S17" s="22"/>
      <c r="U17" s="2"/>
      <c r="V17" s="2"/>
    </row>
    <row r="18" spans="1:22" s="2" customFormat="1">
      <c r="A18" s="202">
        <v>5</v>
      </c>
      <c r="B18" s="20" t="s">
        <v>156</v>
      </c>
      <c r="C18" s="161">
        <f>1583+94.98</f>
        <v>1677.98</v>
      </c>
      <c r="D18" s="25">
        <v>238</v>
      </c>
      <c r="E18" s="25">
        <v>60</v>
      </c>
      <c r="F18" s="25">
        <v>0</v>
      </c>
      <c r="G18" s="22">
        <v>0</v>
      </c>
      <c r="H18" s="22"/>
      <c r="I18" s="25">
        <v>0</v>
      </c>
      <c r="J18" s="22">
        <v>0</v>
      </c>
      <c r="K18" s="22">
        <v>0</v>
      </c>
      <c r="L18" s="22"/>
      <c r="M18" s="25"/>
      <c r="N18" s="25">
        <v>0</v>
      </c>
      <c r="O18" s="25"/>
      <c r="P18" s="46">
        <f>C18+D18+E18+F18+G18+H18+I18+J18+K18+L18+M18+N18+O18</f>
        <v>1975.98</v>
      </c>
      <c r="Q18" s="22">
        <f t="shared" ref="Q18:Q30" si="0">P18/12</f>
        <v>164.66499999999999</v>
      </c>
      <c r="R18" s="22">
        <f>D19+E19+F19+G19+H19+I19+J19+K19+L19+M19+N19+O19</f>
        <v>118.25879999999999</v>
      </c>
      <c r="S18" s="22">
        <f>P18+R18</f>
        <v>2094.2388000000001</v>
      </c>
      <c r="T18" s="178"/>
      <c r="U18" s="179"/>
    </row>
    <row r="19" spans="1:22" s="2" customFormat="1">
      <c r="A19" s="162"/>
      <c r="B19" s="20"/>
      <c r="C19" s="76" t="s">
        <v>152</v>
      </c>
      <c r="D19" s="22">
        <f>(C18+D18)*0.005</f>
        <v>9.5799000000000003</v>
      </c>
      <c r="E19" s="22">
        <f>(C18+D18+E18)*0.005</f>
        <v>9.8798999999999992</v>
      </c>
      <c r="F19" s="22">
        <f>(+C18+D18+E18+F18)*0.005</f>
        <v>9.8798999999999992</v>
      </c>
      <c r="G19" s="22">
        <f>(C18+D18+E18+F18+G18)*0.005</f>
        <v>9.8798999999999992</v>
      </c>
      <c r="H19" s="22">
        <f>(C18+D18+E18+F18+G18+H18)*0.005</f>
        <v>9.8798999999999992</v>
      </c>
      <c r="I19" s="22">
        <f>(C18+D18+E18+F18+G18+H18+I18)*0.005</f>
        <v>9.8798999999999992</v>
      </c>
      <c r="J19" s="22">
        <f>(C18+D18+E18+F18+G18+H18+I18+J18)*0.005</f>
        <v>9.8798999999999992</v>
      </c>
      <c r="K19" s="22">
        <f>(C18+D18+E18+F18+G18+H18+I18+J18+K18)*0.005</f>
        <v>9.8798999999999992</v>
      </c>
      <c r="L19" s="22">
        <f>(C18+D18+E18+F18+G18+H18+I18+J18+K18+L18)*0.005</f>
        <v>9.8798999999999992</v>
      </c>
      <c r="M19" s="22">
        <f>(C18+D18+E18+F18+G18+H18+I18+J18+K18+L18+M18)*0.005</f>
        <v>9.8798999999999992</v>
      </c>
      <c r="N19" s="22">
        <f>(C18+D18+E18+F18+G18+H18+I18+J18+K18+L18+M18+N18)*0.005</f>
        <v>9.8798999999999992</v>
      </c>
      <c r="O19" s="22">
        <f>(C18+D18+E18+F18+G18+H18+I18+J18+K18+L18+M18+N18+O18)*0.005</f>
        <v>9.8798999999999992</v>
      </c>
      <c r="P19" s="173"/>
      <c r="Q19" s="22"/>
      <c r="R19" s="22"/>
      <c r="S19" s="22"/>
      <c r="T19" s="178"/>
    </row>
    <row r="20" spans="1:22">
      <c r="A20" s="162">
        <v>6</v>
      </c>
      <c r="B20" s="20" t="s">
        <v>157</v>
      </c>
      <c r="C20" s="161">
        <v>50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173">
        <v>50</v>
      </c>
      <c r="Q20" s="22">
        <f t="shared" si="0"/>
        <v>4.1666666666666696</v>
      </c>
      <c r="R20" s="22"/>
      <c r="S20" s="22">
        <f>P20+R20</f>
        <v>50</v>
      </c>
      <c r="U20" s="2"/>
      <c r="V20" s="2"/>
    </row>
    <row r="21" spans="1:22">
      <c r="A21" s="162"/>
      <c r="B21" s="20"/>
      <c r="C21" s="76" t="s">
        <v>152</v>
      </c>
      <c r="D21" s="22">
        <f>(C20+D20)*0.005</f>
        <v>0.25</v>
      </c>
      <c r="E21" s="22">
        <f>(C20+D20+E20)*0.005</f>
        <v>0.25</v>
      </c>
      <c r="F21" s="22">
        <f>(+C20+D20+E20+F20)*0.005</f>
        <v>0.25</v>
      </c>
      <c r="G21" s="22">
        <f>(C20+D20+E20+F20+G20)*0.005</f>
        <v>0.25</v>
      </c>
      <c r="H21" s="22">
        <f>(C20+D20+E20+F20+G20+H20)*0.005</f>
        <v>0.25</v>
      </c>
      <c r="I21" s="22">
        <f>(C20+D20+E20+F20+G20+H20+I20)*0.005</f>
        <v>0.25</v>
      </c>
      <c r="J21" s="22">
        <f>(C20+D20+E20+F20+G20+H20+I20+J20)*0.005</f>
        <v>0.25</v>
      </c>
      <c r="K21" s="22">
        <f>(C20+D20+E20+F20+G20+H20+I20+J20+K20)*0.005</f>
        <v>0.25</v>
      </c>
      <c r="L21" s="22">
        <f>(C20+D20+E20+F20+G20+H20+I20+J20+K20+L20)*0.005</f>
        <v>0.25</v>
      </c>
      <c r="M21" s="22">
        <f>(C20+D20+E20+F20+G20+H20+I20+J20+K20+L20+M20)*0.005</f>
        <v>0.25</v>
      </c>
      <c r="N21" s="22">
        <f>(C20+D20+E20+F20+G20+H20+I20+J20+K20+L20+M20+N20)*0.005</f>
        <v>0.25</v>
      </c>
      <c r="O21" s="22">
        <f>(C20+D20+E20+F20+G20+H20+I20+J20+K20+L20+M20+N20+O20)*0.005</f>
        <v>0.25</v>
      </c>
      <c r="P21" s="173"/>
      <c r="Q21" s="22"/>
      <c r="R21" s="22"/>
      <c r="S21" s="22"/>
      <c r="U21" s="2"/>
      <c r="V21" s="2"/>
    </row>
    <row r="22" spans="1:22">
      <c r="A22" s="162">
        <v>7</v>
      </c>
      <c r="B22" s="31" t="s">
        <v>158</v>
      </c>
      <c r="C22" s="161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46">
        <f>C22+D22+E22+F22+G22+H22+I22+J22+K22+L22+M22+N22+O22</f>
        <v>50</v>
      </c>
      <c r="Q22" s="22">
        <f t="shared" si="0"/>
        <v>4.1666666666666696</v>
      </c>
      <c r="R22" s="22"/>
      <c r="S22" s="22">
        <f>P22+R22</f>
        <v>50</v>
      </c>
      <c r="U22" s="2"/>
      <c r="V22" s="2"/>
    </row>
    <row r="23" spans="1:22">
      <c r="A23" s="162"/>
      <c r="B23" s="31"/>
      <c r="C23" s="76" t="s">
        <v>152</v>
      </c>
      <c r="D23" s="22">
        <f>(C22+D22)*0.005</f>
        <v>0.25</v>
      </c>
      <c r="E23" s="22">
        <f>(C22+D22+E22)*0.005</f>
        <v>0.25</v>
      </c>
      <c r="F23" s="22">
        <f>(+C22+D22+E22+F22)*0.005</f>
        <v>0.25</v>
      </c>
      <c r="G23" s="22">
        <f>(C22+D22+E22+F22+G22)*0.005</f>
        <v>0.25</v>
      </c>
      <c r="H23" s="22">
        <f>(C22+D22+E22+F22+G22+H22)*0.005</f>
        <v>0.25</v>
      </c>
      <c r="I23" s="22">
        <f>(C22+D22+E22+F22+G22+H22+I22)*0.005</f>
        <v>0.25</v>
      </c>
      <c r="J23" s="22">
        <f>(C22+D22+E22+F22+G22+H22+I22+J22)*0.005</f>
        <v>0.25</v>
      </c>
      <c r="K23" s="22">
        <f>(C22+D22+E22+F22+G22+H22+I22+J22+K22)*0.005</f>
        <v>0.25</v>
      </c>
      <c r="L23" s="22">
        <f>(C22+D22+E22+F22+G22+H22+I22+J22+K22+L22)*0.005</f>
        <v>0.25</v>
      </c>
      <c r="M23" s="22">
        <f>(C22+D22+E22+F22+G22+H22+I22+J22+K22+L22+M22)*0.005</f>
        <v>0.25</v>
      </c>
      <c r="N23" s="22">
        <f>(C22+D22+E22+F22+G22+H22+I22+J22+K22+L22+M22+N22)*0.005</f>
        <v>0.25</v>
      </c>
      <c r="O23" s="22">
        <f>(C22+D22+E22+F22+G22+H22+I22+J22+K22+L22+M22+N22+O22)*0.005</f>
        <v>0.25</v>
      </c>
      <c r="P23" s="173"/>
      <c r="Q23" s="22"/>
      <c r="R23" s="22"/>
      <c r="S23" s="22"/>
      <c r="U23" s="2"/>
      <c r="V23" s="2"/>
    </row>
    <row r="24" spans="1:22">
      <c r="A24" s="162">
        <v>8</v>
      </c>
      <c r="B24" s="30" t="s">
        <v>159</v>
      </c>
      <c r="C24" s="161">
        <v>50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46">
        <f>C24+D24+E24+F24+G24+H24+I24+J24+K24+L24+M24+N24+O24</f>
        <v>50</v>
      </c>
      <c r="Q24" s="22">
        <f t="shared" si="0"/>
        <v>4.1666666666666696</v>
      </c>
      <c r="R24" s="22"/>
      <c r="S24" s="22">
        <f>P24+R24</f>
        <v>50</v>
      </c>
      <c r="U24" s="2"/>
      <c r="V24" s="2"/>
    </row>
    <row r="25" spans="1:22">
      <c r="A25" s="162"/>
      <c r="B25" s="30"/>
      <c r="C25" s="76" t="s">
        <v>152</v>
      </c>
      <c r="D25" s="22">
        <f>(C24+D24)*0.005</f>
        <v>0.25</v>
      </c>
      <c r="E25" s="22">
        <f>(C24+D24+E24)*0.005</f>
        <v>0.25</v>
      </c>
      <c r="F25" s="22">
        <f>(+C24+D24+E24+F24)*0.005</f>
        <v>0.25</v>
      </c>
      <c r="G25" s="22">
        <f>(C24+D24+E24+F24+G24)*0.005</f>
        <v>0.25</v>
      </c>
      <c r="H25" s="22">
        <f>(C24+D24+E24+F24+G24+H24)*0.005</f>
        <v>0.25</v>
      </c>
      <c r="I25" s="22">
        <f>(C24+D24+E24+F24+G24+H24+I24)*0.005</f>
        <v>0.25</v>
      </c>
      <c r="J25" s="22">
        <f>(C24+D24+E24+F24+G24+H24+I24+J24)*0.005</f>
        <v>0.25</v>
      </c>
      <c r="K25" s="22">
        <f>(C24+D24+E24+F24+G24+H24+I24+J24+K24)*0.005</f>
        <v>0.25</v>
      </c>
      <c r="L25" s="22">
        <f>(C24+D24+E24+F24+G24+H24+I24+J24+K24+L24)*0.005</f>
        <v>0.25</v>
      </c>
      <c r="M25" s="22">
        <f>(C24+D24+E24+F24+G24+H24+I24+J24+K24+L24+M24)*0.005</f>
        <v>0.25</v>
      </c>
      <c r="N25" s="22">
        <f>(C24+D24+E24+F24+G24+H24+I24+J24+K24+L24+M24+N24)*0.005</f>
        <v>0.25</v>
      </c>
      <c r="O25" s="22">
        <f>(C24+D24+E24+F24+G24+H24+I24+J24+K24+L24+M24+N24+O24)*0.005</f>
        <v>0.25</v>
      </c>
      <c r="P25" s="173"/>
      <c r="Q25" s="22"/>
      <c r="R25" s="22"/>
      <c r="S25" s="22"/>
      <c r="U25" s="2"/>
      <c r="V25" s="2"/>
    </row>
    <row r="26" spans="1:22">
      <c r="A26" s="202">
        <v>9</v>
      </c>
      <c r="B26" s="31" t="s">
        <v>160</v>
      </c>
      <c r="C26" s="161">
        <v>250</v>
      </c>
      <c r="D26" s="22"/>
      <c r="E26" s="22"/>
      <c r="F26" s="22"/>
      <c r="G26" s="22"/>
      <c r="H26" s="22"/>
      <c r="I26" s="22">
        <v>0</v>
      </c>
      <c r="J26" s="22"/>
      <c r="K26" s="22">
        <f>100+150</f>
        <v>250</v>
      </c>
      <c r="L26" s="22"/>
      <c r="M26" s="22"/>
      <c r="N26" s="22">
        <v>50</v>
      </c>
      <c r="O26" s="22"/>
      <c r="P26" s="46">
        <f>C26+D26+E26+F26+G26+H26+I26+J26+K26+L26+M26+N26+O26</f>
        <v>550</v>
      </c>
      <c r="Q26" s="22">
        <f t="shared" si="0"/>
        <v>45.8333333333333</v>
      </c>
      <c r="R26" s="22">
        <f>D27+E27+F27+G27+H27+I27+J27+K27+L27+M27+N27+O27</f>
        <v>13</v>
      </c>
      <c r="S26" s="22">
        <f>P26+R26</f>
        <v>563</v>
      </c>
      <c r="U26" s="179"/>
      <c r="V26" s="2"/>
    </row>
    <row r="27" spans="1:22">
      <c r="A27" s="162"/>
      <c r="B27" s="31"/>
      <c r="C27" s="76" t="s">
        <v>152</v>
      </c>
      <c r="D27" s="22"/>
      <c r="E27" s="22"/>
      <c r="F27" s="22"/>
      <c r="G27" s="22"/>
      <c r="H27" s="22"/>
      <c r="I27" s="22"/>
      <c r="J27" s="22"/>
      <c r="K27" s="22">
        <f>(C26+D26+E26+F26+G26+H26+I26+J26+K26)*0.005</f>
        <v>2.5</v>
      </c>
      <c r="L27" s="22">
        <f>(C26+D26+E26+F26+G26+H26+I26+J26+K26+L26)*0.005</f>
        <v>2.5</v>
      </c>
      <c r="M27" s="22">
        <f>(C26+D26+E26+F26+G26+H26+I26+J26+K26+L26+M26)*0.005</f>
        <v>2.5</v>
      </c>
      <c r="N27" s="22">
        <f>(C26+D26+E26+F26+G26+H26+I26+J26+K26+L26+M26+N26)*0.005</f>
        <v>2.75</v>
      </c>
      <c r="O27" s="22">
        <f>(C26+D26+E26+F26+G26+H26+I26+J26+K26+L26+M26+N26+O26)*0.005</f>
        <v>2.75</v>
      </c>
      <c r="P27" s="173"/>
      <c r="Q27" s="22"/>
      <c r="R27" s="22"/>
      <c r="S27" s="22"/>
      <c r="U27" s="2"/>
      <c r="V27" s="2"/>
    </row>
    <row r="28" spans="1:22" s="2" customFormat="1">
      <c r="A28" s="162">
        <v>10</v>
      </c>
      <c r="B28" s="20" t="s">
        <v>161</v>
      </c>
      <c r="C28" s="161">
        <v>50</v>
      </c>
      <c r="D28" s="25"/>
      <c r="E28" s="25"/>
      <c r="F28" s="22"/>
      <c r="G28" s="22"/>
      <c r="H28" s="22"/>
      <c r="I28" s="22"/>
      <c r="J28" s="22">
        <v>0</v>
      </c>
      <c r="K28" s="22"/>
      <c r="L28" s="22"/>
      <c r="M28" s="22">
        <v>0</v>
      </c>
      <c r="N28" s="22"/>
      <c r="O28" s="22"/>
      <c r="P28" s="46">
        <f>C28+D28+E28+F28+G28+H28+I28+J28+K28+L28+M28+N28+O28</f>
        <v>50</v>
      </c>
      <c r="Q28" s="22">
        <f t="shared" si="0"/>
        <v>4.1666666666666696</v>
      </c>
      <c r="R28" s="22"/>
      <c r="S28" s="22">
        <f>P28+R28</f>
        <v>50</v>
      </c>
      <c r="T28" s="178"/>
      <c r="U28" s="179"/>
    </row>
    <row r="29" spans="1:22" s="2" customFormat="1">
      <c r="A29" s="162"/>
      <c r="B29" s="20"/>
      <c r="C29" s="76" t="s">
        <v>152</v>
      </c>
      <c r="D29" s="22">
        <f>(C28+D28)*0.005</f>
        <v>0.25</v>
      </c>
      <c r="E29" s="22">
        <f>(C28+D28+E28)*0.005</f>
        <v>0.25</v>
      </c>
      <c r="F29" s="22">
        <f>(+C28+D28+E28+F28)*0.005</f>
        <v>0.25</v>
      </c>
      <c r="G29" s="22">
        <f>(C28+D28+E28+F28+G28)*0.005</f>
        <v>0.25</v>
      </c>
      <c r="H29" s="22">
        <f>(C28+D28+E28+F28+G28+H28)*0.005</f>
        <v>0.25</v>
      </c>
      <c r="I29" s="22">
        <f>(C28+D28+E28+F28+G28+H28+I28)*0.005</f>
        <v>0.25</v>
      </c>
      <c r="J29" s="22">
        <f>(C28+D28+E28+F28+G28+H28+I28+J28)*0.005</f>
        <v>0.25</v>
      </c>
      <c r="K29" s="22">
        <f>(C28+D28+E28+F28+G28+H28+I28+J28+K28)*0.005</f>
        <v>0.25</v>
      </c>
      <c r="L29" s="22">
        <f>(C28+D28+E28+F28+G28+H28+I28+J28+K28+L28)*0.005</f>
        <v>0.25</v>
      </c>
      <c r="M29" s="22">
        <f>(C28+D28+E28+F28+G28+H28+I28+J28+K28+L28+M28)*0.005</f>
        <v>0.25</v>
      </c>
      <c r="N29" s="22">
        <f>(C28+D28+E28+F28+G28+H28+I28+J28+K28+L28+M28+N28)*0.005</f>
        <v>0.25</v>
      </c>
      <c r="O29" s="22">
        <f>(C28+D28+E28+F28+G28+H28+I28+J28+K28+L28+M28+N28+O28)*0.005</f>
        <v>0.25</v>
      </c>
      <c r="P29" s="173"/>
      <c r="Q29" s="22"/>
      <c r="R29" s="22"/>
      <c r="S29" s="22"/>
      <c r="T29" s="178"/>
    </row>
    <row r="30" spans="1:22">
      <c r="A30" s="162">
        <v>11</v>
      </c>
      <c r="B30" s="27" t="s">
        <v>162</v>
      </c>
      <c r="C30" s="161">
        <v>50</v>
      </c>
      <c r="D30" s="22">
        <v>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46">
        <f>C30+D30+E30+F30+G30+H30+I30+J30+K30+L30+M30+N30+O30</f>
        <v>50</v>
      </c>
      <c r="Q30" s="22">
        <f t="shared" si="0"/>
        <v>4.1666666666666696</v>
      </c>
      <c r="R30" s="22"/>
      <c r="S30" s="22">
        <f>P30+R30</f>
        <v>50</v>
      </c>
      <c r="U30" s="2"/>
      <c r="V30" s="2"/>
    </row>
    <row r="31" spans="1:22" ht="12.75" customHeight="1">
      <c r="A31" s="162"/>
      <c r="B31" s="27"/>
      <c r="C31" s="76" t="s">
        <v>152</v>
      </c>
      <c r="D31" s="22">
        <f>(C30+D30)*0.005</f>
        <v>0.25</v>
      </c>
      <c r="E31" s="22">
        <f>(C30+D30+E30)*0.005</f>
        <v>0.25</v>
      </c>
      <c r="F31" s="22">
        <f>(+C30+D30+E30+F30)*0.005</f>
        <v>0.25</v>
      </c>
      <c r="G31" s="22">
        <f>(C30+D30+E30+F30+G30)*0.005</f>
        <v>0.25</v>
      </c>
      <c r="H31" s="22">
        <f>(C30+D30+E30+F30+G30+H30)*0.005</f>
        <v>0.25</v>
      </c>
      <c r="I31" s="22">
        <f>(C30+D30+E30+F30+G30+H30+I30)*0.005</f>
        <v>0.25</v>
      </c>
      <c r="J31" s="22">
        <f>(C30+D30+E30+F30+G30+H30+I30+J30)*0.005</f>
        <v>0.25</v>
      </c>
      <c r="K31" s="22">
        <f>(C30+D30+E30+F30+G30+H30+I30+J30+K30)*0.005</f>
        <v>0.25</v>
      </c>
      <c r="L31" s="22">
        <f>(C30+D30+E30+F30+G30+H30+I30+J30+K30+L30)*0.005</f>
        <v>0.25</v>
      </c>
      <c r="M31" s="22">
        <f>(C30+D30+E30+F30+G30+H30+I30+J30+K30+L30+M30)*0.005</f>
        <v>0.25</v>
      </c>
      <c r="N31" s="22">
        <f>(C30+D30+E30+F30+G30+H30+I30+J30+K30+L30+M30+N30)*0.005</f>
        <v>0.25</v>
      </c>
      <c r="O31" s="22">
        <f>(C30+D30+E30+F30+G30+H30+I30+J30+K30+L30+M30+N30+O30)*0.005</f>
        <v>0.25</v>
      </c>
      <c r="P31" s="173"/>
      <c r="Q31" s="22"/>
      <c r="R31" s="22"/>
      <c r="S31" s="22"/>
      <c r="U31" s="2"/>
      <c r="V31" s="2"/>
    </row>
    <row r="32" spans="1:22">
      <c r="A32" s="202">
        <v>12</v>
      </c>
      <c r="B32" s="20" t="s">
        <v>163</v>
      </c>
      <c r="C32" s="165">
        <v>450</v>
      </c>
      <c r="D32" s="22">
        <v>0</v>
      </c>
      <c r="E32" s="22">
        <v>500</v>
      </c>
      <c r="F32" s="22">
        <v>500</v>
      </c>
      <c r="G32" s="22"/>
      <c r="H32" s="22"/>
      <c r="I32" s="45"/>
      <c r="J32" s="45">
        <v>300</v>
      </c>
      <c r="K32" s="45">
        <v>300</v>
      </c>
      <c r="L32" s="45">
        <v>0</v>
      </c>
      <c r="M32" s="45">
        <v>347</v>
      </c>
      <c r="N32" s="45">
        <v>300</v>
      </c>
      <c r="O32" s="22"/>
      <c r="P32" s="46">
        <f>C32+D32+E32+F32+G32+H32+I32+J32+K32+L32+M32+N32+O32</f>
        <v>2697</v>
      </c>
      <c r="Q32" s="22">
        <f>P32/12</f>
        <v>224.75</v>
      </c>
      <c r="R32" s="22">
        <f>D33+E33+F33+G33+H33+I33+J33+K33+L33+M33+N33+O33</f>
        <v>101.955</v>
      </c>
      <c r="S32" s="22">
        <f>P32+R32</f>
        <v>2798.9549999999999</v>
      </c>
      <c r="U32" s="179"/>
      <c r="V32" s="2"/>
    </row>
    <row r="33" spans="1:22" ht="12.75" customHeight="1">
      <c r="A33" s="162"/>
      <c r="B33" s="20"/>
      <c r="C33" s="76" t="s">
        <v>152</v>
      </c>
      <c r="D33" s="22"/>
      <c r="E33" s="22">
        <f>(C32+D32+E32)*0.005</f>
        <v>4.75</v>
      </c>
      <c r="F33" s="22">
        <f>(+C32+D32+E32+F32)*0.005</f>
        <v>7.25</v>
      </c>
      <c r="G33" s="22">
        <f>(C32+D32+E32+F32+G32)*0.005</f>
        <v>7.25</v>
      </c>
      <c r="H33" s="22">
        <f>(C32+D32+E32+F32+G32+H32)*0.005</f>
        <v>7.25</v>
      </c>
      <c r="I33" s="22">
        <f>(C32+D32+E32+F32+G32+H32+I32)*0.005</f>
        <v>7.25</v>
      </c>
      <c r="J33" s="22">
        <f>(C32+D32+E32+F32+G32+H32+I32+J32)*0.005</f>
        <v>8.75</v>
      </c>
      <c r="K33" s="22">
        <f>(C32+D32+E32+F32+G32+H32+I32+J32+K32)*0.005</f>
        <v>10.25</v>
      </c>
      <c r="L33" s="22">
        <f>(C32+D32+E32+F32+G32+H32+I32+J32+K32+L32)*0.005</f>
        <v>10.25</v>
      </c>
      <c r="M33" s="22">
        <f>(C32+D32+E32+F32+G32+H32+I32+J32+K32+L32+M32)*0.005</f>
        <v>11.984999999999999</v>
      </c>
      <c r="N33" s="22">
        <f>(C32+D32+E32+F32+G32+H32+I32+J32+K32+L32+M32+N32)*0.005</f>
        <v>13.484999999999999</v>
      </c>
      <c r="O33" s="22">
        <f>(C32+D32+E32+F32+G32+H32+I32+J32+K32+L32+M32+N32+O32)*0.005</f>
        <v>13.484999999999999</v>
      </c>
      <c r="P33" s="173"/>
      <c r="Q33" s="22"/>
      <c r="R33" s="22"/>
      <c r="S33" s="22"/>
      <c r="U33" s="2"/>
      <c r="V33" s="2"/>
    </row>
    <row r="34" spans="1:22">
      <c r="A34" s="162">
        <v>13</v>
      </c>
      <c r="B34" s="20" t="s">
        <v>164</v>
      </c>
      <c r="C34" s="165">
        <v>200</v>
      </c>
      <c r="D34" s="22">
        <v>0</v>
      </c>
      <c r="E34" s="22">
        <v>0</v>
      </c>
      <c r="F34" s="22">
        <v>0</v>
      </c>
      <c r="G34" s="22"/>
      <c r="H34" s="22"/>
      <c r="I34" s="45"/>
      <c r="J34" s="45"/>
      <c r="K34" s="45"/>
      <c r="L34" s="45">
        <v>0</v>
      </c>
      <c r="M34" s="45"/>
      <c r="N34" s="45"/>
      <c r="O34" s="22"/>
      <c r="P34" s="46">
        <f>C34+D34+E34+F34+G34+H34+I34+J34+K34+L34+M34+N34+O34</f>
        <v>200</v>
      </c>
      <c r="Q34" s="22">
        <f>P34/12</f>
        <v>16.6666666666667</v>
      </c>
      <c r="R34" s="22"/>
      <c r="S34" s="22">
        <f>P34+R34</f>
        <v>200</v>
      </c>
      <c r="U34" s="179"/>
    </row>
    <row r="35" spans="1:22" ht="12.75" customHeight="1">
      <c r="A35" s="162"/>
      <c r="B35" s="20"/>
      <c r="C35" s="76" t="s">
        <v>152</v>
      </c>
      <c r="D35" s="22">
        <f>(C34+D34)*0.005</f>
        <v>1</v>
      </c>
      <c r="E35" s="22">
        <f>(C34+D34+E34)*0.005</f>
        <v>1</v>
      </c>
      <c r="F35" s="22">
        <f>(+C34+D34+E34+F34)*0.005</f>
        <v>1</v>
      </c>
      <c r="G35" s="22">
        <f>(C34+D34+E34+F34+G34)*0.005</f>
        <v>1</v>
      </c>
      <c r="H35" s="22">
        <f>(C34+D34+E34+F34+G34+H34)*0.005</f>
        <v>1</v>
      </c>
      <c r="I35" s="22">
        <f>(C34+D34+E34+F34+G34+H34+I34)*0.005</f>
        <v>1</v>
      </c>
      <c r="J35" s="22">
        <f>(C34+D34+E34+F34+G34+H34+I34+J34)*0.005</f>
        <v>1</v>
      </c>
      <c r="K35" s="22">
        <f>(C34+D34+E34+F34+G34+H34+I34+J34+K34)*0.005</f>
        <v>1</v>
      </c>
      <c r="L35" s="22">
        <f>(C34+D34+E34+F34+G34+H34+I34+J34+K34+L34)*0.005</f>
        <v>1</v>
      </c>
      <c r="M35" s="22">
        <f>(C34+D34+E34+F34+G34+H34+I34+J34+K34+L34+M34)*0.005</f>
        <v>1</v>
      </c>
      <c r="N35" s="22">
        <f>(C34+D34+E34+F34+G34+H34+I34+J34+K34+L34+M34+N34)*0.005</f>
        <v>1</v>
      </c>
      <c r="O35" s="22">
        <f>(C34+D34+E34+F34+G34+H34+I34+J34+K34+L34+M34+N34+O34)*0.005</f>
        <v>1</v>
      </c>
      <c r="P35" s="173"/>
      <c r="Q35" s="22"/>
      <c r="R35" s="22"/>
      <c r="S35" s="22"/>
      <c r="U35" s="2"/>
    </row>
    <row r="36" spans="1:22">
      <c r="A36" s="202">
        <v>14</v>
      </c>
      <c r="B36" s="20" t="s">
        <v>165</v>
      </c>
      <c r="C36" s="165">
        <v>200</v>
      </c>
      <c r="D36" s="22">
        <f>600+100</f>
        <v>700</v>
      </c>
      <c r="E36" s="22">
        <v>280</v>
      </c>
      <c r="F36" s="22">
        <v>0</v>
      </c>
      <c r="G36" s="22">
        <v>0</v>
      </c>
      <c r="H36" s="22"/>
      <c r="I36" s="45"/>
      <c r="J36" s="45"/>
      <c r="K36" s="45"/>
      <c r="L36" s="45">
        <v>0</v>
      </c>
      <c r="M36" s="45"/>
      <c r="N36" s="45"/>
      <c r="O36" s="22"/>
      <c r="P36" s="46">
        <f>C36+D36+E36+F36+G36+H36+I36+J36+K36+L36+M36+N36+O36</f>
        <v>1180</v>
      </c>
      <c r="Q36" s="22">
        <f>P36/12</f>
        <v>98.3333333333333</v>
      </c>
      <c r="R36" s="22">
        <f>D37+E37+F37+G37+H37+I37+J37+K37+L37+M37+N37+O37</f>
        <v>69.400000000000006</v>
      </c>
      <c r="S36" s="22">
        <f>P36+R36</f>
        <v>1249.4000000000001</v>
      </c>
      <c r="U36" s="179"/>
    </row>
    <row r="37" spans="1:22" ht="12.75" customHeight="1">
      <c r="A37" s="162"/>
      <c r="B37" s="20"/>
      <c r="C37" s="76" t="s">
        <v>152</v>
      </c>
      <c r="D37" s="22">
        <f>(C36+D36)*0.005</f>
        <v>4.5</v>
      </c>
      <c r="E37" s="22">
        <f>(C36+D36+E36)*0.005</f>
        <v>5.9</v>
      </c>
      <c r="F37" s="22">
        <f>(+C36+D36+E36+F36)*0.005</f>
        <v>5.9</v>
      </c>
      <c r="G37" s="22">
        <f>(C36+D36+E36+F36+G36)*0.005</f>
        <v>5.9</v>
      </c>
      <c r="H37" s="22">
        <f>(C36+D36+E36+F36+G36+H36)*0.005</f>
        <v>5.9</v>
      </c>
      <c r="I37" s="22">
        <f>(C36+D36+E36+F36+G36+H36+I36)*0.005</f>
        <v>5.9</v>
      </c>
      <c r="J37" s="22">
        <f>(C36+D36+E36+F36+G36+H36+I36+J36)*0.005</f>
        <v>5.9</v>
      </c>
      <c r="K37" s="22">
        <f>(C36+D36+E36+F36+G36+H36+I36+J36+K36)*0.005</f>
        <v>5.9</v>
      </c>
      <c r="L37" s="22">
        <f>(C36+D36+E36+F36+G36+H36+I36+J36+K36+L36)*0.005</f>
        <v>5.9</v>
      </c>
      <c r="M37" s="22">
        <f>(C36+D36+E36+F36+G36+H36+I36+J36+K36+L36+M36)*0.005</f>
        <v>5.9</v>
      </c>
      <c r="N37" s="22">
        <f>(C36+D36+E36+F36+G36+H36+I36+J36+K36+L36+M36+N36)*0.005</f>
        <v>5.9</v>
      </c>
      <c r="O37" s="22">
        <f>(C36+D36+E36+F36+G36+H36+I36+J36+K36+L36+M36+N36+O36)*0.005</f>
        <v>5.9</v>
      </c>
      <c r="P37" s="173"/>
      <c r="Q37" s="22"/>
      <c r="R37" s="22"/>
      <c r="S37" s="22"/>
      <c r="U37" s="2"/>
    </row>
    <row r="38" spans="1:22" ht="12.75" customHeight="1">
      <c r="A38" s="168"/>
      <c r="B38" s="16"/>
      <c r="C38" s="155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205"/>
      <c r="Q38" s="169"/>
      <c r="R38" s="169"/>
      <c r="S38" s="175" t="s">
        <v>166</v>
      </c>
      <c r="U38" s="2"/>
    </row>
    <row r="39" spans="1:22">
      <c r="A39" s="170"/>
      <c r="B39" s="36"/>
      <c r="C39" s="171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206"/>
      <c r="Q39" s="148"/>
      <c r="R39" s="148"/>
      <c r="S39" s="148"/>
      <c r="U39" s="2"/>
    </row>
    <row r="40" spans="1:22" ht="4.5" customHeight="1">
      <c r="A40" s="162"/>
      <c r="B40" s="20"/>
      <c r="C40" s="76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173"/>
      <c r="Q40" s="22"/>
      <c r="R40" s="22"/>
      <c r="S40" s="22"/>
      <c r="U40" s="2"/>
    </row>
    <row r="41" spans="1:22" ht="3.75" customHeight="1">
      <c r="A41" s="166"/>
      <c r="B41" s="73"/>
      <c r="C41" s="203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</row>
    <row r="42" spans="1:22">
      <c r="A42" s="204"/>
      <c r="B42" s="103" t="s">
        <v>120</v>
      </c>
      <c r="C42" s="196">
        <f t="shared" ref="C42:S42" si="1">SUM(C10:C41)</f>
        <v>9666.76</v>
      </c>
      <c r="D42" s="194">
        <f t="shared" si="1"/>
        <v>1701.0737999999999</v>
      </c>
      <c r="E42" s="194">
        <f t="shared" si="1"/>
        <v>1241.2238</v>
      </c>
      <c r="F42" s="194">
        <f t="shared" si="1"/>
        <v>563.72379999999998</v>
      </c>
      <c r="G42" s="194">
        <f t="shared" si="1"/>
        <v>63.723799999999997</v>
      </c>
      <c r="H42" s="194">
        <f t="shared" si="1"/>
        <v>63.723799999999997</v>
      </c>
      <c r="I42" s="194">
        <f t="shared" si="1"/>
        <v>1068.7238</v>
      </c>
      <c r="J42" s="194">
        <f t="shared" si="1"/>
        <v>370.22379999999998</v>
      </c>
      <c r="K42" s="194">
        <f t="shared" si="1"/>
        <v>624.22379999999998</v>
      </c>
      <c r="L42" s="194">
        <f t="shared" si="1"/>
        <v>74.223799999999997</v>
      </c>
      <c r="M42" s="194">
        <f t="shared" si="1"/>
        <v>422.9588</v>
      </c>
      <c r="N42" s="194">
        <f t="shared" si="1"/>
        <v>1678.9338</v>
      </c>
      <c r="O42" s="194">
        <f t="shared" si="1"/>
        <v>1289.9338</v>
      </c>
      <c r="P42" s="196">
        <f t="shared" si="1"/>
        <v>17986.759999999998</v>
      </c>
      <c r="Q42" s="194">
        <f t="shared" si="1"/>
        <v>1498.8966666666699</v>
      </c>
      <c r="R42" s="195">
        <f t="shared" si="1"/>
        <v>815.69060000000002</v>
      </c>
      <c r="S42" s="196">
        <f t="shared" si="1"/>
        <v>18802.4506</v>
      </c>
    </row>
    <row r="44" spans="1:22">
      <c r="A44" t="s">
        <v>121</v>
      </c>
      <c r="E44" t="s">
        <v>122</v>
      </c>
      <c r="K44" t="s">
        <v>123</v>
      </c>
      <c r="P44" t="s">
        <v>124</v>
      </c>
    </row>
    <row r="47" spans="1:22">
      <c r="B47" s="107" t="s">
        <v>125</v>
      </c>
      <c r="F47" s="107" t="s">
        <v>126</v>
      </c>
      <c r="L47" s="308" t="s">
        <v>167</v>
      </c>
      <c r="M47" s="308"/>
      <c r="N47" s="308"/>
      <c r="Q47" s="308" t="s">
        <v>168</v>
      </c>
      <c r="R47" s="308"/>
      <c r="S47" s="308"/>
    </row>
    <row r="48" spans="1:22">
      <c r="B48" t="s">
        <v>169</v>
      </c>
      <c r="F48" s="313" t="s">
        <v>129</v>
      </c>
      <c r="G48" s="313"/>
      <c r="H48" s="313"/>
      <c r="L48" s="311" t="s">
        <v>170</v>
      </c>
      <c r="M48" s="311"/>
      <c r="N48" s="311"/>
      <c r="Q48" s="313" t="s">
        <v>131</v>
      </c>
      <c r="R48" s="313"/>
      <c r="S48" s="313"/>
    </row>
    <row r="51" spans="16:19">
      <c r="S51" s="3" t="s">
        <v>171</v>
      </c>
    </row>
    <row r="55" spans="16:19">
      <c r="P55" t="s">
        <v>172</v>
      </c>
      <c r="Q55">
        <f>18</f>
        <v>18</v>
      </c>
      <c r="R55" s="314" t="e">
        <f>S10+S14+S16+S18+S20+S22+S24+S26+S28+S30+S32+S34+#REF!+#REF!+#REF!+#REF!+#REF!+S36</f>
        <v>#REF!</v>
      </c>
      <c r="S55" s="314"/>
    </row>
    <row r="56" spans="16:19">
      <c r="P56" s="102" t="s">
        <v>173</v>
      </c>
      <c r="Q56" s="102">
        <v>11</v>
      </c>
      <c r="R56" s="306" t="e">
        <f>S12+#REF!+#REF!+#REF!+#REF!+#REF!+#REF!+#REF!+#REF!+#REF!+#REF!</f>
        <v>#REF!</v>
      </c>
      <c r="S56" s="306"/>
    </row>
    <row r="57" spans="16:19">
      <c r="Q57">
        <f>Q55+Q56</f>
        <v>29</v>
      </c>
      <c r="R57" s="307" t="e">
        <f>R55+R56</f>
        <v>#REF!</v>
      </c>
      <c r="S57" s="307"/>
    </row>
    <row r="61" spans="16:19">
      <c r="S61" t="s">
        <v>174</v>
      </c>
    </row>
    <row r="63" spans="16:19">
      <c r="P63" s="50"/>
    </row>
  </sheetData>
  <mergeCells count="14">
    <mergeCell ref="R55:S55"/>
    <mergeCell ref="R56:S56"/>
    <mergeCell ref="R57:S57"/>
    <mergeCell ref="A9:B9"/>
    <mergeCell ref="L47:N47"/>
    <mergeCell ref="Q47:S47"/>
    <mergeCell ref="F48:H48"/>
    <mergeCell ref="L48:N48"/>
    <mergeCell ref="Q48:S48"/>
    <mergeCell ref="A2:S2"/>
    <mergeCell ref="A3:S3"/>
    <mergeCell ref="A4:S4"/>
    <mergeCell ref="A6:S6"/>
    <mergeCell ref="A7:S7"/>
  </mergeCells>
  <pageMargins left="0.25" right="0.25" top="0.25" bottom="0.25" header="0.3" footer="0.3"/>
  <pageSetup paperSize="5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A63"/>
  <sheetViews>
    <sheetView topLeftCell="B4" zoomScale="110" zoomScaleNormal="110" workbookViewId="0">
      <selection activeCell="B11" sqref="B11"/>
    </sheetView>
  </sheetViews>
  <sheetFormatPr defaultColWidth="9" defaultRowHeight="14.4"/>
  <cols>
    <col min="1" max="1" width="3.5546875" customWidth="1"/>
    <col min="2" max="2" width="26.21875" customWidth="1"/>
    <col min="3" max="3" width="13.21875" customWidth="1"/>
    <col min="4" max="4" width="7.77734375" customWidth="1"/>
    <col min="5" max="5" width="7.5546875" customWidth="1"/>
    <col min="6" max="6" width="7.44140625" customWidth="1"/>
    <col min="7" max="8" width="7.77734375" customWidth="1"/>
    <col min="9" max="9" width="8" customWidth="1"/>
    <col min="10" max="11" width="7.5546875" customWidth="1"/>
    <col min="12" max="12" width="7.77734375" customWidth="1"/>
    <col min="13" max="13" width="6.5546875" customWidth="1"/>
    <col min="14" max="14" width="8.5546875" customWidth="1"/>
    <col min="15" max="15" width="8.21875" customWidth="1"/>
    <col min="16" max="16" width="9.21875" customWidth="1"/>
    <col min="17" max="17" width="8.44140625" customWidth="1"/>
    <col min="18" max="18" width="7.77734375" customWidth="1"/>
    <col min="19" max="19" width="8.44140625" customWidth="1"/>
    <col min="20" max="20" width="9" style="4"/>
  </cols>
  <sheetData>
    <row r="2" spans="1:27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</row>
    <row r="3" spans="1:27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</row>
    <row r="4" spans="1:27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</row>
    <row r="5" spans="1:27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  <c r="U5" s="9"/>
      <c r="V5" s="9"/>
      <c r="W5" s="9"/>
      <c r="X5" s="9"/>
      <c r="Y5" s="9"/>
      <c r="Z5" s="9"/>
      <c r="AA5" s="9"/>
    </row>
    <row r="6" spans="1:27" ht="18">
      <c r="A6" s="316" t="s">
        <v>144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</row>
    <row r="7" spans="1:27">
      <c r="A7" s="313" t="s">
        <v>175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</row>
    <row r="8" spans="1:27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7" s="1" customFormat="1" ht="28.5" customHeight="1">
      <c r="A9" s="317"/>
      <c r="B9" s="318"/>
      <c r="C9" s="159" t="s">
        <v>176</v>
      </c>
      <c r="D9" s="158" t="s">
        <v>7</v>
      </c>
      <c r="E9" s="158" t="s">
        <v>8</v>
      </c>
      <c r="F9" s="158" t="s">
        <v>9</v>
      </c>
      <c r="G9" s="158" t="s">
        <v>10</v>
      </c>
      <c r="H9" s="158" t="s">
        <v>11</v>
      </c>
      <c r="I9" s="158" t="s">
        <v>12</v>
      </c>
      <c r="J9" s="158" t="s">
        <v>13</v>
      </c>
      <c r="K9" s="158" t="s">
        <v>14</v>
      </c>
      <c r="L9" s="158" t="s">
        <v>15</v>
      </c>
      <c r="M9" s="158" t="s">
        <v>16</v>
      </c>
      <c r="N9" s="158" t="s">
        <v>17</v>
      </c>
      <c r="O9" s="158" t="s">
        <v>18</v>
      </c>
      <c r="P9" s="158" t="s">
        <v>147</v>
      </c>
      <c r="Q9" s="158" t="s">
        <v>148</v>
      </c>
      <c r="R9" s="133" t="s">
        <v>149</v>
      </c>
      <c r="S9" s="133" t="s">
        <v>150</v>
      </c>
      <c r="T9" s="177"/>
    </row>
    <row r="10" spans="1:27" s="2" customFormat="1">
      <c r="A10" s="199">
        <v>1</v>
      </c>
      <c r="B10" s="16" t="s">
        <v>151</v>
      </c>
      <c r="C10" s="161">
        <v>1678.97</v>
      </c>
      <c r="D10" s="200">
        <v>200</v>
      </c>
      <c r="E10" s="18">
        <v>0</v>
      </c>
      <c r="F10" s="22">
        <v>0</v>
      </c>
      <c r="G10" s="18">
        <v>0</v>
      </c>
      <c r="H10" s="22">
        <v>0</v>
      </c>
      <c r="I10" s="22">
        <v>0</v>
      </c>
      <c r="J10" s="22">
        <v>0</v>
      </c>
      <c r="K10" s="18">
        <v>0</v>
      </c>
      <c r="L10" s="22">
        <v>0</v>
      </c>
      <c r="M10" s="22">
        <v>0</v>
      </c>
      <c r="N10" s="22">
        <v>0</v>
      </c>
      <c r="O10" s="200">
        <v>400</v>
      </c>
      <c r="P10" s="46">
        <f>C10+D10+E10+F10+G10+H10+I10+J10+K10+L10+M10+N10+O10</f>
        <v>2278.9699999999998</v>
      </c>
      <c r="Q10" s="22">
        <f>P10/12</f>
        <v>189.914166666667</v>
      </c>
      <c r="R10" s="22">
        <f>D11+E11+F11+G11+H11+I11+J11+K11+L11+M11+N11+O11</f>
        <v>113.73335</v>
      </c>
      <c r="S10" s="22">
        <f>P10+R10</f>
        <v>2392.7033499999998</v>
      </c>
      <c r="T10" s="178"/>
    </row>
    <row r="11" spans="1:27" s="2" customFormat="1">
      <c r="A11" s="162"/>
      <c r="B11" s="20"/>
      <c r="C11" s="76" t="s">
        <v>152</v>
      </c>
      <c r="D11" s="22">
        <v>8.39</v>
      </c>
      <c r="E11" s="22">
        <f>(C10+D10+E10)*0.005</f>
        <v>9.3948499999999999</v>
      </c>
      <c r="F11" s="22">
        <f>(+C10+D10+E10+F10)*0.005</f>
        <v>9.3948499999999999</v>
      </c>
      <c r="G11" s="22">
        <f>(C10+D10+E10+F10+G10)*0.005</f>
        <v>9.3948499999999999</v>
      </c>
      <c r="H11" s="22">
        <f>(C10+D10+E10+F10+G10+H10)*0.005</f>
        <v>9.3948499999999999</v>
      </c>
      <c r="I11" s="22">
        <f>(C10+D10+E10+F10+G10+H10+I10)*0.005</f>
        <v>9.3948499999999999</v>
      </c>
      <c r="J11" s="22">
        <f>(C10+D10+E10+F10+G10+H10+I10+J10)*0.005</f>
        <v>9.3948499999999999</v>
      </c>
      <c r="K11" s="22">
        <f>(C10+D10+E10+F10+G10+H10+I10+J10+K10)*0.005</f>
        <v>9.3948499999999999</v>
      </c>
      <c r="L11" s="22">
        <f>(C10+D10+E10+F10+G10+H10+I10+J10+K10+L10)*0.005</f>
        <v>9.3948499999999999</v>
      </c>
      <c r="M11" s="22">
        <f>(C10+D10+E10+F10+G10+H10+I10+J10+K10+L10+M10)*0.005</f>
        <v>9.3948499999999999</v>
      </c>
      <c r="N11" s="22">
        <f>(C10+D10+E10+F10+G10+H10+I10+J10+K10+L10+M10+N10)*0.005</f>
        <v>9.3948499999999999</v>
      </c>
      <c r="O11" s="22">
        <f>(C10+D10+E10+F10+G10+H10+I10+J10+K10+L10+M10+N10+O10)*0.005</f>
        <v>11.39485</v>
      </c>
      <c r="P11" s="46"/>
      <c r="Q11" s="22"/>
      <c r="R11" s="22"/>
      <c r="S11" s="22"/>
      <c r="T11" s="178"/>
    </row>
    <row r="12" spans="1:27">
      <c r="A12" s="202">
        <v>2</v>
      </c>
      <c r="B12" s="20" t="s">
        <v>153</v>
      </c>
      <c r="C12" s="161">
        <v>2162.11</v>
      </c>
      <c r="D12" s="32">
        <v>200</v>
      </c>
      <c r="E12" s="22"/>
      <c r="F12" s="22"/>
      <c r="G12" s="22"/>
      <c r="H12" s="22"/>
      <c r="I12" s="22"/>
      <c r="J12" s="22"/>
      <c r="K12" s="22"/>
      <c r="L12" s="22"/>
      <c r="M12" s="22"/>
      <c r="N12" s="22">
        <v>0</v>
      </c>
      <c r="O12" s="22">
        <v>0</v>
      </c>
      <c r="P12" s="46">
        <f>C12+D12+E12+F12+G12+H12+I12+J12+K12+L12+M12+N12+O12</f>
        <v>2362.11</v>
      </c>
      <c r="Q12" s="22">
        <f>P12/12</f>
        <v>196.8425</v>
      </c>
      <c r="R12" s="22">
        <f>D13+E13+F13+G13+H13+I13+J13+K13+L13+M13+N13+O13</f>
        <v>140.72604999999999</v>
      </c>
      <c r="S12" s="22">
        <f>P12+R12</f>
        <v>2502.8360499999999</v>
      </c>
      <c r="U12" s="2"/>
    </row>
    <row r="13" spans="1:27">
      <c r="A13" s="162"/>
      <c r="B13" s="20"/>
      <c r="C13" s="76" t="s">
        <v>152</v>
      </c>
      <c r="D13" s="22">
        <v>10.81</v>
      </c>
      <c r="E13" s="22">
        <f>(C12+D12+E12)*0.005</f>
        <v>11.810549999999999</v>
      </c>
      <c r="F13" s="22">
        <f>(+C12+D12+E12+F12)*0.005</f>
        <v>11.810549999999999</v>
      </c>
      <c r="G13" s="22">
        <f>(C12+D12+E12+F12+G12)*0.005</f>
        <v>11.810549999999999</v>
      </c>
      <c r="H13" s="22">
        <f>(C12+D12+E12+F12+G12+H12)*0.005</f>
        <v>11.810549999999999</v>
      </c>
      <c r="I13" s="22">
        <f>(C12+D12+E12+F12+G12+H12+I12)*0.005</f>
        <v>11.810549999999999</v>
      </c>
      <c r="J13" s="22">
        <f>(C12+D12+E12+F12+G12+H12+I12+J12)*0.005</f>
        <v>11.810549999999999</v>
      </c>
      <c r="K13" s="22">
        <f>(C12+D12+E12+F12+G12+H12+I12+J12+K12)*0.005</f>
        <v>11.810549999999999</v>
      </c>
      <c r="L13" s="22">
        <f>(C12+D12+E12+F12+G12+H12+I12+J12+K12+L12)*0.005</f>
        <v>11.810549999999999</v>
      </c>
      <c r="M13" s="22">
        <f>(C12+D12+E12+F12+G12+H12+I12+J12+K12+L12+M12)*0.005</f>
        <v>11.810549999999999</v>
      </c>
      <c r="N13" s="22">
        <f>(C12+D12+E12+F12+G12+H12+I12+J12+K12+L12+M12+N12)*0.005</f>
        <v>11.810549999999999</v>
      </c>
      <c r="O13" s="22">
        <f>(C12+D12+E12+F12+G12+H12+I12+J12+K12+L12+M12+N12+O12)*0.005</f>
        <v>11.810549999999999</v>
      </c>
      <c r="P13" s="46"/>
      <c r="Q13" s="22"/>
      <c r="R13" s="22"/>
      <c r="S13" s="22"/>
      <c r="U13" s="2"/>
    </row>
    <row r="14" spans="1:27">
      <c r="A14" s="202">
        <v>3</v>
      </c>
      <c r="B14" s="27" t="s">
        <v>154</v>
      </c>
      <c r="C14" s="161">
        <v>5009.34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32">
        <v>1600</v>
      </c>
      <c r="P14" s="46">
        <f>C14+D14+E14+F14+G14+H14+I14+J14+K14+L14+M14+N14+O14</f>
        <v>6609.34</v>
      </c>
      <c r="Q14" s="22">
        <f>P14/12</f>
        <v>550.77833333333297</v>
      </c>
      <c r="R14" s="22">
        <f>D15+E15+F15+G15+H15+I15+J15+K15+L15+M15+N15+O15</f>
        <v>308.56369999999998</v>
      </c>
      <c r="S14" s="22">
        <f>P14+R14</f>
        <v>6917.9036999999998</v>
      </c>
      <c r="U14" s="2"/>
    </row>
    <row r="15" spans="1:27">
      <c r="A15" s="162"/>
      <c r="B15" s="27"/>
      <c r="C15" s="76" t="s">
        <v>152</v>
      </c>
      <c r="D15" s="22">
        <v>25.05</v>
      </c>
      <c r="E15" s="22">
        <f>(C14+D14+E14)*0.005</f>
        <v>25.046700000000001</v>
      </c>
      <c r="F15" s="22">
        <f>(+C14+D14+E14+F14)*0.005</f>
        <v>25.046700000000001</v>
      </c>
      <c r="G15" s="22">
        <f>(C14+D14+E14+F14+G14)*0.005</f>
        <v>25.046700000000001</v>
      </c>
      <c r="H15" s="22">
        <f>(C14+D14+E14+F14+G14+H14)*0.005</f>
        <v>25.046700000000001</v>
      </c>
      <c r="I15" s="22">
        <f>(C14+D14+E14+F14+G14+H14+I14)*0.005</f>
        <v>25.046700000000001</v>
      </c>
      <c r="J15" s="22">
        <f>(C14+D14+E14+F14+G14+H14+I14+J14)*0.005</f>
        <v>25.046700000000001</v>
      </c>
      <c r="K15" s="22">
        <f>(C14+D14+E14+F14+G14+H14+I14+J14+K14)*0.005</f>
        <v>25.046700000000001</v>
      </c>
      <c r="L15" s="22">
        <f>(C14+D14+E14+F14+G14+H14+I14+J14+K14+L14)*0.005</f>
        <v>25.046700000000001</v>
      </c>
      <c r="M15" s="22">
        <f>(C14+D14+E14+F14+G14+H14+I14+J14+K14+L14+M14)*0.005</f>
        <v>25.046700000000001</v>
      </c>
      <c r="N15" s="22">
        <f>(C14+D14+E14+F14+G14+H14+I14+J14+K14+L14+M14+N14)*0.005</f>
        <v>25.046700000000001</v>
      </c>
      <c r="O15" s="22">
        <f>(C14+D14+E14+F14+G14+H14+I14+J14+K14+L14+M14+N14+O14)*0.005</f>
        <v>33.046700000000001</v>
      </c>
      <c r="P15" s="46"/>
      <c r="Q15" s="22"/>
      <c r="R15" s="22"/>
      <c r="S15" s="22"/>
      <c r="U15" s="2"/>
    </row>
    <row r="16" spans="1:27">
      <c r="A16" s="202">
        <v>4</v>
      </c>
      <c r="B16" s="20" t="s">
        <v>155</v>
      </c>
      <c r="C16" s="161">
        <v>2796.44</v>
      </c>
      <c r="D16" s="32">
        <v>600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46">
        <f>C16+D16+E16+F16+G16+H16+I16+J16+K16+L16+M16+N16+O16</f>
        <v>3396.44</v>
      </c>
      <c r="Q16" s="22">
        <f>P16/12</f>
        <v>283.03666666666697</v>
      </c>
      <c r="R16" s="22">
        <f>D17+E17+F17+G17+H17+I17+J17+K17+L17+M17+N17+O17</f>
        <v>200.1542</v>
      </c>
      <c r="S16" s="22">
        <f>P16+R16</f>
        <v>3596.5942</v>
      </c>
      <c r="U16" s="179"/>
      <c r="V16" s="2"/>
    </row>
    <row r="17" spans="1:22">
      <c r="A17" s="162"/>
      <c r="B17" s="20"/>
      <c r="C17" s="76" t="s">
        <v>152</v>
      </c>
      <c r="D17" s="22">
        <v>13.35</v>
      </c>
      <c r="E17" s="22">
        <f>(C16+D16+E16)*0.005</f>
        <v>16.982199999999999</v>
      </c>
      <c r="F17" s="22">
        <f>(+C16+D16+E16+F16)*0.005</f>
        <v>16.982199999999999</v>
      </c>
      <c r="G17" s="22">
        <f>(C16+D16+E16+F16+G16)*0.005</f>
        <v>16.982199999999999</v>
      </c>
      <c r="H17" s="22">
        <f>(C16+D16+E16+F16+G16+H16)*0.005</f>
        <v>16.982199999999999</v>
      </c>
      <c r="I17" s="22">
        <f>(C16+D16+E16+F16+G16+H16+I16)*0.005</f>
        <v>16.982199999999999</v>
      </c>
      <c r="J17" s="22">
        <f>(C16+D16+E16+F16+G16+H16+I16+J16)*0.005</f>
        <v>16.982199999999999</v>
      </c>
      <c r="K17" s="22">
        <f>(C16+D16+E16+F16+G16+H16+I16+J16+K16)*0.005</f>
        <v>16.982199999999999</v>
      </c>
      <c r="L17" s="22">
        <f>(C16+D16+E16+F16+G16+H16+I16+J16+K16+L16)*0.005</f>
        <v>16.982199999999999</v>
      </c>
      <c r="M17" s="22">
        <f>(C16+D16+E16+F16+G16+H16+I16+J16+K16+L16+M16)*0.005</f>
        <v>16.982199999999999</v>
      </c>
      <c r="N17" s="22">
        <f>(C16+D16+E16+F16+G16+H16+I16+J16+K16+L16+M16+N16)*0.005</f>
        <v>16.982199999999999</v>
      </c>
      <c r="O17" s="22">
        <f>(C16+D16+E16+F16+G16+H16+I16+J16+K16+L16+M16+N16+O16)*0.005</f>
        <v>16.982199999999999</v>
      </c>
      <c r="P17" s="46"/>
      <c r="Q17" s="22"/>
      <c r="S17" s="22"/>
      <c r="U17" s="2"/>
      <c r="V17" s="2"/>
    </row>
    <row r="18" spans="1:22" s="2" customFormat="1">
      <c r="A18" s="202">
        <v>5</v>
      </c>
      <c r="B18" s="20" t="s">
        <v>156</v>
      </c>
      <c r="C18" s="161">
        <v>2094.2399999999998</v>
      </c>
      <c r="D18" s="188">
        <v>200</v>
      </c>
      <c r="E18" s="25">
        <v>0</v>
      </c>
      <c r="F18" s="25">
        <v>0</v>
      </c>
      <c r="G18" s="22">
        <v>0</v>
      </c>
      <c r="H18" s="22">
        <v>0</v>
      </c>
      <c r="I18" s="25">
        <v>0</v>
      </c>
      <c r="J18" s="22">
        <v>0</v>
      </c>
      <c r="K18" s="22">
        <v>0</v>
      </c>
      <c r="L18" s="22">
        <v>0</v>
      </c>
      <c r="M18" s="25">
        <v>0</v>
      </c>
      <c r="N18" s="25">
        <v>0</v>
      </c>
      <c r="O18" s="25">
        <v>0</v>
      </c>
      <c r="P18" s="46">
        <f>C18+D18+E18+F18+G18+H18+I18+J18+K18+L18+M18+N18+O18</f>
        <v>2294.2399999999998</v>
      </c>
      <c r="Q18" s="22">
        <f t="shared" ref="Q18:Q30" si="0">P18/12</f>
        <v>191.18666666666701</v>
      </c>
      <c r="R18" s="22">
        <f>D19+E19+F19+G19+H19+I19+J19+K19+L19+M19+N19+O19</f>
        <v>126.1832</v>
      </c>
      <c r="S18" s="22">
        <f>P18+R18</f>
        <v>2420.4232000000002</v>
      </c>
      <c r="T18" s="178"/>
      <c r="U18" s="179"/>
    </row>
    <row r="19" spans="1:22" s="2" customFormat="1">
      <c r="A19" s="162"/>
      <c r="B19" s="20"/>
      <c r="C19" s="76" t="s">
        <v>152</v>
      </c>
      <c r="D19" s="22"/>
      <c r="E19" s="22">
        <f>(C18+D18+E18)*0.005</f>
        <v>11.4712</v>
      </c>
      <c r="F19" s="22">
        <f>(+C18+D18+E18+F18)*0.005</f>
        <v>11.4712</v>
      </c>
      <c r="G19" s="22">
        <f>(C18+D18+E18+F18+G18)*0.005</f>
        <v>11.4712</v>
      </c>
      <c r="H19" s="22">
        <f>(C18+D18+E18+F18+G18+H18)*0.005</f>
        <v>11.4712</v>
      </c>
      <c r="I19" s="22">
        <f>(C18+D18+E18+F18+G18+H18+I18)*0.005</f>
        <v>11.4712</v>
      </c>
      <c r="J19" s="22">
        <f>(C18+D18+E18+F18+G18+H18+I18+J18)*0.005</f>
        <v>11.4712</v>
      </c>
      <c r="K19" s="22">
        <f>(C18+D18+E18+F18+G18+H18+I18+J18+K18)*0.005</f>
        <v>11.4712</v>
      </c>
      <c r="L19" s="22">
        <f>(C18+D18+E18+F18+G18+H18+I18+J18+K18+L18)*0.005</f>
        <v>11.4712</v>
      </c>
      <c r="M19" s="22">
        <f>(C18+D18+E18+F18+G18+H18+I18+J18+K18+L18+M18)*0.005</f>
        <v>11.4712</v>
      </c>
      <c r="N19" s="22">
        <f>(C18+D18+E18+F18+G18+H18+I18+J18+K18+L18+M18+N18)*0.005</f>
        <v>11.4712</v>
      </c>
      <c r="O19" s="22">
        <f>(C18+D18+E18+F18+G18+H18+I18+J18+K18+L18+M18+N18+O18)*0.005</f>
        <v>11.4712</v>
      </c>
      <c r="P19" s="173"/>
      <c r="Q19" s="22"/>
      <c r="R19" s="22"/>
      <c r="S19" s="22"/>
      <c r="T19" s="178"/>
    </row>
    <row r="20" spans="1:22">
      <c r="A20" s="162">
        <v>6</v>
      </c>
      <c r="B20" s="20" t="s">
        <v>157</v>
      </c>
      <c r="C20" s="161">
        <v>50</v>
      </c>
      <c r="D20" s="22">
        <v>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173">
        <v>50</v>
      </c>
      <c r="Q20" s="22">
        <f t="shared" si="0"/>
        <v>4.1666666666666696</v>
      </c>
      <c r="R20" s="22"/>
      <c r="S20" s="22">
        <f>P20+R20</f>
        <v>50</v>
      </c>
      <c r="U20" s="2"/>
      <c r="V20" s="2"/>
    </row>
    <row r="21" spans="1:22">
      <c r="A21" s="162"/>
      <c r="B21" s="20"/>
      <c r="C21" s="76" t="s">
        <v>152</v>
      </c>
      <c r="D21" s="22">
        <f>(C20+D20)*0.005</f>
        <v>0.25</v>
      </c>
      <c r="E21" s="22">
        <f>(C20+D20+E20)*0.005</f>
        <v>0.25</v>
      </c>
      <c r="F21" s="22">
        <f>(+C20+D20+E20+F20)*0.005</f>
        <v>0.25</v>
      </c>
      <c r="G21" s="22">
        <f>(C20+D20+E20+F20+G20)*0.005</f>
        <v>0.25</v>
      </c>
      <c r="H21" s="22">
        <f>(C20+D20+E20+F20+G20+H20)*0.005</f>
        <v>0.25</v>
      </c>
      <c r="I21" s="22">
        <f>(C20+D20+E20+F20+G20+H20+I20)*0.005</f>
        <v>0.25</v>
      </c>
      <c r="J21" s="22">
        <f>(C20+D20+E20+F20+G20+H20+I20+J20)*0.005</f>
        <v>0.25</v>
      </c>
      <c r="K21" s="22">
        <f>(C20+D20+E20+F20+G20+H20+I20+J20+K20)*0.005</f>
        <v>0.25</v>
      </c>
      <c r="L21" s="22">
        <f>(C20+D20+E20+F20+G20+H20+I20+J20+K20+L20)*0.005</f>
        <v>0.25</v>
      </c>
      <c r="M21" s="22">
        <f>(C20+D20+E20+F20+G20+H20+I20+J20+K20+L20+M20)*0.005</f>
        <v>0.25</v>
      </c>
      <c r="N21" s="22">
        <f>(C20+D20+E20+F20+G20+H20+I20+J20+K20+L20+M20+N20)*0.005</f>
        <v>0.25</v>
      </c>
      <c r="O21" s="22">
        <f>(C20+D20+E20+F20+G20+H20+I20+J20+K20+L20+M20+N20+O20)*0.005</f>
        <v>0.25</v>
      </c>
      <c r="P21" s="173"/>
      <c r="Q21" s="22"/>
      <c r="R21" s="22"/>
      <c r="S21" s="22"/>
      <c r="U21" s="2"/>
      <c r="V21" s="2"/>
    </row>
    <row r="22" spans="1:22">
      <c r="A22" s="162">
        <v>7</v>
      </c>
      <c r="B22" s="31" t="s">
        <v>158</v>
      </c>
      <c r="C22" s="161">
        <v>50</v>
      </c>
      <c r="D22" s="22">
        <v>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46">
        <f>C22+D22+E22+F22+G22+H22+I22+J22+K22+L22+M22+N22+O22</f>
        <v>50</v>
      </c>
      <c r="Q22" s="22">
        <f t="shared" si="0"/>
        <v>4.1666666666666696</v>
      </c>
      <c r="R22" s="22"/>
      <c r="S22" s="22">
        <f>P22+R22</f>
        <v>50</v>
      </c>
      <c r="U22" s="2"/>
      <c r="V22" s="2"/>
    </row>
    <row r="23" spans="1:22">
      <c r="A23" s="162"/>
      <c r="B23" s="31"/>
      <c r="C23" s="76" t="s">
        <v>152</v>
      </c>
      <c r="D23" s="22">
        <f>(C22+D22)*0.005</f>
        <v>0.25</v>
      </c>
      <c r="E23" s="22">
        <f>(C22+D22+E22)*0.005</f>
        <v>0.25</v>
      </c>
      <c r="F23" s="22">
        <f>(+C22+D22+E22+F22)*0.005</f>
        <v>0.25</v>
      </c>
      <c r="G23" s="22">
        <f>(C22+D22+E22+F22+G22)*0.005</f>
        <v>0.25</v>
      </c>
      <c r="H23" s="22">
        <f>(C22+D22+E22+F22+G22+H22)*0.005</f>
        <v>0.25</v>
      </c>
      <c r="I23" s="22">
        <f>(C22+D22+E22+F22+G22+H22+I22)*0.005</f>
        <v>0.25</v>
      </c>
      <c r="J23" s="22">
        <f>(C22+D22+E22+F22+G22+H22+I22+J22)*0.005</f>
        <v>0.25</v>
      </c>
      <c r="K23" s="22">
        <f>(C22+D22+E22+F22+G22+H22+I22+J22+K22)*0.005</f>
        <v>0.25</v>
      </c>
      <c r="L23" s="22">
        <f>(C22+D22+E22+F22+G22+H22+I22+J22+K22+L22)*0.005</f>
        <v>0.25</v>
      </c>
      <c r="M23" s="22">
        <f>(C22+D22+E22+F22+G22+H22+I22+J22+K22+L22+M22)*0.005</f>
        <v>0.25</v>
      </c>
      <c r="N23" s="22">
        <f>(C22+D22+E22+F22+G22+H22+I22+J22+K22+L22+M22+N22)*0.005</f>
        <v>0.25</v>
      </c>
      <c r="O23" s="22">
        <f>(C22+D22+E22+F22+G22+H22+I22+J22+K22+L22+M22+N22+O22)*0.005</f>
        <v>0.25</v>
      </c>
      <c r="P23" s="173"/>
      <c r="Q23" s="22"/>
      <c r="R23" s="22"/>
      <c r="S23" s="22"/>
      <c r="U23" s="2"/>
      <c r="V23" s="2"/>
    </row>
    <row r="24" spans="1:22">
      <c r="A24" s="162">
        <v>8</v>
      </c>
      <c r="B24" s="30" t="s">
        <v>159</v>
      </c>
      <c r="C24" s="161">
        <v>50</v>
      </c>
      <c r="D24" s="22">
        <v>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46">
        <f>C24+D24+E24+F24+G24+H24+I24+J24+K24+L24+M24+N24+O24</f>
        <v>50</v>
      </c>
      <c r="Q24" s="22">
        <f t="shared" si="0"/>
        <v>4.1666666666666696</v>
      </c>
      <c r="R24" s="22"/>
      <c r="S24" s="22">
        <f>P24+R24</f>
        <v>50</v>
      </c>
      <c r="U24" s="2"/>
      <c r="V24" s="2"/>
    </row>
    <row r="25" spans="1:22">
      <c r="A25" s="162"/>
      <c r="B25" s="30"/>
      <c r="C25" s="76" t="s">
        <v>152</v>
      </c>
      <c r="D25" s="22">
        <f>(C24+D24)*0.005</f>
        <v>0.25</v>
      </c>
      <c r="E25" s="22">
        <f>(C24+D24+E24)*0.005</f>
        <v>0.25</v>
      </c>
      <c r="F25" s="22">
        <f>(+C24+D24+E24+F24)*0.005</f>
        <v>0.25</v>
      </c>
      <c r="G25" s="22">
        <f>(C24+D24+E24+F24+G24)*0.005</f>
        <v>0.25</v>
      </c>
      <c r="H25" s="22">
        <f>(C24+D24+E24+F24+G24+H24)*0.005</f>
        <v>0.25</v>
      </c>
      <c r="I25" s="22">
        <f>(C24+D24+E24+F24+G24+H24+I24)*0.005</f>
        <v>0.25</v>
      </c>
      <c r="J25" s="22">
        <f>(C24+D24+E24+F24+G24+H24+I24+J24)*0.005</f>
        <v>0.25</v>
      </c>
      <c r="K25" s="22">
        <f>(C24+D24+E24+F24+G24+H24+I24+J24+K24)*0.005</f>
        <v>0.25</v>
      </c>
      <c r="L25" s="22">
        <f>(C24+D24+E24+F24+G24+H24+I24+J24+K24+L24)*0.005</f>
        <v>0.25</v>
      </c>
      <c r="M25" s="22">
        <f>(C24+D24+E24+F24+G24+H24+I24+J24+K24+L24+M24)*0.005</f>
        <v>0.25</v>
      </c>
      <c r="N25" s="22">
        <f>(C24+D24+E24+F24+G24+H24+I24+J24+K24+L24+M24+N24)*0.005</f>
        <v>0.25</v>
      </c>
      <c r="O25" s="22">
        <f>(C24+D24+E24+F24+G24+H24+I24+J24+K24+L24+M24+N24+O24)*0.005</f>
        <v>0.25</v>
      </c>
      <c r="P25" s="173"/>
      <c r="Q25" s="22"/>
      <c r="R25" s="22"/>
      <c r="S25" s="22"/>
      <c r="U25" s="2"/>
      <c r="V25" s="2"/>
    </row>
    <row r="26" spans="1:22">
      <c r="A26" s="202">
        <v>9</v>
      </c>
      <c r="B26" s="31" t="s">
        <v>160</v>
      </c>
      <c r="C26" s="161">
        <v>563</v>
      </c>
      <c r="D26" s="32">
        <v>50</v>
      </c>
      <c r="E26" s="22"/>
      <c r="F26" s="22"/>
      <c r="G26" s="22"/>
      <c r="H26" s="22"/>
      <c r="I26" s="22">
        <v>0</v>
      </c>
      <c r="J26" s="22"/>
      <c r="K26" s="32">
        <v>100</v>
      </c>
      <c r="L26" s="22"/>
      <c r="M26" s="22"/>
      <c r="N26" s="22">
        <v>0</v>
      </c>
      <c r="O26" s="22"/>
      <c r="P26" s="46">
        <f>C26+D26+E26+F26+G26+H26+I26+J26+K26+L26+M26+N26+O26</f>
        <v>713</v>
      </c>
      <c r="Q26" s="22">
        <f t="shared" si="0"/>
        <v>59.4166666666667</v>
      </c>
      <c r="R26" s="22">
        <f>D27+E27+F27+G27+H27+I27+J27+K27+L27+M27+N27+O27</f>
        <v>17.824999999999999</v>
      </c>
      <c r="S26" s="22">
        <f>P26+R26</f>
        <v>730.82500000000005</v>
      </c>
      <c r="U26" s="179"/>
      <c r="V26" s="2"/>
    </row>
    <row r="27" spans="1:22">
      <c r="A27" s="162"/>
      <c r="B27" s="31"/>
      <c r="C27" s="76" t="s">
        <v>152</v>
      </c>
      <c r="D27" s="22"/>
      <c r="E27" s="22"/>
      <c r="F27" s="22"/>
      <c r="G27" s="22"/>
      <c r="H27" s="22"/>
      <c r="I27" s="22"/>
      <c r="J27" s="22"/>
      <c r="K27" s="22">
        <f>(C26+D26+E26+F26+G26+H26+I26+J26+K26)*0.005</f>
        <v>3.5649999999999999</v>
      </c>
      <c r="L27" s="22">
        <f>(C26+D26+E26+F26+G26+H26+I26+J26+K26+L26)*0.005</f>
        <v>3.5649999999999999</v>
      </c>
      <c r="M27" s="22">
        <f>(C26+D26+E26+F26+G26+H26+I26+J26+K26+L26+M26)*0.005</f>
        <v>3.5649999999999999</v>
      </c>
      <c r="N27" s="22">
        <f>(C26+D26+E26+F26+G26+H26+I26+J26+K26+L26+M26+N26)*0.005</f>
        <v>3.5649999999999999</v>
      </c>
      <c r="O27" s="22">
        <f>(C26+D26+E26+F26+G26+H26+I26+J26+K26+L26+M26+N26+O26)*0.005</f>
        <v>3.5649999999999999</v>
      </c>
      <c r="P27" s="173"/>
      <c r="Q27" s="22"/>
      <c r="R27" s="22"/>
      <c r="S27" s="22"/>
      <c r="U27" s="2"/>
      <c r="V27" s="2"/>
    </row>
    <row r="28" spans="1:22" s="2" customFormat="1">
      <c r="A28" s="162">
        <v>10</v>
      </c>
      <c r="B28" s="20" t="s">
        <v>161</v>
      </c>
      <c r="C28" s="161">
        <v>50</v>
      </c>
      <c r="D28" s="25">
        <v>0</v>
      </c>
      <c r="E28" s="25"/>
      <c r="F28" s="22"/>
      <c r="G28" s="22"/>
      <c r="H28" s="22"/>
      <c r="I28" s="22"/>
      <c r="J28" s="22">
        <v>0</v>
      </c>
      <c r="K28" s="22"/>
      <c r="L28" s="22"/>
      <c r="M28" s="22">
        <v>0</v>
      </c>
      <c r="N28" s="22"/>
      <c r="O28" s="22"/>
      <c r="P28" s="46">
        <f>C28+D28+E28+F28+G28+H28+I28+J28+K28+L28+M28+N28+O28</f>
        <v>50</v>
      </c>
      <c r="Q28" s="22">
        <f t="shared" si="0"/>
        <v>4.1666666666666696</v>
      </c>
      <c r="R28" s="22"/>
      <c r="S28" s="22">
        <f>P28+R28</f>
        <v>50</v>
      </c>
      <c r="T28" s="178"/>
      <c r="U28" s="179"/>
    </row>
    <row r="29" spans="1:22" s="2" customFormat="1">
      <c r="A29" s="162"/>
      <c r="B29" s="20"/>
      <c r="C29" s="76" t="s">
        <v>152</v>
      </c>
      <c r="D29" s="22">
        <f>(C28+D28)*0.005</f>
        <v>0.25</v>
      </c>
      <c r="E29" s="22">
        <f>(C28+D28+E28)*0.005</f>
        <v>0.25</v>
      </c>
      <c r="F29" s="22">
        <f>(+C28+D28+E28+F28)*0.005</f>
        <v>0.25</v>
      </c>
      <c r="G29" s="22">
        <f>(C28+D28+E28+F28+G28)*0.005</f>
        <v>0.25</v>
      </c>
      <c r="H29" s="22">
        <f>(C28+D28+E28+F28+G28+H28)*0.005</f>
        <v>0.25</v>
      </c>
      <c r="I29" s="22">
        <f>(C28+D28+E28+F28+G28+H28+I28)*0.005</f>
        <v>0.25</v>
      </c>
      <c r="J29" s="22">
        <f>(C28+D28+E28+F28+G28+H28+I28+J28)*0.005</f>
        <v>0.25</v>
      </c>
      <c r="K29" s="22">
        <f>(C28+D28+E28+F28+G28+H28+I28+J28+K28)*0.005</f>
        <v>0.25</v>
      </c>
      <c r="L29" s="22">
        <f>(C28+D28+E28+F28+G28+H28+I28+J28+K28+L28)*0.005</f>
        <v>0.25</v>
      </c>
      <c r="M29" s="22">
        <f>(C28+D28+E28+F28+G28+H28+I28+J28+K28+L28+M28)*0.005</f>
        <v>0.25</v>
      </c>
      <c r="N29" s="22">
        <f>(C28+D28+E28+F28+G28+H28+I28+J28+K28+L28+M28+N28)*0.005</f>
        <v>0.25</v>
      </c>
      <c r="O29" s="22">
        <f>(C28+D28+E28+F28+G28+H28+I28+J28+K28+L28+M28+N28+O28)*0.005</f>
        <v>0.25</v>
      </c>
      <c r="P29" s="173"/>
      <c r="Q29" s="22"/>
      <c r="R29" s="22"/>
      <c r="S29" s="22"/>
      <c r="T29" s="178"/>
    </row>
    <row r="30" spans="1:22">
      <c r="A30" s="162">
        <v>11</v>
      </c>
      <c r="B30" s="27" t="s">
        <v>162</v>
      </c>
      <c r="C30" s="161">
        <v>50</v>
      </c>
      <c r="D30" s="22">
        <v>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46">
        <f>C30+D30+E30+F30+G30+H30+I30+J30+K30+L30+M30+N30+O30</f>
        <v>50</v>
      </c>
      <c r="Q30" s="22">
        <f t="shared" si="0"/>
        <v>4.1666666666666696</v>
      </c>
      <c r="R30" s="22"/>
      <c r="S30" s="22">
        <f>P30+R30</f>
        <v>50</v>
      </c>
      <c r="U30" s="2"/>
      <c r="V30" s="2"/>
    </row>
    <row r="31" spans="1:22" ht="12.75" customHeight="1">
      <c r="A31" s="162"/>
      <c r="B31" s="27"/>
      <c r="C31" s="76" t="s">
        <v>152</v>
      </c>
      <c r="D31" s="22">
        <f>(C30+D30)*0.005</f>
        <v>0.25</v>
      </c>
      <c r="E31" s="22">
        <f>(C30+D30+E30)*0.005</f>
        <v>0.25</v>
      </c>
      <c r="F31" s="22">
        <f>(+C30+D30+E30+F30)*0.005</f>
        <v>0.25</v>
      </c>
      <c r="G31" s="22">
        <f>(C30+D30+E30+F30+G30)*0.005</f>
        <v>0.25</v>
      </c>
      <c r="H31" s="22">
        <f>(C30+D30+E30+F30+G30+H30)*0.005</f>
        <v>0.25</v>
      </c>
      <c r="I31" s="22">
        <f>(C30+D30+E30+F30+G30+H30+I30)*0.005</f>
        <v>0.25</v>
      </c>
      <c r="J31" s="22">
        <f>(C30+D30+E30+F30+G30+H30+I30+J30)*0.005</f>
        <v>0.25</v>
      </c>
      <c r="K31" s="22">
        <f>(C30+D30+E30+F30+G30+H30+I30+J30+K30)*0.005</f>
        <v>0.25</v>
      </c>
      <c r="L31" s="22">
        <f>(C30+D30+E30+F30+G30+H30+I30+J30+K30+L30)*0.005</f>
        <v>0.25</v>
      </c>
      <c r="M31" s="22">
        <f>(C30+D30+E30+F30+G30+H30+I30+J30+K30+L30+M30)*0.005</f>
        <v>0.25</v>
      </c>
      <c r="N31" s="22">
        <f>(C30+D30+E30+F30+G30+H30+I30+J30+K30+L30+M30+N30)*0.005</f>
        <v>0.25</v>
      </c>
      <c r="O31" s="22">
        <f>(C30+D30+E30+F30+G30+H30+I30+J30+K30+L30+M30+N30+O30)*0.005</f>
        <v>0.25</v>
      </c>
      <c r="P31" s="173"/>
      <c r="Q31" s="22"/>
      <c r="R31" s="22"/>
      <c r="S31" s="22"/>
      <c r="U31" s="2"/>
      <c r="V31" s="2"/>
    </row>
    <row r="32" spans="1:22">
      <c r="A32" s="202">
        <v>12</v>
      </c>
      <c r="B32" s="20" t="s">
        <v>163</v>
      </c>
      <c r="C32" s="165">
        <v>2798.96</v>
      </c>
      <c r="D32" s="22">
        <v>0</v>
      </c>
      <c r="E32" s="22">
        <v>0</v>
      </c>
      <c r="F32" s="22">
        <v>0</v>
      </c>
      <c r="G32" s="22"/>
      <c r="H32" s="22"/>
      <c r="I32" s="45"/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22">
        <v>0</v>
      </c>
      <c r="P32" s="46">
        <f>C32+D32+E32+F32+G32+H32+I32+J32+K32+L32+M32+N32+O32</f>
        <v>2798.96</v>
      </c>
      <c r="Q32" s="22">
        <f>P32/12</f>
        <v>233.24666666666701</v>
      </c>
      <c r="R32" s="22">
        <f>D33+E33+F33+G33+H33+I33+J33+K33+L33+M33+N33+O33</f>
        <v>153.94280000000001</v>
      </c>
      <c r="S32" s="22">
        <f>P32+R32</f>
        <v>2952.9027999999998</v>
      </c>
      <c r="U32" s="179"/>
      <c r="V32" s="2"/>
    </row>
    <row r="33" spans="1:22" ht="12.75" customHeight="1">
      <c r="A33" s="162"/>
      <c r="B33" s="20"/>
      <c r="C33" s="76" t="s">
        <v>152</v>
      </c>
      <c r="D33" s="22"/>
      <c r="E33" s="22">
        <f>(C32+D32+E32)*0.005</f>
        <v>13.9948</v>
      </c>
      <c r="F33" s="22">
        <f>(+C32+D32+E32+F32)*0.005</f>
        <v>13.9948</v>
      </c>
      <c r="G33" s="22">
        <f>(C32+D32+E32+F32+G32)*0.005</f>
        <v>13.9948</v>
      </c>
      <c r="H33" s="22">
        <f>(C32+D32+E32+F32+G32+H32)*0.005</f>
        <v>13.9948</v>
      </c>
      <c r="I33" s="22">
        <f>(C32+D32+E32+F32+G32+H32+I32)*0.005</f>
        <v>13.9948</v>
      </c>
      <c r="J33" s="22">
        <f>(C32+D32+E32+F32+G32+H32+I32+J32)*0.005</f>
        <v>13.9948</v>
      </c>
      <c r="K33" s="22">
        <f>(C32+D32+E32+F32+G32+H32+I32+J32+K32)*0.005</f>
        <v>13.9948</v>
      </c>
      <c r="L33" s="22">
        <f>(C32+D32+E32+F32+G32+H32+I32+J32+K32+L32)*0.005</f>
        <v>13.9948</v>
      </c>
      <c r="M33" s="22">
        <f>(C32+D32+E32+F32+G32+H32+I32+J32+K32+L32+M32)*0.005</f>
        <v>13.9948</v>
      </c>
      <c r="N33" s="22">
        <f>(C32+D32+E32+F32+G32+H32+I32+J32+K32+L32+M32+N32)*0.005</f>
        <v>13.9948</v>
      </c>
      <c r="O33" s="22">
        <f>(C32+D32+E32+F32+G32+H32+I32+J32+K32+L32+M32+N32+O32)*0.005</f>
        <v>13.9948</v>
      </c>
      <c r="P33" s="173"/>
      <c r="Q33" s="22"/>
      <c r="R33" s="22"/>
      <c r="S33" s="22"/>
      <c r="U33" s="2"/>
      <c r="V33" s="2"/>
    </row>
    <row r="34" spans="1:22">
      <c r="A34" s="162">
        <v>13</v>
      </c>
      <c r="B34" s="20" t="s">
        <v>164</v>
      </c>
      <c r="C34" s="165">
        <v>200</v>
      </c>
      <c r="D34" s="22">
        <v>0</v>
      </c>
      <c r="E34" s="22">
        <v>0</v>
      </c>
      <c r="F34" s="22">
        <v>0</v>
      </c>
      <c r="G34" s="22"/>
      <c r="H34" s="22"/>
      <c r="I34" s="45"/>
      <c r="J34" s="45"/>
      <c r="K34" s="45"/>
      <c r="L34" s="45">
        <v>0</v>
      </c>
      <c r="M34" s="45"/>
      <c r="N34" s="45"/>
      <c r="O34" s="22"/>
      <c r="P34" s="46">
        <f>C34+D34+E34+F34+G34+H34+I34+J34+K34+L34+M34+N34+O34</f>
        <v>200</v>
      </c>
      <c r="Q34" s="22">
        <f>P34/12</f>
        <v>16.6666666666667</v>
      </c>
      <c r="R34" s="22"/>
      <c r="S34" s="22">
        <f>P34+R34</f>
        <v>200</v>
      </c>
      <c r="U34" s="179"/>
    </row>
    <row r="35" spans="1:22" ht="12.75" customHeight="1">
      <c r="A35" s="162"/>
      <c r="B35" s="20"/>
      <c r="C35" s="76" t="s">
        <v>152</v>
      </c>
      <c r="D35" s="22">
        <f>(C34+D34)*0.005</f>
        <v>1</v>
      </c>
      <c r="E35" s="22">
        <f>(C34+D34+E34)*0.005</f>
        <v>1</v>
      </c>
      <c r="F35" s="22">
        <f>(+C34+D34+E34+F34)*0.005</f>
        <v>1</v>
      </c>
      <c r="G35" s="22">
        <f>(C34+D34+E34+F34+G34)*0.005</f>
        <v>1</v>
      </c>
      <c r="H35" s="22">
        <f>(C34+D34+E34+F34+G34+H34)*0.005</f>
        <v>1</v>
      </c>
      <c r="I35" s="22">
        <f>(C34+D34+E34+F34+G34+H34+I34)*0.005</f>
        <v>1</v>
      </c>
      <c r="J35" s="22">
        <f>(C34+D34+E34+F34+G34+H34+I34+J34)*0.005</f>
        <v>1</v>
      </c>
      <c r="K35" s="22">
        <f>(C34+D34+E34+F34+G34+H34+I34+J34+K34)*0.005</f>
        <v>1</v>
      </c>
      <c r="L35" s="22">
        <f>(C34+D34+E34+F34+G34+H34+I34+J34+K34+L34)*0.005</f>
        <v>1</v>
      </c>
      <c r="M35" s="22">
        <f>(C34+D34+E34+F34+G34+H34+I34+J34+K34+L34+M34)*0.005</f>
        <v>1</v>
      </c>
      <c r="N35" s="22">
        <f>(C34+D34+E34+F34+G34+H34+I34+J34+K34+L34+M34+N34)*0.005</f>
        <v>1</v>
      </c>
      <c r="O35" s="22">
        <f>(C34+D34+E34+F34+G34+H34+I34+J34+K34+L34+M34+N34+O34)*0.005</f>
        <v>1</v>
      </c>
      <c r="P35" s="173"/>
      <c r="Q35" s="22"/>
      <c r="R35" s="22"/>
      <c r="S35" s="22"/>
      <c r="U35" s="2"/>
    </row>
    <row r="36" spans="1:22">
      <c r="A36" s="202">
        <v>14</v>
      </c>
      <c r="B36" s="20" t="s">
        <v>165</v>
      </c>
      <c r="C36" s="165">
        <v>1249.4000000000001</v>
      </c>
      <c r="D36" s="32">
        <v>300</v>
      </c>
      <c r="E36" s="22">
        <v>0</v>
      </c>
      <c r="F36" s="22">
        <v>0</v>
      </c>
      <c r="G36" s="22">
        <v>0</v>
      </c>
      <c r="H36" s="22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22">
        <v>0</v>
      </c>
      <c r="P36" s="46">
        <f>C36+D36+E36+F36+G36+H36+I36+J36+K36+L36+M36+N36+O36</f>
        <v>1549.4</v>
      </c>
      <c r="Q36" s="22">
        <f>P36/12</f>
        <v>129.11666666666699</v>
      </c>
      <c r="R36" s="22">
        <f>D37+E37+F37+G37+H37+I37+J37+K37+L37+M37+N37+O37</f>
        <v>92.963999999999999</v>
      </c>
      <c r="S36" s="22">
        <f>P36+R36</f>
        <v>1642.364</v>
      </c>
      <c r="U36" s="179"/>
    </row>
    <row r="37" spans="1:22" ht="12.75" customHeight="1">
      <c r="A37" s="162"/>
      <c r="B37" s="20"/>
      <c r="C37" s="76" t="s">
        <v>152</v>
      </c>
      <c r="D37" s="22">
        <f>(C36+D36)*0.005</f>
        <v>7.7469999999999999</v>
      </c>
      <c r="E37" s="22">
        <f>(C36+D36+E36)*0.005</f>
        <v>7.7469999999999999</v>
      </c>
      <c r="F37" s="22">
        <f>(+C36+D36+E36+F36)*0.005</f>
        <v>7.7469999999999999</v>
      </c>
      <c r="G37" s="22">
        <f>(C36+D36+E36+F36+G36)*0.005</f>
        <v>7.7469999999999999</v>
      </c>
      <c r="H37" s="22">
        <f>(C36+D36+E36+F36+G36+H36)*0.005</f>
        <v>7.7469999999999999</v>
      </c>
      <c r="I37" s="22">
        <f>(C36+D36+E36+F36+G36+H36+I36)*0.005</f>
        <v>7.7469999999999999</v>
      </c>
      <c r="J37" s="22">
        <f>(C36+D36+E36+F36+G36+H36+I36+J36)*0.005</f>
        <v>7.7469999999999999</v>
      </c>
      <c r="K37" s="22">
        <f>(C36+D36+E36+F36+G36+H36+I36+J36+K36)*0.005</f>
        <v>7.7469999999999999</v>
      </c>
      <c r="L37" s="22">
        <f>(C36+D36+E36+F36+G36+H36+I36+J36+K36+L36)*0.005</f>
        <v>7.7469999999999999</v>
      </c>
      <c r="M37" s="22">
        <f>(C36+D36+E36+F36+G36+H36+I36+J36+K36+L36+M36)*0.005</f>
        <v>7.7469999999999999</v>
      </c>
      <c r="N37" s="22">
        <f>(C36+D36+E36+F36+G36+H36+I36+J36+K36+L36+M36+N36)*0.005</f>
        <v>7.7469999999999999</v>
      </c>
      <c r="O37" s="22">
        <f>(C36+D36+E36+F36+G36+H36+I36+J36+K36+L36+M36+N36+O36)*0.005</f>
        <v>7.7469999999999999</v>
      </c>
      <c r="P37" s="173"/>
      <c r="Q37" s="22"/>
      <c r="R37" s="22"/>
      <c r="S37" s="22"/>
      <c r="U37" s="2"/>
    </row>
    <row r="38" spans="1:22" ht="12.75" customHeight="1">
      <c r="A38" s="168"/>
      <c r="B38" s="16"/>
      <c r="C38" s="155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205"/>
      <c r="Q38" s="169"/>
      <c r="R38" s="169"/>
      <c r="S38" s="175" t="s">
        <v>166</v>
      </c>
      <c r="U38" s="2"/>
    </row>
    <row r="39" spans="1:22">
      <c r="A39" s="170"/>
      <c r="B39" s="36"/>
      <c r="C39" s="171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206"/>
      <c r="Q39" s="148"/>
      <c r="R39" s="148"/>
      <c r="S39" s="148"/>
      <c r="U39" s="2"/>
    </row>
    <row r="40" spans="1:22" ht="4.5" customHeight="1">
      <c r="A40" s="162"/>
      <c r="B40" s="20"/>
      <c r="C40" s="76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173"/>
      <c r="Q40" s="22"/>
      <c r="R40" s="22"/>
      <c r="S40" s="22"/>
      <c r="U40" s="2"/>
    </row>
    <row r="41" spans="1:22" ht="3.75" customHeight="1">
      <c r="A41" s="166"/>
      <c r="B41" s="73"/>
      <c r="C41" s="203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</row>
    <row r="42" spans="1:22">
      <c r="A42" s="204"/>
      <c r="B42" s="103" t="s">
        <v>120</v>
      </c>
      <c r="C42" s="196">
        <f t="shared" ref="C42:S42" si="1">SUM(C10:C41)</f>
        <v>18802.46</v>
      </c>
      <c r="D42" s="194">
        <f t="shared" si="1"/>
        <v>1617.597</v>
      </c>
      <c r="E42" s="194">
        <f t="shared" si="1"/>
        <v>98.697299999999998</v>
      </c>
      <c r="F42" s="194">
        <f t="shared" si="1"/>
        <v>98.697299999999998</v>
      </c>
      <c r="G42" s="194">
        <f t="shared" si="1"/>
        <v>98.697299999999998</v>
      </c>
      <c r="H42" s="194">
        <f t="shared" si="1"/>
        <v>98.697299999999998</v>
      </c>
      <c r="I42" s="194">
        <f t="shared" si="1"/>
        <v>98.697299999999998</v>
      </c>
      <c r="J42" s="194">
        <f t="shared" si="1"/>
        <v>98.697299999999998</v>
      </c>
      <c r="K42" s="194">
        <f t="shared" si="1"/>
        <v>202.26230000000001</v>
      </c>
      <c r="L42" s="194">
        <f t="shared" si="1"/>
        <v>102.2623</v>
      </c>
      <c r="M42" s="194">
        <f t="shared" si="1"/>
        <v>102.2623</v>
      </c>
      <c r="N42" s="194">
        <f t="shared" si="1"/>
        <v>102.2623</v>
      </c>
      <c r="O42" s="194">
        <f t="shared" si="1"/>
        <v>2112.2622999999999</v>
      </c>
      <c r="P42" s="196">
        <f t="shared" si="1"/>
        <v>22452.46</v>
      </c>
      <c r="Q42" s="194">
        <f t="shared" si="1"/>
        <v>1871.03833333333</v>
      </c>
      <c r="R42" s="195">
        <f t="shared" si="1"/>
        <v>1154.0923</v>
      </c>
      <c r="S42" s="196">
        <f t="shared" si="1"/>
        <v>23606.552299999999</v>
      </c>
    </row>
    <row r="44" spans="1:22">
      <c r="A44" t="s">
        <v>121</v>
      </c>
      <c r="E44" t="s">
        <v>122</v>
      </c>
      <c r="K44" t="s">
        <v>123</v>
      </c>
      <c r="P44" t="s">
        <v>124</v>
      </c>
    </row>
    <row r="47" spans="1:22">
      <c r="B47" s="107" t="s">
        <v>125</v>
      </c>
      <c r="F47" s="107" t="s">
        <v>126</v>
      </c>
      <c r="L47" s="308" t="s">
        <v>167</v>
      </c>
      <c r="M47" s="308"/>
      <c r="N47" s="308"/>
      <c r="Q47" s="308" t="s">
        <v>168</v>
      </c>
      <c r="R47" s="308"/>
      <c r="S47" s="308"/>
    </row>
    <row r="48" spans="1:22">
      <c r="B48" t="s">
        <v>169</v>
      </c>
      <c r="F48" s="313" t="s">
        <v>129</v>
      </c>
      <c r="G48" s="313"/>
      <c r="H48" s="313"/>
      <c r="L48" s="311" t="s">
        <v>170</v>
      </c>
      <c r="M48" s="311"/>
      <c r="N48" s="311"/>
      <c r="Q48" s="313" t="s">
        <v>131</v>
      </c>
      <c r="R48" s="313"/>
      <c r="S48" s="313"/>
    </row>
    <row r="51" spans="16:19">
      <c r="S51" s="3" t="s">
        <v>171</v>
      </c>
    </row>
    <row r="55" spans="16:19">
      <c r="P55" t="s">
        <v>172</v>
      </c>
      <c r="Q55">
        <f>18</f>
        <v>18</v>
      </c>
      <c r="R55" s="314" t="e">
        <f>S10+S14+S16+S18+S20+S22+S24+S26+S28+S30+S32+S34+#REF!+#REF!+#REF!+#REF!+#REF!+S36</f>
        <v>#REF!</v>
      </c>
      <c r="S55" s="314"/>
    </row>
    <row r="56" spans="16:19">
      <c r="P56" s="102" t="s">
        <v>173</v>
      </c>
      <c r="Q56" s="102">
        <v>11</v>
      </c>
      <c r="R56" s="306" t="e">
        <f>S12+#REF!+#REF!+#REF!+#REF!+#REF!+#REF!+#REF!+#REF!+#REF!+#REF!</f>
        <v>#REF!</v>
      </c>
      <c r="S56" s="306"/>
    </row>
    <row r="57" spans="16:19">
      <c r="Q57">
        <f>Q55+Q56</f>
        <v>29</v>
      </c>
      <c r="R57" s="307" t="e">
        <f>R55+R56</f>
        <v>#REF!</v>
      </c>
      <c r="S57" s="307"/>
    </row>
    <row r="61" spans="16:19">
      <c r="S61" t="s">
        <v>174</v>
      </c>
    </row>
    <row r="63" spans="16:19">
      <c r="P63" s="50"/>
    </row>
  </sheetData>
  <mergeCells count="14">
    <mergeCell ref="R55:S55"/>
    <mergeCell ref="R56:S56"/>
    <mergeCell ref="R57:S57"/>
    <mergeCell ref="A9:B9"/>
    <mergeCell ref="L47:N47"/>
    <mergeCell ref="Q47:S47"/>
    <mergeCell ref="F48:H48"/>
    <mergeCell ref="L48:N48"/>
    <mergeCell ref="Q48:S48"/>
    <mergeCell ref="A2:S2"/>
    <mergeCell ref="A3:S3"/>
    <mergeCell ref="A4:S4"/>
    <mergeCell ref="A6:S6"/>
    <mergeCell ref="A7:S7"/>
  </mergeCells>
  <pageMargins left="0.25" right="0.25" top="0.25" bottom="0.25" header="0.3" footer="0.3"/>
  <pageSetup paperSize="5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A62"/>
  <sheetViews>
    <sheetView topLeftCell="A31" zoomScale="110" zoomScaleNormal="110" workbookViewId="0">
      <selection activeCell="G20" sqref="G20"/>
    </sheetView>
  </sheetViews>
  <sheetFormatPr defaultColWidth="9" defaultRowHeight="14.4"/>
  <cols>
    <col min="1" max="1" width="3.5546875" customWidth="1"/>
    <col min="2" max="2" width="26.21875" customWidth="1"/>
    <col min="3" max="3" width="13.21875" customWidth="1"/>
    <col min="4" max="4" width="7.77734375" customWidth="1"/>
    <col min="5" max="5" width="9.33203125" customWidth="1"/>
    <col min="6" max="6" width="7.44140625" customWidth="1"/>
    <col min="7" max="8" width="7.77734375" customWidth="1"/>
    <col min="9" max="9" width="8" customWidth="1"/>
    <col min="10" max="11" width="7.5546875" customWidth="1"/>
    <col min="12" max="12" width="7.77734375" customWidth="1"/>
    <col min="13" max="13" width="6.5546875" customWidth="1"/>
    <col min="14" max="14" width="8.5546875" customWidth="1"/>
    <col min="15" max="15" width="8.21875" customWidth="1"/>
    <col min="16" max="16" width="9.21875" customWidth="1"/>
    <col min="17" max="17" width="8.44140625" customWidth="1"/>
    <col min="18" max="18" width="7.77734375" customWidth="1"/>
    <col min="19" max="19" width="8.44140625" customWidth="1"/>
    <col min="20" max="20" width="9" style="4"/>
  </cols>
  <sheetData>
    <row r="2" spans="1:27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</row>
    <row r="3" spans="1:27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</row>
    <row r="4" spans="1:27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</row>
    <row r="5" spans="1:27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  <c r="U5" s="9"/>
      <c r="V5" s="9"/>
      <c r="W5" s="9"/>
      <c r="X5" s="9"/>
      <c r="Y5" s="9"/>
      <c r="Z5" s="9"/>
      <c r="AA5" s="9"/>
    </row>
    <row r="6" spans="1:27" ht="18">
      <c r="A6" s="316" t="s">
        <v>144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</row>
    <row r="7" spans="1:27">
      <c r="A7" s="313" t="s">
        <v>175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</row>
    <row r="8" spans="1:27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7" s="1" customFormat="1" ht="28.5" customHeight="1">
      <c r="A9" s="317"/>
      <c r="B9" s="318"/>
      <c r="C9" s="159" t="s">
        <v>177</v>
      </c>
      <c r="D9" s="158" t="s">
        <v>7</v>
      </c>
      <c r="E9" s="158" t="s">
        <v>8</v>
      </c>
      <c r="F9" s="158" t="s">
        <v>9</v>
      </c>
      <c r="G9" s="158" t="s">
        <v>10</v>
      </c>
      <c r="H9" s="158" t="s">
        <v>11</v>
      </c>
      <c r="I9" s="158" t="s">
        <v>12</v>
      </c>
      <c r="J9" s="158" t="s">
        <v>13</v>
      </c>
      <c r="K9" s="158" t="s">
        <v>14</v>
      </c>
      <c r="L9" s="158" t="s">
        <v>15</v>
      </c>
      <c r="M9" s="158" t="s">
        <v>16</v>
      </c>
      <c r="N9" s="158" t="s">
        <v>17</v>
      </c>
      <c r="O9" s="158" t="s">
        <v>18</v>
      </c>
      <c r="P9" s="158" t="s">
        <v>147</v>
      </c>
      <c r="Q9" s="158" t="s">
        <v>148</v>
      </c>
      <c r="R9" s="133" t="s">
        <v>149</v>
      </c>
      <c r="S9" s="133" t="s">
        <v>150</v>
      </c>
      <c r="T9" s="177"/>
    </row>
    <row r="10" spans="1:27" s="2" customFormat="1">
      <c r="A10" s="199">
        <v>1</v>
      </c>
      <c r="B10" s="16" t="s">
        <v>151</v>
      </c>
      <c r="C10" s="161">
        <v>2392.6999999999998</v>
      </c>
      <c r="D10" s="200"/>
      <c r="E10" s="18">
        <v>0</v>
      </c>
      <c r="F10" s="22">
        <v>0</v>
      </c>
      <c r="G10" s="18">
        <v>0</v>
      </c>
      <c r="H10" s="22">
        <v>0</v>
      </c>
      <c r="I10" s="22">
        <v>0</v>
      </c>
      <c r="J10" s="22">
        <v>0</v>
      </c>
      <c r="K10" s="18">
        <v>0</v>
      </c>
      <c r="L10" s="22">
        <v>0</v>
      </c>
      <c r="M10" s="22">
        <v>0</v>
      </c>
      <c r="N10" s="22">
        <v>0</v>
      </c>
      <c r="O10" s="200"/>
      <c r="P10" s="46">
        <f>C10+D10+E10+F10+G10+H10+I10+J10+K10+L10+M10+N10+O10</f>
        <v>2392.6999999999998</v>
      </c>
      <c r="Q10" s="22">
        <f>P10/12</f>
        <v>199.39166666666699</v>
      </c>
      <c r="R10" s="22">
        <f>D11+E11+F11+G11+H11+I11+J11+K11+L11+M11+N11+O11</f>
        <v>139.98849999999999</v>
      </c>
      <c r="S10" s="22">
        <f>P10+R10</f>
        <v>2532.6885000000002</v>
      </c>
      <c r="T10" s="178"/>
    </row>
    <row r="11" spans="1:27" s="2" customFormat="1">
      <c r="A11" s="162"/>
      <c r="B11" s="20"/>
      <c r="C11" s="76" t="s">
        <v>152</v>
      </c>
      <c r="D11" s="22">
        <v>8.39</v>
      </c>
      <c r="E11" s="22">
        <f>(C10+D10+E10)*0.005</f>
        <v>11.9635</v>
      </c>
      <c r="F11" s="22">
        <f>(+C10+D10+E10+F10)*0.005</f>
        <v>11.9635</v>
      </c>
      <c r="G11" s="22">
        <f>(C10+D10+E10+F10+G10)*0.005</f>
        <v>11.9635</v>
      </c>
      <c r="H11" s="22">
        <f>(C10+D10+E10+F10+G10+H10)*0.005</f>
        <v>11.9635</v>
      </c>
      <c r="I11" s="22">
        <f>(C10+D10+E10+F10+G10+H10+I10)*0.005</f>
        <v>11.9635</v>
      </c>
      <c r="J11" s="22">
        <f>(C10+D10+E10+F10+G10+H10+I10+J10)*0.005</f>
        <v>11.9635</v>
      </c>
      <c r="K11" s="22">
        <f>(C10+D10+E10+F10+G10+H10+I10+J10+K10)*0.005</f>
        <v>11.9635</v>
      </c>
      <c r="L11" s="22">
        <f>(C10+D10+E10+F10+G10+H10+I10+J10+K10+L10)*0.005</f>
        <v>11.9635</v>
      </c>
      <c r="M11" s="22">
        <f>(C10+D10+E10+F10+G10+H10+I10+J10+K10+L10+M10)*0.005</f>
        <v>11.9635</v>
      </c>
      <c r="N11" s="22">
        <f>(C10+D10+E10+F10+G10+H10+I10+J10+K10+L10+M10+N10)*0.005</f>
        <v>11.9635</v>
      </c>
      <c r="O11" s="22">
        <f>(C10+D10+E10+F10+G10+H10+I10+J10+K10+L10+M10+N10+O10)*0.005</f>
        <v>11.9635</v>
      </c>
      <c r="P11" s="46"/>
      <c r="Q11" s="22"/>
      <c r="R11" s="22"/>
      <c r="S11" s="22"/>
      <c r="T11" s="178"/>
    </row>
    <row r="12" spans="1:27">
      <c r="A12" s="162"/>
      <c r="B12" s="20"/>
      <c r="C12" s="76" t="s">
        <v>178</v>
      </c>
      <c r="D12" s="22">
        <v>10.81</v>
      </c>
      <c r="E12" s="22" t="e">
        <f>(#REF!+#REF!+#REF!)*0.005</f>
        <v>#REF!</v>
      </c>
      <c r="F12" s="22" t="e">
        <f>(+#REF!+#REF!+#REF!+#REF!)*0.005</f>
        <v>#REF!</v>
      </c>
      <c r="G12" s="22" t="e">
        <f>(#REF!+#REF!+#REF!+#REF!+#REF!)*0.005</f>
        <v>#REF!</v>
      </c>
      <c r="H12" s="22" t="e">
        <f>(#REF!+#REF!+#REF!+#REF!+#REF!+#REF!)*0.005</f>
        <v>#REF!</v>
      </c>
      <c r="I12" s="22" t="e">
        <f>(#REF!+#REF!+#REF!+#REF!+#REF!+#REF!+#REF!)*0.005</f>
        <v>#REF!</v>
      </c>
      <c r="J12" s="22" t="e">
        <f>(#REF!+#REF!+#REF!+#REF!+#REF!+#REF!+#REF!+#REF!)*0.005</f>
        <v>#REF!</v>
      </c>
      <c r="K12" s="22" t="e">
        <f>(#REF!+#REF!+#REF!+#REF!+#REF!+#REF!+#REF!+#REF!+#REF!)*0.005</f>
        <v>#REF!</v>
      </c>
      <c r="L12" s="22" t="e">
        <f>(#REF!+#REF!+#REF!+#REF!+#REF!+#REF!+#REF!+#REF!+#REF!+#REF!)*0.005</f>
        <v>#REF!</v>
      </c>
      <c r="M12" s="22" t="e">
        <f>(#REF!+#REF!+#REF!+#REF!+#REF!+#REF!+#REF!+#REF!+#REF!+#REF!+#REF!)*0.005</f>
        <v>#REF!</v>
      </c>
      <c r="N12" s="22" t="e">
        <f>(#REF!+#REF!+#REF!+#REF!+#REF!+#REF!+#REF!+#REF!+#REF!+#REF!+#REF!+#REF!)*0.005</f>
        <v>#REF!</v>
      </c>
      <c r="O12" s="22" t="e">
        <f>(#REF!+#REF!+#REF!+#REF!+#REF!+#REF!+#REF!+#REF!+#REF!+#REF!+#REF!+#REF!+#REF!)*0.005</f>
        <v>#REF!</v>
      </c>
      <c r="P12" s="46"/>
      <c r="Q12" s="22"/>
      <c r="R12" s="22"/>
      <c r="S12" s="22"/>
      <c r="U12" s="2"/>
    </row>
    <row r="13" spans="1:27">
      <c r="A13" s="202">
        <v>3</v>
      </c>
      <c r="B13" s="27" t="s">
        <v>154</v>
      </c>
      <c r="C13" s="161">
        <v>6917.9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32"/>
      <c r="P13" s="46">
        <f>C13+D13+E13+F13+G13+H13+I13+J13+K13+L13+M13+N13+O13</f>
        <v>6917.9</v>
      </c>
      <c r="Q13" s="22">
        <f>P13/12</f>
        <v>576.49166666666702</v>
      </c>
      <c r="R13" s="22">
        <f>D14+E14+F14+G14+H14+I14+J14+K14+L14+M14+N14+O14</f>
        <v>405.53449999999998</v>
      </c>
      <c r="S13" s="22">
        <f>P13+R13</f>
        <v>7323.4345000000003</v>
      </c>
      <c r="U13" s="2"/>
    </row>
    <row r="14" spans="1:27">
      <c r="A14" s="162"/>
      <c r="B14" s="27"/>
      <c r="C14" s="76" t="s">
        <v>152</v>
      </c>
      <c r="D14" s="22">
        <v>25.05</v>
      </c>
      <c r="E14" s="22">
        <f>(C13+D13+E13)*0.005</f>
        <v>34.589500000000001</v>
      </c>
      <c r="F14" s="22">
        <f>(+C13+D13+E13+F13)*0.005</f>
        <v>34.589500000000001</v>
      </c>
      <c r="G14" s="22">
        <f>(C13+D13+E13+F13+G13)*0.005</f>
        <v>34.589500000000001</v>
      </c>
      <c r="H14" s="22">
        <f>(C13+D13+E13+F13+G13+H13)*0.005</f>
        <v>34.589500000000001</v>
      </c>
      <c r="I14" s="22">
        <f>(C13+D13+E13+F13+G13+H13+I13)*0.005</f>
        <v>34.589500000000001</v>
      </c>
      <c r="J14" s="22">
        <f>(C13+D13+E13+F13+G13+H13+I13+J13)*0.005</f>
        <v>34.589500000000001</v>
      </c>
      <c r="K14" s="22">
        <f>(C13+D13+E13+F13+G13+H13+I13+J13+K13)*0.005</f>
        <v>34.589500000000001</v>
      </c>
      <c r="L14" s="22">
        <f>(C13+D13+E13+F13+G13+H13+I13+J13+K13+L13)*0.005</f>
        <v>34.589500000000001</v>
      </c>
      <c r="M14" s="22">
        <f>(C13+D13+E13+F13+G13+H13+I13+J13+K13+L13+M13)*0.005</f>
        <v>34.589500000000001</v>
      </c>
      <c r="N14" s="22">
        <f>(C13+D13+E13+F13+G13+H13+I13+J13+K13+L13+M13+N13)*0.005</f>
        <v>34.589500000000001</v>
      </c>
      <c r="O14" s="22">
        <f>(C13+D13+E13+F13+G13+H13+I13+J13+K13+L13+M13+N13+O13)*0.005</f>
        <v>34.589500000000001</v>
      </c>
      <c r="P14" s="46"/>
      <c r="Q14" s="22"/>
      <c r="R14" s="22"/>
      <c r="S14" s="22"/>
      <c r="U14" s="2"/>
    </row>
    <row r="15" spans="1:27">
      <c r="A15" s="202">
        <v>4</v>
      </c>
      <c r="B15" s="20" t="s">
        <v>155</v>
      </c>
      <c r="C15" s="161">
        <v>3596.59</v>
      </c>
      <c r="D15" s="32"/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46">
        <f>C15+D15+E15+F15+G15+H15+I15+J15+K15+L15+M15+N15+O15</f>
        <v>3596.59</v>
      </c>
      <c r="Q15" s="22">
        <f t="shared" ref="Q15:Q19" si="0">P15/12</f>
        <v>299.71583333333302</v>
      </c>
      <c r="R15" s="22">
        <f>D16+E16+F16+G16+H16+I16+J16+K16+L16+M16+N16+O16</f>
        <v>211.16245000000001</v>
      </c>
      <c r="S15" s="22">
        <f t="shared" ref="S15:S19" si="1">P15+R15</f>
        <v>3807.75245</v>
      </c>
      <c r="U15" s="179"/>
      <c r="V15" s="2"/>
    </row>
    <row r="16" spans="1:27">
      <c r="A16" s="162"/>
      <c r="B16" s="20"/>
      <c r="C16" s="76" t="s">
        <v>152</v>
      </c>
      <c r="D16" s="22">
        <v>13.35</v>
      </c>
      <c r="E16" s="22">
        <f t="shared" ref="E16:E20" si="2">(C15+D15+E15)*0.005</f>
        <v>17.982949999999999</v>
      </c>
      <c r="F16" s="22">
        <f t="shared" ref="F16:F20" si="3">(+C15+D15+E15+F15)*0.005</f>
        <v>17.982949999999999</v>
      </c>
      <c r="G16" s="22">
        <f t="shared" ref="G16:G20" si="4">(C15+D15+E15+F15+G15)*0.005</f>
        <v>17.982949999999999</v>
      </c>
      <c r="H16" s="22">
        <f t="shared" ref="H16:H20" si="5">(C15+D15+E15+F15+G15+H15)*0.005</f>
        <v>17.982949999999999</v>
      </c>
      <c r="I16" s="22">
        <f t="shared" ref="I16:I20" si="6">(C15+D15+E15+F15+G15+H15+I15)*0.005</f>
        <v>17.982949999999999</v>
      </c>
      <c r="J16" s="22">
        <f t="shared" ref="J16:J20" si="7">(C15+D15+E15+F15+G15+H15+I15+J15)*0.005</f>
        <v>17.982949999999999</v>
      </c>
      <c r="K16" s="22">
        <f t="shared" ref="K16:K20" si="8">(C15+D15+E15+F15+G15+H15+I15+J15+K15)*0.005</f>
        <v>17.982949999999999</v>
      </c>
      <c r="L16" s="22">
        <f t="shared" ref="L16:L20" si="9">(C15+D15+E15+F15+G15+H15+I15+J15+K15+L15)*0.005</f>
        <v>17.982949999999999</v>
      </c>
      <c r="M16" s="22">
        <f t="shared" ref="M16:M20" si="10">(C15+D15+E15+F15+G15+H15+I15+J15+K15+L15+M15)*0.005</f>
        <v>17.982949999999999</v>
      </c>
      <c r="N16" s="22">
        <f t="shared" ref="N16:N20" si="11">(C15+D15+E15+F15+G15+H15+I15+J15+K15+L15+M15+N15)*0.005</f>
        <v>17.982949999999999</v>
      </c>
      <c r="O16" s="22">
        <f t="shared" ref="O16:O20" si="12">(C15+D15+E15+F15+G15+H15+I15+J15+K15+L15+M15+N15+O15)*0.005</f>
        <v>17.982949999999999</v>
      </c>
      <c r="P16" s="46"/>
      <c r="Q16" s="22"/>
      <c r="S16" s="22"/>
      <c r="U16" s="2"/>
      <c r="V16" s="2"/>
    </row>
    <row r="17" spans="1:22" s="2" customFormat="1">
      <c r="A17" s="202">
        <v>5</v>
      </c>
      <c r="B17" s="20" t="s">
        <v>156</v>
      </c>
      <c r="C17" s="161">
        <v>2420.42</v>
      </c>
      <c r="D17" s="188"/>
      <c r="E17" s="25">
        <v>0</v>
      </c>
      <c r="F17" s="25">
        <v>500</v>
      </c>
      <c r="G17" s="22">
        <v>0</v>
      </c>
      <c r="H17" s="22">
        <v>0</v>
      </c>
      <c r="I17" s="25">
        <v>0</v>
      </c>
      <c r="J17" s="22">
        <v>0</v>
      </c>
      <c r="K17" s="22">
        <v>0</v>
      </c>
      <c r="L17" s="22">
        <v>0</v>
      </c>
      <c r="M17" s="25">
        <v>0</v>
      </c>
      <c r="N17" s="25">
        <v>0</v>
      </c>
      <c r="O17" s="25">
        <v>0</v>
      </c>
      <c r="P17" s="46">
        <f>C17+D17+E17+F17+G17+H17+I17+J17+K17+L17+M17+N17+O17</f>
        <v>2920.42</v>
      </c>
      <c r="Q17" s="22">
        <f t="shared" si="0"/>
        <v>243.368333333333</v>
      </c>
      <c r="R17" s="22">
        <f>D18+E18+F18+G18+H18+I18+J18+K18+L18+M18+N18+O18</f>
        <v>158.12309999999999</v>
      </c>
      <c r="S17" s="22">
        <f t="shared" si="1"/>
        <v>3078.5430999999999</v>
      </c>
      <c r="T17" s="178"/>
      <c r="U17" s="179"/>
    </row>
    <row r="18" spans="1:22" s="2" customFormat="1">
      <c r="A18" s="162"/>
      <c r="B18" s="20"/>
      <c r="C18" s="76" t="s">
        <v>152</v>
      </c>
      <c r="D18" s="22"/>
      <c r="E18" s="22">
        <f t="shared" si="2"/>
        <v>12.1021</v>
      </c>
      <c r="F18" s="22">
        <f t="shared" si="3"/>
        <v>14.6021</v>
      </c>
      <c r="G18" s="22">
        <f t="shared" si="4"/>
        <v>14.6021</v>
      </c>
      <c r="H18" s="22">
        <f t="shared" si="5"/>
        <v>14.6021</v>
      </c>
      <c r="I18" s="22">
        <f t="shared" si="6"/>
        <v>14.6021</v>
      </c>
      <c r="J18" s="22">
        <f t="shared" si="7"/>
        <v>14.6021</v>
      </c>
      <c r="K18" s="22">
        <f t="shared" si="8"/>
        <v>14.6021</v>
      </c>
      <c r="L18" s="22">
        <f t="shared" si="9"/>
        <v>14.6021</v>
      </c>
      <c r="M18" s="22">
        <f t="shared" si="10"/>
        <v>14.6021</v>
      </c>
      <c r="N18" s="22">
        <f t="shared" si="11"/>
        <v>14.6021</v>
      </c>
      <c r="O18" s="22">
        <f t="shared" si="12"/>
        <v>14.6021</v>
      </c>
      <c r="P18" s="173"/>
      <c r="Q18" s="22"/>
      <c r="R18" s="22"/>
      <c r="S18" s="22"/>
      <c r="T18" s="178"/>
    </row>
    <row r="19" spans="1:22">
      <c r="A19" s="162">
        <v>6</v>
      </c>
      <c r="B19" s="20" t="s">
        <v>157</v>
      </c>
      <c r="C19" s="161">
        <v>50</v>
      </c>
      <c r="D19" s="22">
        <v>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173">
        <v>50</v>
      </c>
      <c r="Q19" s="22">
        <f t="shared" si="0"/>
        <v>4.1666666666666696</v>
      </c>
      <c r="R19" s="22"/>
      <c r="S19" s="22">
        <f t="shared" si="1"/>
        <v>50</v>
      </c>
      <c r="U19" s="2"/>
      <c r="V19" s="2"/>
    </row>
    <row r="20" spans="1:22">
      <c r="A20" s="162"/>
      <c r="B20" s="20"/>
      <c r="C20" s="76" t="s">
        <v>152</v>
      </c>
      <c r="D20" s="22">
        <f t="shared" ref="D20:D24" si="13">(C19+D19)*0.005</f>
        <v>0.25</v>
      </c>
      <c r="E20" s="22">
        <f t="shared" si="2"/>
        <v>0.25</v>
      </c>
      <c r="F20" s="22">
        <f t="shared" si="3"/>
        <v>0.25</v>
      </c>
      <c r="G20" s="22">
        <f t="shared" si="4"/>
        <v>0.25</v>
      </c>
      <c r="H20" s="22">
        <f t="shared" si="5"/>
        <v>0.25</v>
      </c>
      <c r="I20" s="22">
        <f t="shared" si="6"/>
        <v>0.25</v>
      </c>
      <c r="J20" s="22">
        <f t="shared" si="7"/>
        <v>0.25</v>
      </c>
      <c r="K20" s="22">
        <f t="shared" si="8"/>
        <v>0.25</v>
      </c>
      <c r="L20" s="22">
        <f t="shared" si="9"/>
        <v>0.25</v>
      </c>
      <c r="M20" s="22">
        <f t="shared" si="10"/>
        <v>0.25</v>
      </c>
      <c r="N20" s="22">
        <f t="shared" si="11"/>
        <v>0.25</v>
      </c>
      <c r="O20" s="22">
        <f t="shared" si="12"/>
        <v>0.25</v>
      </c>
      <c r="P20" s="173"/>
      <c r="Q20" s="22"/>
      <c r="R20" s="22"/>
      <c r="S20" s="22"/>
      <c r="U20" s="2"/>
      <c r="V20" s="2"/>
    </row>
    <row r="21" spans="1:22">
      <c r="A21" s="162">
        <v>7</v>
      </c>
      <c r="B21" s="31" t="s">
        <v>158</v>
      </c>
      <c r="C21" s="161">
        <v>50</v>
      </c>
      <c r="D21" s="22">
        <v>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46">
        <f t="shared" ref="P21:P25" si="14">C21+D21+E21+F21+G21+H21+I21+J21+K21+L21+M21+N21+O21</f>
        <v>50</v>
      </c>
      <c r="Q21" s="22">
        <f t="shared" ref="Q21:Q25" si="15">P21/12</f>
        <v>4.1666666666666696</v>
      </c>
      <c r="R21" s="22"/>
      <c r="S21" s="22">
        <f t="shared" ref="S21:S25" si="16">P21+R21</f>
        <v>50</v>
      </c>
      <c r="U21" s="2"/>
      <c r="V21" s="2"/>
    </row>
    <row r="22" spans="1:22">
      <c r="A22" s="162"/>
      <c r="B22" s="31"/>
      <c r="C22" s="76" t="s">
        <v>152</v>
      </c>
      <c r="D22" s="22">
        <f t="shared" si="13"/>
        <v>0.25</v>
      </c>
      <c r="E22" s="22">
        <f>(C21+D21+E21)*0.005</f>
        <v>0.25</v>
      </c>
      <c r="F22" s="22">
        <f>(+C21+D21+E21+F21)*0.005</f>
        <v>0.25</v>
      </c>
      <c r="G22" s="22">
        <f>(C21+D21+E21+F21+G21)*0.005</f>
        <v>0.25</v>
      </c>
      <c r="H22" s="22">
        <f>(C21+D21+E21+F21+G21+H21)*0.005</f>
        <v>0.25</v>
      </c>
      <c r="I22" s="22">
        <f>(C21+D21+E21+F21+G21+H21+I21)*0.005</f>
        <v>0.25</v>
      </c>
      <c r="J22" s="22">
        <f>(C21+D21+E21+F21+G21+H21+I21+J21)*0.005</f>
        <v>0.25</v>
      </c>
      <c r="K22" s="22">
        <f t="shared" ref="K22:K26" si="17">(C21+D21+E21+F21+G21+H21+I21+J21+K21)*0.005</f>
        <v>0.25</v>
      </c>
      <c r="L22" s="22">
        <f t="shared" ref="L22:L26" si="18">(C21+D21+E21+F21+G21+H21+I21+J21+K21+L21)*0.005</f>
        <v>0.25</v>
      </c>
      <c r="M22" s="22">
        <f t="shared" ref="M22:M26" si="19">(C21+D21+E21+F21+G21+H21+I21+J21+K21+L21+M21)*0.005</f>
        <v>0.25</v>
      </c>
      <c r="N22" s="22">
        <f t="shared" ref="N22:N26" si="20">(C21+D21+E21+F21+G21+H21+I21+J21+K21+L21+M21+N21)*0.005</f>
        <v>0.25</v>
      </c>
      <c r="O22" s="22">
        <f t="shared" ref="O22:O26" si="21">(C21+D21+E21+F21+G21+H21+I21+J21+K21+L21+M21+N21+O21)*0.005</f>
        <v>0.25</v>
      </c>
      <c r="P22" s="173"/>
      <c r="Q22" s="22"/>
      <c r="R22" s="22"/>
      <c r="S22" s="22"/>
      <c r="U22" s="2"/>
      <c r="V22" s="2"/>
    </row>
    <row r="23" spans="1:22">
      <c r="A23" s="162">
        <v>8</v>
      </c>
      <c r="B23" s="30" t="s">
        <v>159</v>
      </c>
      <c r="C23" s="161">
        <v>50</v>
      </c>
      <c r="D23" s="22">
        <v>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46">
        <f t="shared" si="14"/>
        <v>50</v>
      </c>
      <c r="Q23" s="22">
        <f t="shared" si="15"/>
        <v>4.1666666666666696</v>
      </c>
      <c r="R23" s="22"/>
      <c r="S23" s="22">
        <f t="shared" si="16"/>
        <v>50</v>
      </c>
      <c r="U23" s="2"/>
      <c r="V23" s="2"/>
    </row>
    <row r="24" spans="1:22">
      <c r="A24" s="162"/>
      <c r="B24" s="30"/>
      <c r="C24" s="76" t="s">
        <v>152</v>
      </c>
      <c r="D24" s="22">
        <f t="shared" si="13"/>
        <v>0.25</v>
      </c>
      <c r="E24" s="22">
        <f>(C23+D23+E23)*0.005</f>
        <v>0.25</v>
      </c>
      <c r="F24" s="22">
        <f>(+C23+D23+E23+F23)*0.005</f>
        <v>0.25</v>
      </c>
      <c r="G24" s="22">
        <f>(C23+D23+E23+F23+G23)*0.005</f>
        <v>0.25</v>
      </c>
      <c r="H24" s="22">
        <f>(C23+D23+E23+F23+G23+H23)*0.005</f>
        <v>0.25</v>
      </c>
      <c r="I24" s="22">
        <f>(C23+D23+E23+F23+G23+H23+I23)*0.005</f>
        <v>0.25</v>
      </c>
      <c r="J24" s="22">
        <f>(C23+D23+E23+F23+G23+H23+I23+J23)*0.005</f>
        <v>0.25</v>
      </c>
      <c r="K24" s="22">
        <f t="shared" si="17"/>
        <v>0.25</v>
      </c>
      <c r="L24" s="22">
        <f t="shared" si="18"/>
        <v>0.25</v>
      </c>
      <c r="M24" s="22">
        <f t="shared" si="19"/>
        <v>0.25</v>
      </c>
      <c r="N24" s="22">
        <f t="shared" si="20"/>
        <v>0.25</v>
      </c>
      <c r="O24" s="22">
        <f t="shared" si="21"/>
        <v>0.25</v>
      </c>
      <c r="P24" s="173"/>
      <c r="Q24" s="22"/>
      <c r="R24" s="22"/>
      <c r="S24" s="22"/>
      <c r="U24" s="2"/>
      <c r="V24" s="2"/>
    </row>
    <row r="25" spans="1:22">
      <c r="A25" s="202">
        <v>9</v>
      </c>
      <c r="B25" s="31" t="s">
        <v>160</v>
      </c>
      <c r="C25" s="161">
        <v>730.83</v>
      </c>
      <c r="D25" s="32"/>
      <c r="E25" s="22"/>
      <c r="F25" s="22"/>
      <c r="G25" s="22"/>
      <c r="H25" s="22"/>
      <c r="I25" s="22">
        <v>0</v>
      </c>
      <c r="J25" s="22"/>
      <c r="K25" s="32"/>
      <c r="L25" s="22"/>
      <c r="M25" s="22"/>
      <c r="N25" s="22">
        <v>0</v>
      </c>
      <c r="O25" s="22"/>
      <c r="P25" s="46">
        <f t="shared" si="14"/>
        <v>730.83</v>
      </c>
      <c r="Q25" s="22">
        <f t="shared" si="15"/>
        <v>60.902500000000003</v>
      </c>
      <c r="R25" s="22">
        <f>D26+E26+F26+G26+H26+I26+J26+K26+L26+M26+N26+O26</f>
        <v>18.27075</v>
      </c>
      <c r="S25" s="22">
        <f t="shared" si="16"/>
        <v>749.10074999999995</v>
      </c>
      <c r="U25" s="179"/>
      <c r="V25" s="2"/>
    </row>
    <row r="26" spans="1:22">
      <c r="A26" s="162"/>
      <c r="B26" s="31"/>
      <c r="C26" s="76" t="s">
        <v>152</v>
      </c>
      <c r="D26" s="22"/>
      <c r="E26" s="22"/>
      <c r="F26" s="22"/>
      <c r="G26" s="22"/>
      <c r="H26" s="22"/>
      <c r="I26" s="22"/>
      <c r="J26" s="22"/>
      <c r="K26" s="22">
        <f t="shared" si="17"/>
        <v>3.65415</v>
      </c>
      <c r="L26" s="22">
        <f t="shared" si="18"/>
        <v>3.65415</v>
      </c>
      <c r="M26" s="22">
        <f t="shared" si="19"/>
        <v>3.65415</v>
      </c>
      <c r="N26" s="22">
        <f t="shared" si="20"/>
        <v>3.65415</v>
      </c>
      <c r="O26" s="22">
        <f t="shared" si="21"/>
        <v>3.65415</v>
      </c>
      <c r="P26" s="173"/>
      <c r="Q26" s="22"/>
      <c r="R26" s="22"/>
      <c r="S26" s="22"/>
      <c r="U26" s="2"/>
      <c r="V26" s="2"/>
    </row>
    <row r="27" spans="1:22" s="2" customFormat="1">
      <c r="A27" s="162">
        <v>10</v>
      </c>
      <c r="B27" s="20" t="s">
        <v>161</v>
      </c>
      <c r="C27" s="161">
        <v>50</v>
      </c>
      <c r="D27" s="25">
        <v>0</v>
      </c>
      <c r="E27" s="25"/>
      <c r="F27" s="22"/>
      <c r="G27" s="22"/>
      <c r="H27" s="22"/>
      <c r="I27" s="22"/>
      <c r="J27" s="22">
        <v>0</v>
      </c>
      <c r="K27" s="22"/>
      <c r="L27" s="22"/>
      <c r="M27" s="22">
        <v>0</v>
      </c>
      <c r="N27" s="22"/>
      <c r="O27" s="22"/>
      <c r="P27" s="46">
        <f t="shared" ref="P27:P31" si="22">C27+D27+E27+F27+G27+H27+I27+J27+K27+L27+M27+N27+O27</f>
        <v>50</v>
      </c>
      <c r="Q27" s="22">
        <f t="shared" ref="Q27:Q31" si="23">P27/12</f>
        <v>4.1666666666666696</v>
      </c>
      <c r="R27" s="22"/>
      <c r="S27" s="22">
        <f t="shared" ref="S27:S31" si="24">P27+R27</f>
        <v>50</v>
      </c>
      <c r="T27" s="178"/>
      <c r="U27" s="179"/>
    </row>
    <row r="28" spans="1:22" s="2" customFormat="1">
      <c r="A28" s="162"/>
      <c r="B28" s="20"/>
      <c r="C28" s="76" t="s">
        <v>152</v>
      </c>
      <c r="D28" s="22">
        <f>(C27+D27)*0.005</f>
        <v>0.25</v>
      </c>
      <c r="E28" s="22">
        <f t="shared" ref="E28:E32" si="25">(C27+D27+E27)*0.005</f>
        <v>0.25</v>
      </c>
      <c r="F28" s="22">
        <f t="shared" ref="F28:F32" si="26">(+C27+D27+E27+F27)*0.005</f>
        <v>0.25</v>
      </c>
      <c r="G28" s="22">
        <f t="shared" ref="G28:G32" si="27">(C27+D27+E27+F27+G27)*0.005</f>
        <v>0.25</v>
      </c>
      <c r="H28" s="22">
        <f t="shared" ref="H28:H32" si="28">(C27+D27+E27+F27+G27+H27)*0.005</f>
        <v>0.25</v>
      </c>
      <c r="I28" s="22">
        <f t="shared" ref="I28:I32" si="29">(C27+D27+E27+F27+G27+H27+I27)*0.005</f>
        <v>0.25</v>
      </c>
      <c r="J28" s="22">
        <f t="shared" ref="J28:J32" si="30">(C27+D27+E27+F27+G27+H27+I27+J27)*0.005</f>
        <v>0.25</v>
      </c>
      <c r="K28" s="22">
        <f t="shared" ref="K28:K32" si="31">(C27+D27+E27+F27+G27+H27+I27+J27+K27)*0.005</f>
        <v>0.25</v>
      </c>
      <c r="L28" s="22">
        <f t="shared" ref="L28:L32" si="32">(C27+D27+E27+F27+G27+H27+I27+J27+K27+L27)*0.005</f>
        <v>0.25</v>
      </c>
      <c r="M28" s="22">
        <f t="shared" ref="M28:M32" si="33">(C27+D27+E27+F27+G27+H27+I27+J27+K27+L27+M27)*0.005</f>
        <v>0.25</v>
      </c>
      <c r="N28" s="22">
        <f t="shared" ref="N28:N32" si="34">(C27+D27+E27+F27+G27+H27+I27+J27+K27+L27+M27+N27)*0.005</f>
        <v>0.25</v>
      </c>
      <c r="O28" s="22">
        <f t="shared" ref="O28:O32" si="35">(C27+D27+E27+F27+G27+H27+I27+J27+K27+L27+M27+N27+O27)*0.005</f>
        <v>0.25</v>
      </c>
      <c r="P28" s="173"/>
      <c r="Q28" s="22"/>
      <c r="R28" s="22"/>
      <c r="S28" s="22"/>
      <c r="T28" s="178"/>
    </row>
    <row r="29" spans="1:22">
      <c r="A29" s="162">
        <v>11</v>
      </c>
      <c r="B29" s="27" t="s">
        <v>162</v>
      </c>
      <c r="C29" s="161">
        <v>50</v>
      </c>
      <c r="D29" s="22">
        <v>0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46">
        <f t="shared" si="22"/>
        <v>50</v>
      </c>
      <c r="Q29" s="22">
        <f t="shared" si="23"/>
        <v>4.1666666666666696</v>
      </c>
      <c r="R29" s="22"/>
      <c r="S29" s="22">
        <f t="shared" si="24"/>
        <v>50</v>
      </c>
      <c r="U29" s="2"/>
      <c r="V29" s="2"/>
    </row>
    <row r="30" spans="1:22" ht="12.75" customHeight="1">
      <c r="A30" s="162"/>
      <c r="B30" s="27"/>
      <c r="C30" s="76" t="s">
        <v>152</v>
      </c>
      <c r="D30" s="22">
        <f>(C29+D29)*0.005</f>
        <v>0.25</v>
      </c>
      <c r="E30" s="22">
        <f t="shared" si="25"/>
        <v>0.25</v>
      </c>
      <c r="F30" s="22">
        <f t="shared" si="26"/>
        <v>0.25</v>
      </c>
      <c r="G30" s="22">
        <f t="shared" si="27"/>
        <v>0.25</v>
      </c>
      <c r="H30" s="22">
        <f t="shared" si="28"/>
        <v>0.25</v>
      </c>
      <c r="I30" s="22">
        <f t="shared" si="29"/>
        <v>0.25</v>
      </c>
      <c r="J30" s="22">
        <f t="shared" si="30"/>
        <v>0.25</v>
      </c>
      <c r="K30" s="22">
        <f t="shared" si="31"/>
        <v>0.25</v>
      </c>
      <c r="L30" s="22">
        <f t="shared" si="32"/>
        <v>0.25</v>
      </c>
      <c r="M30" s="22">
        <f t="shared" si="33"/>
        <v>0.25</v>
      </c>
      <c r="N30" s="22">
        <f t="shared" si="34"/>
        <v>0.25</v>
      </c>
      <c r="O30" s="22">
        <f t="shared" si="35"/>
        <v>0.25</v>
      </c>
      <c r="P30" s="173"/>
      <c r="Q30" s="22"/>
      <c r="R30" s="22"/>
      <c r="S30" s="22"/>
      <c r="U30" s="2"/>
      <c r="V30" s="2"/>
    </row>
    <row r="31" spans="1:22">
      <c r="A31" s="202">
        <v>12</v>
      </c>
      <c r="B31" s="20" t="s">
        <v>163</v>
      </c>
      <c r="C31" s="165">
        <v>2952.9</v>
      </c>
      <c r="D31" s="22">
        <v>0</v>
      </c>
      <c r="E31" s="22">
        <v>0</v>
      </c>
      <c r="F31" s="22">
        <v>0</v>
      </c>
      <c r="G31" s="22"/>
      <c r="H31" s="22"/>
      <c r="I31" s="45"/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22">
        <v>0</v>
      </c>
      <c r="P31" s="46">
        <f t="shared" si="22"/>
        <v>2952.9</v>
      </c>
      <c r="Q31" s="22">
        <f t="shared" si="23"/>
        <v>246.07499999999999</v>
      </c>
      <c r="R31" s="22">
        <f>D32+E32+F32+G32+H32+I32+J32+K32+L32+M32+N32+O32</f>
        <v>162.40950000000001</v>
      </c>
      <c r="S31" s="22">
        <f t="shared" si="24"/>
        <v>3115.3094999999998</v>
      </c>
      <c r="U31" s="179"/>
      <c r="V31" s="2"/>
    </row>
    <row r="32" spans="1:22" ht="12.75" customHeight="1">
      <c r="A32" s="162"/>
      <c r="B32" s="20"/>
      <c r="C32" s="76" t="s">
        <v>152</v>
      </c>
      <c r="D32" s="22"/>
      <c r="E32" s="22">
        <f t="shared" si="25"/>
        <v>14.7645</v>
      </c>
      <c r="F32" s="22">
        <f t="shared" si="26"/>
        <v>14.7645</v>
      </c>
      <c r="G32" s="22">
        <f t="shared" si="27"/>
        <v>14.7645</v>
      </c>
      <c r="H32" s="22">
        <f t="shared" si="28"/>
        <v>14.7645</v>
      </c>
      <c r="I32" s="22">
        <f t="shared" si="29"/>
        <v>14.7645</v>
      </c>
      <c r="J32" s="22">
        <f t="shared" si="30"/>
        <v>14.7645</v>
      </c>
      <c r="K32" s="22">
        <f t="shared" si="31"/>
        <v>14.7645</v>
      </c>
      <c r="L32" s="22">
        <f t="shared" si="32"/>
        <v>14.7645</v>
      </c>
      <c r="M32" s="22">
        <f t="shared" si="33"/>
        <v>14.7645</v>
      </c>
      <c r="N32" s="22">
        <f t="shared" si="34"/>
        <v>14.7645</v>
      </c>
      <c r="O32" s="22">
        <f t="shared" si="35"/>
        <v>14.7645</v>
      </c>
      <c r="P32" s="173"/>
      <c r="Q32" s="22"/>
      <c r="R32" s="22"/>
      <c r="S32" s="22"/>
      <c r="U32" s="2"/>
      <c r="V32" s="2"/>
    </row>
    <row r="33" spans="1:21">
      <c r="A33" s="162">
        <v>13</v>
      </c>
      <c r="B33" s="20" t="s">
        <v>164</v>
      </c>
      <c r="C33" s="165">
        <v>200</v>
      </c>
      <c r="D33" s="22">
        <v>0</v>
      </c>
      <c r="E33" s="22">
        <v>0</v>
      </c>
      <c r="F33" s="22">
        <v>0</v>
      </c>
      <c r="G33" s="22"/>
      <c r="H33" s="22"/>
      <c r="I33" s="45"/>
      <c r="J33" s="45"/>
      <c r="K33" s="45"/>
      <c r="L33" s="45">
        <v>0</v>
      </c>
      <c r="M33" s="45"/>
      <c r="N33" s="45"/>
      <c r="O33" s="22"/>
      <c r="P33" s="46">
        <f>C33+D33+E33+F33+G33+H33+I33+J33+K33+L33+M33+N33+O33</f>
        <v>200</v>
      </c>
      <c r="Q33" s="22">
        <f>P33/12</f>
        <v>16.6666666666667</v>
      </c>
      <c r="R33" s="22"/>
      <c r="S33" s="22">
        <f>P33+R33</f>
        <v>200</v>
      </c>
      <c r="U33" s="179"/>
    </row>
    <row r="34" spans="1:21" ht="12.75" customHeight="1">
      <c r="A34" s="162"/>
      <c r="B34" s="20"/>
      <c r="C34" s="76" t="s">
        <v>152</v>
      </c>
      <c r="D34" s="22">
        <f>(C33+D33)*0.005</f>
        <v>1</v>
      </c>
      <c r="E34" s="22">
        <f>(C33+D33+E33)*0.005</f>
        <v>1</v>
      </c>
      <c r="F34" s="22">
        <f>(+C33+D33+E33+F33)*0.005</f>
        <v>1</v>
      </c>
      <c r="G34" s="22">
        <f>(C33+D33+E33+F33+G33)*0.005</f>
        <v>1</v>
      </c>
      <c r="H34" s="22">
        <f>(C33+D33+E33+F33+G33+H33)*0.005</f>
        <v>1</v>
      </c>
      <c r="I34" s="22">
        <f>(C33+D33+E33+F33+G33+H33+I33)*0.005</f>
        <v>1</v>
      </c>
      <c r="J34" s="22">
        <f>(C33+D33+E33+F33+G33+H33+I33+J33)*0.005</f>
        <v>1</v>
      </c>
      <c r="K34" s="22">
        <f>(C33+D33+E33+F33+G33+H33+I33+J33+K33)*0.005</f>
        <v>1</v>
      </c>
      <c r="L34" s="22">
        <f>(C33+D33+E33+F33+G33+H33+I33+J33+K33+L33)*0.005</f>
        <v>1</v>
      </c>
      <c r="M34" s="22">
        <f>(C33+D33+E33+F33+G33+H33+I33+J33+K33+L33+M33)*0.005</f>
        <v>1</v>
      </c>
      <c r="N34" s="22">
        <f>(C33+D33+E33+F33+G33+H33+I33+J33+K33+L33+M33+N33)*0.005</f>
        <v>1</v>
      </c>
      <c r="O34" s="22">
        <f>(C33+D33+E33+F33+G33+H33+I33+J33+K33+L33+M33+N33+O33)*0.005</f>
        <v>1</v>
      </c>
      <c r="P34" s="173"/>
      <c r="Q34" s="22"/>
      <c r="R34" s="22"/>
      <c r="S34" s="22"/>
      <c r="U34" s="2"/>
    </row>
    <row r="35" spans="1:21">
      <c r="A35" s="202">
        <v>14</v>
      </c>
      <c r="B35" s="20" t="s">
        <v>165</v>
      </c>
      <c r="C35" s="165">
        <v>1642.36</v>
      </c>
      <c r="D35" s="32"/>
      <c r="E35" s="22">
        <v>0</v>
      </c>
      <c r="F35" s="22">
        <v>255</v>
      </c>
      <c r="G35" s="22">
        <v>250</v>
      </c>
      <c r="H35" s="22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22">
        <v>0</v>
      </c>
      <c r="P35" s="46">
        <f>C35+D35+E35+F35+G35+H35+I35+J35+K35+L35+M35+N35+O35</f>
        <v>2147.36</v>
      </c>
      <c r="Q35" s="22">
        <f>P35/12</f>
        <v>178.946666666667</v>
      </c>
      <c r="R35" s="22">
        <f>D36+E36+F36+G36+H36+I36+J36+K36+L36+M36+N36+O36</f>
        <v>122.5416</v>
      </c>
      <c r="S35" s="22">
        <f>P35+R35</f>
        <v>2269.9016000000001</v>
      </c>
      <c r="U35" s="179"/>
    </row>
    <row r="36" spans="1:21" ht="12.75" customHeight="1">
      <c r="A36" s="162"/>
      <c r="B36" s="20"/>
      <c r="C36" s="76" t="s">
        <v>152</v>
      </c>
      <c r="D36" s="22">
        <f>(C35+D35)*0.005</f>
        <v>8.2118000000000002</v>
      </c>
      <c r="E36" s="22">
        <f>(C35+D35+E35)*0.005</f>
        <v>8.2118000000000002</v>
      </c>
      <c r="F36" s="22">
        <f>(+C35+D35+E35+F35)*0.005</f>
        <v>9.4868000000000006</v>
      </c>
      <c r="G36" s="22">
        <f>(C35+D35+E35+F35+G35)*0.005</f>
        <v>10.736800000000001</v>
      </c>
      <c r="H36" s="22">
        <f>(C35+D35+E35+F35+G35+H35)*0.005</f>
        <v>10.736800000000001</v>
      </c>
      <c r="I36" s="22">
        <f>(C35+D35+E35+F35+G35+H35+I35)*0.005</f>
        <v>10.736800000000001</v>
      </c>
      <c r="J36" s="22">
        <f>(C35+D35+E35+F35+G35+H35+I35+J35)*0.005</f>
        <v>10.736800000000001</v>
      </c>
      <c r="K36" s="22">
        <f>(C35+D35+E35+F35+G35+H35+I35+J35+K35)*0.005</f>
        <v>10.736800000000001</v>
      </c>
      <c r="L36" s="22">
        <f>(C35+D35+E35+F35+G35+H35+I35+J35+K35+L35)*0.005</f>
        <v>10.736800000000001</v>
      </c>
      <c r="M36" s="22">
        <f>(C35+D35+E35+F35+G35+H35+I35+J35+K35+L35+M35)*0.005</f>
        <v>10.736800000000001</v>
      </c>
      <c r="N36" s="22">
        <f>(C35+D35+E35+F35+G35+H35+I35+J35+K35+L35+M35+N35)*0.005</f>
        <v>10.736800000000001</v>
      </c>
      <c r="O36" s="22">
        <f>(C35+D35+E35+F35+G35+H35+I35+J35+K35+L35+M35+N35+O35)*0.005</f>
        <v>10.736800000000001</v>
      </c>
      <c r="P36" s="173"/>
      <c r="Q36" s="22"/>
      <c r="R36" s="22"/>
      <c r="S36" s="22"/>
      <c r="U36" s="2"/>
    </row>
    <row r="37" spans="1:21" ht="12.75" customHeight="1">
      <c r="A37" s="168"/>
      <c r="B37" s="16"/>
      <c r="C37" s="155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205"/>
      <c r="Q37" s="169"/>
      <c r="R37" s="169"/>
      <c r="S37" s="175" t="s">
        <v>166</v>
      </c>
      <c r="U37" s="2"/>
    </row>
    <row r="38" spans="1:21">
      <c r="A38" s="170"/>
      <c r="B38" s="36"/>
      <c r="C38" s="171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206"/>
      <c r="Q38" s="148"/>
      <c r="R38" s="148"/>
      <c r="S38" s="148"/>
      <c r="U38" s="2"/>
    </row>
    <row r="39" spans="1:21" ht="4.5" customHeight="1">
      <c r="A39" s="162"/>
      <c r="B39" s="20"/>
      <c r="C39" s="76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173"/>
      <c r="Q39" s="22"/>
      <c r="R39" s="22"/>
      <c r="S39" s="22"/>
      <c r="U39" s="2"/>
    </row>
    <row r="40" spans="1:21" ht="3.75" customHeight="1">
      <c r="A40" s="166"/>
      <c r="B40" s="73"/>
      <c r="C40" s="203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</row>
    <row r="41" spans="1:21">
      <c r="A41" s="204"/>
      <c r="B41" s="103" t="s">
        <v>120</v>
      </c>
      <c r="C41" s="196">
        <f t="shared" ref="C41:S41" si="36">SUM(C10:C40)</f>
        <v>21103.7</v>
      </c>
      <c r="D41" s="194">
        <f t="shared" si="36"/>
        <v>68.061800000000005</v>
      </c>
      <c r="E41" s="194" t="e">
        <f t="shared" si="36"/>
        <v>#REF!</v>
      </c>
      <c r="F41" s="194" t="e">
        <f t="shared" si="36"/>
        <v>#REF!</v>
      </c>
      <c r="G41" s="194" t="e">
        <f t="shared" si="36"/>
        <v>#REF!</v>
      </c>
      <c r="H41" s="194" t="e">
        <f t="shared" si="36"/>
        <v>#REF!</v>
      </c>
      <c r="I41" s="194" t="e">
        <f t="shared" si="36"/>
        <v>#REF!</v>
      </c>
      <c r="J41" s="194" t="e">
        <f t="shared" si="36"/>
        <v>#REF!</v>
      </c>
      <c r="K41" s="194" t="e">
        <f t="shared" si="36"/>
        <v>#REF!</v>
      </c>
      <c r="L41" s="194" t="e">
        <f t="shared" si="36"/>
        <v>#REF!</v>
      </c>
      <c r="M41" s="194" t="e">
        <f t="shared" si="36"/>
        <v>#REF!</v>
      </c>
      <c r="N41" s="194" t="e">
        <f t="shared" si="36"/>
        <v>#REF!</v>
      </c>
      <c r="O41" s="194" t="e">
        <f t="shared" si="36"/>
        <v>#REF!</v>
      </c>
      <c r="P41" s="196">
        <f t="shared" si="36"/>
        <v>22108.7</v>
      </c>
      <c r="Q41" s="194">
        <f t="shared" si="36"/>
        <v>1842.3916666666701</v>
      </c>
      <c r="R41" s="195">
        <f t="shared" si="36"/>
        <v>1218.0304000000001</v>
      </c>
      <c r="S41" s="196">
        <f t="shared" si="36"/>
        <v>23326.7304</v>
      </c>
    </row>
    <row r="43" spans="1:21">
      <c r="A43" t="s">
        <v>121</v>
      </c>
      <c r="E43" t="s">
        <v>122</v>
      </c>
      <c r="K43" t="s">
        <v>123</v>
      </c>
      <c r="P43" t="s">
        <v>124</v>
      </c>
    </row>
    <row r="46" spans="1:21">
      <c r="B46" s="107" t="s">
        <v>125</v>
      </c>
      <c r="F46" s="107" t="s">
        <v>126</v>
      </c>
      <c r="L46" s="308" t="s">
        <v>167</v>
      </c>
      <c r="M46" s="308"/>
      <c r="N46" s="308"/>
      <c r="Q46" s="308" t="s">
        <v>168</v>
      </c>
      <c r="R46" s="308"/>
      <c r="S46" s="308"/>
    </row>
    <row r="47" spans="1:21">
      <c r="B47" t="s">
        <v>169</v>
      </c>
      <c r="F47" s="313" t="s">
        <v>129</v>
      </c>
      <c r="G47" s="313"/>
      <c r="H47" s="313"/>
      <c r="L47" s="311" t="s">
        <v>170</v>
      </c>
      <c r="M47" s="311"/>
      <c r="N47" s="311"/>
      <c r="Q47" s="313" t="s">
        <v>131</v>
      </c>
      <c r="R47" s="313"/>
      <c r="S47" s="313"/>
    </row>
    <row r="50" spans="16:19">
      <c r="S50" s="3" t="s">
        <v>171</v>
      </c>
    </row>
    <row r="54" spans="16:19">
      <c r="P54" t="s">
        <v>172</v>
      </c>
      <c r="Q54">
        <f>18</f>
        <v>18</v>
      </c>
      <c r="R54" s="314" t="e">
        <f>S10+S13+S15+S17+S19+S21+S23+S25+S27+S29+S31+S33+#REF!+#REF!+#REF!+#REF!+#REF!+S35</f>
        <v>#REF!</v>
      </c>
      <c r="S54" s="314"/>
    </row>
    <row r="55" spans="16:19">
      <c r="P55" s="102" t="s">
        <v>173</v>
      </c>
      <c r="Q55" s="102">
        <v>11</v>
      </c>
      <c r="R55" s="306" t="e">
        <f>#REF!+#REF!+#REF!+#REF!+#REF!+#REF!+#REF!+#REF!+#REF!+#REF!+#REF!</f>
        <v>#REF!</v>
      </c>
      <c r="S55" s="306"/>
    </row>
    <row r="56" spans="16:19">
      <c r="Q56">
        <f>Q54+Q55</f>
        <v>29</v>
      </c>
      <c r="R56" s="307" t="e">
        <f>R54+R55</f>
        <v>#REF!</v>
      </c>
      <c r="S56" s="307"/>
    </row>
    <row r="60" spans="16:19">
      <c r="S60" t="s">
        <v>174</v>
      </c>
    </row>
    <row r="62" spans="16:19">
      <c r="P62" s="50"/>
    </row>
  </sheetData>
  <mergeCells count="14">
    <mergeCell ref="R54:S54"/>
    <mergeCell ref="R55:S55"/>
    <mergeCell ref="R56:S56"/>
    <mergeCell ref="A9:B9"/>
    <mergeCell ref="L46:N46"/>
    <mergeCell ref="Q46:S46"/>
    <mergeCell ref="F47:H47"/>
    <mergeCell ref="L47:N47"/>
    <mergeCell ref="Q47:S47"/>
    <mergeCell ref="A2:S2"/>
    <mergeCell ref="A3:S3"/>
    <mergeCell ref="A4:S4"/>
    <mergeCell ref="A6:S6"/>
    <mergeCell ref="A7:S7"/>
  </mergeCells>
  <pageMargins left="0.25" right="0.25" top="0.25" bottom="0.25" header="0.3" footer="0.3"/>
  <pageSetup paperSize="5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B63"/>
  <sheetViews>
    <sheetView topLeftCell="A16" zoomScale="110" zoomScaleNormal="110" workbookViewId="0">
      <selection activeCell="Q33" sqref="Q33"/>
    </sheetView>
  </sheetViews>
  <sheetFormatPr defaultColWidth="9" defaultRowHeight="14.4"/>
  <cols>
    <col min="1" max="1" width="3.5546875" customWidth="1"/>
    <col min="2" max="2" width="26.21875" customWidth="1"/>
    <col min="3" max="3" width="13.21875" customWidth="1"/>
    <col min="4" max="4" width="7.77734375" customWidth="1"/>
    <col min="5" max="5" width="9.33203125" customWidth="1"/>
    <col min="6" max="6" width="7.44140625" customWidth="1"/>
    <col min="7" max="8" width="7.77734375" customWidth="1"/>
    <col min="9" max="10" width="8" customWidth="1"/>
    <col min="11" max="12" width="7.5546875" customWidth="1"/>
    <col min="13" max="13" width="7.77734375" customWidth="1"/>
    <col min="14" max="14" width="6.5546875" customWidth="1"/>
    <col min="15" max="15" width="8.5546875" customWidth="1"/>
    <col min="16" max="16" width="8.21875" customWidth="1"/>
    <col min="17" max="17" width="9.21875" customWidth="1"/>
    <col min="18" max="18" width="8.44140625" customWidth="1"/>
    <col min="19" max="19" width="7.77734375" customWidth="1"/>
    <col min="20" max="20" width="8.44140625" customWidth="1"/>
    <col min="21" max="21" width="9" style="4"/>
  </cols>
  <sheetData>
    <row r="2" spans="1:28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</row>
    <row r="3" spans="1:28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</row>
    <row r="4" spans="1:28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</row>
    <row r="5" spans="1:28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8"/>
      <c r="V5" s="9"/>
      <c r="W5" s="9"/>
      <c r="X5" s="9"/>
      <c r="Y5" s="9"/>
      <c r="Z5" s="9"/>
      <c r="AA5" s="9"/>
      <c r="AB5" s="9"/>
    </row>
    <row r="6" spans="1:28" ht="18">
      <c r="A6" s="316" t="s">
        <v>144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</row>
    <row r="7" spans="1:28">
      <c r="A7" s="313" t="s">
        <v>175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</row>
    <row r="8" spans="1:28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28" s="1" customFormat="1" ht="28.5" customHeight="1">
      <c r="A9" s="317"/>
      <c r="B9" s="318"/>
      <c r="C9" s="159" t="s">
        <v>179</v>
      </c>
      <c r="D9" s="158" t="s">
        <v>7</v>
      </c>
      <c r="E9" s="158" t="s">
        <v>8</v>
      </c>
      <c r="F9" s="158" t="s">
        <v>9</v>
      </c>
      <c r="G9" s="158" t="s">
        <v>10</v>
      </c>
      <c r="H9" s="158" t="s">
        <v>11</v>
      </c>
      <c r="I9" s="158" t="s">
        <v>12</v>
      </c>
      <c r="J9" s="158" t="s">
        <v>133</v>
      </c>
      <c r="K9" s="158" t="s">
        <v>13</v>
      </c>
      <c r="L9" s="158" t="s">
        <v>14</v>
      </c>
      <c r="M9" s="158" t="s">
        <v>15</v>
      </c>
      <c r="N9" s="158" t="s">
        <v>16</v>
      </c>
      <c r="O9" s="158" t="s">
        <v>17</v>
      </c>
      <c r="P9" s="158" t="s">
        <v>18</v>
      </c>
      <c r="Q9" s="158" t="s">
        <v>147</v>
      </c>
      <c r="R9" s="158" t="s">
        <v>148</v>
      </c>
      <c r="S9" s="133" t="s">
        <v>149</v>
      </c>
      <c r="T9" s="133" t="s">
        <v>150</v>
      </c>
      <c r="U9" s="177"/>
    </row>
    <row r="10" spans="1:28" s="2" customFormat="1">
      <c r="A10" s="199">
        <v>1</v>
      </c>
      <c r="B10" s="16" t="s">
        <v>151</v>
      </c>
      <c r="C10" s="161">
        <f>2392.7+139.99</f>
        <v>2532.69</v>
      </c>
      <c r="D10" s="200"/>
      <c r="E10" s="18">
        <v>0</v>
      </c>
      <c r="F10" s="22">
        <v>0</v>
      </c>
      <c r="G10" s="18">
        <v>0</v>
      </c>
      <c r="H10" s="22">
        <v>0</v>
      </c>
      <c r="I10" s="22">
        <v>0</v>
      </c>
      <c r="J10" s="22"/>
      <c r="K10" s="22">
        <v>0</v>
      </c>
      <c r="L10" s="18">
        <v>0</v>
      </c>
      <c r="M10" s="22">
        <v>0</v>
      </c>
      <c r="N10" s="22">
        <v>0</v>
      </c>
      <c r="O10" s="22">
        <v>0</v>
      </c>
      <c r="P10" s="200"/>
      <c r="Q10" s="46">
        <f t="shared" ref="Q10:Q16" si="0">C10+D10+E10+F10+G10+H10+I10+K10+L10+M10+N10+O10+P10</f>
        <v>2532.69</v>
      </c>
      <c r="R10" s="22">
        <f t="shared" ref="R10:R16" si="1">Q10/12</f>
        <v>211.0575</v>
      </c>
      <c r="S10" s="22">
        <f t="shared" ref="S10:S16" si="2">D11+E11+F11+G11+H11+I11+K11+L11+M11+N11+O11+P11</f>
        <v>147.68795</v>
      </c>
      <c r="T10" s="22">
        <f t="shared" ref="T10:T16" si="3">Q10+S10</f>
        <v>2680.3779500000001</v>
      </c>
      <c r="U10" s="178"/>
    </row>
    <row r="11" spans="1:28" s="2" customFormat="1">
      <c r="A11" s="162"/>
      <c r="B11" s="20"/>
      <c r="C11" s="76" t="s">
        <v>152</v>
      </c>
      <c r="D11" s="22">
        <v>8.39</v>
      </c>
      <c r="E11" s="22">
        <f t="shared" ref="E11:E17" si="4">(C10+D10+E10)*0.005</f>
        <v>12.663449999999999</v>
      </c>
      <c r="F11" s="22">
        <f t="shared" ref="F11:F17" si="5">(+C10+D10+E10+F10)*0.005</f>
        <v>12.663449999999999</v>
      </c>
      <c r="G11" s="22">
        <f t="shared" ref="G11:G17" si="6">(C10+D10+E10+F10+G10)*0.005</f>
        <v>12.663449999999999</v>
      </c>
      <c r="H11" s="22">
        <f t="shared" ref="H11:H17" si="7">(C10+D10+E10+F10+G10+H10)*0.005</f>
        <v>12.663449999999999</v>
      </c>
      <c r="I11" s="22">
        <f t="shared" ref="I11:I17" si="8">(C10+D10+E10+F10+G10+H10+I10)*0.005</f>
        <v>12.663449999999999</v>
      </c>
      <c r="J11" s="22"/>
      <c r="K11" s="22">
        <f t="shared" ref="K11:K17" si="9">(C10+D10+E10+F10+G10+H10+I10+K10)*0.005</f>
        <v>12.663449999999999</v>
      </c>
      <c r="L11" s="22">
        <f t="shared" ref="L11:L17" si="10">(C10+D10+E10+F10+G10+H10+I10+K10+L10)*0.005</f>
        <v>12.663449999999999</v>
      </c>
      <c r="M11" s="22">
        <f t="shared" ref="M11:M17" si="11">(C10+D10+E10+F10+G10+H10+I10+K10+L10+M10)*0.005</f>
        <v>12.663449999999999</v>
      </c>
      <c r="N11" s="22">
        <f t="shared" ref="N11:N17" si="12">(C10+D10+E10+F10+G10+H10+I10+K10+L10+M10+N10)*0.005</f>
        <v>12.663449999999999</v>
      </c>
      <c r="O11" s="22">
        <f t="shared" ref="O11:O17" si="13">(C10+D10+E10+F10+G10+H10+I10+K10+L10+M10+N10+O10)*0.005</f>
        <v>12.663449999999999</v>
      </c>
      <c r="P11" s="22">
        <f t="shared" ref="P11:P17" si="14">(C10+D10+E10+F10+G10+H10+I10+K10+L10+M10+N10+O10+P10)*0.005</f>
        <v>12.663449999999999</v>
      </c>
      <c r="Q11" s="46"/>
      <c r="R11" s="22"/>
      <c r="S11" s="22"/>
      <c r="T11" s="22"/>
      <c r="U11" s="178"/>
    </row>
    <row r="12" spans="1:28" s="2" customFormat="1">
      <c r="A12" s="162">
        <v>2</v>
      </c>
      <c r="B12" s="20" t="s">
        <v>153</v>
      </c>
      <c r="C12" s="201">
        <v>2502.84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46"/>
      <c r="R12" s="22"/>
      <c r="S12" s="22"/>
      <c r="T12" s="22"/>
      <c r="U12" s="178"/>
    </row>
    <row r="13" spans="1:28">
      <c r="A13" s="162"/>
      <c r="B13" s="20"/>
      <c r="C13" s="76" t="s">
        <v>152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46"/>
      <c r="R13" s="22"/>
      <c r="S13" s="22"/>
      <c r="T13" s="22"/>
      <c r="V13" s="2"/>
    </row>
    <row r="14" spans="1:28">
      <c r="A14" s="202">
        <v>3</v>
      </c>
      <c r="B14" s="27" t="s">
        <v>154</v>
      </c>
      <c r="C14" s="161">
        <f>6917.9+405.53</f>
        <v>7323.43</v>
      </c>
      <c r="D14" s="22">
        <v>0</v>
      </c>
      <c r="E14" s="22">
        <v>0</v>
      </c>
      <c r="F14" s="22">
        <v>500</v>
      </c>
      <c r="G14" s="22">
        <v>0</v>
      </c>
      <c r="H14" s="22">
        <v>0</v>
      </c>
      <c r="I14" s="22">
        <v>0</v>
      </c>
      <c r="J14" s="22"/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32"/>
      <c r="Q14" s="46">
        <f t="shared" si="0"/>
        <v>7823.43</v>
      </c>
      <c r="R14" s="22">
        <f t="shared" si="1"/>
        <v>651.95249999999999</v>
      </c>
      <c r="S14" s="22">
        <f t="shared" si="2"/>
        <v>452.83864999999997</v>
      </c>
      <c r="T14" s="22">
        <f t="shared" si="3"/>
        <v>8276.26865</v>
      </c>
      <c r="V14" s="2"/>
    </row>
    <row r="15" spans="1:28">
      <c r="A15" s="162"/>
      <c r="B15" s="27"/>
      <c r="C15" s="76" t="s">
        <v>152</v>
      </c>
      <c r="D15" s="22">
        <v>25.05</v>
      </c>
      <c r="E15" s="22">
        <f t="shared" si="4"/>
        <v>36.617150000000002</v>
      </c>
      <c r="F15" s="22">
        <f t="shared" si="5"/>
        <v>39.117150000000002</v>
      </c>
      <c r="G15" s="22">
        <f t="shared" si="6"/>
        <v>39.117150000000002</v>
      </c>
      <c r="H15" s="22">
        <f t="shared" si="7"/>
        <v>39.117150000000002</v>
      </c>
      <c r="I15" s="22">
        <f t="shared" si="8"/>
        <v>39.117150000000002</v>
      </c>
      <c r="J15" s="22"/>
      <c r="K15" s="22">
        <f t="shared" si="9"/>
        <v>39.117150000000002</v>
      </c>
      <c r="L15" s="22">
        <f t="shared" si="10"/>
        <v>39.117150000000002</v>
      </c>
      <c r="M15" s="22">
        <f t="shared" si="11"/>
        <v>39.117150000000002</v>
      </c>
      <c r="N15" s="22">
        <f t="shared" si="12"/>
        <v>39.117150000000002</v>
      </c>
      <c r="O15" s="22">
        <f t="shared" si="13"/>
        <v>39.117150000000002</v>
      </c>
      <c r="P15" s="22">
        <f t="shared" si="14"/>
        <v>39.117150000000002</v>
      </c>
      <c r="Q15" s="46"/>
      <c r="R15" s="22"/>
      <c r="S15" s="22"/>
      <c r="T15" s="22"/>
      <c r="V15" s="2"/>
    </row>
    <row r="16" spans="1:28">
      <c r="A16" s="202">
        <v>4</v>
      </c>
      <c r="B16" s="20" t="s">
        <v>155</v>
      </c>
      <c r="C16" s="161">
        <f>3596.59+211.16</f>
        <v>3807.75</v>
      </c>
      <c r="D16" s="32"/>
      <c r="E16" s="22">
        <f>420+200</f>
        <v>620</v>
      </c>
      <c r="F16" s="22">
        <v>0</v>
      </c>
      <c r="G16" s="22">
        <v>0</v>
      </c>
      <c r="H16" s="22">
        <v>0</v>
      </c>
      <c r="I16" s="22">
        <v>0</v>
      </c>
      <c r="J16" s="22"/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46">
        <f t="shared" si="0"/>
        <v>4427.75</v>
      </c>
      <c r="R16" s="22">
        <f t="shared" si="1"/>
        <v>368.97916666666703</v>
      </c>
      <c r="S16" s="22">
        <f t="shared" si="2"/>
        <v>256.87625000000003</v>
      </c>
      <c r="T16" s="22">
        <f t="shared" si="3"/>
        <v>4684.6262500000003</v>
      </c>
      <c r="V16" s="179"/>
      <c r="W16" s="2"/>
    </row>
    <row r="17" spans="1:23">
      <c r="A17" s="162"/>
      <c r="B17" s="20"/>
      <c r="C17" s="76" t="s">
        <v>152</v>
      </c>
      <c r="D17" s="22">
        <v>13.35</v>
      </c>
      <c r="E17" s="22">
        <f t="shared" si="4"/>
        <v>22.138750000000002</v>
      </c>
      <c r="F17" s="22">
        <f t="shared" si="5"/>
        <v>22.138750000000002</v>
      </c>
      <c r="G17" s="22">
        <f t="shared" si="6"/>
        <v>22.138750000000002</v>
      </c>
      <c r="H17" s="22">
        <f t="shared" si="7"/>
        <v>22.138750000000002</v>
      </c>
      <c r="I17" s="22">
        <f t="shared" si="8"/>
        <v>22.138750000000002</v>
      </c>
      <c r="J17" s="22"/>
      <c r="K17" s="22">
        <f t="shared" si="9"/>
        <v>22.138750000000002</v>
      </c>
      <c r="L17" s="22">
        <f t="shared" si="10"/>
        <v>22.138750000000002</v>
      </c>
      <c r="M17" s="22">
        <f t="shared" si="11"/>
        <v>22.138750000000002</v>
      </c>
      <c r="N17" s="22">
        <f t="shared" si="12"/>
        <v>22.138750000000002</v>
      </c>
      <c r="O17" s="22">
        <f t="shared" si="13"/>
        <v>22.138750000000002</v>
      </c>
      <c r="P17" s="22">
        <f t="shared" si="14"/>
        <v>22.138750000000002</v>
      </c>
      <c r="Q17" s="46"/>
      <c r="R17" s="22"/>
      <c r="T17" s="22"/>
      <c r="V17" s="2"/>
      <c r="W17" s="2"/>
    </row>
    <row r="18" spans="1:23" s="2" customFormat="1">
      <c r="A18" s="202">
        <v>5</v>
      </c>
      <c r="B18" s="20" t="s">
        <v>156</v>
      </c>
      <c r="C18" s="161">
        <f>2920.42+158.12</f>
        <v>3078.54</v>
      </c>
      <c r="D18" s="188"/>
      <c r="E18" s="25">
        <v>900</v>
      </c>
      <c r="F18" s="25"/>
      <c r="G18" s="22">
        <v>0</v>
      </c>
      <c r="H18" s="22">
        <v>0</v>
      </c>
      <c r="I18" s="25">
        <v>0</v>
      </c>
      <c r="J18" s="25"/>
      <c r="K18" s="22">
        <v>1000</v>
      </c>
      <c r="L18" s="22">
        <v>0</v>
      </c>
      <c r="M18" s="22">
        <v>0</v>
      </c>
      <c r="N18" s="25">
        <v>0</v>
      </c>
      <c r="O18" s="25">
        <v>0</v>
      </c>
      <c r="P18" s="25">
        <v>0</v>
      </c>
      <c r="Q18" s="46">
        <f>C18+D18+E18+F18+G18+H18+I18+K18+L18+M18+N18+O18+P18</f>
        <v>4978.54</v>
      </c>
      <c r="R18" s="22">
        <f t="shared" ref="R18:R22" si="15">Q18/12</f>
        <v>414.87833333333299</v>
      </c>
      <c r="S18" s="22">
        <f>D19+E19+F19+G19+H19+I19+K19+L19+M19+N19+O19+P19</f>
        <v>248.81970000000001</v>
      </c>
      <c r="T18" s="22">
        <f t="shared" ref="T18:T22" si="16">Q18+S18</f>
        <v>5227.3597</v>
      </c>
      <c r="U18" s="178"/>
      <c r="V18" s="179"/>
    </row>
    <row r="19" spans="1:23" s="2" customFormat="1">
      <c r="A19" s="162"/>
      <c r="B19" s="20"/>
      <c r="C19" s="76" t="s">
        <v>152</v>
      </c>
      <c r="D19" s="22"/>
      <c r="E19" s="22">
        <f t="shared" ref="E19:E23" si="17">(C18+D18+E18)*0.005</f>
        <v>19.892700000000001</v>
      </c>
      <c r="F19" s="22">
        <f t="shared" ref="F19:F23" si="18">(+C18+D18+E18+F18)*0.005</f>
        <v>19.892700000000001</v>
      </c>
      <c r="G19" s="22">
        <f t="shared" ref="G19:G23" si="19">(C18+D18+E18+F18+G18)*0.005</f>
        <v>19.892700000000001</v>
      </c>
      <c r="H19" s="22">
        <f t="shared" ref="H19:H23" si="20">(C18+D18+E18+F18+G18+H18)*0.005</f>
        <v>19.892700000000001</v>
      </c>
      <c r="I19" s="22">
        <f t="shared" ref="I19:I23" si="21">(C18+D18+E18+F18+G18+H18+I18)*0.005</f>
        <v>19.892700000000001</v>
      </c>
      <c r="J19" s="22"/>
      <c r="K19" s="22">
        <f t="shared" ref="K19:K23" si="22">(C18+D18+E18+F18+G18+H18+I18+K18)*0.005</f>
        <v>24.892700000000001</v>
      </c>
      <c r="L19" s="22">
        <f t="shared" ref="L19:L23" si="23">(C18+D18+E18+F18+G18+H18+I18+K18+L18)*0.005</f>
        <v>24.892700000000001</v>
      </c>
      <c r="M19" s="22">
        <f t="shared" ref="M19:M23" si="24">(C18+D18+E18+F18+G18+H18+I18+K18+L18+M18)*0.005</f>
        <v>24.892700000000001</v>
      </c>
      <c r="N19" s="22">
        <f t="shared" ref="N19:N23" si="25">(C18+D18+E18+F18+G18+H18+I18+K18+L18+M18+N18)*0.005</f>
        <v>24.892700000000001</v>
      </c>
      <c r="O19" s="22">
        <f t="shared" ref="O19:O23" si="26">(C18+D18+E18+F18+G18+H18+I18+K18+L18+M18+N18+O18)*0.005</f>
        <v>24.892700000000001</v>
      </c>
      <c r="P19" s="22">
        <f t="shared" ref="P19:P23" si="27">(C18+D18+E18+F18+G18+H18+I18+K18+L18+M18+N18+O18+P18)*0.005</f>
        <v>24.892700000000001</v>
      </c>
      <c r="Q19" s="173"/>
      <c r="R19" s="22"/>
      <c r="S19" s="22"/>
      <c r="T19" s="22"/>
      <c r="U19" s="178"/>
    </row>
    <row r="20" spans="1:23">
      <c r="A20" s="162">
        <v>6</v>
      </c>
      <c r="B20" s="20" t="s">
        <v>157</v>
      </c>
      <c r="C20" s="161">
        <v>50</v>
      </c>
      <c r="D20" s="22">
        <v>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173">
        <v>50</v>
      </c>
      <c r="R20" s="22">
        <f t="shared" si="15"/>
        <v>4.1666666666666696</v>
      </c>
      <c r="S20" s="22"/>
      <c r="T20" s="22">
        <f t="shared" si="16"/>
        <v>50</v>
      </c>
      <c r="V20" s="2"/>
      <c r="W20" s="2"/>
    </row>
    <row r="21" spans="1:23">
      <c r="A21" s="162"/>
      <c r="B21" s="20"/>
      <c r="C21" s="76" t="s">
        <v>152</v>
      </c>
      <c r="D21" s="22">
        <f t="shared" ref="D21:D25" si="28">(C20+D20)*0.005</f>
        <v>0.25</v>
      </c>
      <c r="E21" s="22">
        <f t="shared" si="17"/>
        <v>0.25</v>
      </c>
      <c r="F21" s="22">
        <f t="shared" si="18"/>
        <v>0.25</v>
      </c>
      <c r="G21" s="22">
        <f t="shared" si="19"/>
        <v>0.25</v>
      </c>
      <c r="H21" s="22">
        <f t="shared" si="20"/>
        <v>0.25</v>
      </c>
      <c r="I21" s="22">
        <f t="shared" si="21"/>
        <v>0.25</v>
      </c>
      <c r="J21" s="22"/>
      <c r="K21" s="22">
        <f t="shared" si="22"/>
        <v>0.25</v>
      </c>
      <c r="L21" s="22">
        <f t="shared" si="23"/>
        <v>0.25</v>
      </c>
      <c r="M21" s="22">
        <f t="shared" si="24"/>
        <v>0.25</v>
      </c>
      <c r="N21" s="22">
        <f t="shared" si="25"/>
        <v>0.25</v>
      </c>
      <c r="O21" s="22">
        <f t="shared" si="26"/>
        <v>0.25</v>
      </c>
      <c r="P21" s="22">
        <f t="shared" si="27"/>
        <v>0.25</v>
      </c>
      <c r="Q21" s="173"/>
      <c r="R21" s="22"/>
      <c r="S21" s="22"/>
      <c r="T21" s="22"/>
      <c r="V21" s="2"/>
      <c r="W21" s="2"/>
    </row>
    <row r="22" spans="1:23">
      <c r="A22" s="162">
        <v>7</v>
      </c>
      <c r="B22" s="31" t="s">
        <v>158</v>
      </c>
      <c r="C22" s="161">
        <v>50</v>
      </c>
      <c r="D22" s="22">
        <v>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46">
        <f t="shared" ref="Q22:Q26" si="29">C22+D22+E22+F22+G22+H22+I22+K22+L22+M22+N22+O22+P22</f>
        <v>50</v>
      </c>
      <c r="R22" s="22">
        <f t="shared" si="15"/>
        <v>4.1666666666666696</v>
      </c>
      <c r="S22" s="22"/>
      <c r="T22" s="22">
        <f t="shared" si="16"/>
        <v>50</v>
      </c>
      <c r="V22" s="2"/>
      <c r="W22" s="2"/>
    </row>
    <row r="23" spans="1:23">
      <c r="A23" s="162"/>
      <c r="B23" s="31"/>
      <c r="C23" s="76" t="s">
        <v>152</v>
      </c>
      <c r="D23" s="22">
        <f t="shared" si="28"/>
        <v>0.25</v>
      </c>
      <c r="E23" s="22">
        <f t="shared" si="17"/>
        <v>0.25</v>
      </c>
      <c r="F23" s="22">
        <f t="shared" si="18"/>
        <v>0.25</v>
      </c>
      <c r="G23" s="22">
        <f t="shared" si="19"/>
        <v>0.25</v>
      </c>
      <c r="H23" s="22">
        <f t="shared" si="20"/>
        <v>0.25</v>
      </c>
      <c r="I23" s="22">
        <f t="shared" si="21"/>
        <v>0.25</v>
      </c>
      <c r="J23" s="22"/>
      <c r="K23" s="22">
        <f t="shared" si="22"/>
        <v>0.25</v>
      </c>
      <c r="L23" s="22">
        <f t="shared" si="23"/>
        <v>0.25</v>
      </c>
      <c r="M23" s="22">
        <f t="shared" si="24"/>
        <v>0.25</v>
      </c>
      <c r="N23" s="22">
        <f t="shared" si="25"/>
        <v>0.25</v>
      </c>
      <c r="O23" s="22">
        <f t="shared" si="26"/>
        <v>0.25</v>
      </c>
      <c r="P23" s="22">
        <f t="shared" si="27"/>
        <v>0.25</v>
      </c>
      <c r="Q23" s="173"/>
      <c r="R23" s="22"/>
      <c r="S23" s="22"/>
      <c r="T23" s="22"/>
      <c r="V23" s="2"/>
      <c r="W23" s="2"/>
    </row>
    <row r="24" spans="1:23">
      <c r="A24" s="162">
        <v>8</v>
      </c>
      <c r="B24" s="30" t="s">
        <v>159</v>
      </c>
      <c r="C24" s="161">
        <v>50</v>
      </c>
      <c r="D24" s="22">
        <v>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46">
        <f t="shared" si="29"/>
        <v>50</v>
      </c>
      <c r="R24" s="22">
        <f t="shared" ref="R24:R28" si="30">Q24/12</f>
        <v>4.1666666666666696</v>
      </c>
      <c r="S24" s="22"/>
      <c r="T24" s="22">
        <f t="shared" ref="T24:T28" si="31">Q24+S24</f>
        <v>50</v>
      </c>
      <c r="V24" s="2"/>
      <c r="W24" s="2"/>
    </row>
    <row r="25" spans="1:23">
      <c r="A25" s="162"/>
      <c r="B25" s="30"/>
      <c r="C25" s="76" t="s">
        <v>152</v>
      </c>
      <c r="D25" s="22">
        <f t="shared" si="28"/>
        <v>0.25</v>
      </c>
      <c r="E25" s="22">
        <f>(C24+D24+E24)*0.005</f>
        <v>0.25</v>
      </c>
      <c r="F25" s="22">
        <f>(+C24+D24+E24+F24)*0.005</f>
        <v>0.25</v>
      </c>
      <c r="G25" s="22">
        <f>(C24+D24+E24+F24+G24)*0.005</f>
        <v>0.25</v>
      </c>
      <c r="H25" s="22">
        <f>(C24+D24+E24+F24+G24+H24)*0.005</f>
        <v>0.25</v>
      </c>
      <c r="I25" s="22">
        <f>(C24+D24+E24+F24+G24+H24+I24)*0.005</f>
        <v>0.25</v>
      </c>
      <c r="J25" s="22"/>
      <c r="K25" s="22">
        <f>(C24+D24+E24+F24+G24+H24+I24+K24)*0.005</f>
        <v>0.25</v>
      </c>
      <c r="L25" s="22">
        <f t="shared" ref="L25:L29" si="32">(C24+D24+E24+F24+G24+H24+I24+K24+L24)*0.005</f>
        <v>0.25</v>
      </c>
      <c r="M25" s="22">
        <f t="shared" ref="M25:M29" si="33">(C24+D24+E24+F24+G24+H24+I24+K24+L24+M24)*0.005</f>
        <v>0.25</v>
      </c>
      <c r="N25" s="22">
        <f t="shared" ref="N25:N29" si="34">(C24+D24+E24+F24+G24+H24+I24+K24+L24+M24+N24)*0.005</f>
        <v>0.25</v>
      </c>
      <c r="O25" s="22">
        <f t="shared" ref="O25:O29" si="35">(C24+D24+E24+F24+G24+H24+I24+K24+L24+M24+N24+O24)*0.005</f>
        <v>0.25</v>
      </c>
      <c r="P25" s="22">
        <f t="shared" ref="P25:P29" si="36">(C24+D24+E24+F24+G24+H24+I24+K24+L24+M24+N24+O24+P24)*0.005</f>
        <v>0.25</v>
      </c>
      <c r="Q25" s="173"/>
      <c r="R25" s="22"/>
      <c r="S25" s="22"/>
      <c r="T25" s="22"/>
      <c r="V25" s="2"/>
      <c r="W25" s="2"/>
    </row>
    <row r="26" spans="1:23">
      <c r="A26" s="202">
        <v>9</v>
      </c>
      <c r="B26" s="31" t="s">
        <v>160</v>
      </c>
      <c r="C26" s="161">
        <f>730.83+18.27</f>
        <v>749.1</v>
      </c>
      <c r="D26" s="32"/>
      <c r="E26" s="22"/>
      <c r="F26" s="22"/>
      <c r="G26" s="22"/>
      <c r="H26" s="22"/>
      <c r="I26" s="22">
        <v>0</v>
      </c>
      <c r="J26" s="22"/>
      <c r="K26" s="22"/>
      <c r="L26" s="32"/>
      <c r="M26" s="22"/>
      <c r="N26" s="22"/>
      <c r="O26" s="22">
        <v>0</v>
      </c>
      <c r="P26" s="22"/>
      <c r="Q26" s="46">
        <f t="shared" si="29"/>
        <v>749.1</v>
      </c>
      <c r="R26" s="22">
        <f t="shared" si="30"/>
        <v>62.424999999999997</v>
      </c>
      <c r="S26" s="22">
        <f>D27+E27+F27+G27+H27+I27+K27+L27+M27+N27+O27+P27</f>
        <v>18.727499999999999</v>
      </c>
      <c r="T26" s="22">
        <f t="shared" si="31"/>
        <v>767.82749999999999</v>
      </c>
      <c r="V26" s="179"/>
      <c r="W26" s="2"/>
    </row>
    <row r="27" spans="1:23">
      <c r="A27" s="162"/>
      <c r="B27" s="31"/>
      <c r="C27" s="76" t="s">
        <v>152</v>
      </c>
      <c r="D27" s="22"/>
      <c r="E27" s="22"/>
      <c r="F27" s="22"/>
      <c r="G27" s="22"/>
      <c r="H27" s="22"/>
      <c r="I27" s="22"/>
      <c r="J27" s="22"/>
      <c r="K27" s="22"/>
      <c r="L27" s="22">
        <f t="shared" si="32"/>
        <v>3.7454999999999998</v>
      </c>
      <c r="M27" s="22">
        <f t="shared" si="33"/>
        <v>3.7454999999999998</v>
      </c>
      <c r="N27" s="22">
        <f t="shared" si="34"/>
        <v>3.7454999999999998</v>
      </c>
      <c r="O27" s="22">
        <f t="shared" si="35"/>
        <v>3.7454999999999998</v>
      </c>
      <c r="P27" s="22">
        <f t="shared" si="36"/>
        <v>3.7454999999999998</v>
      </c>
      <c r="Q27" s="173"/>
      <c r="R27" s="22"/>
      <c r="S27" s="22"/>
      <c r="T27" s="22"/>
      <c r="V27" s="2"/>
      <c r="W27" s="2"/>
    </row>
    <row r="28" spans="1:23" s="2" customFormat="1">
      <c r="A28" s="162">
        <v>10</v>
      </c>
      <c r="B28" s="20" t="s">
        <v>161</v>
      </c>
      <c r="C28" s="161">
        <v>50</v>
      </c>
      <c r="D28" s="25">
        <v>0</v>
      </c>
      <c r="E28" s="25"/>
      <c r="F28" s="22"/>
      <c r="G28" s="22"/>
      <c r="H28" s="22"/>
      <c r="I28" s="22"/>
      <c r="J28" s="22"/>
      <c r="K28" s="22">
        <v>0</v>
      </c>
      <c r="L28" s="22"/>
      <c r="M28" s="22"/>
      <c r="N28" s="22">
        <v>0</v>
      </c>
      <c r="O28" s="22"/>
      <c r="P28" s="22"/>
      <c r="Q28" s="46">
        <f t="shared" ref="Q28:Q30" si="37">C28+D28+E28+F28+G28+H28+I28+K28+L28+M28+N28+O28+P28</f>
        <v>50</v>
      </c>
      <c r="R28" s="22">
        <f t="shared" si="30"/>
        <v>4.1666666666666696</v>
      </c>
      <c r="S28" s="22"/>
      <c r="T28" s="22">
        <f t="shared" si="31"/>
        <v>50</v>
      </c>
      <c r="U28" s="178"/>
      <c r="V28" s="179"/>
    </row>
    <row r="29" spans="1:23" s="2" customFormat="1">
      <c r="A29" s="162"/>
      <c r="B29" s="20"/>
      <c r="C29" s="76" t="s">
        <v>152</v>
      </c>
      <c r="D29" s="22">
        <f>(C28+D28)*0.005</f>
        <v>0.25</v>
      </c>
      <c r="E29" s="22">
        <f t="shared" ref="E29:E33" si="38">(C28+D28+E28)*0.005</f>
        <v>0.25</v>
      </c>
      <c r="F29" s="22">
        <f t="shared" ref="F29:F33" si="39">(+C28+D28+E28+F28)*0.005</f>
        <v>0.25</v>
      </c>
      <c r="G29" s="22">
        <f t="shared" ref="G29:G33" si="40">(C28+D28+E28+F28+G28)*0.005</f>
        <v>0.25</v>
      </c>
      <c r="H29" s="22">
        <f t="shared" ref="H29:H33" si="41">(C28+D28+E28+F28+G28+H28)*0.005</f>
        <v>0.25</v>
      </c>
      <c r="I29" s="22">
        <f t="shared" ref="I29:I33" si="42">(C28+D28+E28+F28+G28+H28+I28)*0.005</f>
        <v>0.25</v>
      </c>
      <c r="J29" s="22"/>
      <c r="K29" s="22">
        <f t="shared" ref="K29:K33" si="43">(C28+D28+E28+F28+G28+H28+I28+K28)*0.005</f>
        <v>0.25</v>
      </c>
      <c r="L29" s="22">
        <f t="shared" si="32"/>
        <v>0.25</v>
      </c>
      <c r="M29" s="22">
        <f t="shared" si="33"/>
        <v>0.25</v>
      </c>
      <c r="N29" s="22">
        <f t="shared" si="34"/>
        <v>0.25</v>
      </c>
      <c r="O29" s="22">
        <f t="shared" si="35"/>
        <v>0.25</v>
      </c>
      <c r="P29" s="22">
        <f t="shared" si="36"/>
        <v>0.25</v>
      </c>
      <c r="Q29" s="173"/>
      <c r="R29" s="22"/>
      <c r="S29" s="22"/>
      <c r="T29" s="22"/>
      <c r="U29" s="178"/>
    </row>
    <row r="30" spans="1:23">
      <c r="A30" s="162">
        <v>11</v>
      </c>
      <c r="B30" s="27" t="s">
        <v>162</v>
      </c>
      <c r="C30" s="161">
        <v>50</v>
      </c>
      <c r="D30" s="22">
        <v>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46">
        <f t="shared" si="37"/>
        <v>50</v>
      </c>
      <c r="R30" s="22">
        <f t="shared" ref="R30:R34" si="44">Q30/12</f>
        <v>4.1666666666666696</v>
      </c>
      <c r="S30" s="22"/>
      <c r="T30" s="22">
        <f t="shared" ref="T30:T34" si="45">Q30+S30</f>
        <v>50</v>
      </c>
      <c r="V30" s="2"/>
      <c r="W30" s="2"/>
    </row>
    <row r="31" spans="1:23" ht="12.75" customHeight="1">
      <c r="A31" s="162"/>
      <c r="B31" s="27"/>
      <c r="C31" s="76" t="s">
        <v>152</v>
      </c>
      <c r="D31" s="22">
        <f>(C30+D30)*0.005</f>
        <v>0.25</v>
      </c>
      <c r="E31" s="22">
        <f t="shared" si="38"/>
        <v>0.25</v>
      </c>
      <c r="F31" s="22">
        <f t="shared" si="39"/>
        <v>0.25</v>
      </c>
      <c r="G31" s="22">
        <f t="shared" si="40"/>
        <v>0.25</v>
      </c>
      <c r="H31" s="22">
        <f t="shared" si="41"/>
        <v>0.25</v>
      </c>
      <c r="I31" s="22">
        <f t="shared" si="42"/>
        <v>0.25</v>
      </c>
      <c r="J31" s="22"/>
      <c r="K31" s="22">
        <f t="shared" si="43"/>
        <v>0.25</v>
      </c>
      <c r="L31" s="22">
        <f t="shared" ref="L31:L35" si="46">(C30+D30+E30+F30+G30+H30+I30+K30+L30)*0.005</f>
        <v>0.25</v>
      </c>
      <c r="M31" s="22">
        <f t="shared" ref="M31:M35" si="47">(C30+D30+E30+F30+G30+H30+I30+K30+L30+M30)*0.005</f>
        <v>0.25</v>
      </c>
      <c r="N31" s="22">
        <f t="shared" ref="N31:N35" si="48">(C30+D30+E30+F30+G30+H30+I30+K30+L30+M30+N30)*0.005</f>
        <v>0.25</v>
      </c>
      <c r="O31" s="22">
        <f t="shared" ref="O31:O35" si="49">(C30+D30+E30+F30+G30+H30+I30+K30+L30+M30+N30+O30)*0.005</f>
        <v>0.25</v>
      </c>
      <c r="P31" s="22">
        <f t="shared" ref="P31:P35" si="50">(C30+D30+E30+F30+G30+H30+I30+K30+L30+M30+N30+O30+P30)*0.005</f>
        <v>0.25</v>
      </c>
      <c r="Q31" s="173"/>
      <c r="R31" s="22"/>
      <c r="S31" s="22"/>
      <c r="T31" s="22"/>
      <c r="V31" s="2"/>
      <c r="W31" s="2"/>
    </row>
    <row r="32" spans="1:23">
      <c r="A32" s="202">
        <v>12</v>
      </c>
      <c r="B32" s="20" t="s">
        <v>163</v>
      </c>
      <c r="C32" s="165">
        <f>2952.9+162.41</f>
        <v>3115.31</v>
      </c>
      <c r="D32" s="22">
        <v>0</v>
      </c>
      <c r="E32" s="22">
        <v>0</v>
      </c>
      <c r="F32" s="22">
        <v>0</v>
      </c>
      <c r="G32" s="22"/>
      <c r="H32" s="22"/>
      <c r="I32" s="45"/>
      <c r="J32" s="45">
        <v>2000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22">
        <v>0</v>
      </c>
      <c r="Q32" s="46">
        <f>C32+D32+E32+F32+G32+H32+I32+K32+L32+M32+N32+O32+P32-J32</f>
        <v>1115.31</v>
      </c>
      <c r="R32" s="22">
        <f t="shared" si="44"/>
        <v>92.942499999999995</v>
      </c>
      <c r="S32" s="22">
        <f>D33+E33+F33+G33+H33+I33+K33+L33+M33+N33+O33+P33</f>
        <v>171.34205</v>
      </c>
      <c r="T32" s="22">
        <f t="shared" si="45"/>
        <v>1286.6520499999999</v>
      </c>
      <c r="V32" s="179"/>
      <c r="W32" s="2"/>
    </row>
    <row r="33" spans="1:23" ht="12.75" customHeight="1">
      <c r="A33" s="162"/>
      <c r="B33" s="20"/>
      <c r="C33" s="76" t="s">
        <v>152</v>
      </c>
      <c r="D33" s="22"/>
      <c r="E33" s="22">
        <f t="shared" si="38"/>
        <v>15.576549999999999</v>
      </c>
      <c r="F33" s="22">
        <f t="shared" si="39"/>
        <v>15.576549999999999</v>
      </c>
      <c r="G33" s="22">
        <f t="shared" si="40"/>
        <v>15.576549999999999</v>
      </c>
      <c r="H33" s="22">
        <f t="shared" si="41"/>
        <v>15.576549999999999</v>
      </c>
      <c r="I33" s="22">
        <f t="shared" si="42"/>
        <v>15.576549999999999</v>
      </c>
      <c r="J33" s="22"/>
      <c r="K33" s="22">
        <f t="shared" si="43"/>
        <v>15.576549999999999</v>
      </c>
      <c r="L33" s="22">
        <f t="shared" si="46"/>
        <v>15.576549999999999</v>
      </c>
      <c r="M33" s="22">
        <f t="shared" si="47"/>
        <v>15.576549999999999</v>
      </c>
      <c r="N33" s="22">
        <f t="shared" si="48"/>
        <v>15.576549999999999</v>
      </c>
      <c r="O33" s="22">
        <f t="shared" si="49"/>
        <v>15.576549999999999</v>
      </c>
      <c r="P33" s="22">
        <f t="shared" si="50"/>
        <v>15.576549999999999</v>
      </c>
      <c r="Q33" s="173"/>
      <c r="R33" s="22"/>
      <c r="S33" s="22"/>
      <c r="T33" s="22"/>
      <c r="V33" s="2"/>
      <c r="W33" s="2"/>
    </row>
    <row r="34" spans="1:23">
      <c r="A34" s="162">
        <v>13</v>
      </c>
      <c r="B34" s="20" t="s">
        <v>164</v>
      </c>
      <c r="C34" s="165">
        <v>200</v>
      </c>
      <c r="D34" s="22">
        <v>0</v>
      </c>
      <c r="E34" s="22">
        <v>0</v>
      </c>
      <c r="F34" s="22">
        <v>0</v>
      </c>
      <c r="G34" s="22"/>
      <c r="H34" s="22"/>
      <c r="I34" s="45"/>
      <c r="J34" s="45"/>
      <c r="K34" s="45"/>
      <c r="L34" s="45"/>
      <c r="M34" s="45">
        <v>0</v>
      </c>
      <c r="N34" s="45"/>
      <c r="O34" s="45"/>
      <c r="P34" s="22"/>
      <c r="Q34" s="46">
        <f>C34+D34+E34+F34+G34+H34+I34+K34+L34+M34+N34+O34+P34</f>
        <v>200</v>
      </c>
      <c r="R34" s="22">
        <f t="shared" si="44"/>
        <v>16.6666666666667</v>
      </c>
      <c r="S34" s="22"/>
      <c r="T34" s="22">
        <f t="shared" si="45"/>
        <v>200</v>
      </c>
      <c r="V34" s="179"/>
    </row>
    <row r="35" spans="1:23" ht="12.75" customHeight="1">
      <c r="A35" s="162"/>
      <c r="B35" s="20"/>
      <c r="C35" s="76" t="s">
        <v>152</v>
      </c>
      <c r="D35" s="22">
        <f>(C34+D34)*0.005</f>
        <v>1</v>
      </c>
      <c r="E35" s="22">
        <f>(C34+D34+E34)*0.005</f>
        <v>1</v>
      </c>
      <c r="F35" s="22">
        <f>(+C34+D34+E34+F34)*0.005</f>
        <v>1</v>
      </c>
      <c r="G35" s="22">
        <f>(C34+D34+E34+F34+G34)*0.005</f>
        <v>1</v>
      </c>
      <c r="H35" s="22">
        <f>(C34+D34+E34+F34+G34+H34)*0.005</f>
        <v>1</v>
      </c>
      <c r="I35" s="22">
        <f>(C34+D34+E34+F34+G34+H34+I34)*0.005</f>
        <v>1</v>
      </c>
      <c r="J35" s="22"/>
      <c r="K35" s="22">
        <f>(C34+D34+E34+F34+G34+H34+I34+K34)*0.005</f>
        <v>1</v>
      </c>
      <c r="L35" s="22">
        <f t="shared" si="46"/>
        <v>1</v>
      </c>
      <c r="M35" s="22">
        <f t="shared" si="47"/>
        <v>1</v>
      </c>
      <c r="N35" s="22">
        <f t="shared" si="48"/>
        <v>1</v>
      </c>
      <c r="O35" s="22">
        <f t="shared" si="49"/>
        <v>1</v>
      </c>
      <c r="P35" s="22">
        <f t="shared" si="50"/>
        <v>1</v>
      </c>
      <c r="Q35" s="173"/>
      <c r="R35" s="22"/>
      <c r="S35" s="22"/>
      <c r="T35" s="22"/>
      <c r="V35" s="2"/>
    </row>
    <row r="36" spans="1:23">
      <c r="A36" s="202">
        <v>14</v>
      </c>
      <c r="B36" s="20" t="s">
        <v>165</v>
      </c>
      <c r="C36" s="165">
        <f>2147.36+122.54</f>
        <v>2269.9</v>
      </c>
      <c r="D36" s="32"/>
      <c r="E36" s="22">
        <v>0</v>
      </c>
      <c r="F36" s="22"/>
      <c r="G36" s="22"/>
      <c r="H36" s="22">
        <v>0</v>
      </c>
      <c r="I36" s="45">
        <v>0</v>
      </c>
      <c r="J36" s="45"/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22">
        <v>0</v>
      </c>
      <c r="Q36" s="46">
        <f>C36+D36+E36+F36+G36+H36+I36+K36+L36+M36+N36+O36+P36</f>
        <v>2269.9</v>
      </c>
      <c r="R36" s="22">
        <f>Q36/12</f>
        <v>189.15833333333299</v>
      </c>
      <c r="S36" s="22">
        <f>D37+E37+F37+G37+H37+I37+K37+L37+M37+N37+O37+P37</f>
        <v>136.19399999999999</v>
      </c>
      <c r="T36" s="22">
        <f>Q36+S36</f>
        <v>2406.0940000000001</v>
      </c>
      <c r="V36" s="179"/>
    </row>
    <row r="37" spans="1:23" ht="12.75" customHeight="1">
      <c r="A37" s="162"/>
      <c r="B37" s="20"/>
      <c r="C37" s="76" t="s">
        <v>152</v>
      </c>
      <c r="D37" s="22">
        <f>(C36+D36)*0.005</f>
        <v>11.349500000000001</v>
      </c>
      <c r="E37" s="22">
        <f>(C36+D36+E36)*0.005</f>
        <v>11.349500000000001</v>
      </c>
      <c r="F37" s="22">
        <f>(+C36+D36+E36+F36)*0.005</f>
        <v>11.349500000000001</v>
      </c>
      <c r="G37" s="22">
        <f>(C36+D36+E36+F36+G36)*0.005</f>
        <v>11.349500000000001</v>
      </c>
      <c r="H37" s="22">
        <f>(C36+D36+E36+F36+G36+H36)*0.005</f>
        <v>11.349500000000001</v>
      </c>
      <c r="I37" s="22">
        <f>(C36+D36+E36+F36+G36+H36+I36)*0.005</f>
        <v>11.349500000000001</v>
      </c>
      <c r="J37" s="22"/>
      <c r="K37" s="22">
        <f>(C36+D36+E36+F36+G36+H36+I36+K36)*0.005</f>
        <v>11.349500000000001</v>
      </c>
      <c r="L37" s="22">
        <f>(C36+D36+E36+F36+G36+H36+I36+K36+L36)*0.005</f>
        <v>11.349500000000001</v>
      </c>
      <c r="M37" s="22">
        <f>(C36+D36+E36+F36+G36+H36+I36+K36+L36+M36)*0.005</f>
        <v>11.349500000000001</v>
      </c>
      <c r="N37" s="22">
        <f>(C36+D36+E36+F36+G36+H36+I36+K36+L36+M36+N36)*0.005</f>
        <v>11.349500000000001</v>
      </c>
      <c r="O37" s="22">
        <f>(C36+D36+E36+F36+G36+H36+I36+K36+L36+M36+N36+O36)*0.005</f>
        <v>11.349500000000001</v>
      </c>
      <c r="P37" s="22">
        <f>(C36+D36+E36+F36+G36+H36+I36+K36+L36+M36+N36+O36+P36)*0.005</f>
        <v>11.349500000000001</v>
      </c>
      <c r="Q37" s="173"/>
      <c r="R37" s="22"/>
      <c r="S37" s="22"/>
      <c r="T37" s="22"/>
      <c r="V37" s="2"/>
    </row>
    <row r="38" spans="1:23" ht="12.75" customHeight="1">
      <c r="A38" s="168"/>
      <c r="B38" s="16"/>
      <c r="C38" s="155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205"/>
      <c r="R38" s="169"/>
      <c r="S38" s="169"/>
      <c r="T38" s="175" t="s">
        <v>166</v>
      </c>
      <c r="V38" s="2"/>
    </row>
    <row r="39" spans="1:23">
      <c r="A39" s="170"/>
      <c r="B39" s="36"/>
      <c r="C39" s="171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206"/>
      <c r="R39" s="148"/>
      <c r="S39" s="148"/>
      <c r="T39" s="148"/>
      <c r="V39" s="2"/>
    </row>
    <row r="40" spans="1:23" ht="4.5" customHeight="1">
      <c r="A40" s="162"/>
      <c r="B40" s="20"/>
      <c r="C40" s="76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173"/>
      <c r="R40" s="22"/>
      <c r="S40" s="22"/>
      <c r="T40" s="22"/>
      <c r="V40" s="2"/>
    </row>
    <row r="41" spans="1:23" ht="3.75" customHeight="1">
      <c r="A41" s="166"/>
      <c r="B41" s="73"/>
      <c r="C41" s="203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r="42" spans="1:23">
      <c r="A42" s="204"/>
      <c r="B42" s="103" t="s">
        <v>120</v>
      </c>
      <c r="C42" s="196">
        <f t="shared" ref="C42:T42" si="51">SUM(C10:C41)</f>
        <v>25829.56</v>
      </c>
      <c r="D42" s="194">
        <f t="shared" si="51"/>
        <v>60.389499999999998</v>
      </c>
      <c r="E42" s="194">
        <f t="shared" si="51"/>
        <v>1640.4881</v>
      </c>
      <c r="F42" s="194">
        <f t="shared" si="51"/>
        <v>622.98810000000003</v>
      </c>
      <c r="G42" s="194">
        <f t="shared" si="51"/>
        <v>122.9881</v>
      </c>
      <c r="H42" s="194">
        <f t="shared" si="51"/>
        <v>122.9881</v>
      </c>
      <c r="I42" s="194">
        <f t="shared" si="51"/>
        <v>122.9881</v>
      </c>
      <c r="J42" s="194"/>
      <c r="K42" s="194">
        <f t="shared" si="51"/>
        <v>1127.9881</v>
      </c>
      <c r="L42" s="194">
        <f t="shared" si="51"/>
        <v>131.7336</v>
      </c>
      <c r="M42" s="194">
        <f t="shared" si="51"/>
        <v>131.7336</v>
      </c>
      <c r="N42" s="194">
        <f t="shared" si="51"/>
        <v>131.7336</v>
      </c>
      <c r="O42" s="194">
        <f t="shared" si="51"/>
        <v>131.7336</v>
      </c>
      <c r="P42" s="194">
        <f t="shared" si="51"/>
        <v>131.7336</v>
      </c>
      <c r="Q42" s="196">
        <f t="shared" si="51"/>
        <v>24346.720000000001</v>
      </c>
      <c r="R42" s="194">
        <f t="shared" si="51"/>
        <v>2028.89333333333</v>
      </c>
      <c r="S42" s="195">
        <f t="shared" si="51"/>
        <v>1432.4861000000001</v>
      </c>
      <c r="T42" s="196">
        <f t="shared" si="51"/>
        <v>25779.206099999999</v>
      </c>
    </row>
    <row r="44" spans="1:23">
      <c r="A44" t="s">
        <v>121</v>
      </c>
      <c r="E44" t="s">
        <v>122</v>
      </c>
      <c r="L44" t="s">
        <v>123</v>
      </c>
      <c r="Q44" t="s">
        <v>124</v>
      </c>
    </row>
    <row r="47" spans="1:23">
      <c r="B47" s="107" t="s">
        <v>125</v>
      </c>
      <c r="F47" s="107" t="s">
        <v>126</v>
      </c>
      <c r="M47" s="308" t="s">
        <v>167</v>
      </c>
      <c r="N47" s="308"/>
      <c r="O47" s="308"/>
      <c r="R47" s="308" t="s">
        <v>168</v>
      </c>
      <c r="S47" s="308"/>
      <c r="T47" s="308"/>
    </row>
    <row r="48" spans="1:23">
      <c r="B48" t="s">
        <v>169</v>
      </c>
      <c r="F48" s="313" t="s">
        <v>129</v>
      </c>
      <c r="G48" s="313"/>
      <c r="H48" s="313"/>
      <c r="M48" s="311" t="s">
        <v>170</v>
      </c>
      <c r="N48" s="311"/>
      <c r="O48" s="311"/>
      <c r="R48" s="313" t="s">
        <v>131</v>
      </c>
      <c r="S48" s="313"/>
      <c r="T48" s="313"/>
    </row>
    <row r="51" spans="17:20">
      <c r="T51" s="3" t="s">
        <v>171</v>
      </c>
    </row>
    <row r="55" spans="17:20">
      <c r="Q55" t="s">
        <v>172</v>
      </c>
      <c r="R55">
        <f>18</f>
        <v>18</v>
      </c>
      <c r="S55" s="314" t="e">
        <f>T10+T14+T16+T18+T20+T22+T24+T26+T28+T30+T32+T34+#REF!+#REF!+#REF!+#REF!+#REF!+T36</f>
        <v>#REF!</v>
      </c>
      <c r="T55" s="314"/>
    </row>
    <row r="56" spans="17:20">
      <c r="Q56" s="102" t="s">
        <v>173</v>
      </c>
      <c r="R56" s="102">
        <v>11</v>
      </c>
      <c r="S56" s="306" t="e">
        <f>#REF!+#REF!+#REF!+#REF!+#REF!+#REF!+#REF!+#REF!+#REF!+#REF!+#REF!</f>
        <v>#REF!</v>
      </c>
      <c r="T56" s="306"/>
    </row>
    <row r="57" spans="17:20">
      <c r="R57">
        <f>R55+R56</f>
        <v>29</v>
      </c>
      <c r="S57" s="307" t="e">
        <f>S55+S56</f>
        <v>#REF!</v>
      </c>
      <c r="T57" s="307"/>
    </row>
    <row r="61" spans="17:20">
      <c r="T61" t="s">
        <v>174</v>
      </c>
    </row>
    <row r="63" spans="17:20">
      <c r="Q63" s="50"/>
    </row>
  </sheetData>
  <mergeCells count="14">
    <mergeCell ref="S55:T55"/>
    <mergeCell ref="S56:T56"/>
    <mergeCell ref="S57:T57"/>
    <mergeCell ref="A9:B9"/>
    <mergeCell ref="M47:O47"/>
    <mergeCell ref="R47:T47"/>
    <mergeCell ref="F48:H48"/>
    <mergeCell ref="M48:O48"/>
    <mergeCell ref="R48:T48"/>
    <mergeCell ref="A2:T2"/>
    <mergeCell ref="A3:T3"/>
    <mergeCell ref="A4:T4"/>
    <mergeCell ref="A6:T6"/>
    <mergeCell ref="A7:T7"/>
  </mergeCells>
  <pageMargins left="0.25" right="0.25" top="0.25" bottom="0.25" header="0.3" footer="0.3"/>
  <pageSetup paperSize="5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A63"/>
  <sheetViews>
    <sheetView zoomScale="110" zoomScaleNormal="110" workbookViewId="0">
      <selection activeCell="T42" sqref="T42"/>
    </sheetView>
  </sheetViews>
  <sheetFormatPr defaultColWidth="9" defaultRowHeight="14.4"/>
  <cols>
    <col min="1" max="1" width="3.5546875" customWidth="1"/>
    <col min="2" max="2" width="26.21875" customWidth="1"/>
    <col min="3" max="3" width="13.21875" customWidth="1"/>
    <col min="4" max="4" width="7.77734375" customWidth="1"/>
    <col min="5" max="5" width="9.33203125" customWidth="1"/>
    <col min="6" max="6" width="7.44140625" customWidth="1"/>
    <col min="7" max="8" width="7.77734375" customWidth="1"/>
    <col min="9" max="9" width="8" customWidth="1"/>
    <col min="10" max="11" width="7.5546875" customWidth="1"/>
    <col min="12" max="12" width="7.77734375" customWidth="1"/>
    <col min="13" max="13" width="6.5546875" customWidth="1"/>
    <col min="14" max="14" width="8.5546875" customWidth="1"/>
    <col min="15" max="15" width="8.21875" customWidth="1"/>
    <col min="16" max="16" width="9.21875" customWidth="1"/>
    <col min="17" max="17" width="8.44140625" customWidth="1"/>
    <col min="18" max="18" width="7.77734375" customWidth="1"/>
    <col min="19" max="19" width="8.44140625" customWidth="1"/>
    <col min="20" max="20" width="9" style="4"/>
  </cols>
  <sheetData>
    <row r="2" spans="1:27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</row>
    <row r="3" spans="1:27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</row>
    <row r="4" spans="1:27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</row>
    <row r="5" spans="1:27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  <c r="U5" s="9"/>
      <c r="V5" s="9"/>
      <c r="W5" s="9"/>
      <c r="X5" s="9"/>
      <c r="Y5" s="9"/>
      <c r="Z5" s="9"/>
      <c r="AA5" s="9"/>
    </row>
    <row r="6" spans="1:27" ht="18">
      <c r="A6" s="316" t="s">
        <v>144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</row>
    <row r="7" spans="1:27">
      <c r="A7" s="313" t="s">
        <v>140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</row>
    <row r="8" spans="1:27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27" s="1" customFormat="1" ht="28.5" customHeight="1">
      <c r="A9" s="317"/>
      <c r="B9" s="318"/>
      <c r="C9" s="159" t="s">
        <v>180</v>
      </c>
      <c r="D9" s="158" t="s">
        <v>7</v>
      </c>
      <c r="E9" s="158" t="s">
        <v>8</v>
      </c>
      <c r="F9" s="158" t="s">
        <v>9</v>
      </c>
      <c r="G9" s="158" t="s">
        <v>10</v>
      </c>
      <c r="H9" s="158" t="s">
        <v>11</v>
      </c>
      <c r="I9" s="158" t="s">
        <v>12</v>
      </c>
      <c r="J9" s="158" t="s">
        <v>13</v>
      </c>
      <c r="K9" s="158" t="s">
        <v>14</v>
      </c>
      <c r="L9" s="158" t="s">
        <v>15</v>
      </c>
      <c r="M9" s="158" t="s">
        <v>16</v>
      </c>
      <c r="N9" s="158" t="s">
        <v>17</v>
      </c>
      <c r="O9" s="158" t="s">
        <v>18</v>
      </c>
      <c r="P9" s="158" t="s">
        <v>147</v>
      </c>
      <c r="Q9" s="158" t="s">
        <v>148</v>
      </c>
      <c r="R9" s="133" t="s">
        <v>149</v>
      </c>
      <c r="S9" s="133" t="s">
        <v>150</v>
      </c>
      <c r="T9" s="177"/>
    </row>
    <row r="10" spans="1:27" s="2" customFormat="1">
      <c r="A10" s="199">
        <v>1</v>
      </c>
      <c r="B10" s="16" t="s">
        <v>151</v>
      </c>
      <c r="C10" s="161">
        <v>2684.65</v>
      </c>
      <c r="D10" s="200">
        <v>0</v>
      </c>
      <c r="E10" s="18">
        <v>0</v>
      </c>
      <c r="F10" s="22">
        <v>0</v>
      </c>
      <c r="G10" s="18">
        <v>0</v>
      </c>
      <c r="H10" s="22">
        <v>0</v>
      </c>
      <c r="I10" s="22">
        <v>0</v>
      </c>
      <c r="J10" s="22">
        <v>0</v>
      </c>
      <c r="K10" s="18">
        <v>0</v>
      </c>
      <c r="L10" s="22">
        <v>0</v>
      </c>
      <c r="M10" s="22">
        <v>0</v>
      </c>
      <c r="N10" s="22">
        <v>0</v>
      </c>
      <c r="O10" s="200"/>
      <c r="P10" s="46">
        <f>C10+D10+E10+F10+G10+H10+I10+J10+K10+L10+M10+N10+O10</f>
        <v>2684.65</v>
      </c>
      <c r="Q10" s="22">
        <f>P10/12</f>
        <v>223.72083333333299</v>
      </c>
      <c r="R10" s="22">
        <f>D11+E11+F11+G11+H11+I11+J11+K11+L11+M11+N11+O11</f>
        <v>160.31575000000001</v>
      </c>
      <c r="S10" s="22">
        <f>P10+R10</f>
        <v>2844.9657499999998</v>
      </c>
      <c r="T10" s="178"/>
    </row>
    <row r="11" spans="1:27" s="2" customFormat="1">
      <c r="A11" s="162"/>
      <c r="B11" s="20"/>
      <c r="C11" s="76" t="s">
        <v>152</v>
      </c>
      <c r="D11" s="22">
        <v>12.66</v>
      </c>
      <c r="E11" s="22">
        <f>(C10+D10+E10)*0.005</f>
        <v>13.423249999999999</v>
      </c>
      <c r="F11" s="22">
        <f>(+C10+D10+E10+F10)*0.005</f>
        <v>13.423249999999999</v>
      </c>
      <c r="G11" s="22">
        <f>(C10+D10+E10+F10+G10)*0.005</f>
        <v>13.423249999999999</v>
      </c>
      <c r="H11" s="22">
        <f>(C10+D10+E10+F10+G10+H10)*0.005</f>
        <v>13.423249999999999</v>
      </c>
      <c r="I11" s="22">
        <f>(C10+D10+E10+F10+G10+H10+I10)*0.005</f>
        <v>13.423249999999999</v>
      </c>
      <c r="J11" s="22">
        <f>(C10+D10+E10+F10+G10+H10+I10+J10)*0.005</f>
        <v>13.423249999999999</v>
      </c>
      <c r="K11" s="22">
        <f>(C10+D10+E10+F10+G10+H10+I10+J10+K10)*0.005</f>
        <v>13.423249999999999</v>
      </c>
      <c r="L11" s="22">
        <f>(C10+D10+E10+F10+G10+H10+I10+J10+K10+L10)*0.005</f>
        <v>13.423249999999999</v>
      </c>
      <c r="M11" s="22">
        <f>(C10+D10+E10+F10+G10+H10+I10+J10+K10+L10+M10)*0.005</f>
        <v>13.423249999999999</v>
      </c>
      <c r="N11" s="22">
        <f>(C10+D10+E10+F10+G10+H10+I10+J10+K10+L10+M10+N10)*0.005</f>
        <v>13.423249999999999</v>
      </c>
      <c r="O11" s="22">
        <f>(C10+D10+E10+F10+G10+H10+I10+J10+K10+L10+M10+N10+O10)*0.005</f>
        <v>13.423249999999999</v>
      </c>
      <c r="P11" s="46"/>
      <c r="Q11" s="22"/>
      <c r="R11" s="22"/>
      <c r="S11" s="22"/>
      <c r="T11" s="178"/>
    </row>
    <row r="12" spans="1:27" s="2" customFormat="1">
      <c r="A12" s="162">
        <v>2</v>
      </c>
      <c r="B12" s="20" t="s">
        <v>153</v>
      </c>
      <c r="C12" s="201">
        <v>2653.01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46">
        <f>C12+D12+E12+F12+G12+H12+I12+J12+K12+L12+M12+N12+O12</f>
        <v>2653.01</v>
      </c>
      <c r="Q12" s="22">
        <f>P12/12</f>
        <v>221.08416666666699</v>
      </c>
      <c r="R12" s="22">
        <f>D13+E13+F13+G13+H13+I13+J13+K13+L13+M13+N13+O13</f>
        <v>159.1806</v>
      </c>
      <c r="S12" s="22">
        <f>P12+R12</f>
        <v>2812.1905999999999</v>
      </c>
      <c r="T12" s="178"/>
    </row>
    <row r="13" spans="1:27">
      <c r="A13" s="162"/>
      <c r="B13" s="20"/>
      <c r="C13" s="76" t="s">
        <v>152</v>
      </c>
      <c r="D13" s="22">
        <f>(C12+D12)*0.005</f>
        <v>13.26505</v>
      </c>
      <c r="E13" s="22">
        <f>(C12+D12+E12)*0.005</f>
        <v>13.26505</v>
      </c>
      <c r="F13" s="22">
        <f>(+C12+D12+E12+F12)*0.005</f>
        <v>13.26505</v>
      </c>
      <c r="G13" s="22">
        <f>(C12+D12+E12+F12+G12)*0.005</f>
        <v>13.26505</v>
      </c>
      <c r="H13" s="22">
        <f>(C12+D12+E12+F12+G12+H12)*0.005</f>
        <v>13.26505</v>
      </c>
      <c r="I13" s="22">
        <f>(C12+D12+E12+F12+G12+H12+I12)*0.005</f>
        <v>13.26505</v>
      </c>
      <c r="J13" s="22">
        <f>(C12+D12+E12+F12+G12+H12+I12+J12)*0.005</f>
        <v>13.26505</v>
      </c>
      <c r="K13" s="22">
        <f>(C12+D12+E12+F12+G12+H12+I12+J12+K12)*0.005</f>
        <v>13.26505</v>
      </c>
      <c r="L13" s="22">
        <f>(C12+D12+E12+F12+G12+H12+I12+J12+K12+L12)*0.005</f>
        <v>13.26505</v>
      </c>
      <c r="M13" s="22">
        <f>(C12+D12+E12+F12+G12+H12+I12+J12+K12+L12+M12)*0.005</f>
        <v>13.26505</v>
      </c>
      <c r="N13" s="22">
        <f>(C12+D12+E12+F12+G12+H12+I12+J12+K12+L12+M12+N12)*0.005</f>
        <v>13.26505</v>
      </c>
      <c r="O13" s="22">
        <f>(C12+D12+E12+F12+G12+H12+I12+J12+K12+L12+M12+N12+O12)*0.005</f>
        <v>13.26505</v>
      </c>
      <c r="P13" s="46"/>
      <c r="Q13" s="22"/>
      <c r="R13" s="22"/>
      <c r="S13" s="22"/>
      <c r="U13" s="2"/>
    </row>
    <row r="14" spans="1:27">
      <c r="A14" s="202">
        <v>3</v>
      </c>
      <c r="B14" s="27" t="s">
        <v>154</v>
      </c>
      <c r="C14" s="161">
        <v>8287.84</v>
      </c>
      <c r="D14" s="22">
        <v>0</v>
      </c>
      <c r="E14" s="22">
        <v>0</v>
      </c>
      <c r="F14" s="22"/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32"/>
      <c r="P14" s="46">
        <f t="shared" ref="P14:P18" si="0">C14+D14+E14+F14+G14+H14+I14+J14+K14+L14+M14+N14+O14</f>
        <v>8287.84</v>
      </c>
      <c r="Q14" s="22">
        <f t="shared" ref="Q14:Q18" si="1">P14/12</f>
        <v>690.65333333333297</v>
      </c>
      <c r="R14" s="22">
        <f t="shared" ref="R14:R18" si="2">D15+E15+F15+G15+H15+I15+J15+K15+L15+M15+N15+O15</f>
        <v>497.2704</v>
      </c>
      <c r="S14" s="278">
        <f t="shared" ref="S14:S18" si="3">P14+R14</f>
        <v>8785.1103999999996</v>
      </c>
      <c r="U14" s="2"/>
    </row>
    <row r="15" spans="1:27">
      <c r="A15" s="162"/>
      <c r="B15" s="27"/>
      <c r="C15" s="76" t="s">
        <v>152</v>
      </c>
      <c r="D15" s="22">
        <f t="shared" ref="D15:D19" si="4">(C14+D14)*0.005</f>
        <v>41.4392</v>
      </c>
      <c r="E15" s="22">
        <f t="shared" ref="E15:E19" si="5">(C14+D14+E14)*0.005</f>
        <v>41.4392</v>
      </c>
      <c r="F15" s="22">
        <f t="shared" ref="F15:F19" si="6">(+C14+D14+E14+F14)*0.005</f>
        <v>41.4392</v>
      </c>
      <c r="G15" s="22">
        <f t="shared" ref="G15:G19" si="7">(C14+D14+E14+F14+G14)*0.005</f>
        <v>41.4392</v>
      </c>
      <c r="H15" s="22">
        <f t="shared" ref="H15:H19" si="8">(C14+D14+E14+F14+G14+H14)*0.005</f>
        <v>41.4392</v>
      </c>
      <c r="I15" s="22">
        <f t="shared" ref="I15:I19" si="9">(C14+D14+E14+F14+G14+H14+I14)*0.005</f>
        <v>41.4392</v>
      </c>
      <c r="J15" s="22">
        <f t="shared" ref="J15:J19" si="10">(C14+D14+E14+F14+G14+H14+I14+J14)*0.005</f>
        <v>41.4392</v>
      </c>
      <c r="K15" s="22">
        <f t="shared" ref="K15:K19" si="11">(C14+D14+E14+F14+G14+H14+I14+J14+K14)*0.005</f>
        <v>41.4392</v>
      </c>
      <c r="L15" s="22">
        <f t="shared" ref="L15:L19" si="12">(C14+D14+E14+F14+G14+H14+I14+J14+K14+L14)*0.005</f>
        <v>41.4392</v>
      </c>
      <c r="M15" s="22">
        <f t="shared" ref="M15:M19" si="13">(C14+D14+E14+F14+G14+H14+I14+J14+K14+L14+M14)*0.005</f>
        <v>41.4392</v>
      </c>
      <c r="N15" s="22">
        <f t="shared" ref="N15:N19" si="14">(C14+D14+E14+F14+G14+H14+I14+J14+K14+L14+M14+N14)*0.005</f>
        <v>41.4392</v>
      </c>
      <c r="O15" s="22">
        <f t="shared" ref="O15:O19" si="15">(C14+D14+E14+F14+G14+H14+I14+J14+K14+L14+M14+N14+O14)*0.005</f>
        <v>41.4392</v>
      </c>
      <c r="P15" s="46"/>
      <c r="Q15" s="22"/>
      <c r="R15" s="22"/>
      <c r="S15" s="22"/>
      <c r="U15" s="2"/>
    </row>
    <row r="16" spans="1:27">
      <c r="A16" s="202">
        <v>4</v>
      </c>
      <c r="B16" s="20" t="s">
        <v>155</v>
      </c>
      <c r="C16" s="161">
        <v>4690.32</v>
      </c>
      <c r="D16" s="32"/>
      <c r="E16" s="22"/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1000</v>
      </c>
      <c r="P16" s="46">
        <f t="shared" si="0"/>
        <v>5690.32</v>
      </c>
      <c r="Q16" s="22">
        <f t="shared" si="1"/>
        <v>474.19333333333299</v>
      </c>
      <c r="R16" s="22">
        <f t="shared" si="2"/>
        <v>286.41919999999999</v>
      </c>
      <c r="S16" s="278">
        <f t="shared" si="3"/>
        <v>5976.7392</v>
      </c>
      <c r="U16" s="179"/>
      <c r="V16" s="2"/>
    </row>
    <row r="17" spans="1:22">
      <c r="A17" s="162"/>
      <c r="B17" s="20"/>
      <c r="C17" s="76" t="s">
        <v>152</v>
      </c>
      <c r="D17" s="22">
        <f t="shared" si="4"/>
        <v>23.451599999999999</v>
      </c>
      <c r="E17" s="22">
        <f t="shared" si="5"/>
        <v>23.451599999999999</v>
      </c>
      <c r="F17" s="22">
        <f t="shared" si="6"/>
        <v>23.451599999999999</v>
      </c>
      <c r="G17" s="22">
        <f t="shared" si="7"/>
        <v>23.451599999999999</v>
      </c>
      <c r="H17" s="22">
        <f t="shared" si="8"/>
        <v>23.451599999999999</v>
      </c>
      <c r="I17" s="22">
        <f t="shared" si="9"/>
        <v>23.451599999999999</v>
      </c>
      <c r="J17" s="22">
        <f t="shared" si="10"/>
        <v>23.451599999999999</v>
      </c>
      <c r="K17" s="22">
        <f t="shared" si="11"/>
        <v>23.451599999999999</v>
      </c>
      <c r="L17" s="22">
        <f t="shared" si="12"/>
        <v>23.451599999999999</v>
      </c>
      <c r="M17" s="22">
        <f t="shared" si="13"/>
        <v>23.451599999999999</v>
      </c>
      <c r="N17" s="22">
        <f t="shared" si="14"/>
        <v>23.451599999999999</v>
      </c>
      <c r="O17" s="22">
        <f t="shared" si="15"/>
        <v>28.451599999999999</v>
      </c>
      <c r="P17" s="46"/>
      <c r="Q17" s="22"/>
      <c r="S17" s="22"/>
      <c r="U17" s="2"/>
      <c r="V17" s="2"/>
    </row>
    <row r="18" spans="1:22" s="2" customFormat="1">
      <c r="A18" s="202">
        <v>5</v>
      </c>
      <c r="B18" s="271" t="s">
        <v>244</v>
      </c>
      <c r="C18" s="161">
        <v>4212.76</v>
      </c>
      <c r="D18" s="188"/>
      <c r="E18" s="25">
        <v>600</v>
      </c>
      <c r="F18" s="25"/>
      <c r="G18" s="22">
        <v>0</v>
      </c>
      <c r="H18" s="22">
        <v>0</v>
      </c>
      <c r="I18" s="25">
        <v>0</v>
      </c>
      <c r="J18" s="22"/>
      <c r="K18" s="22">
        <v>0</v>
      </c>
      <c r="L18" s="22">
        <v>0</v>
      </c>
      <c r="M18" s="25">
        <v>0</v>
      </c>
      <c r="N18" s="25">
        <v>0</v>
      </c>
      <c r="O18" s="25">
        <v>600</v>
      </c>
      <c r="P18" s="46">
        <f t="shared" si="0"/>
        <v>5412.76</v>
      </c>
      <c r="Q18" s="22">
        <f t="shared" si="1"/>
        <v>451.06333333333299</v>
      </c>
      <c r="R18" s="22">
        <f t="shared" si="2"/>
        <v>288.76560000000001</v>
      </c>
      <c r="S18" s="278">
        <f t="shared" si="3"/>
        <v>5701.5255999999999</v>
      </c>
      <c r="T18" s="178"/>
      <c r="U18" s="179"/>
    </row>
    <row r="19" spans="1:22" s="2" customFormat="1">
      <c r="A19" s="162"/>
      <c r="B19" s="20"/>
      <c r="C19" s="76" t="s">
        <v>152</v>
      </c>
      <c r="D19" s="22">
        <f t="shared" si="4"/>
        <v>21.063800000000001</v>
      </c>
      <c r="E19" s="22">
        <f t="shared" si="5"/>
        <v>24.063800000000001</v>
      </c>
      <c r="F19" s="22">
        <f t="shared" si="6"/>
        <v>24.063800000000001</v>
      </c>
      <c r="G19" s="22">
        <f t="shared" si="7"/>
        <v>24.063800000000001</v>
      </c>
      <c r="H19" s="22">
        <f t="shared" si="8"/>
        <v>24.063800000000001</v>
      </c>
      <c r="I19" s="22">
        <f t="shared" si="9"/>
        <v>24.063800000000001</v>
      </c>
      <c r="J19" s="22">
        <f t="shared" si="10"/>
        <v>24.063800000000001</v>
      </c>
      <c r="K19" s="22">
        <f t="shared" si="11"/>
        <v>24.063800000000001</v>
      </c>
      <c r="L19" s="22">
        <f t="shared" si="12"/>
        <v>24.063800000000001</v>
      </c>
      <c r="M19" s="22">
        <f t="shared" si="13"/>
        <v>24.063800000000001</v>
      </c>
      <c r="N19" s="22">
        <f t="shared" si="14"/>
        <v>24.063800000000001</v>
      </c>
      <c r="O19" s="22">
        <f t="shared" si="15"/>
        <v>27.063800000000001</v>
      </c>
      <c r="P19" s="173"/>
      <c r="Q19" s="22"/>
      <c r="R19" s="22"/>
      <c r="S19" s="22"/>
      <c r="T19" s="178"/>
    </row>
    <row r="20" spans="1:22" ht="21" customHeight="1">
      <c r="A20" s="162">
        <v>6</v>
      </c>
      <c r="B20" s="20" t="s">
        <v>157</v>
      </c>
      <c r="C20" s="279">
        <v>50</v>
      </c>
      <c r="D20" s="22">
        <v>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173">
        <v>50</v>
      </c>
      <c r="Q20" s="22">
        <f t="shared" ref="Q20:Q24" si="16">P20/12</f>
        <v>4.1666666666666696</v>
      </c>
      <c r="R20" s="22"/>
      <c r="S20" s="22">
        <f t="shared" ref="S20:S24" si="17">P20+R20</f>
        <v>50</v>
      </c>
      <c r="U20" s="2"/>
      <c r="V20" s="2"/>
    </row>
    <row r="21" spans="1:22">
      <c r="A21" s="162"/>
      <c r="B21" s="20"/>
      <c r="C21" s="76" t="s">
        <v>152</v>
      </c>
      <c r="D21" s="22">
        <f t="shared" ref="D21:D25" si="18">(C20+D20)*0.005</f>
        <v>0.25</v>
      </c>
      <c r="E21" s="22">
        <f t="shared" ref="E21:E25" si="19">(C20+D20+E20)*0.005</f>
        <v>0.25</v>
      </c>
      <c r="F21" s="22">
        <f t="shared" ref="F21:F25" si="20">(+C20+D20+E20+F20)*0.005</f>
        <v>0.25</v>
      </c>
      <c r="G21" s="22">
        <f t="shared" ref="G21:G25" si="21">(C20+D20+E20+F20+G20)*0.005</f>
        <v>0.25</v>
      </c>
      <c r="H21" s="22">
        <f t="shared" ref="H21:H25" si="22">(C20+D20+E20+F20+G20+H20)*0.005</f>
        <v>0.25</v>
      </c>
      <c r="I21" s="22">
        <f t="shared" ref="I21:I25" si="23">(C20+D20+E20+F20+G20+H20+I20)*0.005</f>
        <v>0.25</v>
      </c>
      <c r="J21" s="22">
        <f t="shared" ref="J21:J25" si="24">(C20+D20+E20+F20+G20+H20+I20+J20)*0.005</f>
        <v>0.25</v>
      </c>
      <c r="K21" s="22">
        <f t="shared" ref="K21:K25" si="25">(C20+D20+E20+F20+G20+H20+I20+J20+K20)*0.005</f>
        <v>0.25</v>
      </c>
      <c r="L21" s="22">
        <f t="shared" ref="L21:L25" si="26">(C20+D20+E20+F20+G20+H20+I20+J20+K20+L20)*0.005</f>
        <v>0.25</v>
      </c>
      <c r="M21" s="22">
        <f t="shared" ref="M21:M25" si="27">(C20+D20+E20+F20+G20+H20+I20+J20+K20+L20+M20)*0.005</f>
        <v>0.25</v>
      </c>
      <c r="N21" s="22">
        <f t="shared" ref="N21:N25" si="28">(C20+D20+E20+F20+G20+H20+I20+J20+K20+L20+M20+N20)*0.005</f>
        <v>0.25</v>
      </c>
      <c r="O21" s="22">
        <f t="shared" ref="O21:O25" si="29">(C20+D20+E20+F20+G20+H20+I20+J20+K20+L20+M20+N20+O20)*0.005</f>
        <v>0.25</v>
      </c>
      <c r="P21" s="173"/>
      <c r="Q21" s="22"/>
      <c r="R21" s="22"/>
      <c r="S21" s="22"/>
      <c r="U21" s="2"/>
      <c r="V21" s="2"/>
    </row>
    <row r="22" spans="1:22" ht="21" customHeight="1">
      <c r="A22" s="162">
        <v>7</v>
      </c>
      <c r="B22" s="31" t="s">
        <v>158</v>
      </c>
      <c r="C22" s="279">
        <v>50</v>
      </c>
      <c r="D22" s="22">
        <v>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46">
        <f t="shared" ref="P22:P26" si="30">C22+D22+E22+F22+G22+H22+I22+J22+K22+L22+M22+N22+O22</f>
        <v>50</v>
      </c>
      <c r="Q22" s="22">
        <f t="shared" si="16"/>
        <v>4.1666666666666696</v>
      </c>
      <c r="R22" s="22"/>
      <c r="S22" s="22">
        <f t="shared" si="17"/>
        <v>50</v>
      </c>
      <c r="U22" s="2"/>
      <c r="V22" s="2"/>
    </row>
    <row r="23" spans="1:22">
      <c r="A23" s="162"/>
      <c r="B23" s="31"/>
      <c r="C23" s="76" t="s">
        <v>152</v>
      </c>
      <c r="D23" s="22">
        <f t="shared" si="18"/>
        <v>0.25</v>
      </c>
      <c r="E23" s="22">
        <f t="shared" si="19"/>
        <v>0.25</v>
      </c>
      <c r="F23" s="22">
        <f t="shared" si="20"/>
        <v>0.25</v>
      </c>
      <c r="G23" s="22">
        <f t="shared" si="21"/>
        <v>0.25</v>
      </c>
      <c r="H23" s="22">
        <f t="shared" si="22"/>
        <v>0.25</v>
      </c>
      <c r="I23" s="22">
        <f t="shared" si="23"/>
        <v>0.25</v>
      </c>
      <c r="J23" s="22">
        <f t="shared" si="24"/>
        <v>0.25</v>
      </c>
      <c r="K23" s="22">
        <f t="shared" si="25"/>
        <v>0.25</v>
      </c>
      <c r="L23" s="22">
        <f t="shared" si="26"/>
        <v>0.25</v>
      </c>
      <c r="M23" s="22">
        <f t="shared" si="27"/>
        <v>0.25</v>
      </c>
      <c r="N23" s="22">
        <f t="shared" si="28"/>
        <v>0.25</v>
      </c>
      <c r="O23" s="22">
        <f t="shared" si="29"/>
        <v>0.25</v>
      </c>
      <c r="P23" s="173"/>
      <c r="Q23" s="22"/>
      <c r="R23" s="22"/>
      <c r="S23" s="22"/>
      <c r="U23" s="2"/>
      <c r="V23" s="2"/>
    </row>
    <row r="24" spans="1:22" ht="21" customHeight="1">
      <c r="A24" s="162">
        <v>8</v>
      </c>
      <c r="B24" s="30" t="s">
        <v>159</v>
      </c>
      <c r="C24" s="279">
        <v>50</v>
      </c>
      <c r="D24" s="22">
        <v>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46">
        <f t="shared" si="30"/>
        <v>50</v>
      </c>
      <c r="Q24" s="22">
        <f t="shared" si="16"/>
        <v>4.1666666666666696</v>
      </c>
      <c r="R24" s="22"/>
      <c r="S24" s="22">
        <f t="shared" si="17"/>
        <v>50</v>
      </c>
      <c r="U24" s="2"/>
      <c r="V24" s="2"/>
    </row>
    <row r="25" spans="1:22">
      <c r="A25" s="162"/>
      <c r="B25" s="30"/>
      <c r="C25" s="76" t="s">
        <v>152</v>
      </c>
      <c r="D25" s="22">
        <f t="shared" si="18"/>
        <v>0.25</v>
      </c>
      <c r="E25" s="22">
        <f t="shared" si="19"/>
        <v>0.25</v>
      </c>
      <c r="F25" s="22">
        <f t="shared" si="20"/>
        <v>0.25</v>
      </c>
      <c r="G25" s="22">
        <f t="shared" si="21"/>
        <v>0.25</v>
      </c>
      <c r="H25" s="22">
        <f t="shared" si="22"/>
        <v>0.25</v>
      </c>
      <c r="I25" s="22">
        <f t="shared" si="23"/>
        <v>0.25</v>
      </c>
      <c r="J25" s="22">
        <f t="shared" si="24"/>
        <v>0.25</v>
      </c>
      <c r="K25" s="22">
        <f t="shared" si="25"/>
        <v>0.25</v>
      </c>
      <c r="L25" s="22">
        <f t="shared" si="26"/>
        <v>0.25</v>
      </c>
      <c r="M25" s="22">
        <f t="shared" si="27"/>
        <v>0.25</v>
      </c>
      <c r="N25" s="22">
        <f t="shared" si="28"/>
        <v>0.25</v>
      </c>
      <c r="O25" s="22">
        <f t="shared" si="29"/>
        <v>0.25</v>
      </c>
      <c r="P25" s="173"/>
      <c r="Q25" s="22"/>
      <c r="R25" s="22"/>
      <c r="S25" s="22"/>
      <c r="U25" s="2"/>
      <c r="V25" s="2"/>
    </row>
    <row r="26" spans="1:22">
      <c r="A26" s="202">
        <v>9</v>
      </c>
      <c r="B26" s="31" t="s">
        <v>160</v>
      </c>
      <c r="C26" s="161">
        <v>794.05</v>
      </c>
      <c r="D26" s="32"/>
      <c r="E26" s="22"/>
      <c r="F26" s="22"/>
      <c r="G26" s="22"/>
      <c r="H26" s="22"/>
      <c r="I26" s="22">
        <v>0</v>
      </c>
      <c r="J26" s="22"/>
      <c r="K26" s="32"/>
      <c r="L26" s="22"/>
      <c r="M26" s="22"/>
      <c r="N26" s="22">
        <v>0</v>
      </c>
      <c r="O26" s="22"/>
      <c r="P26" s="46">
        <f t="shared" si="30"/>
        <v>794.05</v>
      </c>
      <c r="Q26" s="22">
        <f t="shared" ref="Q26:Q30" si="31">P26/12</f>
        <v>66.170833333333306</v>
      </c>
      <c r="R26" s="22">
        <f>D27+E27+F27+G27+H27+I27+J27+K27+L27+M27+N27+O27</f>
        <v>47.643000000000001</v>
      </c>
      <c r="S26" s="278">
        <f t="shared" ref="S26:S30" si="32">P26+R26</f>
        <v>841.69299999999998</v>
      </c>
      <c r="U26" s="179"/>
      <c r="V26" s="2"/>
    </row>
    <row r="27" spans="1:22">
      <c r="A27" s="162"/>
      <c r="B27" s="31"/>
      <c r="C27" s="76" t="s">
        <v>152</v>
      </c>
      <c r="D27" s="22">
        <f>(C26+D26)*0.005</f>
        <v>3.9702500000000001</v>
      </c>
      <c r="E27" s="22">
        <f>(C26+D26+E26)*0.005</f>
        <v>3.9702500000000001</v>
      </c>
      <c r="F27" s="22">
        <f>(+C26+D26+E26+F26)*0.005</f>
        <v>3.9702500000000001</v>
      </c>
      <c r="G27" s="22">
        <f>(C26+D26+E26+F26+G26)*0.005</f>
        <v>3.9702500000000001</v>
      </c>
      <c r="H27" s="22">
        <f>(C26+D26+E26+F26+G26+H26)*0.005</f>
        <v>3.9702500000000001</v>
      </c>
      <c r="I27" s="22">
        <f>(C26+D26+E26+F26+G26+H26+I26)*0.005</f>
        <v>3.9702500000000001</v>
      </c>
      <c r="J27" s="22">
        <f>(C26+D26+E26+F26+G26+H26+I26+J26)*0.005</f>
        <v>3.9702500000000001</v>
      </c>
      <c r="K27" s="22">
        <f t="shared" ref="K27:K31" si="33">(C26+D26+E26+F26+G26+H26+I26+J26+K26)*0.005</f>
        <v>3.9702500000000001</v>
      </c>
      <c r="L27" s="22">
        <f t="shared" ref="L27:L31" si="34">(C26+D26+E26+F26+G26+H26+I26+J26+K26+L26)*0.005</f>
        <v>3.9702500000000001</v>
      </c>
      <c r="M27" s="22">
        <f t="shared" ref="M27:M31" si="35">(C26+D26+E26+F26+G26+H26+I26+J26+K26+L26+M26)*0.005</f>
        <v>3.9702500000000001</v>
      </c>
      <c r="N27" s="22">
        <f t="shared" ref="N27:N31" si="36">(C26+D26+E26+F26+G26+H26+I26+J26+K26+L26+M26+N26)*0.005</f>
        <v>3.9702500000000001</v>
      </c>
      <c r="O27" s="22">
        <f t="shared" ref="O27:O31" si="37">(C26+D26+E26+F26+G26+H26+I26+J26+K26+L26+M26+N26+O26)*0.005</f>
        <v>3.9702500000000001</v>
      </c>
      <c r="P27" s="173"/>
      <c r="Q27" s="22"/>
      <c r="R27" s="22"/>
      <c r="S27" s="22"/>
      <c r="U27" s="2"/>
      <c r="V27" s="2"/>
    </row>
    <row r="28" spans="1:22" s="2" customFormat="1" ht="19.95" customHeight="1">
      <c r="A28" s="162">
        <v>10</v>
      </c>
      <c r="B28" s="20" t="s">
        <v>161</v>
      </c>
      <c r="C28" s="279">
        <v>50</v>
      </c>
      <c r="D28" s="25">
        <v>0</v>
      </c>
      <c r="E28" s="25"/>
      <c r="F28" s="22"/>
      <c r="G28" s="22"/>
      <c r="H28" s="22"/>
      <c r="I28" s="22"/>
      <c r="J28" s="22">
        <v>0</v>
      </c>
      <c r="K28" s="22"/>
      <c r="L28" s="22"/>
      <c r="M28" s="22">
        <v>0</v>
      </c>
      <c r="N28" s="22"/>
      <c r="O28" s="22"/>
      <c r="P28" s="46">
        <f t="shared" ref="P28:P32" si="38">C28+D28+E28+F28+G28+H28+I28+J28+K28+L28+M28+N28+O28</f>
        <v>50</v>
      </c>
      <c r="Q28" s="22">
        <f t="shared" si="31"/>
        <v>4.1666666666666696</v>
      </c>
      <c r="R28" s="22"/>
      <c r="S28" s="22">
        <f t="shared" si="32"/>
        <v>50</v>
      </c>
      <c r="T28" s="178"/>
      <c r="U28" s="179"/>
    </row>
    <row r="29" spans="1:22" s="2" customFormat="1">
      <c r="A29" s="162"/>
      <c r="B29" s="20"/>
      <c r="C29" s="76" t="s">
        <v>152</v>
      </c>
      <c r="D29" s="22">
        <f>(C28+D28)*0.005</f>
        <v>0.25</v>
      </c>
      <c r="E29" s="22">
        <f t="shared" ref="E29:E33" si="39">(C28+D28+E28)*0.005</f>
        <v>0.25</v>
      </c>
      <c r="F29" s="22">
        <f t="shared" ref="F29:F33" si="40">(+C28+D28+E28+F28)*0.005</f>
        <v>0.25</v>
      </c>
      <c r="G29" s="22">
        <f t="shared" ref="G29:G33" si="41">(C28+D28+E28+F28+G28)*0.005</f>
        <v>0.25</v>
      </c>
      <c r="H29" s="22">
        <f t="shared" ref="H29:H33" si="42">(C28+D28+E28+F28+G28+H28)*0.005</f>
        <v>0.25</v>
      </c>
      <c r="I29" s="22">
        <f t="shared" ref="I29:I33" si="43">(C28+D28+E28+F28+G28+H28+I28)*0.005</f>
        <v>0.25</v>
      </c>
      <c r="J29" s="22">
        <f t="shared" ref="J29:J33" si="44">(C28+D28+E28+F28+G28+H28+I28+J28)*0.005</f>
        <v>0.25</v>
      </c>
      <c r="K29" s="22">
        <f t="shared" si="33"/>
        <v>0.25</v>
      </c>
      <c r="L29" s="22">
        <f t="shared" si="34"/>
        <v>0.25</v>
      </c>
      <c r="M29" s="22">
        <f t="shared" si="35"/>
        <v>0.25</v>
      </c>
      <c r="N29" s="22">
        <f t="shared" si="36"/>
        <v>0.25</v>
      </c>
      <c r="O29" s="22">
        <f t="shared" si="37"/>
        <v>0.25</v>
      </c>
      <c r="P29" s="173"/>
      <c r="Q29" s="22"/>
      <c r="R29" s="22"/>
      <c r="S29" s="22"/>
      <c r="T29" s="178"/>
    </row>
    <row r="30" spans="1:22" ht="19.05" customHeight="1">
      <c r="A30" s="162">
        <v>11</v>
      </c>
      <c r="B30" s="27" t="s">
        <v>162</v>
      </c>
      <c r="C30" s="279">
        <v>50</v>
      </c>
      <c r="D30" s="22">
        <v>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46">
        <f t="shared" si="38"/>
        <v>50</v>
      </c>
      <c r="Q30" s="22">
        <f t="shared" si="31"/>
        <v>4.1666666666666696</v>
      </c>
      <c r="R30" s="22"/>
      <c r="S30" s="22">
        <f t="shared" si="32"/>
        <v>50</v>
      </c>
      <c r="U30" s="2"/>
      <c r="V30" s="2"/>
    </row>
    <row r="31" spans="1:22" ht="12.75" customHeight="1">
      <c r="A31" s="162"/>
      <c r="B31" s="27"/>
      <c r="C31" s="76" t="s">
        <v>152</v>
      </c>
      <c r="D31" s="22">
        <f>(C30+D30)*0.005</f>
        <v>0.25</v>
      </c>
      <c r="E31" s="22">
        <f t="shared" si="39"/>
        <v>0.25</v>
      </c>
      <c r="F31" s="22">
        <f t="shared" si="40"/>
        <v>0.25</v>
      </c>
      <c r="G31" s="22">
        <f t="shared" si="41"/>
        <v>0.25</v>
      </c>
      <c r="H31" s="22">
        <f t="shared" si="42"/>
        <v>0.25</v>
      </c>
      <c r="I31" s="22">
        <f t="shared" si="43"/>
        <v>0.25</v>
      </c>
      <c r="J31" s="22">
        <f t="shared" si="44"/>
        <v>0.25</v>
      </c>
      <c r="K31" s="22">
        <f t="shared" si="33"/>
        <v>0.25</v>
      </c>
      <c r="L31" s="22">
        <f t="shared" si="34"/>
        <v>0.25</v>
      </c>
      <c r="M31" s="22">
        <f t="shared" si="35"/>
        <v>0.25</v>
      </c>
      <c r="N31" s="22">
        <f t="shared" si="36"/>
        <v>0.25</v>
      </c>
      <c r="O31" s="22">
        <f t="shared" si="37"/>
        <v>0.25</v>
      </c>
      <c r="P31" s="173"/>
      <c r="Q31" s="22"/>
      <c r="R31" s="22"/>
      <c r="S31" s="22"/>
      <c r="U31" s="2"/>
      <c r="V31" s="2"/>
    </row>
    <row r="32" spans="1:22">
      <c r="A32" s="202">
        <v>12</v>
      </c>
      <c r="B32" s="20" t="s">
        <v>163</v>
      </c>
      <c r="C32" s="165">
        <v>1292.23</v>
      </c>
      <c r="D32" s="22">
        <v>0</v>
      </c>
      <c r="E32" s="22">
        <v>0</v>
      </c>
      <c r="F32" s="22">
        <v>0</v>
      </c>
      <c r="G32" s="22"/>
      <c r="H32" s="22"/>
      <c r="I32" s="45"/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22">
        <v>0</v>
      </c>
      <c r="P32" s="46">
        <f t="shared" si="38"/>
        <v>1292.23</v>
      </c>
      <c r="Q32" s="22">
        <f t="shared" ref="Q32:Q36" si="45">P32/12</f>
        <v>107.68583333333299</v>
      </c>
      <c r="R32" s="22">
        <f>D33+E33+F33+G33+H33+I33+J33+K33+L33+M33+N33+O33</f>
        <v>71.072649999999996</v>
      </c>
      <c r="S32" s="278">
        <f t="shared" ref="S32:S36" si="46">P32+R32</f>
        <v>1363.3026500000001</v>
      </c>
      <c r="U32" s="179"/>
      <c r="V32" s="2"/>
    </row>
    <row r="33" spans="1:22" ht="12.75" customHeight="1">
      <c r="A33" s="162"/>
      <c r="B33" s="20"/>
      <c r="C33" s="76" t="s">
        <v>152</v>
      </c>
      <c r="D33" s="22"/>
      <c r="E33" s="22">
        <f t="shared" si="39"/>
        <v>6.4611499999999999</v>
      </c>
      <c r="F33" s="22">
        <f t="shared" si="40"/>
        <v>6.4611499999999999</v>
      </c>
      <c r="G33" s="22">
        <f t="shared" si="41"/>
        <v>6.4611499999999999</v>
      </c>
      <c r="H33" s="22">
        <f t="shared" si="42"/>
        <v>6.4611499999999999</v>
      </c>
      <c r="I33" s="22">
        <f t="shared" si="43"/>
        <v>6.4611499999999999</v>
      </c>
      <c r="J33" s="22">
        <f t="shared" si="44"/>
        <v>6.4611499999999999</v>
      </c>
      <c r="K33" s="22">
        <f t="shared" ref="K33:K37" si="47">(C32+D32+E32+F32+G32+H32+I32+J32+K32)*0.005</f>
        <v>6.4611499999999999</v>
      </c>
      <c r="L33" s="22">
        <f t="shared" ref="L33:L37" si="48">(C32+D32+E32+F32+G32+H32+I32+J32+K32+L32)*0.005</f>
        <v>6.4611499999999999</v>
      </c>
      <c r="M33" s="22">
        <f t="shared" ref="M33:M37" si="49">(C32+D32+E32+F32+G32+H32+I32+J32+K32+L32+M32)*0.005</f>
        <v>6.4611499999999999</v>
      </c>
      <c r="N33" s="22">
        <f t="shared" ref="N33:N37" si="50">(C32+D32+E32+F32+G32+H32+I32+J32+K32+L32+M32+N32)*0.005</f>
        <v>6.4611499999999999</v>
      </c>
      <c r="O33" s="22">
        <f t="shared" ref="O33:O37" si="51">(C32+D32+E32+F32+G32+H32+I32+J32+K32+L32+M32+N32+O32)*0.005</f>
        <v>6.4611499999999999</v>
      </c>
      <c r="P33" s="173"/>
      <c r="Q33" s="22"/>
      <c r="R33" s="22"/>
      <c r="S33" s="22"/>
      <c r="U33" s="2"/>
      <c r="V33" s="2"/>
    </row>
    <row r="34" spans="1:22">
      <c r="A34" s="162">
        <v>13</v>
      </c>
      <c r="B34" s="20" t="s">
        <v>164</v>
      </c>
      <c r="C34" s="280">
        <v>200</v>
      </c>
      <c r="D34" s="22">
        <v>0</v>
      </c>
      <c r="E34" s="22">
        <v>0</v>
      </c>
      <c r="F34" s="22">
        <v>0</v>
      </c>
      <c r="G34" s="22"/>
      <c r="H34" s="22"/>
      <c r="I34" s="45"/>
      <c r="J34" s="45"/>
      <c r="K34" s="45"/>
      <c r="L34" s="45">
        <v>0</v>
      </c>
      <c r="M34" s="45"/>
      <c r="N34" s="45"/>
      <c r="O34" s="22"/>
      <c r="P34" s="46">
        <f>C34+D34+E34+F34+G34+H34+I34+J34+K34+L34+M34+N34+O34</f>
        <v>200</v>
      </c>
      <c r="Q34" s="22">
        <f t="shared" si="45"/>
        <v>16.6666666666667</v>
      </c>
      <c r="R34" s="22"/>
      <c r="S34" s="278">
        <f t="shared" si="46"/>
        <v>200</v>
      </c>
      <c r="U34" s="179"/>
    </row>
    <row r="35" spans="1:22" ht="12.75" customHeight="1">
      <c r="A35" s="162"/>
      <c r="B35" s="20"/>
      <c r="C35" s="76" t="s">
        <v>152</v>
      </c>
      <c r="D35" s="22">
        <f>(C34+D34)*0.005</f>
        <v>1</v>
      </c>
      <c r="E35" s="22">
        <f>(C34+D34+E34)*0.005</f>
        <v>1</v>
      </c>
      <c r="F35" s="22">
        <f>(+C34+D34+E34+F34)*0.005</f>
        <v>1</v>
      </c>
      <c r="G35" s="22">
        <f>(C34+D34+E34+F34+G34)*0.005</f>
        <v>1</v>
      </c>
      <c r="H35" s="22">
        <f>(C34+D34+E34+F34+G34+H34)*0.005</f>
        <v>1</v>
      </c>
      <c r="I35" s="22">
        <f>(C34+D34+E34+F34+G34+H34+I34)*0.005</f>
        <v>1</v>
      </c>
      <c r="J35" s="22">
        <f>(C34+D34+E34+F34+G34+H34+I34+J34)*0.005</f>
        <v>1</v>
      </c>
      <c r="K35" s="22">
        <f t="shared" si="47"/>
        <v>1</v>
      </c>
      <c r="L35" s="22">
        <f t="shared" si="48"/>
        <v>1</v>
      </c>
      <c r="M35" s="22">
        <f t="shared" si="49"/>
        <v>1</v>
      </c>
      <c r="N35" s="22">
        <f t="shared" si="50"/>
        <v>1</v>
      </c>
      <c r="O35" s="22">
        <f t="shared" si="51"/>
        <v>1</v>
      </c>
      <c r="P35" s="173"/>
      <c r="Q35" s="22"/>
      <c r="R35" s="22"/>
      <c r="S35" s="22"/>
      <c r="U35" s="2"/>
    </row>
    <row r="36" spans="1:22">
      <c r="A36" s="202">
        <v>14</v>
      </c>
      <c r="B36" s="20" t="s">
        <v>165</v>
      </c>
      <c r="C36" s="165">
        <v>2406.1</v>
      </c>
      <c r="D36" s="32"/>
      <c r="E36" s="22">
        <v>0</v>
      </c>
      <c r="F36" s="22"/>
      <c r="G36" s="22"/>
      <c r="H36" s="22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22">
        <v>0</v>
      </c>
      <c r="P36" s="46">
        <f>C36+D36+E36+F36+G36+H36+I36+J36+K36+L36+M36+N36+O36</f>
        <v>2406.1</v>
      </c>
      <c r="Q36" s="22">
        <f t="shared" si="45"/>
        <v>200.50833333333301</v>
      </c>
      <c r="R36" s="22">
        <f>D37+E37+F37+G37+H37+I37+J37+K37+L37+M37+N37+O37</f>
        <v>144.36600000000001</v>
      </c>
      <c r="S36" s="278">
        <f t="shared" si="46"/>
        <v>2550.4659999999999</v>
      </c>
      <c r="U36" s="179"/>
    </row>
    <row r="37" spans="1:22" ht="12.75" customHeight="1">
      <c r="A37" s="162"/>
      <c r="B37" s="20"/>
      <c r="C37" s="76" t="s">
        <v>152</v>
      </c>
      <c r="D37" s="22">
        <f>(C36+D36)*0.005</f>
        <v>12.0305</v>
      </c>
      <c r="E37" s="22">
        <f>(C36+D36+E36)*0.005</f>
        <v>12.0305</v>
      </c>
      <c r="F37" s="22">
        <f>(+C36+D36+E36+F36)*0.005</f>
        <v>12.0305</v>
      </c>
      <c r="G37" s="22">
        <f>(C36+D36+E36+F36+G36)*0.005</f>
        <v>12.0305</v>
      </c>
      <c r="H37" s="22">
        <f>(C36+D36+E36+F36+G36+H36)*0.005</f>
        <v>12.0305</v>
      </c>
      <c r="I37" s="22">
        <f>(C36+D36+E36+F36+G36+H36+I36)*0.005</f>
        <v>12.0305</v>
      </c>
      <c r="J37" s="22">
        <f>(C36+D36+E36+F36+G36+H36+I36+J36)*0.005</f>
        <v>12.0305</v>
      </c>
      <c r="K37" s="22">
        <f t="shared" si="47"/>
        <v>12.0305</v>
      </c>
      <c r="L37" s="22">
        <f t="shared" si="48"/>
        <v>12.0305</v>
      </c>
      <c r="M37" s="22">
        <f t="shared" si="49"/>
        <v>12.0305</v>
      </c>
      <c r="N37" s="22">
        <f t="shared" si="50"/>
        <v>12.0305</v>
      </c>
      <c r="O37" s="22">
        <f t="shared" si="51"/>
        <v>12.0305</v>
      </c>
      <c r="P37" s="173"/>
      <c r="Q37" s="22"/>
      <c r="R37" s="22"/>
      <c r="S37" s="22"/>
      <c r="U37" s="2"/>
    </row>
    <row r="38" spans="1:22" ht="12.75" customHeight="1">
      <c r="A38" s="168"/>
      <c r="B38" s="16"/>
      <c r="C38" s="155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205"/>
      <c r="Q38" s="169"/>
      <c r="R38" s="169"/>
      <c r="S38" s="175" t="s">
        <v>166</v>
      </c>
      <c r="U38" s="2"/>
    </row>
    <row r="39" spans="1:22">
      <c r="A39" s="170"/>
      <c r="B39" s="36"/>
      <c r="C39" s="171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206"/>
      <c r="Q39" s="148"/>
      <c r="R39" s="148"/>
      <c r="S39" s="148"/>
      <c r="U39" s="2"/>
    </row>
    <row r="40" spans="1:22" ht="4.5" customHeight="1">
      <c r="A40" s="162"/>
      <c r="B40" s="20"/>
      <c r="C40" s="76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173"/>
      <c r="Q40" s="22"/>
      <c r="R40" s="22"/>
      <c r="S40" s="22"/>
      <c r="U40" s="2"/>
    </row>
    <row r="41" spans="1:22" ht="3.75" customHeight="1">
      <c r="A41" s="166"/>
      <c r="B41" s="73"/>
      <c r="C41" s="203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</row>
    <row r="42" spans="1:22">
      <c r="A42" s="204"/>
      <c r="B42" s="103" t="s">
        <v>120</v>
      </c>
      <c r="C42" s="196">
        <f t="shared" ref="C42:I42" si="52">SUM(C10:C41)</f>
        <v>27470.959999999999</v>
      </c>
      <c r="D42" s="194">
        <f t="shared" si="52"/>
        <v>130.13040000000001</v>
      </c>
      <c r="E42" s="194">
        <f t="shared" si="52"/>
        <v>740.35479999999995</v>
      </c>
      <c r="F42" s="194">
        <f t="shared" si="52"/>
        <v>140.35480000000001</v>
      </c>
      <c r="G42" s="194">
        <f t="shared" si="52"/>
        <v>140.35480000000001</v>
      </c>
      <c r="H42" s="194">
        <f t="shared" si="52"/>
        <v>140.35480000000001</v>
      </c>
      <c r="I42" s="194">
        <f t="shared" si="52"/>
        <v>140.35480000000001</v>
      </c>
      <c r="J42" s="194">
        <f t="shared" ref="J42:S42" si="53">SUM(J10:J41)</f>
        <v>140.35480000000001</v>
      </c>
      <c r="K42" s="194">
        <f t="shared" si="53"/>
        <v>140.35480000000001</v>
      </c>
      <c r="L42" s="194">
        <f t="shared" si="53"/>
        <v>140.35480000000001</v>
      </c>
      <c r="M42" s="194">
        <f t="shared" si="53"/>
        <v>140.35480000000001</v>
      </c>
      <c r="N42" s="194">
        <f t="shared" si="53"/>
        <v>140.35480000000001</v>
      </c>
      <c r="O42" s="194">
        <f t="shared" si="53"/>
        <v>1748.3548000000001</v>
      </c>
      <c r="P42" s="196">
        <f t="shared" si="53"/>
        <v>29670.959999999999</v>
      </c>
      <c r="Q42" s="194">
        <f t="shared" si="53"/>
        <v>2472.58</v>
      </c>
      <c r="R42" s="195">
        <f t="shared" si="53"/>
        <v>1655.0332000000001</v>
      </c>
      <c r="S42" s="196">
        <f t="shared" si="53"/>
        <v>31325.993200000001</v>
      </c>
    </row>
    <row r="44" spans="1:22">
      <c r="A44" t="s">
        <v>121</v>
      </c>
      <c r="E44" t="s">
        <v>122</v>
      </c>
      <c r="K44" t="s">
        <v>123</v>
      </c>
      <c r="P44" t="s">
        <v>124</v>
      </c>
    </row>
    <row r="47" spans="1:22">
      <c r="B47" s="107" t="s">
        <v>167</v>
      </c>
      <c r="F47" s="107" t="s">
        <v>181</v>
      </c>
      <c r="L47" s="308" t="s">
        <v>168</v>
      </c>
      <c r="M47" s="308"/>
      <c r="N47" s="308"/>
      <c r="Q47" s="308" t="s">
        <v>182</v>
      </c>
      <c r="R47" s="308"/>
      <c r="S47" s="308"/>
    </row>
    <row r="48" spans="1:22">
      <c r="B48" t="s">
        <v>169</v>
      </c>
      <c r="F48" s="311" t="s">
        <v>183</v>
      </c>
      <c r="G48" s="311"/>
      <c r="H48" s="311"/>
      <c r="L48" s="311" t="s">
        <v>170</v>
      </c>
      <c r="M48" s="311"/>
      <c r="N48" s="311"/>
      <c r="Q48" s="313" t="s">
        <v>131</v>
      </c>
      <c r="R48" s="313"/>
      <c r="S48" s="313"/>
    </row>
    <row r="51" spans="16:19">
      <c r="S51" s="3" t="s">
        <v>171</v>
      </c>
    </row>
    <row r="55" spans="16:19">
      <c r="P55" t="s">
        <v>172</v>
      </c>
      <c r="Q55">
        <f>18</f>
        <v>18</v>
      </c>
      <c r="R55" s="314" t="e">
        <f>S10+S14+S16+S18+S20+S22+S24+S26+S28+S30+S32+S34+#REF!+#REF!+#REF!+#REF!+#REF!+S36</f>
        <v>#REF!</v>
      </c>
      <c r="S55" s="314"/>
    </row>
    <row r="56" spans="16:19">
      <c r="P56" s="102" t="s">
        <v>173</v>
      </c>
      <c r="Q56" s="102">
        <v>11</v>
      </c>
      <c r="R56" s="306" t="e">
        <f>#REF!+#REF!+#REF!+#REF!+#REF!+#REF!+#REF!+#REF!+#REF!+#REF!+#REF!</f>
        <v>#REF!</v>
      </c>
      <c r="S56" s="306"/>
    </row>
    <row r="57" spans="16:19">
      <c r="Q57">
        <f>Q55+Q56</f>
        <v>29</v>
      </c>
      <c r="R57" s="307" t="e">
        <f>R55+R56</f>
        <v>#REF!</v>
      </c>
      <c r="S57" s="307"/>
    </row>
    <row r="61" spans="16:19">
      <c r="S61" t="s">
        <v>174</v>
      </c>
    </row>
    <row r="63" spans="16:19">
      <c r="P63" s="50"/>
    </row>
  </sheetData>
  <mergeCells count="14">
    <mergeCell ref="R55:S55"/>
    <mergeCell ref="R56:S56"/>
    <mergeCell ref="R57:S57"/>
    <mergeCell ref="A9:B9"/>
    <mergeCell ref="L47:N47"/>
    <mergeCell ref="Q47:S47"/>
    <mergeCell ref="F48:H48"/>
    <mergeCell ref="L48:N48"/>
    <mergeCell ref="Q48:S48"/>
    <mergeCell ref="A2:S2"/>
    <mergeCell ref="A3:S3"/>
    <mergeCell ref="A4:S4"/>
    <mergeCell ref="A6:S6"/>
    <mergeCell ref="A7:S7"/>
  </mergeCells>
  <pageMargins left="0.25" right="0.25" top="0.25" bottom="0.25" header="0.3" footer="0.3"/>
  <pageSetup paperSize="5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C104"/>
  <sheetViews>
    <sheetView topLeftCell="G10" zoomScale="110" zoomScaleNormal="110" workbookViewId="0">
      <selection activeCell="U10" sqref="U10"/>
    </sheetView>
  </sheetViews>
  <sheetFormatPr defaultColWidth="9" defaultRowHeight="14.4"/>
  <cols>
    <col min="1" max="1" width="3.5546875" customWidth="1"/>
    <col min="2" max="2" width="18.21875" customWidth="1"/>
    <col min="3" max="3" width="8.44140625" customWidth="1"/>
    <col min="4" max="4" width="7.77734375" customWidth="1"/>
    <col min="5" max="5" width="7.5546875" customWidth="1"/>
    <col min="6" max="6" width="7.44140625" customWidth="1"/>
    <col min="7" max="9" width="7.77734375" customWidth="1"/>
    <col min="10" max="10" width="8" customWidth="1"/>
    <col min="11" max="12" width="7.5546875" customWidth="1"/>
    <col min="13" max="13" width="7.77734375" customWidth="1"/>
    <col min="14" max="14" width="6.5546875" customWidth="1"/>
    <col min="15" max="15" width="8.5546875" customWidth="1"/>
    <col min="16" max="17" width="8.21875" customWidth="1"/>
    <col min="18" max="18" width="8.77734375" customWidth="1"/>
    <col min="19" max="19" width="8.44140625" customWidth="1"/>
    <col min="20" max="20" width="7.77734375" customWidth="1"/>
    <col min="21" max="21" width="8.44140625" customWidth="1"/>
    <col min="22" max="22" width="9.21875" style="4"/>
  </cols>
  <sheetData>
    <row r="2" spans="1:29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</row>
    <row r="3" spans="1:29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</row>
    <row r="4" spans="1:29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</row>
    <row r="5" spans="1:29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8"/>
      <c r="W5" s="9"/>
      <c r="X5" s="9"/>
      <c r="Y5" s="9"/>
      <c r="Z5" s="9"/>
      <c r="AA5" s="9"/>
      <c r="AB5" s="9"/>
      <c r="AC5" s="9"/>
    </row>
    <row r="6" spans="1:29" ht="18">
      <c r="A6" s="316" t="s">
        <v>144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</row>
    <row r="7" spans="1:29">
      <c r="A7" s="313" t="s">
        <v>145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</row>
    <row r="8" spans="1:29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9" s="1" customFormat="1" ht="28.5" customHeight="1">
      <c r="A9" s="317" t="s">
        <v>5</v>
      </c>
      <c r="B9" s="318"/>
      <c r="C9" s="159" t="s">
        <v>146</v>
      </c>
      <c r="D9" s="158" t="s">
        <v>7</v>
      </c>
      <c r="E9" s="158" t="s">
        <v>8</v>
      </c>
      <c r="F9" s="158" t="s">
        <v>9</v>
      </c>
      <c r="G9" s="158" t="s">
        <v>10</v>
      </c>
      <c r="H9" s="158" t="s">
        <v>133</v>
      </c>
      <c r="I9" s="158" t="s">
        <v>11</v>
      </c>
      <c r="J9" s="158" t="s">
        <v>12</v>
      </c>
      <c r="K9" s="158" t="s">
        <v>13</v>
      </c>
      <c r="L9" s="158" t="s">
        <v>14</v>
      </c>
      <c r="M9" s="158" t="s">
        <v>15</v>
      </c>
      <c r="N9" s="158" t="s">
        <v>16</v>
      </c>
      <c r="O9" s="158" t="s">
        <v>17</v>
      </c>
      <c r="P9" s="158" t="s">
        <v>18</v>
      </c>
      <c r="Q9" s="158" t="s">
        <v>133</v>
      </c>
      <c r="R9" s="158" t="s">
        <v>147</v>
      </c>
      <c r="S9" s="158" t="s">
        <v>148</v>
      </c>
      <c r="T9" s="133" t="s">
        <v>149</v>
      </c>
      <c r="U9" s="133" t="s">
        <v>150</v>
      </c>
      <c r="V9" s="177"/>
    </row>
    <row r="10" spans="1:29" s="2" customFormat="1">
      <c r="A10" s="160">
        <v>1</v>
      </c>
      <c r="B10" s="16" t="s">
        <v>26</v>
      </c>
      <c r="C10" s="161">
        <f>[5]Savings2019!$U$10</f>
        <v>350.56319999999999</v>
      </c>
      <c r="D10" s="18"/>
      <c r="E10" s="18"/>
      <c r="F10" s="22"/>
      <c r="G10" s="18"/>
      <c r="H10" s="25"/>
      <c r="I10" s="22"/>
      <c r="J10" s="22"/>
      <c r="K10" s="22"/>
      <c r="L10" s="18"/>
      <c r="M10" s="22"/>
      <c r="N10" s="22"/>
      <c r="O10" s="22"/>
      <c r="P10" s="18"/>
      <c r="Q10" s="25"/>
      <c r="R10" s="46">
        <f>C10+D10+E10+F10+G10+I10+J10+K10+L10+M10+N10+O10+P10</f>
        <v>350.56319999999999</v>
      </c>
      <c r="S10" s="22">
        <f>R10/12</f>
        <v>29.2136</v>
      </c>
      <c r="T10" s="22">
        <f>D11+E11+F11+G11+I11+J11+K11+L11+M11+N11+O11+P11</f>
        <v>21.033791999999995</v>
      </c>
      <c r="U10" s="22">
        <f>R10+T10</f>
        <v>371.596992</v>
      </c>
      <c r="V10" s="178"/>
    </row>
    <row r="11" spans="1:29" s="2" customFormat="1">
      <c r="A11" s="162"/>
      <c r="B11" s="20"/>
      <c r="C11" s="163" t="s">
        <v>152</v>
      </c>
      <c r="D11" s="22">
        <f>(C10+D10)*0.005</f>
        <v>1.7528159999999999</v>
      </c>
      <c r="E11" s="22">
        <f>(C10+D10+E10)*0.005</f>
        <v>1.7528159999999999</v>
      </c>
      <c r="F11" s="22">
        <f>(+C10+D10+E10+F10)*0.005</f>
        <v>1.7528159999999999</v>
      </c>
      <c r="G11" s="22">
        <f>(C10+D10+E10+F10+G10)*0.005</f>
        <v>1.7528159999999999</v>
      </c>
      <c r="H11" s="22"/>
      <c r="I11" s="22">
        <f>(C10+D10+E10+F10+G10+I10)*0.005</f>
        <v>1.7528159999999999</v>
      </c>
      <c r="J11" s="22">
        <f>(C10+D10+E10+F10+G10+I10+J10)*0.005</f>
        <v>1.7528159999999999</v>
      </c>
      <c r="K11" s="22">
        <f>(C10+D10+E10+F10+G10+I10+J10+K10)*0.005</f>
        <v>1.7528159999999999</v>
      </c>
      <c r="L11" s="22">
        <f>(C10+D10+E10+F10+G10+I10+J10+K10+L10)*0.005</f>
        <v>1.7528159999999999</v>
      </c>
      <c r="M11" s="22">
        <f>(C10+D10+E10+F10+G10+I10+J10+K10+L10+M10)*0.005</f>
        <v>1.7528159999999999</v>
      </c>
      <c r="N11" s="22">
        <f>(C10+D10+E10+F10+G10+I10+J10+K10+L10+M10+N10)*0.005</f>
        <v>1.7528159999999999</v>
      </c>
      <c r="O11" s="22">
        <f>(C10+D10+E10+F10+G10+I10+J10+K10+L10+M10+N10+O10)*0.005</f>
        <v>1.7528159999999999</v>
      </c>
      <c r="P11" s="22">
        <f>(C10+D10+E10+F10+G10+I10+J10+K10+L10+M10+N10+O10+P10)*0.005</f>
        <v>1.7528159999999999</v>
      </c>
      <c r="Q11" s="22"/>
      <c r="R11" s="46"/>
      <c r="S11" s="22"/>
      <c r="T11" s="22"/>
      <c r="U11" s="22"/>
      <c r="V11" s="178"/>
    </row>
    <row r="12" spans="1:29">
      <c r="A12" s="162">
        <v>2</v>
      </c>
      <c r="B12" s="20" t="s">
        <v>27</v>
      </c>
      <c r="C12" s="161">
        <f>[5]Savings2019!$U$11</f>
        <v>1067.42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46">
        <f>C12+D12+E12+F12+G12+I12+J12+K12+L12+M12+N12+O12+P12</f>
        <v>1067.42</v>
      </c>
      <c r="S12" s="22">
        <f>R12/12</f>
        <v>88.951666666666668</v>
      </c>
      <c r="T12" s="22">
        <f>D13+E13+F13+G13+I13+J13+K13+L13+M13+N13+O13+P13</f>
        <v>64.045200000000008</v>
      </c>
      <c r="U12" s="22">
        <f>R12+T12</f>
        <v>1131.4652000000001</v>
      </c>
      <c r="W12" s="2"/>
    </row>
    <row r="13" spans="1:29">
      <c r="A13" s="162"/>
      <c r="B13" s="20"/>
      <c r="C13" s="163" t="s">
        <v>152</v>
      </c>
      <c r="D13" s="22">
        <f>(C12+D12)*0.005</f>
        <v>5.3371000000000004</v>
      </c>
      <c r="E13" s="22">
        <f>(C12+D12+E12)*0.005</f>
        <v>5.3371000000000004</v>
      </c>
      <c r="F13" s="22">
        <f>(+C12+D12+E12+F12)*0.005</f>
        <v>5.3371000000000004</v>
      </c>
      <c r="G13" s="22">
        <f>(C12+D12+E12+F12+G12)*0.005</f>
        <v>5.3371000000000004</v>
      </c>
      <c r="H13" s="22"/>
      <c r="I13" s="22">
        <f>(C12+D12+E12+F12+G12+I12)*0.005</f>
        <v>5.3371000000000004</v>
      </c>
      <c r="J13" s="22">
        <f>(C12+D12+E12+F12+G12+I12+J12)*0.005</f>
        <v>5.3371000000000004</v>
      </c>
      <c r="K13" s="22">
        <f>(C12+D12+E12+F12+G12+I12+J12+K12)*0.005</f>
        <v>5.3371000000000004</v>
      </c>
      <c r="L13" s="22">
        <f>(C12+D12+E12+F12+G12+I12+J12+K12+L12)*0.005</f>
        <v>5.3371000000000004</v>
      </c>
      <c r="M13" s="22">
        <f>(C12+D12+E12+F12+G12+I12+J12+K12+L12+M12)*0.005</f>
        <v>5.3371000000000004</v>
      </c>
      <c r="N13" s="22">
        <f>(C12+D12+E12+F12+G12+I12+J12+K12+L12+M12+N12)*0.005</f>
        <v>5.3371000000000004</v>
      </c>
      <c r="O13" s="22">
        <f>(C12+D12+E12+F12+G12+I12+J12+K12+L12+M12+N12+O12)*0.005</f>
        <v>5.3371000000000004</v>
      </c>
      <c r="P13" s="22">
        <f>(C12+D12+E12+F12+G12+I12+J12+K12+L12+M12+N12+O12+P12)*0.005</f>
        <v>5.3371000000000004</v>
      </c>
      <c r="Q13" s="22"/>
      <c r="R13" s="46"/>
      <c r="S13" s="22"/>
      <c r="T13" s="22"/>
      <c r="U13" s="22"/>
      <c r="W13" s="2"/>
    </row>
    <row r="14" spans="1:29">
      <c r="A14" s="162">
        <v>3</v>
      </c>
      <c r="B14" s="27" t="s">
        <v>30</v>
      </c>
      <c r="C14" s="161">
        <f>[5]Savings2019!$U$12</f>
        <v>535.55439999999999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46">
        <f>C14+D14+E14+F14+G14+I14+J14+K14+L14+M14+N14+O14+P14</f>
        <v>535.55439999999999</v>
      </c>
      <c r="S14" s="22">
        <f>R14/12</f>
        <v>44.629533333333335</v>
      </c>
      <c r="T14" s="22">
        <f>D15+E15+F15+G15+I15+J15+K15+L15+M15+N15+O15+P15</f>
        <v>32.133264000000004</v>
      </c>
      <c r="U14" s="22">
        <f>R14+T14</f>
        <v>567.68766400000004</v>
      </c>
      <c r="W14" s="2"/>
    </row>
    <row r="15" spans="1:29">
      <c r="A15" s="162"/>
      <c r="B15" s="27"/>
      <c r="C15" s="163" t="s">
        <v>152</v>
      </c>
      <c r="D15" s="22">
        <f>(C14+D14)*0.005</f>
        <v>2.677772</v>
      </c>
      <c r="E15" s="22">
        <f>(C14+D14+E14)*0.005</f>
        <v>2.677772</v>
      </c>
      <c r="F15" s="22">
        <f>(+C14+D14+E14+F14)*0.005</f>
        <v>2.677772</v>
      </c>
      <c r="G15" s="22">
        <f>(C14+D14+E14+F14+G14)*0.005</f>
        <v>2.677772</v>
      </c>
      <c r="H15" s="22"/>
      <c r="I15" s="22">
        <f>(C14+D14+E14+F14+G14+I14)*0.005</f>
        <v>2.677772</v>
      </c>
      <c r="J15" s="22">
        <f>(C14+D14+E14+F14+G14+I14+J14)*0.005</f>
        <v>2.677772</v>
      </c>
      <c r="K15" s="22">
        <f>(C14+D14+E14+F14+G14+I14+J14+K14)*0.005</f>
        <v>2.677772</v>
      </c>
      <c r="L15" s="22">
        <f>(C14+D14+E14+F14+G14+I14+J14+K14+L14)*0.005</f>
        <v>2.677772</v>
      </c>
      <c r="M15" s="22">
        <f>(C14+D14+E14+F14+G14+I14+J14+K14+L14+M14)*0.005</f>
        <v>2.677772</v>
      </c>
      <c r="N15" s="22">
        <f>(C14+D14+E14+F14+G14+I14+J14+K14+L14+M14+N14)*0.005</f>
        <v>2.677772</v>
      </c>
      <c r="O15" s="22">
        <f>(C14+D14+E14+F14+G14+I14+J14+K14+L14+M14+N14+O14)*0.005</f>
        <v>2.677772</v>
      </c>
      <c r="P15" s="22">
        <f>(C14+D14+E14+F14+G14+I14+J14+K14+L14+M14+N14+O14+P14)*0.005</f>
        <v>2.677772</v>
      </c>
      <c r="Q15" s="22"/>
      <c r="R15" s="46"/>
      <c r="S15" s="22"/>
      <c r="T15" s="22"/>
      <c r="U15" s="22"/>
      <c r="W15" s="2"/>
    </row>
    <row r="16" spans="1:29">
      <c r="A16" s="162">
        <v>4</v>
      </c>
      <c r="B16" s="20" t="s">
        <v>32</v>
      </c>
      <c r="C16" s="161">
        <f>[5]Savings2019!$U$13</f>
        <v>21454.93</v>
      </c>
      <c r="D16" s="22">
        <v>0</v>
      </c>
      <c r="E16" s="22">
        <v>0</v>
      </c>
      <c r="F16" s="22">
        <v>0</v>
      </c>
      <c r="G16" s="22">
        <v>0</v>
      </c>
      <c r="H16" s="22"/>
      <c r="I16" s="22">
        <v>0</v>
      </c>
      <c r="J16" s="22">
        <v>7000</v>
      </c>
      <c r="K16" s="22">
        <v>0</v>
      </c>
      <c r="L16" s="22">
        <v>0</v>
      </c>
      <c r="M16" s="22">
        <v>1000</v>
      </c>
      <c r="N16" s="22">
        <v>0</v>
      </c>
      <c r="O16" s="22">
        <v>0</v>
      </c>
      <c r="P16" s="22">
        <v>0</v>
      </c>
      <c r="Q16" s="32">
        <v>20000</v>
      </c>
      <c r="R16" s="46">
        <f>C16+D16+E16+F16+G16+I16+J16+K16+L16+M16+N16+O16+P16-Q16</f>
        <v>9454.93</v>
      </c>
      <c r="S16" s="22">
        <f>R16/12</f>
        <v>787.91083333333336</v>
      </c>
      <c r="T16" s="22">
        <f>D17+E17+F17+G17+I17+J17+K17+L17+M17+N17+O17+P17</f>
        <v>1552.2958000000006</v>
      </c>
      <c r="U16" s="22">
        <f>R16+T16</f>
        <v>11007.2258</v>
      </c>
      <c r="W16" s="179"/>
      <c r="X16" s="2"/>
    </row>
    <row r="17" spans="1:24">
      <c r="A17" s="162"/>
      <c r="B17" s="20"/>
      <c r="C17" s="163" t="s">
        <v>152</v>
      </c>
      <c r="D17" s="22">
        <f>(C16+D16)*0.005</f>
        <v>107.27465000000001</v>
      </c>
      <c r="E17" s="22">
        <f>(C16+D16+E16)*0.005</f>
        <v>107.27465000000001</v>
      </c>
      <c r="F17" s="22">
        <f>(+C16+D16+E16+F16)*0.005</f>
        <v>107.27465000000001</v>
      </c>
      <c r="G17" s="22">
        <f>(C16+D16+E16+F16+G16)*0.005</f>
        <v>107.27465000000001</v>
      </c>
      <c r="H17" s="22"/>
      <c r="I17" s="22">
        <f>(C16+D16+E16+F16+G16+I16)*0.005</f>
        <v>107.27465000000001</v>
      </c>
      <c r="J17" s="22">
        <f>(C16+D16+E16+F16+G16+I16+J16)*0.005</f>
        <v>142.27465000000001</v>
      </c>
      <c r="K17" s="22">
        <f>(C16+D16+E16+F16+G16+I16+J16+K16)*0.005</f>
        <v>142.27465000000001</v>
      </c>
      <c r="L17" s="22">
        <f>(C16+D16+E16+F16+G16+I16+J16+K16+L16)*0.005</f>
        <v>142.27465000000001</v>
      </c>
      <c r="M17" s="22">
        <f>(C16+D16+E16+F16+G16+I16+J16+K16+L16+M16)*0.005</f>
        <v>147.27465000000001</v>
      </c>
      <c r="N17" s="22">
        <f>(C16+D16+E16+F16+G16+I16+J16+K16+L16+M16+N16)*0.005</f>
        <v>147.27465000000001</v>
      </c>
      <c r="O17" s="22">
        <f>(C16+D16+E16+F16+G16+I16+J16+K16+L16+M16+N16+O16)*0.005</f>
        <v>147.27465000000001</v>
      </c>
      <c r="P17" s="22">
        <f>(C16+D16+E16+F16+G16+I16+J16+K16+L16+M16+N16+O16+P16)*0.005</f>
        <v>147.27465000000001</v>
      </c>
      <c r="Q17" s="22"/>
      <c r="R17" s="46"/>
      <c r="S17" s="22"/>
      <c r="U17" s="22"/>
      <c r="W17" s="2"/>
      <c r="X17" s="2"/>
    </row>
    <row r="18" spans="1:24" s="2" customFormat="1">
      <c r="A18" s="162">
        <v>5</v>
      </c>
      <c r="B18" s="20" t="s">
        <v>184</v>
      </c>
      <c r="C18" s="161">
        <f>[5]Savings2019!$U$14</f>
        <v>6406.1948000000002</v>
      </c>
      <c r="D18" s="25">
        <v>0</v>
      </c>
      <c r="E18" s="25"/>
      <c r="F18" s="25">
        <v>0</v>
      </c>
      <c r="G18" s="22">
        <v>0</v>
      </c>
      <c r="H18" s="22"/>
      <c r="I18" s="22"/>
      <c r="J18" s="25">
        <v>0</v>
      </c>
      <c r="K18" s="22">
        <v>0</v>
      </c>
      <c r="L18" s="22">
        <v>0</v>
      </c>
      <c r="M18" s="22"/>
      <c r="N18" s="25"/>
      <c r="O18" s="25">
        <v>0</v>
      </c>
      <c r="P18" s="25"/>
      <c r="Q18" s="25"/>
      <c r="R18" s="46">
        <f>C18+D18+E18+F18+G18+I18+J18+K18+L18+M18+N18+O18+P18</f>
        <v>6406.1948000000002</v>
      </c>
      <c r="S18" s="22">
        <f t="shared" ref="S18:S32" si="0">R18/12</f>
        <v>533.84956666666665</v>
      </c>
      <c r="T18" s="22">
        <f>D19+E19+F19+G19+I19+J19+K19+L19+M19+N19+O19+P19</f>
        <v>384.37168800000012</v>
      </c>
      <c r="U18" s="22">
        <f>R18+T18</f>
        <v>6790.5664880000004</v>
      </c>
      <c r="V18" s="178"/>
      <c r="W18" s="179"/>
    </row>
    <row r="19" spans="1:24" s="2" customFormat="1">
      <c r="A19" s="162"/>
      <c r="B19" s="20"/>
      <c r="C19" s="163" t="s">
        <v>152</v>
      </c>
      <c r="D19" s="22">
        <f>(C18+D18)*0.005</f>
        <v>32.030974000000001</v>
      </c>
      <c r="E19" s="22">
        <f>(C18+D18+E18)*0.005</f>
        <v>32.030974000000001</v>
      </c>
      <c r="F19" s="22">
        <f>(+C18+D18+E18+F18)*0.005</f>
        <v>32.030974000000001</v>
      </c>
      <c r="G19" s="22">
        <f>(C18+D18+E18+F18+G18)*0.005</f>
        <v>32.030974000000001</v>
      </c>
      <c r="H19" s="22"/>
      <c r="I19" s="22">
        <f>(C18+D18+E18+F18+G18+I18)*0.005</f>
        <v>32.030974000000001</v>
      </c>
      <c r="J19" s="22">
        <f>(C18+D18+E18+F18+G18+I18+J18)*0.005</f>
        <v>32.030974000000001</v>
      </c>
      <c r="K19" s="22">
        <f>(C18+D18+E18+F18+G18+I18+J18+K18)*0.005</f>
        <v>32.030974000000001</v>
      </c>
      <c r="L19" s="22">
        <f>(C18+D18+E18+F18+G18+I18+J18+K18+L18)*0.005</f>
        <v>32.030974000000001</v>
      </c>
      <c r="M19" s="22">
        <f>(C18+D18+E18+F18+G18+I18+J18+K18+L18+M18)*0.005</f>
        <v>32.030974000000001</v>
      </c>
      <c r="N19" s="22">
        <f>(C18+D18+E18+F18+G18+I18+J18+K18+L18+M18+N18)*0.005</f>
        <v>32.030974000000001</v>
      </c>
      <c r="O19" s="22">
        <f>(C18+D18+E18+F18+G18+I18+J18+K18+L18+M18+N18+O18)*0.005</f>
        <v>32.030974000000001</v>
      </c>
      <c r="P19" s="22">
        <f>(C18+D18+E18+F18+G18+I18+J18+K18+L18+M18+N18+O18+P18)*0.005</f>
        <v>32.030974000000001</v>
      </c>
      <c r="Q19" s="22"/>
      <c r="R19" s="46"/>
      <c r="S19" s="22"/>
      <c r="T19" s="22"/>
      <c r="U19" s="22"/>
      <c r="V19" s="178"/>
    </row>
    <row r="20" spans="1:24">
      <c r="A20" s="162">
        <v>6</v>
      </c>
      <c r="B20" s="20" t="s">
        <v>34</v>
      </c>
      <c r="C20" s="161"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173"/>
      <c r="S20" s="22">
        <f t="shared" si="0"/>
        <v>0</v>
      </c>
      <c r="T20" s="22">
        <f>D21+E21+F21+G21+I21+J21+K21+L21+M21+N21+O21+P21</f>
        <v>0</v>
      </c>
      <c r="U20" s="22">
        <f>R20+T20</f>
        <v>0</v>
      </c>
      <c r="W20" s="2"/>
      <c r="X20" s="2"/>
    </row>
    <row r="21" spans="1:24">
      <c r="A21" s="162"/>
      <c r="B21" s="20"/>
      <c r="C21" s="163" t="s">
        <v>152</v>
      </c>
      <c r="D21" s="22">
        <f>(C20+D20)*0.005</f>
        <v>0</v>
      </c>
      <c r="E21" s="22">
        <f>(C20+D20+E20)*0.005</f>
        <v>0</v>
      </c>
      <c r="F21" s="22">
        <f>(+C20+D20+E20+F20)*0.005</f>
        <v>0</v>
      </c>
      <c r="G21" s="22">
        <f>(C20+D20+E20+F20+G20)*0.005</f>
        <v>0</v>
      </c>
      <c r="H21" s="22"/>
      <c r="I21" s="22">
        <f>(C20+D20+E20+F20+G20+I20)*0.005</f>
        <v>0</v>
      </c>
      <c r="J21" s="22">
        <f>(C20+D20+E20+F20+G20+I20+J20)*0.005</f>
        <v>0</v>
      </c>
      <c r="K21" s="22">
        <f>(C20+D20+E20+F20+G20+I20+J20+K20)*0.005</f>
        <v>0</v>
      </c>
      <c r="L21" s="22">
        <f>(C20+D20+E20+F20+G20+I20+J20+K20+L20)*0.005</f>
        <v>0</v>
      </c>
      <c r="M21" s="22">
        <f>(C20+D20+E20+F20+G20+I20+J20+K20+L20+M20)*0.005</f>
        <v>0</v>
      </c>
      <c r="N21" s="22">
        <f>(C20+D20+E20+F20+G20+I20+J20+K20+L20+M20+N20)*0.005</f>
        <v>0</v>
      </c>
      <c r="O21" s="22">
        <f>(C20+D20+E20+F20+G20+I20+J20+K20+L20+M20+N20+O20)*0.005</f>
        <v>0</v>
      </c>
      <c r="P21" s="22">
        <f>(C20+D20+E20+F20+G20+I20+J20+K20+L20+M20+N20+O20+P20)*0.005</f>
        <v>0</v>
      </c>
      <c r="Q21" s="22"/>
      <c r="R21" s="173"/>
      <c r="S21" s="22"/>
      <c r="T21" s="22"/>
      <c r="U21" s="22"/>
      <c r="W21" s="2"/>
      <c r="X21" s="2"/>
    </row>
    <row r="22" spans="1:24">
      <c r="A22" s="162">
        <v>7</v>
      </c>
      <c r="B22" s="20" t="s">
        <v>34</v>
      </c>
      <c r="C22" s="161"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173"/>
      <c r="S22" s="22">
        <f t="shared" ref="S22" si="1">R22/12</f>
        <v>0</v>
      </c>
      <c r="T22" s="22">
        <f>D23+E23+F23+G23+I23+J23+K23+L23+M23+N23+O23+P23</f>
        <v>0</v>
      </c>
      <c r="U22" s="22">
        <f>R22+T22</f>
        <v>0</v>
      </c>
      <c r="W22" s="2"/>
      <c r="X22" s="2"/>
    </row>
    <row r="23" spans="1:24">
      <c r="A23" s="162"/>
      <c r="B23" s="20"/>
      <c r="C23" s="163" t="s">
        <v>152</v>
      </c>
      <c r="D23" s="22">
        <f>(C22+D22)*0.005</f>
        <v>0</v>
      </c>
      <c r="E23" s="22">
        <f>(C22+D22+E22)*0.005</f>
        <v>0</v>
      </c>
      <c r="F23" s="22">
        <f>(+C22+D22+E22+F22)*0.005</f>
        <v>0</v>
      </c>
      <c r="G23" s="22">
        <f>(C22+D22+E22+F22+G22)*0.005</f>
        <v>0</v>
      </c>
      <c r="H23" s="22"/>
      <c r="I23" s="22">
        <f>(C22+D22+E22+F22+G22+I22)*0.005</f>
        <v>0</v>
      </c>
      <c r="J23" s="22">
        <f>(C22+D22+E22+F22+G22+I22+J22)*0.005</f>
        <v>0</v>
      </c>
      <c r="K23" s="22">
        <f>(C22+D22+E22+F22+G22+I22+J22+K22)*0.005</f>
        <v>0</v>
      </c>
      <c r="L23" s="22">
        <f>(C22+D22+E22+F22+G22+I22+J22+K22+L22)*0.005</f>
        <v>0</v>
      </c>
      <c r="M23" s="22">
        <f>(C22+D22+E22+F22+G22+I22+J22+K22+L22+M22)*0.005</f>
        <v>0</v>
      </c>
      <c r="N23" s="22">
        <f>(C22+D22+E22+F22+G22+I22+J22+K22+L22+M22+N22)*0.005</f>
        <v>0</v>
      </c>
      <c r="O23" s="22">
        <f>(C22+D22+E22+F22+G22+I22+J22+K22+L22+M22+N22+O22)*0.005</f>
        <v>0</v>
      </c>
      <c r="P23" s="22">
        <f>(C22+D22+E22+F22+G22+I22+J22+K22+L22+M22+N22+O22+P22)*0.005</f>
        <v>0</v>
      </c>
      <c r="Q23" s="22"/>
      <c r="R23" s="173"/>
      <c r="S23" s="22"/>
      <c r="T23" s="22"/>
      <c r="U23" s="22"/>
      <c r="W23" s="2"/>
      <c r="X23" s="2"/>
    </row>
    <row r="24" spans="1:24">
      <c r="A24" s="162">
        <v>8</v>
      </c>
      <c r="B24" s="31" t="s">
        <v>37</v>
      </c>
      <c r="C24" s="161">
        <v>922.77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46">
        <f>C24+D24+E24+F24+G24+I24+J24+K24+L24+M24+N24+O24+P24</f>
        <v>922.77</v>
      </c>
      <c r="S24" s="22">
        <f t="shared" si="0"/>
        <v>76.897499999999994</v>
      </c>
      <c r="T24" s="22">
        <f>D25+E25+F25+G25+I25+J25+K25+L25+M25+N25+O25+P25</f>
        <v>55.366199999999999</v>
      </c>
      <c r="U24" s="22">
        <f>R24+T24</f>
        <v>978.13620000000003</v>
      </c>
      <c r="W24" s="2"/>
      <c r="X24" s="2"/>
    </row>
    <row r="25" spans="1:24">
      <c r="A25" s="162"/>
      <c r="B25" s="31"/>
      <c r="C25" s="163" t="s">
        <v>152</v>
      </c>
      <c r="D25" s="22">
        <f>(C24+D24)*0.005</f>
        <v>4.6138500000000002</v>
      </c>
      <c r="E25" s="22">
        <f>(C24+D24+E24)*0.005</f>
        <v>4.6138500000000002</v>
      </c>
      <c r="F25" s="22">
        <f>(+C24+D24+E24+F24)*0.005</f>
        <v>4.6138500000000002</v>
      </c>
      <c r="G25" s="22">
        <f>(C24+D24+E24+F24+G24)*0.005</f>
        <v>4.6138500000000002</v>
      </c>
      <c r="H25" s="22"/>
      <c r="I25" s="22">
        <f>(C24+D24+E24+F24+G24+I24)*0.005</f>
        <v>4.6138500000000002</v>
      </c>
      <c r="J25" s="22">
        <f>(C24+D24+E24+F24+G24+I24+J24)*0.005</f>
        <v>4.6138500000000002</v>
      </c>
      <c r="K25" s="22">
        <f>(C24+D24+E24+F24+G24+I24+J24+K24)*0.005</f>
        <v>4.6138500000000002</v>
      </c>
      <c r="L25" s="22">
        <f>(C24+D24+E24+F24+G24+I24+J24+K24+L24)*0.005</f>
        <v>4.6138500000000002</v>
      </c>
      <c r="M25" s="22">
        <f>(C24+D24+E24+F24+G24+I24+J24+K24+L24+M24)*0.005</f>
        <v>4.6138500000000002</v>
      </c>
      <c r="N25" s="22">
        <f>(C24+D24+E24+F24+G24+I24+J24+K24+L24+M24+N24)*0.005</f>
        <v>4.6138500000000002</v>
      </c>
      <c r="O25" s="22">
        <f>(C24+D24+E24+F24+G24+I24+J24+K24+L24+M24+N24+O24)*0.005</f>
        <v>4.6138500000000002</v>
      </c>
      <c r="P25" s="22">
        <f>(C24+D24+E24+F24+G24+I24+J24+K24+L24+M24+N24+O24+P24)*0.005</f>
        <v>4.6138500000000002</v>
      </c>
      <c r="Q25" s="22"/>
      <c r="R25" s="46"/>
      <c r="S25" s="22"/>
      <c r="T25" s="22"/>
      <c r="U25" s="22"/>
      <c r="W25" s="2"/>
      <c r="X25" s="2"/>
    </row>
    <row r="26" spans="1:24">
      <c r="A26" s="162">
        <v>9</v>
      </c>
      <c r="B26" s="30" t="s">
        <v>38</v>
      </c>
      <c r="C26" s="161">
        <v>984.71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46">
        <f>C26+D26+E26+F26+G26+I26+J26+K26+L26+M26+N26+O26+P26</f>
        <v>984.71</v>
      </c>
      <c r="S26" s="22">
        <f t="shared" si="0"/>
        <v>82.059166666666698</v>
      </c>
      <c r="T26" s="22">
        <f>D27+E27+F27+G27+I27+J27+K27+L27+M27+N27+O27+P27</f>
        <v>59.082599999999999</v>
      </c>
      <c r="U26" s="22">
        <f>R26+T26</f>
        <v>1043.7926</v>
      </c>
      <c r="W26" s="2"/>
      <c r="X26" s="2"/>
    </row>
    <row r="27" spans="1:24">
      <c r="A27" s="162"/>
      <c r="B27" s="30"/>
      <c r="C27" s="163" t="s">
        <v>152</v>
      </c>
      <c r="D27" s="22">
        <f>(C26+D26)*0.005</f>
        <v>4.9235499999999996</v>
      </c>
      <c r="E27" s="22">
        <f>(C26+D26+E26)*0.005</f>
        <v>4.9235499999999996</v>
      </c>
      <c r="F27" s="22">
        <f>(+C26+D26+E26+F26)*0.005</f>
        <v>4.9235499999999996</v>
      </c>
      <c r="G27" s="22">
        <f>(C26+D26+E26+F26+G26)*0.005</f>
        <v>4.9235499999999996</v>
      </c>
      <c r="H27" s="22"/>
      <c r="I27" s="22">
        <f>(C26+D26+E26+F26+G26+I26)*0.005</f>
        <v>4.9235499999999996</v>
      </c>
      <c r="J27" s="22">
        <f>(C26+D26+E26+F26+G26+I26+J26)*0.005</f>
        <v>4.9235499999999996</v>
      </c>
      <c r="K27" s="22">
        <f>(C26+D26+E26+F26+G26+I26+J26+K26)*0.005</f>
        <v>4.9235499999999996</v>
      </c>
      <c r="L27" s="22">
        <f>(C26+D26+E26+F26+G26+I26+J26+K26+L26)*0.005</f>
        <v>4.9235499999999996</v>
      </c>
      <c r="M27" s="22">
        <f>(C26+D26+E26+F26+G26+I26+J26+K26+L26+M26)*0.005</f>
        <v>4.9235499999999996</v>
      </c>
      <c r="N27" s="22">
        <f>(C26+D26+E26+F26+G26+I26+J26+K26+L26+M26+N26)*0.005</f>
        <v>4.9235499999999996</v>
      </c>
      <c r="O27" s="22">
        <f>(C26+D26+E26+F26+G26+I26+J26+K26+L26+M26+N26+O26)*0.005</f>
        <v>4.9235499999999996</v>
      </c>
      <c r="P27" s="22">
        <f>(C26+D26+E26+F26+G26+I26+J26+K26+L26+M26+N26+O26+P26)*0.005</f>
        <v>4.9235499999999996</v>
      </c>
      <c r="Q27" s="22"/>
      <c r="R27" s="46"/>
      <c r="S27" s="22"/>
      <c r="T27" s="22"/>
      <c r="U27" s="22"/>
      <c r="W27" s="2"/>
      <c r="X27" s="2"/>
    </row>
    <row r="28" spans="1:24">
      <c r="A28" s="162">
        <v>10</v>
      </c>
      <c r="B28" s="31" t="s">
        <v>44</v>
      </c>
      <c r="C28" s="161">
        <v>706</v>
      </c>
      <c r="D28" s="22">
        <v>500</v>
      </c>
      <c r="E28" s="22"/>
      <c r="F28" s="22">
        <v>1000</v>
      </c>
      <c r="G28" s="22"/>
      <c r="H28" s="22"/>
      <c r="I28" s="22"/>
      <c r="J28" s="22">
        <v>0</v>
      </c>
      <c r="K28" s="22"/>
      <c r="L28" s="22"/>
      <c r="M28" s="22"/>
      <c r="N28" s="22"/>
      <c r="O28" s="22"/>
      <c r="P28" s="22"/>
      <c r="Q28" s="22"/>
      <c r="R28" s="46">
        <f>C28+D28+E28+F28+G28+I28+J28+K28+L28+M28+N28+O28+P28</f>
        <v>2206</v>
      </c>
      <c r="S28" s="22">
        <f t="shared" si="0"/>
        <v>183.833333333333</v>
      </c>
      <c r="T28" s="22">
        <f>D29+E29+F29+G29+I29+J29+K29+L29+M29+N29+O29+P29</f>
        <v>122.36</v>
      </c>
      <c r="U28" s="22">
        <f>R28+T28</f>
        <v>2328.36</v>
      </c>
      <c r="W28" s="179"/>
      <c r="X28" s="2"/>
    </row>
    <row r="29" spans="1:24">
      <c r="A29" s="162"/>
      <c r="B29" s="31"/>
      <c r="C29" s="163" t="s">
        <v>152</v>
      </c>
      <c r="D29" s="22">
        <f>(C28+D28)*0.005</f>
        <v>6.03</v>
      </c>
      <c r="E29" s="22">
        <f>(C28+D28+E28)*0.005</f>
        <v>6.03</v>
      </c>
      <c r="F29" s="22">
        <f>(+C28+D28+E28+F28)*0.005</f>
        <v>11.03</v>
      </c>
      <c r="G29" s="22">
        <f>(C28+D28+E28+F28+G28)*0.005</f>
        <v>11.03</v>
      </c>
      <c r="H29" s="22"/>
      <c r="I29" s="22">
        <f>(C28+D28+E28+F28+G28+I28)*0.005</f>
        <v>11.03</v>
      </c>
      <c r="J29" s="22">
        <f>(C28+D28+E28+F28+G28+I28+J28)*0.005</f>
        <v>11.03</v>
      </c>
      <c r="K29" s="22">
        <f>(C28+D28+E28+F28+G28+I28+J28+K28)*0.005</f>
        <v>11.03</v>
      </c>
      <c r="L29" s="22">
        <f>(C28+D28+E28+F28+G28+I28+J28+K28+L28)*0.005</f>
        <v>11.03</v>
      </c>
      <c r="M29" s="22">
        <f>(C28+D28+E28+F28+G28+I28+J28+K28+L28+M28)*0.005</f>
        <v>11.03</v>
      </c>
      <c r="N29" s="22">
        <f>(C28+D28+E28+F28+G28+I28+J28+K28+L28+M28+N28)*0.005</f>
        <v>11.03</v>
      </c>
      <c r="O29" s="22">
        <f>(C28+D28+E28+F28+G28+I28+J28+K28+L28+M28+N28+O28)*0.005</f>
        <v>11.03</v>
      </c>
      <c r="P29" s="22">
        <f>(C28+D28+E28+F28+G28+I28+J28+K28+L28+M28+N28+O28+P28)*0.005</f>
        <v>11.03</v>
      </c>
      <c r="Q29" s="22"/>
      <c r="R29" s="46"/>
      <c r="S29" s="22"/>
      <c r="T29" s="22"/>
      <c r="U29" s="22"/>
      <c r="W29" s="2"/>
      <c r="X29" s="2"/>
    </row>
    <row r="30" spans="1:24" s="2" customFormat="1">
      <c r="A30" s="162">
        <v>11</v>
      </c>
      <c r="B30" s="20" t="s">
        <v>52</v>
      </c>
      <c r="C30" s="161">
        <v>492.64</v>
      </c>
      <c r="D30" s="25"/>
      <c r="E30" s="25"/>
      <c r="F30" s="22"/>
      <c r="G30" s="22"/>
      <c r="H30" s="22"/>
      <c r="I30" s="22"/>
      <c r="J30" s="22"/>
      <c r="K30" s="22">
        <v>0</v>
      </c>
      <c r="L30" s="22"/>
      <c r="M30" s="22"/>
      <c r="N30" s="22">
        <v>0</v>
      </c>
      <c r="O30" s="22"/>
      <c r="P30" s="22"/>
      <c r="Q30" s="22"/>
      <c r="R30" s="46">
        <f>C30+D30+E30+F30+G30+I30+J30+K30+L30+M30+N30+O30+P30</f>
        <v>492.64</v>
      </c>
      <c r="S30" s="22">
        <f t="shared" si="0"/>
        <v>41.053333333333299</v>
      </c>
      <c r="T30" s="22">
        <f>D31+E31+F31+G31+I31+J31+K31+L31+M31+N31+O31+P31</f>
        <v>29.558399999999999</v>
      </c>
      <c r="U30" s="22">
        <f>R30+T30</f>
        <v>522.19839999999999</v>
      </c>
      <c r="V30" s="178"/>
      <c r="W30" s="179"/>
    </row>
    <row r="31" spans="1:24" s="2" customFormat="1">
      <c r="A31" s="162"/>
      <c r="B31" s="20"/>
      <c r="C31" s="163" t="s">
        <v>152</v>
      </c>
      <c r="D31" s="22">
        <f>(C30+D30)*0.005</f>
        <v>2.4632000000000001</v>
      </c>
      <c r="E31" s="22">
        <f>(C30+D30+E30)*0.005</f>
        <v>2.4632000000000001</v>
      </c>
      <c r="F31" s="22">
        <f>(+C30+D30+E30+F30)*0.005</f>
        <v>2.4632000000000001</v>
      </c>
      <c r="G31" s="22">
        <f>(C30+D30+E30+F30+G30)*0.005</f>
        <v>2.4632000000000001</v>
      </c>
      <c r="H31" s="22"/>
      <c r="I31" s="22">
        <f>(C30+D30+E30+F30+G30+I30)*0.005</f>
        <v>2.4632000000000001</v>
      </c>
      <c r="J31" s="22">
        <f>(C30+D30+E30+F30+G30+I30+J30)*0.005</f>
        <v>2.4632000000000001</v>
      </c>
      <c r="K31" s="22">
        <f>(C30+D30+E30+F30+G30+I30+J30+K30)*0.005</f>
        <v>2.4632000000000001</v>
      </c>
      <c r="L31" s="22">
        <f>(C30+D30+E30+F30+G30+I30+J30+K30+L30)*0.005</f>
        <v>2.4632000000000001</v>
      </c>
      <c r="M31" s="22">
        <f>(C30+D30+E30+F30+G30+I30+J30+K30+L30+M30)*0.005</f>
        <v>2.4632000000000001</v>
      </c>
      <c r="N31" s="22">
        <f>(C30+D30+E30+F30+G30+I30+J30+K30+L30+M30+N30)*0.005</f>
        <v>2.4632000000000001</v>
      </c>
      <c r="O31" s="22">
        <f>(C30+D30+E30+F30+G30+I30+J30+K30+L30+M30+N30+O30)*0.005</f>
        <v>2.4632000000000001</v>
      </c>
      <c r="P31" s="22">
        <f>(C30+D30+E30+F30+G30+I30+J30+K30+L30+M30+N30+O30+P30)*0.005</f>
        <v>2.4632000000000001</v>
      </c>
      <c r="Q31" s="22"/>
      <c r="R31" s="46"/>
      <c r="S31" s="22"/>
      <c r="T31" s="22"/>
      <c r="U31" s="22"/>
      <c r="V31" s="178"/>
    </row>
    <row r="32" spans="1:24">
      <c r="A32" s="162">
        <v>12</v>
      </c>
      <c r="B32" s="27" t="s">
        <v>57</v>
      </c>
      <c r="C32" s="161">
        <v>318</v>
      </c>
      <c r="D32" s="22">
        <v>0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46">
        <f>C32+D32+E32+F32+G32+I32+J32+K32+L32+M32+N32+O32+P32</f>
        <v>318</v>
      </c>
      <c r="S32" s="22">
        <f t="shared" si="0"/>
        <v>26.5</v>
      </c>
      <c r="T32" s="22">
        <f>D33+E33+F33+G33+I33+J33+K33+L33+M33+N33+O33+P33</f>
        <v>19.079999999999998</v>
      </c>
      <c r="U32" s="22">
        <f>R32+T32</f>
        <v>337.08</v>
      </c>
      <c r="W32" s="2"/>
      <c r="X32" s="2"/>
    </row>
    <row r="33" spans="1:24" ht="12.75" customHeight="1">
      <c r="A33" s="162"/>
      <c r="B33" s="27"/>
      <c r="C33" s="163" t="s">
        <v>152</v>
      </c>
      <c r="D33" s="22">
        <f>(C32+D32)*0.005</f>
        <v>1.59</v>
      </c>
      <c r="E33" s="22">
        <f>(C32+D32+E32)*0.005</f>
        <v>1.59</v>
      </c>
      <c r="F33" s="22">
        <f>(+C32+D32+E32+F32)*0.005</f>
        <v>1.59</v>
      </c>
      <c r="G33" s="22">
        <f>(C32+D32+E32+F32+G32)*0.005</f>
        <v>1.59</v>
      </c>
      <c r="H33" s="22"/>
      <c r="I33" s="22">
        <f>(C32+D32+E32+F32+G32+I32)*0.005</f>
        <v>1.59</v>
      </c>
      <c r="J33" s="22">
        <f>(C32+D32+E32+F32+G32+I32+J32)*0.005</f>
        <v>1.59</v>
      </c>
      <c r="K33" s="22">
        <f>(C32+D32+E32+F32+G32+I32+J32+K32)*0.005</f>
        <v>1.59</v>
      </c>
      <c r="L33" s="22">
        <f>(C32+D32+E32+F32+G32+I32+J32+K32+L32)*0.005</f>
        <v>1.59</v>
      </c>
      <c r="M33" s="22">
        <f>(C32+D32+E32+F32+G32+I32+J32+K32+L32+M32)*0.005</f>
        <v>1.59</v>
      </c>
      <c r="N33" s="22">
        <f>(C32+D32+E32+F32+G32+I32+J32+K32+L32+M32+N32)*0.005</f>
        <v>1.59</v>
      </c>
      <c r="O33" s="22">
        <f>(C32+D32+E32+F32+G32+I32+J32+K32+L32+M32+N32+O32)*0.005</f>
        <v>1.59</v>
      </c>
      <c r="P33" s="22">
        <f>(C32+D32+E32+F32+G32+I32+J32+K32+L32+M32+N32+O32+P32)*0.005</f>
        <v>1.59</v>
      </c>
      <c r="Q33" s="22"/>
      <c r="R33" s="46"/>
      <c r="S33" s="22"/>
      <c r="T33" s="22"/>
      <c r="U33" s="22"/>
      <c r="W33" s="2"/>
      <c r="X33" s="2"/>
    </row>
    <row r="34" spans="1:24">
      <c r="A34" s="162">
        <v>13</v>
      </c>
      <c r="B34" s="20" t="s">
        <v>68</v>
      </c>
      <c r="C34" s="165">
        <v>456.26</v>
      </c>
      <c r="D34" s="22">
        <v>0</v>
      </c>
      <c r="E34" s="22">
        <v>0</v>
      </c>
      <c r="F34" s="22">
        <v>0</v>
      </c>
      <c r="G34" s="22"/>
      <c r="H34" s="22"/>
      <c r="I34" s="22"/>
      <c r="J34" s="45"/>
      <c r="K34" s="45"/>
      <c r="L34" s="45"/>
      <c r="M34" s="45">
        <v>0</v>
      </c>
      <c r="N34" s="45"/>
      <c r="O34" s="45"/>
      <c r="P34" s="22"/>
      <c r="Q34" s="22"/>
      <c r="R34" s="46">
        <f>C34+D34+E34+F34+G34+I34+J34+K34+L34+M34+N34+O34+P34</f>
        <v>456.26</v>
      </c>
      <c r="S34" s="22">
        <f>R34/12</f>
        <v>38.021666666666697</v>
      </c>
      <c r="T34" s="22">
        <f>D35+E35+F35+G35+I35+J35+K35+L35+M35+N35+O35+P35</f>
        <v>27.375599999999999</v>
      </c>
      <c r="U34" s="22">
        <f>R34+T34</f>
        <v>483.63560000000001</v>
      </c>
      <c r="W34" s="179"/>
      <c r="X34" s="2"/>
    </row>
    <row r="35" spans="1:24" ht="12.75" customHeight="1">
      <c r="A35" s="162"/>
      <c r="B35" s="20"/>
      <c r="C35" s="163" t="s">
        <v>152</v>
      </c>
      <c r="D35" s="22">
        <f>(C34+D34)*0.005</f>
        <v>2.2812999999999999</v>
      </c>
      <c r="E35" s="22">
        <f>(C34+D34+E34)*0.005</f>
        <v>2.2812999999999999</v>
      </c>
      <c r="F35" s="22">
        <f>(+C34+D34+E34+F34)*0.005</f>
        <v>2.2812999999999999</v>
      </c>
      <c r="G35" s="22">
        <f>(C34+D34+E34+F34+G34)*0.005</f>
        <v>2.2812999999999999</v>
      </c>
      <c r="H35" s="22"/>
      <c r="I35" s="22">
        <f>(C34+D34+E34+F34+G34+I34)*0.005</f>
        <v>2.2812999999999999</v>
      </c>
      <c r="J35" s="22">
        <f>(C34+D34+E34+F34+G34+I34+J34)*0.005</f>
        <v>2.2812999999999999</v>
      </c>
      <c r="K35" s="22">
        <f>(C34+D34+E34+F34+G34+I34+J34+K34)*0.005</f>
        <v>2.2812999999999999</v>
      </c>
      <c r="L35" s="22">
        <f>(C34+D34+E34+F34+G34+I34+J34+K34+L34)*0.005</f>
        <v>2.2812999999999999</v>
      </c>
      <c r="M35" s="22">
        <f>(C34+D34+E34+F34+G34+I34+J34+K34+L34+M34)*0.005</f>
        <v>2.2812999999999999</v>
      </c>
      <c r="N35" s="22">
        <f>(C34+D34+E34+F34+G34+I34+J34+K34+L34+M34+N34)*0.005</f>
        <v>2.2812999999999999</v>
      </c>
      <c r="O35" s="22">
        <f>(C34+D34+E34+F34+G34+I34+J34+K34+L34+M34+N34+O34)*0.005</f>
        <v>2.2812999999999999</v>
      </c>
      <c r="P35" s="22">
        <f>(C34+D34+E34+F34+G34+I34+J34+K34+L34+M34+N34+O34+P34)*0.005</f>
        <v>2.2812999999999999</v>
      </c>
      <c r="Q35" s="22"/>
      <c r="R35" s="46"/>
      <c r="S35" s="22"/>
      <c r="T35" s="22"/>
      <c r="U35" s="22"/>
      <c r="W35" s="2"/>
      <c r="X35" s="2"/>
    </row>
    <row r="36" spans="1:24">
      <c r="A36" s="162">
        <v>14</v>
      </c>
      <c r="B36" s="20" t="s">
        <v>69</v>
      </c>
      <c r="C36" s="165">
        <v>500.99</v>
      </c>
      <c r="D36" s="22">
        <v>0</v>
      </c>
      <c r="E36" s="22">
        <v>0</v>
      </c>
      <c r="F36" s="22">
        <v>0</v>
      </c>
      <c r="G36" s="22"/>
      <c r="H36" s="22"/>
      <c r="I36" s="22"/>
      <c r="J36" s="45"/>
      <c r="K36" s="45"/>
      <c r="L36" s="45"/>
      <c r="M36" s="45">
        <v>0</v>
      </c>
      <c r="N36" s="45"/>
      <c r="O36" s="45"/>
      <c r="P36" s="22">
        <v>400</v>
      </c>
      <c r="Q36" s="22"/>
      <c r="R36" s="46">
        <f>C36+D36+E36+F36+G36+I36+J36+K36+L36+M36+N36+O36+P36</f>
        <v>900.99</v>
      </c>
      <c r="S36" s="22">
        <f>R36/12</f>
        <v>75.082499999999996</v>
      </c>
      <c r="T36" s="22">
        <f>D37+E37+F37+G37+I37+J37+K37+L37+M37+N37+O37+P37</f>
        <v>32.059399999999997</v>
      </c>
      <c r="U36" s="22">
        <f>R36+T36</f>
        <v>933.04939999999999</v>
      </c>
      <c r="W36" s="179"/>
    </row>
    <row r="37" spans="1:24" ht="12.75" customHeight="1">
      <c r="A37" s="162"/>
      <c r="B37" s="20"/>
      <c r="C37" s="163" t="s">
        <v>152</v>
      </c>
      <c r="D37" s="22">
        <f>(C36+D36)*0.005</f>
        <v>2.50495</v>
      </c>
      <c r="E37" s="22">
        <f>(C36+D36+E36)*0.005</f>
        <v>2.50495</v>
      </c>
      <c r="F37" s="22">
        <f>(+C36+D36+E36+F36)*0.005</f>
        <v>2.50495</v>
      </c>
      <c r="G37" s="22">
        <f>(C36+D36+E36+F36+G36)*0.005</f>
        <v>2.50495</v>
      </c>
      <c r="H37" s="22"/>
      <c r="I37" s="22">
        <f>(C36+D36+E36+F36+G36+I36)*0.005</f>
        <v>2.50495</v>
      </c>
      <c r="J37" s="22">
        <f>(C36+D36+E36+F36+G36+I36+J36)*0.005</f>
        <v>2.50495</v>
      </c>
      <c r="K37" s="22">
        <f>(C36+D36+E36+F36+G36+I36+J36+K36)*0.005</f>
        <v>2.50495</v>
      </c>
      <c r="L37" s="22">
        <f>(C36+D36+E36+F36+G36+I36+J36+K36+L36)*0.005</f>
        <v>2.50495</v>
      </c>
      <c r="M37" s="22">
        <f>(C36+D36+E36+F36+G36+I36+J36+K36+L36+M36)*0.005</f>
        <v>2.50495</v>
      </c>
      <c r="N37" s="22">
        <f>(C36+D36+E36+F36+G36+I36+J36+K36+L36+M36+N36)*0.005</f>
        <v>2.50495</v>
      </c>
      <c r="O37" s="22">
        <f>(C36+D36+E36+F36+G36+I36+J36+K36+L36+M36+N36+O36)*0.005</f>
        <v>2.50495</v>
      </c>
      <c r="P37" s="22">
        <f>(C36+D36+E36+F36+G36+I36+J36+K36+L36+M36+N36+O36+P36)*0.005</f>
        <v>4.50495</v>
      </c>
      <c r="Q37" s="22"/>
      <c r="R37" s="46"/>
      <c r="S37" s="22"/>
      <c r="T37" s="22"/>
      <c r="U37" s="22"/>
      <c r="W37" s="2"/>
    </row>
    <row r="38" spans="1:24">
      <c r="A38" s="162">
        <v>15</v>
      </c>
      <c r="B38" s="20" t="s">
        <v>70</v>
      </c>
      <c r="C38" s="165">
        <v>534.24</v>
      </c>
      <c r="D38" s="22">
        <v>0</v>
      </c>
      <c r="E38" s="22">
        <v>0</v>
      </c>
      <c r="F38" s="22">
        <v>0</v>
      </c>
      <c r="G38" s="22">
        <v>0</v>
      </c>
      <c r="H38" s="22"/>
      <c r="I38" s="22"/>
      <c r="J38" s="45"/>
      <c r="K38" s="45"/>
      <c r="L38" s="45"/>
      <c r="M38" s="45">
        <v>0</v>
      </c>
      <c r="N38" s="45"/>
      <c r="O38" s="45"/>
      <c r="P38" s="22"/>
      <c r="Q38" s="22"/>
      <c r="R38" s="46">
        <f>C38+D38+E38+F38+G38+I38+J38+K38+L38+M38+N38+O38+P38</f>
        <v>534.24</v>
      </c>
      <c r="S38" s="22">
        <f>R38/12</f>
        <v>44.52</v>
      </c>
      <c r="T38" s="22">
        <f>D39+E39+F39+G39+I39+J39+K39+L39+M39+N39+O39+P39</f>
        <v>32.054400000000001</v>
      </c>
      <c r="U38" s="22">
        <f>R38+T38</f>
        <v>566.2944</v>
      </c>
      <c r="W38" s="179"/>
    </row>
    <row r="39" spans="1:24" ht="12.75" customHeight="1">
      <c r="A39" s="162"/>
      <c r="B39" s="20"/>
      <c r="C39" s="163" t="s">
        <v>152</v>
      </c>
      <c r="D39" s="22">
        <f>(C38+D38)*0.005</f>
        <v>2.6711999999999998</v>
      </c>
      <c r="E39" s="22">
        <f>(C38+D38+E38)*0.005</f>
        <v>2.6711999999999998</v>
      </c>
      <c r="F39" s="22">
        <f>(+C38+D38+E38+F38)*0.005</f>
        <v>2.6711999999999998</v>
      </c>
      <c r="G39" s="22">
        <f>(C38+D38+E38+F38+G38)*0.005</f>
        <v>2.6711999999999998</v>
      </c>
      <c r="H39" s="22"/>
      <c r="I39" s="22">
        <f>(C38+D38+E38+F38+G38+I38)*0.005</f>
        <v>2.6711999999999998</v>
      </c>
      <c r="J39" s="22">
        <f>(C38+D38+E38+F38+G38+I38+J38)*0.005</f>
        <v>2.6711999999999998</v>
      </c>
      <c r="K39" s="22">
        <f>(C38+D38+E38+F38+G38+I38+J38+K38)*0.005</f>
        <v>2.6711999999999998</v>
      </c>
      <c r="L39" s="22">
        <f>(C38+D38+E38+F38+G38+I38+J38+K38+L38)*0.005</f>
        <v>2.6711999999999998</v>
      </c>
      <c r="M39" s="22">
        <f>(C38+D38+E38+F38+G38+I38+J38+K38+L38+M38)*0.005</f>
        <v>2.6711999999999998</v>
      </c>
      <c r="N39" s="22">
        <f>(C38+D38+E38+F38+G38+I38+J38+K38+L38+M38+N38)*0.005</f>
        <v>2.6711999999999998</v>
      </c>
      <c r="O39" s="22">
        <f>(C38+D38+E38+F38+G38+I38+J38+K38+L38+M38+N38+O38)*0.005</f>
        <v>2.6711999999999998</v>
      </c>
      <c r="P39" s="22">
        <f>(C38+D38+E38+F38+G38+I38+J38+K38+L38+M38+N38+O38+P38)*0.005</f>
        <v>2.6711999999999998</v>
      </c>
      <c r="Q39" s="22"/>
      <c r="R39" s="46"/>
      <c r="S39" s="22"/>
      <c r="T39" s="22"/>
      <c r="U39" s="22"/>
      <c r="W39" s="2"/>
    </row>
    <row r="40" spans="1:24" ht="12.75" customHeight="1">
      <c r="A40" s="162">
        <v>16</v>
      </c>
      <c r="B40" s="20" t="s">
        <v>71</v>
      </c>
      <c r="C40" s="165">
        <v>859.23</v>
      </c>
      <c r="D40" s="22">
        <v>0</v>
      </c>
      <c r="E40" s="22">
        <v>0</v>
      </c>
      <c r="F40" s="22">
        <v>0</v>
      </c>
      <c r="G40" s="22">
        <v>0</v>
      </c>
      <c r="H40" s="22"/>
      <c r="I40" s="22">
        <v>0</v>
      </c>
      <c r="J40" s="45"/>
      <c r="K40" s="45"/>
      <c r="L40" s="45"/>
      <c r="M40" s="45">
        <v>0</v>
      </c>
      <c r="N40" s="45"/>
      <c r="O40" s="45"/>
      <c r="P40" s="22"/>
      <c r="Q40" s="22"/>
      <c r="R40" s="46">
        <f>C40+D40+E40+F40+G40+I40+J40+K40+L40+M40+N40+O40+P40</f>
        <v>859.23</v>
      </c>
      <c r="S40" s="22">
        <f>R40/12</f>
        <v>71.602500000000006</v>
      </c>
      <c r="T40" s="22">
        <f>D41+E41+F41+G41+I41+J41+K41+L41+M41+N41+O41+P41</f>
        <v>51.553800000000003</v>
      </c>
      <c r="U40" s="22">
        <f>R40+T40</f>
        <v>910.78380000000004</v>
      </c>
      <c r="W40" s="179"/>
    </row>
    <row r="41" spans="1:24" ht="12.75" customHeight="1">
      <c r="A41" s="166"/>
      <c r="B41" s="36"/>
      <c r="C41" s="167" t="s">
        <v>152</v>
      </c>
      <c r="D41" s="38">
        <f>(C40+D40)*0.005</f>
        <v>4.2961499999999999</v>
      </c>
      <c r="E41" s="38">
        <f>(C40+D40+E40)*0.005</f>
        <v>4.2961499999999999</v>
      </c>
      <c r="F41" s="38">
        <f>(+C40+D40+E40+F40)*0.005</f>
        <v>4.2961499999999999</v>
      </c>
      <c r="G41" s="38">
        <f>(C40+D40+E40+F40+G40)*0.005</f>
        <v>4.2961499999999999</v>
      </c>
      <c r="H41" s="38"/>
      <c r="I41" s="38">
        <f>(C40+D40+E40+F40+G40+I40)*0.005</f>
        <v>4.2961499999999999</v>
      </c>
      <c r="J41" s="38">
        <f>(C40+D40+E40+F40+G40+I40+J40)*0.005</f>
        <v>4.2961499999999999</v>
      </c>
      <c r="K41" s="38">
        <f>(C40+D40+E40+F40+G40+I40+J40+K40)*0.005</f>
        <v>4.2961499999999999</v>
      </c>
      <c r="L41" s="38">
        <f>(C40+D40+E40+F40+G40+I40+J40+K40+L40)*0.005</f>
        <v>4.2961499999999999</v>
      </c>
      <c r="M41" s="38">
        <f>(C40+D40+E40+F40+G40+I40+J40+K40+L40+M40)*0.005</f>
        <v>4.2961499999999999</v>
      </c>
      <c r="N41" s="38">
        <f>(C40+D40+E40+F40+G40+I40+J40+K40+L40+M40+N40)*0.005</f>
        <v>4.2961499999999999</v>
      </c>
      <c r="O41" s="38">
        <f>(C40+D40+E40+F40+G40+I40+J40+K40+L40+M40+N40+O40)*0.005</f>
        <v>4.2961499999999999</v>
      </c>
      <c r="P41" s="38">
        <f>(C40+D40+E40+F40+G40+I40+J40+K40+L40+M40+N40+O40+P40)*0.005</f>
        <v>4.2961499999999999</v>
      </c>
      <c r="Q41" s="38"/>
      <c r="R41" s="108"/>
      <c r="S41" s="38"/>
      <c r="T41" s="38"/>
      <c r="U41" s="38"/>
      <c r="W41" s="2"/>
    </row>
    <row r="42" spans="1:24" ht="12.75" customHeight="1">
      <c r="A42" s="168"/>
      <c r="B42" s="16"/>
      <c r="C42" s="155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74"/>
      <c r="S42" s="169"/>
      <c r="T42" s="169"/>
      <c r="U42" s="175" t="s">
        <v>166</v>
      </c>
      <c r="W42" s="2"/>
    </row>
    <row r="43" spans="1:24">
      <c r="A43" s="170"/>
      <c r="B43" s="36"/>
      <c r="C43" s="171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76"/>
      <c r="S43" s="148"/>
      <c r="T43" s="148"/>
      <c r="U43" s="148"/>
      <c r="W43" s="2"/>
    </row>
    <row r="44" spans="1:24" ht="4.5" customHeight="1">
      <c r="A44" s="162"/>
      <c r="B44" s="20"/>
      <c r="C44" s="76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46"/>
      <c r="S44" s="22"/>
      <c r="T44" s="22"/>
      <c r="U44" s="22"/>
      <c r="W44" s="2"/>
    </row>
    <row r="45" spans="1:24">
      <c r="A45" s="162">
        <v>17</v>
      </c>
      <c r="B45" s="20" t="s">
        <v>73</v>
      </c>
      <c r="C45" s="165">
        <v>252.75</v>
      </c>
      <c r="D45" s="22"/>
      <c r="E45" s="22"/>
      <c r="F45" s="22"/>
      <c r="G45" s="22"/>
      <c r="H45" s="22"/>
      <c r="I45" s="22"/>
      <c r="J45" s="22">
        <v>0</v>
      </c>
      <c r="K45" s="22"/>
      <c r="L45" s="22"/>
      <c r="M45" s="22"/>
      <c r="N45" s="22"/>
      <c r="O45" s="22">
        <v>0</v>
      </c>
      <c r="P45" s="22"/>
      <c r="Q45" s="22"/>
      <c r="R45" s="46">
        <f>C45+D45+E45+F45+G45+I45+J45+K45+L45+M45+N45+O45+P45</f>
        <v>252.75</v>
      </c>
      <c r="S45" s="22">
        <f t="shared" ref="S45:S67" si="2">R45/12</f>
        <v>21.0625</v>
      </c>
      <c r="T45" s="22">
        <f>D46+E46+F46+G46+I46+J46+K46+L46+M46+N46+O46+P46</f>
        <v>15.164999999999999</v>
      </c>
      <c r="U45" s="22">
        <f>R45+T45</f>
        <v>267.91500000000002</v>
      </c>
      <c r="W45" s="179"/>
    </row>
    <row r="46" spans="1:24">
      <c r="A46" s="162"/>
      <c r="B46" s="20"/>
      <c r="C46" s="163" t="s">
        <v>152</v>
      </c>
      <c r="D46" s="22">
        <f>(C45+D45)*0.005</f>
        <v>1.2637499999999999</v>
      </c>
      <c r="E46" s="22">
        <f>(C45+D45+E45)*0.005</f>
        <v>1.2637499999999999</v>
      </c>
      <c r="F46" s="22">
        <f>(+C45+D45+E45+F45)*0.005</f>
        <v>1.2637499999999999</v>
      </c>
      <c r="G46" s="22">
        <f>(C45+D45+E45+F45+G45)*0.005</f>
        <v>1.2637499999999999</v>
      </c>
      <c r="H46" s="22"/>
      <c r="I46" s="22">
        <f>(C45+D45+E45+F45+G45+I45)*0.005</f>
        <v>1.2637499999999999</v>
      </c>
      <c r="J46" s="22">
        <f>(C45+D45+E45+F45+G45+I45+J45)*0.005</f>
        <v>1.2637499999999999</v>
      </c>
      <c r="K46" s="22">
        <f>(C45+D45+E45+F45+G45+I45+J45+K45)*0.005</f>
        <v>1.2637499999999999</v>
      </c>
      <c r="L46" s="22">
        <f>(C45+D45+E45+F45+G45+I45+J45+K45+L45)*0.005</f>
        <v>1.2637499999999999</v>
      </c>
      <c r="M46" s="22">
        <f>(C45+D45+E45+F45+G45+I45+J45+K45+L45+M45)*0.005</f>
        <v>1.2637499999999999</v>
      </c>
      <c r="N46" s="22">
        <f>(C45+D45+E45+F45+G45+I45+J45+K45+L45+M45+N45)*0.005</f>
        <v>1.2637499999999999</v>
      </c>
      <c r="O46" s="22">
        <f>(C45+D45+E45+F45+G45+I45+J45+K45+L45+M45+N45+O45)*0.005</f>
        <v>1.2637499999999999</v>
      </c>
      <c r="P46" s="22">
        <f>(C45+D45+E45+F45+G45+I45+J45+K45+L45+M45+N45+O45+P45)*0.005</f>
        <v>1.2637499999999999</v>
      </c>
      <c r="Q46" s="22"/>
      <c r="R46" s="46"/>
      <c r="S46" s="22"/>
      <c r="T46" s="22"/>
      <c r="U46" s="22"/>
      <c r="W46" s="2"/>
    </row>
    <row r="47" spans="1:24">
      <c r="A47" s="162">
        <v>18</v>
      </c>
      <c r="B47" s="20" t="s">
        <v>74</v>
      </c>
      <c r="C47" s="165">
        <v>991.75</v>
      </c>
      <c r="D47" s="22"/>
      <c r="E47" s="22">
        <v>0</v>
      </c>
      <c r="F47" s="22">
        <v>0</v>
      </c>
      <c r="G47" s="22">
        <v>0</v>
      </c>
      <c r="H47" s="22"/>
      <c r="I47" s="22">
        <v>0</v>
      </c>
      <c r="J47" s="22">
        <v>0</v>
      </c>
      <c r="K47" s="22">
        <v>415</v>
      </c>
      <c r="L47" s="22"/>
      <c r="M47" s="22"/>
      <c r="N47" s="22"/>
      <c r="O47" s="22"/>
      <c r="P47" s="22"/>
      <c r="Q47" s="22"/>
      <c r="R47" s="46">
        <f>C47+D47+E47+F47+G47+I47+J47+K47+L47+M47+N47+O47+P47</f>
        <v>1406.75</v>
      </c>
      <c r="S47" s="22">
        <f t="shared" si="2"/>
        <v>117.229166666667</v>
      </c>
      <c r="T47" s="22">
        <f>D48+E48+F48+G48+I48+J48+K48+L48+M48+N48+O48+P48</f>
        <v>71.954999999999998</v>
      </c>
      <c r="U47" s="22">
        <f>R47+T47</f>
        <v>1478.7049999999999</v>
      </c>
      <c r="W47" s="179"/>
    </row>
    <row r="48" spans="1:24">
      <c r="A48" s="162"/>
      <c r="B48" s="20"/>
      <c r="C48" s="163" t="s">
        <v>152</v>
      </c>
      <c r="D48" s="22">
        <f>(C47+D47)*0.005</f>
        <v>4.9587500000000002</v>
      </c>
      <c r="E48" s="22">
        <f>(C47+D47+E47)*0.005</f>
        <v>4.9587500000000002</v>
      </c>
      <c r="F48" s="22">
        <f>(+C47+D47+E47+F47)*0.005</f>
        <v>4.9587500000000002</v>
      </c>
      <c r="G48" s="22">
        <f>(C47+D47+E47+F47+G47)*0.005</f>
        <v>4.9587500000000002</v>
      </c>
      <c r="H48" s="22"/>
      <c r="I48" s="22">
        <f>(C47+D47+E47+F47+G47+I47)*0.005</f>
        <v>4.9587500000000002</v>
      </c>
      <c r="J48" s="22">
        <f>(C47+D47+E47+F47+G47+I47+J47)*0.005</f>
        <v>4.9587500000000002</v>
      </c>
      <c r="K48" s="22">
        <f>(C47+D47+E47+F47+G47+I47+J47+K47)*0.005</f>
        <v>7.0337500000000004</v>
      </c>
      <c r="L48" s="22">
        <f>(C47+D47+E47+F47+G47+I47+J47+K47+L47)*0.005</f>
        <v>7.0337500000000004</v>
      </c>
      <c r="M48" s="22">
        <f>(C47+D47+E47+F47+G47+I47+J47+K47+L47+M47)*0.005</f>
        <v>7.0337500000000004</v>
      </c>
      <c r="N48" s="22">
        <f>(C47+D47+E47+F47+G47+I47+J47+K47+L47+M47+N47)*0.005</f>
        <v>7.0337500000000004</v>
      </c>
      <c r="O48" s="22">
        <f>(C47+D47+E47+F47+G47+I47+J47+K47+L47+M47+N47+O47)*0.005</f>
        <v>7.0337500000000004</v>
      </c>
      <c r="P48" s="22">
        <f>(C47+D47+E47+F47+G47+I47+J47+K47+L47+M47+N47+O47+P47)*0.005</f>
        <v>7.0337500000000004</v>
      </c>
      <c r="Q48" s="22"/>
      <c r="R48" s="46"/>
      <c r="S48" s="22"/>
      <c r="T48" s="22"/>
      <c r="U48" s="22"/>
      <c r="W48" s="2"/>
    </row>
    <row r="49" spans="1:23">
      <c r="A49" s="162">
        <v>19</v>
      </c>
      <c r="B49" s="20" t="s">
        <v>80</v>
      </c>
      <c r="C49" s="165">
        <v>52.25</v>
      </c>
      <c r="D49" s="22"/>
      <c r="E49" s="22"/>
      <c r="F49" s="22"/>
      <c r="G49" s="22">
        <v>0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46">
        <f>C49+D49+E49+F49+G49+I49+J49+K49+L49+M49+N49+O49+P49</f>
        <v>52.25</v>
      </c>
      <c r="S49" s="22">
        <f t="shared" si="2"/>
        <v>4.3541666666666696</v>
      </c>
      <c r="T49" s="22">
        <f>D50+E50+F50+G50+I50+J50+K50+L50+M50+N50+O50+P50</f>
        <v>3.1349999999999998</v>
      </c>
      <c r="U49" s="22">
        <f>R49+T49</f>
        <v>55.384999999999998</v>
      </c>
      <c r="W49" s="179"/>
    </row>
    <row r="50" spans="1:23">
      <c r="A50" s="162"/>
      <c r="B50" s="20"/>
      <c r="C50" s="163" t="s">
        <v>152</v>
      </c>
      <c r="D50" s="22">
        <f>(C49+D49)*0.005</f>
        <v>0.26124999999999998</v>
      </c>
      <c r="E50" s="22">
        <f>(C49+D49+E49)*0.005</f>
        <v>0.26124999999999998</v>
      </c>
      <c r="F50" s="22">
        <f>(+C49+D49+E49+F49)*0.005</f>
        <v>0.26124999999999998</v>
      </c>
      <c r="G50" s="22">
        <f>(C49+D49+E49+F49+G49)*0.005</f>
        <v>0.26124999999999998</v>
      </c>
      <c r="H50" s="22"/>
      <c r="I50" s="22">
        <f>(C49+D49+E49+F49+G49+I49)*0.005</f>
        <v>0.26124999999999998</v>
      </c>
      <c r="J50" s="22">
        <f>(C49+D49+E49+F49+G49+I49+J49)*0.005</f>
        <v>0.26124999999999998</v>
      </c>
      <c r="K50" s="22">
        <f>(C49+D49+E49+F49+G49+I49+J49+K49)*0.005</f>
        <v>0.26124999999999998</v>
      </c>
      <c r="L50" s="22">
        <f>(C49+D49+E49+F49+G49+I49+J49+K49+L49)*0.005</f>
        <v>0.26124999999999998</v>
      </c>
      <c r="M50" s="22">
        <f>(C49+D49+E49+F49+G49+I49+J49+K49+L49+M49)*0.005</f>
        <v>0.26124999999999998</v>
      </c>
      <c r="N50" s="22">
        <f>(C49+D49+E49+F49+G49+I49+J49+K49+L49+M49+N49)*0.005</f>
        <v>0.26124999999999998</v>
      </c>
      <c r="O50" s="22">
        <f>(C49+D49+E49+F49+G49+I49+J49+K49+L49+M49+N49+O49)*0.005</f>
        <v>0.26124999999999998</v>
      </c>
      <c r="P50" s="22">
        <f>(C49+D49+E49+F49+G49+I49+J49+K49+L49+M49+N49+O49+P49)*0.005</f>
        <v>0.26124999999999998</v>
      </c>
      <c r="Q50" s="22"/>
      <c r="R50" s="46"/>
      <c r="S50" s="22"/>
      <c r="T50" s="22"/>
      <c r="U50" s="22"/>
      <c r="W50" s="2"/>
    </row>
    <row r="51" spans="1:23">
      <c r="A51" s="162">
        <v>20</v>
      </c>
      <c r="B51" s="70" t="s">
        <v>82</v>
      </c>
      <c r="C51" s="165">
        <v>1517.25</v>
      </c>
      <c r="D51" s="22"/>
      <c r="E51" s="22"/>
      <c r="F51" s="22">
        <v>0</v>
      </c>
      <c r="G51" s="22">
        <v>0</v>
      </c>
      <c r="H51" s="22"/>
      <c r="I51" s="22">
        <v>0</v>
      </c>
      <c r="J51" s="22">
        <v>0</v>
      </c>
      <c r="K51" s="22">
        <v>0</v>
      </c>
      <c r="L51" s="22"/>
      <c r="M51" s="22"/>
      <c r="N51" s="22"/>
      <c r="O51" s="22"/>
      <c r="P51" s="22"/>
      <c r="Q51" s="22"/>
      <c r="R51" s="46">
        <f>C51+D51+E51+F51+G51+I51+J51+K51+L51+M51+N51+O51+P51</f>
        <v>1517.25</v>
      </c>
      <c r="S51" s="22">
        <f t="shared" si="2"/>
        <v>126.4375</v>
      </c>
      <c r="T51" s="22">
        <f>D52+E52+F52+G52+I52+J52+K52+L52+M52+N52+O52+P52</f>
        <v>91.034999999999997</v>
      </c>
      <c r="U51" s="22">
        <f>R51+T51</f>
        <v>1608.2850000000001</v>
      </c>
      <c r="W51" s="179"/>
    </row>
    <row r="52" spans="1:23">
      <c r="A52" s="162"/>
      <c r="B52" s="70"/>
      <c r="C52" s="163" t="s">
        <v>152</v>
      </c>
      <c r="D52" s="22">
        <f>(C51+D51)*0.005</f>
        <v>7.5862499999999997</v>
      </c>
      <c r="E52" s="22">
        <f>(C51+D51+E51)*0.005</f>
        <v>7.5862499999999997</v>
      </c>
      <c r="F52" s="22">
        <f>(+C51+D51+E51+F51)*0.005</f>
        <v>7.5862499999999997</v>
      </c>
      <c r="G52" s="22">
        <f>(C51+D51+E51+F51+G51)*0.005</f>
        <v>7.5862499999999997</v>
      </c>
      <c r="H52" s="22"/>
      <c r="I52" s="22">
        <f>(C51+D51+E51+F51+G51+I51)*0.005</f>
        <v>7.5862499999999997</v>
      </c>
      <c r="J52" s="22">
        <f>(C51+D51+E51+F51+G51+I51+J51)*0.005</f>
        <v>7.5862499999999997</v>
      </c>
      <c r="K52" s="22">
        <f>(C51+D51+E51+F51+G51+I51+J51+K51)*0.005</f>
        <v>7.5862499999999997</v>
      </c>
      <c r="L52" s="22">
        <f>(C51+D51+E51+F51+G51+I51+J51+K51+L51)*0.005</f>
        <v>7.5862499999999997</v>
      </c>
      <c r="M52" s="22">
        <f>(C51+D51+E51+F51+G51+I51+J51+K51+L51+M51)*0.005</f>
        <v>7.5862499999999997</v>
      </c>
      <c r="N52" s="22">
        <f>(C51+D51+E51+F51+G51+I51+J51+K51+L51+M51+N51)*0.005</f>
        <v>7.5862499999999997</v>
      </c>
      <c r="O52" s="22">
        <f>(C51+D51+E51+F51+G51+I51+J51+K51+L51+M51+N51+O51)*0.005</f>
        <v>7.5862499999999997</v>
      </c>
      <c r="P52" s="22">
        <f>(C51+D51+E51+F51+G51+I51+J51+K51+L51+M51+N51+O51+P51)*0.005</f>
        <v>7.5862499999999997</v>
      </c>
      <c r="Q52" s="22"/>
      <c r="R52" s="46"/>
      <c r="S52" s="22"/>
      <c r="T52" s="22"/>
      <c r="U52" s="22"/>
      <c r="W52" s="2"/>
    </row>
    <row r="53" spans="1:23">
      <c r="A53" s="162">
        <v>21</v>
      </c>
      <c r="B53" s="70" t="s">
        <v>83</v>
      </c>
      <c r="C53" s="165">
        <v>207.75</v>
      </c>
      <c r="D53" s="22"/>
      <c r="E53" s="22"/>
      <c r="F53" s="22">
        <v>0</v>
      </c>
      <c r="G53" s="22">
        <v>0</v>
      </c>
      <c r="H53" s="22"/>
      <c r="I53" s="22">
        <v>0</v>
      </c>
      <c r="J53" s="22">
        <v>0</v>
      </c>
      <c r="K53" s="22">
        <v>0</v>
      </c>
      <c r="L53" s="22"/>
      <c r="M53" s="22"/>
      <c r="N53" s="22"/>
      <c r="O53" s="22"/>
      <c r="P53" s="22"/>
      <c r="Q53" s="22"/>
      <c r="R53" s="46">
        <f>C53+D53+E53+F53+G53+I53+J53+K53+L53+M53+N53+O53+P53</f>
        <v>207.75</v>
      </c>
      <c r="S53" s="22">
        <f t="shared" si="2"/>
        <v>17.3125</v>
      </c>
      <c r="T53" s="22">
        <f>D54+E54+F54+G54+I54+J54+K54+L54+M54+N54+O54+P54</f>
        <v>12.465</v>
      </c>
      <c r="U53" s="22">
        <f>R53+T53</f>
        <v>220.215</v>
      </c>
      <c r="W53" s="179"/>
    </row>
    <row r="54" spans="1:23">
      <c r="A54" s="162"/>
      <c r="B54" s="70"/>
      <c r="C54" s="163" t="s">
        <v>152</v>
      </c>
      <c r="D54" s="22">
        <f>(C53+D53)*0.005</f>
        <v>1.0387500000000001</v>
      </c>
      <c r="E54" s="22">
        <f>(C53+D53+E53)*0.005</f>
        <v>1.0387500000000001</v>
      </c>
      <c r="F54" s="22">
        <f>(+C53+D53+E53+F53)*0.005</f>
        <v>1.0387500000000001</v>
      </c>
      <c r="G54" s="22">
        <f>(C53+D53+E53+F53+G53)*0.005</f>
        <v>1.0387500000000001</v>
      </c>
      <c r="H54" s="22"/>
      <c r="I54" s="22">
        <f>(C53+D53+E53+F53+G53+I53)*0.005</f>
        <v>1.0387500000000001</v>
      </c>
      <c r="J54" s="22">
        <f>(C53+D53+E53+F53+G53+I53+J53)*0.005</f>
        <v>1.0387500000000001</v>
      </c>
      <c r="K54" s="22">
        <f>(C53+D53+E53+F53+G53+I53+J53+K53)*0.005</f>
        <v>1.0387500000000001</v>
      </c>
      <c r="L54" s="22">
        <f>(C53+D53+E53+F53+G53+I53+J53+K53+L53)*0.005</f>
        <v>1.0387500000000001</v>
      </c>
      <c r="M54" s="22">
        <f>(C53+D53+E53+F53+G53+I53+J53+K53+L53+M53)*0.005</f>
        <v>1.0387500000000001</v>
      </c>
      <c r="N54" s="22">
        <f>(C53+D53+E53+F53+G53+I53+J53+K53+L53+M53+N53)*0.005</f>
        <v>1.0387500000000001</v>
      </c>
      <c r="O54" s="22">
        <f>(C53+D53+E53+F53+G53+I53+J53+K53+L53+M53+N53+O53)*0.005</f>
        <v>1.0387500000000001</v>
      </c>
      <c r="P54" s="22">
        <f>(C53+D53+E53+F53+G53+I53+J53+K53+L53+M53+N53+O53+P53)*0.005</f>
        <v>1.0387500000000001</v>
      </c>
      <c r="Q54" s="22"/>
      <c r="R54" s="46"/>
      <c r="S54" s="22"/>
      <c r="T54" s="22"/>
      <c r="U54" s="22"/>
      <c r="W54" s="2"/>
    </row>
    <row r="55" spans="1:23">
      <c r="A55" s="162">
        <v>22</v>
      </c>
      <c r="B55" s="70" t="s">
        <v>85</v>
      </c>
      <c r="C55" s="165">
        <v>309.5</v>
      </c>
      <c r="D55" s="22"/>
      <c r="E55" s="22"/>
      <c r="F55" s="22"/>
      <c r="G55" s="22"/>
      <c r="H55" s="22"/>
      <c r="I55" s="22"/>
      <c r="J55" s="22">
        <v>0</v>
      </c>
      <c r="K55" s="22">
        <v>0</v>
      </c>
      <c r="L55" s="22"/>
      <c r="M55" s="22"/>
      <c r="N55" s="22"/>
      <c r="O55" s="22"/>
      <c r="P55" s="22"/>
      <c r="Q55" s="22"/>
      <c r="R55" s="46">
        <f>C55+D55+E55+F55+G55+I55+J55+K55+L55+M55+N55+O55+P55</f>
        <v>309.5</v>
      </c>
      <c r="S55" s="22">
        <f t="shared" si="2"/>
        <v>25.7916666666667</v>
      </c>
      <c r="T55" s="22">
        <f>D56+E56+F56+G56+I56+J56+K56+L56+M56+N56+O56+P56</f>
        <v>18.57</v>
      </c>
      <c r="U55" s="22">
        <f>R55+T55</f>
        <v>328.07</v>
      </c>
      <c r="W55" s="179"/>
    </row>
    <row r="56" spans="1:23">
      <c r="A56" s="162"/>
      <c r="B56" s="70"/>
      <c r="C56" s="163" t="s">
        <v>152</v>
      </c>
      <c r="D56" s="22">
        <f>(C55+D55)*0.005</f>
        <v>1.5475000000000001</v>
      </c>
      <c r="E56" s="22">
        <f>(C55+D55+E55)*0.005</f>
        <v>1.5475000000000001</v>
      </c>
      <c r="F56" s="22">
        <f>(+C55+D55+E55+F55)*0.005</f>
        <v>1.5475000000000001</v>
      </c>
      <c r="G56" s="22">
        <f>(C55+D55+E55+F55+G55)*0.005</f>
        <v>1.5475000000000001</v>
      </c>
      <c r="H56" s="22"/>
      <c r="I56" s="22">
        <f>(C55+D55+E55+F55+G55+I55)*0.005</f>
        <v>1.5475000000000001</v>
      </c>
      <c r="J56" s="22">
        <f>(C55+D55+E55+F55+G55+I55+J55)*0.005</f>
        <v>1.5475000000000001</v>
      </c>
      <c r="K56" s="22">
        <f>(C55+D55+E55+F55+G55+I55+J55+K55)*0.005</f>
        <v>1.5475000000000001</v>
      </c>
      <c r="L56" s="22">
        <f>(C55+D55+E55+F55+G55+I55+J55+K55+L55)*0.005</f>
        <v>1.5475000000000001</v>
      </c>
      <c r="M56" s="22">
        <f>(C55+D55+E55+F55+G55+I55+J55+K55+L55+M55)*0.005</f>
        <v>1.5475000000000001</v>
      </c>
      <c r="N56" s="22">
        <f>(C55+D55+E55+F55+G55+I55+J55+K55+L55+M55+N55)*0.005</f>
        <v>1.5475000000000001</v>
      </c>
      <c r="O56" s="22">
        <f>(C55+D55+E55+F55+G55+I55+J55+K55+L55+M55+N55+O55)*0.005</f>
        <v>1.5475000000000001</v>
      </c>
      <c r="P56" s="22">
        <f>(C55+D55+E55+F55+G55+I55+J55+K55+L55+M55+N55+O55+P55)*0.005</f>
        <v>1.5475000000000001</v>
      </c>
      <c r="Q56" s="22"/>
      <c r="R56" s="46"/>
      <c r="S56" s="22"/>
      <c r="T56" s="22"/>
      <c r="U56" s="22"/>
      <c r="W56" s="2"/>
    </row>
    <row r="57" spans="1:23">
      <c r="A57" s="162">
        <v>23</v>
      </c>
      <c r="B57" s="70" t="str">
        <f>'[1]Subscribed&amp;Paid-up (2)'!$B$72</f>
        <v>Concepcion B. Cruz</v>
      </c>
      <c r="C57" s="165">
        <v>3275</v>
      </c>
      <c r="D57" s="22"/>
      <c r="E57" s="22"/>
      <c r="F57" s="22">
        <v>120</v>
      </c>
      <c r="G57" s="22"/>
      <c r="H57" s="172">
        <v>1000</v>
      </c>
      <c r="I57" s="22">
        <v>5000</v>
      </c>
      <c r="J57" s="22">
        <v>0</v>
      </c>
      <c r="K57" s="22">
        <v>0</v>
      </c>
      <c r="L57" s="22"/>
      <c r="M57" s="22"/>
      <c r="N57" s="22"/>
      <c r="O57" s="22"/>
      <c r="P57" s="22"/>
      <c r="Q57" s="22"/>
      <c r="R57" s="46">
        <f>C57+D57+E57+F57+G57+I57+J57+K57+L57+M57+N57+O57+P57-H57</f>
        <v>7395</v>
      </c>
      <c r="S57" s="22">
        <f t="shared" si="2"/>
        <v>616.25</v>
      </c>
      <c r="T57" s="22">
        <f>D58+E58+F58+G58+I58+J58+K58+L58+M58+N58+O58+P58</f>
        <v>402.5</v>
      </c>
      <c r="U57" s="22">
        <f>R57+T57</f>
        <v>7797.5</v>
      </c>
      <c r="W57" s="179"/>
    </row>
    <row r="58" spans="1:23">
      <c r="A58" s="162"/>
      <c r="B58" s="70"/>
      <c r="C58" s="163" t="s">
        <v>152</v>
      </c>
      <c r="D58" s="22">
        <f>(C57+D57)*0.005</f>
        <v>16.375</v>
      </c>
      <c r="E58" s="22">
        <f>(C57+D57+E57)*0.005</f>
        <v>16.375</v>
      </c>
      <c r="F58" s="22">
        <f>(+C57+D57+E57+F57)*0.005</f>
        <v>16.975000000000001</v>
      </c>
      <c r="G58" s="22">
        <f>(C57+D57+E57+F57+G57)*0.005</f>
        <v>16.975000000000001</v>
      </c>
      <c r="H58" s="22"/>
      <c r="I58" s="22">
        <f>(C57+D57+E57+F57+G57+I57)*0.005</f>
        <v>41.975000000000001</v>
      </c>
      <c r="J58" s="22">
        <f>(C57+D57+E57+F57+G57+I57+J57)*0.005</f>
        <v>41.975000000000001</v>
      </c>
      <c r="K58" s="22">
        <f>(C57+D57+E57+F57+G57+I57+J57+K57)*0.005</f>
        <v>41.975000000000001</v>
      </c>
      <c r="L58" s="22">
        <f>(C57+D57+E57+F57+G57+I57+J57+K57+L57)*0.005</f>
        <v>41.975000000000001</v>
      </c>
      <c r="M58" s="22">
        <f>(C57+D57+E57+F57+G57+I57+J57+K57+L57+M57)*0.005</f>
        <v>41.975000000000001</v>
      </c>
      <c r="N58" s="22">
        <f>(C57+D57+E57+F57+G57+I57+J57+K57+L57+M57+N57)*0.005</f>
        <v>41.975000000000001</v>
      </c>
      <c r="O58" s="22">
        <f>(C57+D57+E57+F57+G57+I57+J57+K57+L57+M57+N57+O57)*0.005</f>
        <v>41.975000000000001</v>
      </c>
      <c r="P58" s="22">
        <f>(C57+D57+E57+F57+G57+I57+J57+K57+L57+M57+N57+O57+P57)*0.005</f>
        <v>41.975000000000001</v>
      </c>
      <c r="Q58" s="22"/>
      <c r="R58" s="46"/>
      <c r="S58" s="22"/>
      <c r="T58" s="22"/>
      <c r="U58" s="22"/>
      <c r="W58" s="2"/>
    </row>
    <row r="59" spans="1:23">
      <c r="A59" s="162">
        <v>24</v>
      </c>
      <c r="B59" s="70" t="str">
        <f>'[1]Subscribed&amp;Paid-up (2)'!$B$73</f>
        <v>Leonardo B. Cruz</v>
      </c>
      <c r="C59" s="165">
        <v>1375.45</v>
      </c>
      <c r="D59" s="22"/>
      <c r="E59" s="22"/>
      <c r="F59" s="22"/>
      <c r="G59" s="22"/>
      <c r="H59" s="22"/>
      <c r="I59" s="22"/>
      <c r="J59" s="22">
        <v>0</v>
      </c>
      <c r="K59" s="22"/>
      <c r="L59" s="22"/>
      <c r="M59" s="22"/>
      <c r="N59" s="22"/>
      <c r="O59" s="22"/>
      <c r="P59" s="22"/>
      <c r="Q59" s="22"/>
      <c r="R59" s="46">
        <f>C59+D59+E59+F59+G59+I59+J59+K59+L59+M59+N59+O59+P59</f>
        <v>1375.45</v>
      </c>
      <c r="S59" s="22">
        <f t="shared" si="2"/>
        <v>114.620833333333</v>
      </c>
      <c r="T59" s="22">
        <f>D60+E60+F60+G60+I60+J60+K60+L60+M60+N60+O60+P60</f>
        <v>82.527000000000001</v>
      </c>
      <c r="U59" s="22">
        <f>R59+T59</f>
        <v>1457.9770000000001</v>
      </c>
      <c r="W59" s="179"/>
    </row>
    <row r="60" spans="1:23">
      <c r="A60" s="162"/>
      <c r="B60" s="70"/>
      <c r="C60" s="163" t="s">
        <v>152</v>
      </c>
      <c r="D60" s="22">
        <f>(C59+D59)*0.005</f>
        <v>6.8772500000000001</v>
      </c>
      <c r="E60" s="22">
        <f>(C59+D59+E59)*0.005</f>
        <v>6.8772500000000001</v>
      </c>
      <c r="F60" s="22">
        <f>(+C59+D59+E59+F59)*0.005</f>
        <v>6.8772500000000001</v>
      </c>
      <c r="G60" s="22">
        <f>(C59+D59+E59+F59+G59)*0.005</f>
        <v>6.8772500000000001</v>
      </c>
      <c r="H60" s="22"/>
      <c r="I60" s="22">
        <f>(C59+D59+E59+F59+G59+I59)*0.005</f>
        <v>6.8772500000000001</v>
      </c>
      <c r="J60" s="22">
        <f>(C59+D59+E59+F59+G59+I59+J59)*0.005</f>
        <v>6.8772500000000001</v>
      </c>
      <c r="K60" s="22">
        <f>(C59+D59+E59+F59+G59+I59+J59+K59)*0.005</f>
        <v>6.8772500000000001</v>
      </c>
      <c r="L60" s="22">
        <f>(C59+D59+E59+F59+G59+I59+J59+K59+L59)*0.005</f>
        <v>6.8772500000000001</v>
      </c>
      <c r="M60" s="22">
        <f>(C59+D59+E59+F59+G59+I59+J59+K59+L59+M59)*0.005</f>
        <v>6.8772500000000001</v>
      </c>
      <c r="N60" s="22">
        <f>(C59+D59+E59+F59+G59+I59+J59+K59+L59+M59+N59)*0.005</f>
        <v>6.8772500000000001</v>
      </c>
      <c r="O60" s="22">
        <f>(C59+D59+E59+F59+G59+I59+J59+K59+L59+M59+N59+O59)*0.005</f>
        <v>6.8772500000000001</v>
      </c>
      <c r="P60" s="22">
        <f>(C59+D59+E59+F59+G59+I59+J59+K59+L59+M59+N59+O59+P59)*0.005</f>
        <v>6.8772500000000001</v>
      </c>
      <c r="Q60" s="22"/>
      <c r="R60" s="46"/>
      <c r="S60" s="22"/>
      <c r="T60" s="22"/>
      <c r="U60" s="22"/>
      <c r="W60" s="2"/>
    </row>
    <row r="61" spans="1:23">
      <c r="A61" s="162">
        <v>25</v>
      </c>
      <c r="B61" s="70" t="str">
        <f>'[1]Subscribed&amp;Paid-up (2)'!$B$74</f>
        <v>Annalyn B. Cruz</v>
      </c>
      <c r="C61" s="165">
        <v>463.36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>
        <v>0</v>
      </c>
      <c r="P61" s="22"/>
      <c r="Q61" s="22"/>
      <c r="R61" s="46">
        <f>C61+D61+E61+F61+G61+I61+J61+K61+L61+M61+N61+O61+P61</f>
        <v>463.36</v>
      </c>
      <c r="S61" s="22">
        <f t="shared" si="2"/>
        <v>38.613333333333301</v>
      </c>
      <c r="T61" s="22">
        <f>D62+E62+F62+G62+I62+J62+K62+L62+M62+N62+O62+P62</f>
        <v>27.801600000000001</v>
      </c>
      <c r="U61" s="22">
        <f>R61+T61</f>
        <v>491.16160000000002</v>
      </c>
      <c r="W61" s="2"/>
    </row>
    <row r="62" spans="1:23">
      <c r="A62" s="162"/>
      <c r="B62" s="70"/>
      <c r="C62" s="163" t="s">
        <v>152</v>
      </c>
      <c r="D62" s="22">
        <f>(C61+D61)*0.005</f>
        <v>2.3168000000000002</v>
      </c>
      <c r="E62" s="22">
        <f>(C61+D61+E61)*0.005</f>
        <v>2.3168000000000002</v>
      </c>
      <c r="F62" s="22">
        <f>(+C61+D61+E61+F61)*0.005</f>
        <v>2.3168000000000002</v>
      </c>
      <c r="G62" s="22">
        <f>(C61+D61+E61+F61+G61)*0.005</f>
        <v>2.3168000000000002</v>
      </c>
      <c r="H62" s="22"/>
      <c r="I62" s="22">
        <f>(C61+D61+E61+F61+G61+I61)*0.005</f>
        <v>2.3168000000000002</v>
      </c>
      <c r="J62" s="22">
        <f>(C61+D61+E61+F61+G61+I61+J61)*0.005</f>
        <v>2.3168000000000002</v>
      </c>
      <c r="K62" s="22">
        <f>(C61+D61+E61+F61+G61+I61+J61+K61)*0.005</f>
        <v>2.3168000000000002</v>
      </c>
      <c r="L62" s="22">
        <f>(C61+D61+E61+F61+G61+I61+J61+K61+L61)*0.005</f>
        <v>2.3168000000000002</v>
      </c>
      <c r="M62" s="22">
        <f>(C61+D61+E61+F61+G61+I61+J61+K61+L61+M61)*0.005</f>
        <v>2.3168000000000002</v>
      </c>
      <c r="N62" s="22">
        <f>(C61+D61+E61+F61+G61+I61+J61+K61+L61+M61+N61)*0.005</f>
        <v>2.3168000000000002</v>
      </c>
      <c r="O62" s="22">
        <f>(C61+D61+E61+F61+G61+I61+J61+K61+L61+M61+N61+O61)*0.005</f>
        <v>2.3168000000000002</v>
      </c>
      <c r="P62" s="22">
        <f>(C61+D61+E61+F61+G61+I61+J61+K61+L61+M61+N61+O61+P61)*0.005</f>
        <v>2.3168000000000002</v>
      </c>
      <c r="Q62" s="22"/>
      <c r="R62" s="46"/>
      <c r="S62" s="22"/>
      <c r="T62" s="22"/>
      <c r="U62" s="22"/>
      <c r="W62" s="2"/>
    </row>
    <row r="63" spans="1:23">
      <c r="A63" s="162">
        <v>26</v>
      </c>
      <c r="B63" s="70" t="str">
        <f>'[1]Subscribed&amp;Paid-up (2)'!$B$76</f>
        <v>Milben Rex P. Balao</v>
      </c>
      <c r="C63" s="165">
        <v>719</v>
      </c>
      <c r="D63" s="22"/>
      <c r="E63" s="22"/>
      <c r="F63" s="22"/>
      <c r="G63" s="22"/>
      <c r="H63" s="22"/>
      <c r="I63" s="22"/>
      <c r="J63" s="22"/>
      <c r="K63" s="22">
        <v>0</v>
      </c>
      <c r="L63" s="22"/>
      <c r="M63" s="22"/>
      <c r="N63" s="22"/>
      <c r="O63" s="22">
        <v>0</v>
      </c>
      <c r="P63" s="22"/>
      <c r="Q63" s="22"/>
      <c r="R63" s="46">
        <f>C63+D63+E63+F63+G63+I63+J63+K63+L63+M63+N63+O63+P63</f>
        <v>719</v>
      </c>
      <c r="S63" s="22">
        <f t="shared" si="2"/>
        <v>59.9166666666667</v>
      </c>
      <c r="T63" s="22">
        <f>D64+E64+F64+G64+I64+J64+K64+L64+M64+N64+O64+P64</f>
        <v>43.14</v>
      </c>
      <c r="U63" s="22">
        <f>R63+T63</f>
        <v>762.14</v>
      </c>
      <c r="W63" s="179"/>
    </row>
    <row r="64" spans="1:23">
      <c r="A64" s="162"/>
      <c r="B64" s="70"/>
      <c r="C64" s="163" t="s">
        <v>152</v>
      </c>
      <c r="D64" s="22">
        <f>(C63+D63)*0.005</f>
        <v>3.5950000000000002</v>
      </c>
      <c r="E64" s="22">
        <f>(C63+D63+E63)*0.005</f>
        <v>3.5950000000000002</v>
      </c>
      <c r="F64" s="22">
        <f>(+C63+D63+E63+F63)*0.005</f>
        <v>3.5950000000000002</v>
      </c>
      <c r="G64" s="22">
        <f>(C63+D63+E63+F63+G63)*0.005</f>
        <v>3.5950000000000002</v>
      </c>
      <c r="H64" s="22"/>
      <c r="I64" s="22">
        <f>(C63+D63+E63+F63+G63+I63)*0.005</f>
        <v>3.5950000000000002</v>
      </c>
      <c r="J64" s="22">
        <f>(C63+D63+E63+F63+G63+I63+J63)*0.005</f>
        <v>3.5950000000000002</v>
      </c>
      <c r="K64" s="22">
        <f>(C63+D63+E63+F63+G63+I63+J63+K63)*0.005</f>
        <v>3.5950000000000002</v>
      </c>
      <c r="L64" s="22">
        <f>(C63+D63+E63+F63+G63+I63+J63+K63+L63)*0.005</f>
        <v>3.5950000000000002</v>
      </c>
      <c r="M64" s="22">
        <f>(C63+D63+E63+F63+G63+I63+J63+K63+L63+M63)*0.005</f>
        <v>3.5950000000000002</v>
      </c>
      <c r="N64" s="22">
        <f>(C63+D63+E63+F63+G63+I63+J63+K63+L63+M63+N63)*0.005</f>
        <v>3.5950000000000002</v>
      </c>
      <c r="O64" s="22">
        <f>(C63+D63+E63+F63+G63+I63+J63+K63+L63+M63+N63+O63)*0.005</f>
        <v>3.5950000000000002</v>
      </c>
      <c r="P64" s="22">
        <f>(C63+D63+E63+F63+G63+I63+J63+K63+L63+M63+N63+O63+P63)*0.005</f>
        <v>3.5950000000000002</v>
      </c>
      <c r="Q64" s="22"/>
      <c r="R64" s="46"/>
      <c r="S64" s="22"/>
      <c r="T64" s="22"/>
      <c r="U64" s="22"/>
      <c r="W64" s="2"/>
    </row>
    <row r="65" spans="1:23">
      <c r="A65" s="162">
        <v>27</v>
      </c>
      <c r="B65" s="70" t="s">
        <v>185</v>
      </c>
      <c r="C65" s="161">
        <v>6456.6</v>
      </c>
      <c r="D65" s="45"/>
      <c r="E65" s="45"/>
      <c r="F65" s="45"/>
      <c r="G65" s="45"/>
      <c r="H65" s="45"/>
      <c r="I65" s="45"/>
      <c r="J65" s="45"/>
      <c r="K65" s="45"/>
      <c r="L65" s="45"/>
      <c r="M65" s="45">
        <v>0</v>
      </c>
      <c r="N65" s="45"/>
      <c r="O65" s="45"/>
      <c r="P65" s="45">
        <v>0</v>
      </c>
      <c r="Q65" s="45"/>
      <c r="R65" s="46">
        <f>C65+D65+E65+F65+G65+I65+J65+K65+L65+M65+N65+O65+P65</f>
        <v>6456.6</v>
      </c>
      <c r="S65" s="45">
        <f t="shared" si="2"/>
        <v>538.04999999999995</v>
      </c>
      <c r="T65" s="45">
        <f>D66+E66+F66+G66+I66+J66+K66+L66+M66+N66+O66+P66</f>
        <v>387.39600000000002</v>
      </c>
      <c r="U65" s="45">
        <f>R65+T65</f>
        <v>6843.9960000000001</v>
      </c>
      <c r="W65" s="179"/>
    </row>
    <row r="66" spans="1:23">
      <c r="A66" s="162"/>
      <c r="B66" s="70"/>
      <c r="C66" s="163" t="s">
        <v>152</v>
      </c>
      <c r="D66" s="22">
        <f>(C65+D65)*0.005</f>
        <v>32.283000000000001</v>
      </c>
      <c r="E66" s="22">
        <f>(C65+D65+E65)*0.005</f>
        <v>32.283000000000001</v>
      </c>
      <c r="F66" s="22">
        <f>(+C65+D65+E65+F65)*0.005</f>
        <v>32.283000000000001</v>
      </c>
      <c r="G66" s="22">
        <f>(C65+D65+E65+F65+G65)*0.005</f>
        <v>32.283000000000001</v>
      </c>
      <c r="H66" s="22"/>
      <c r="I66" s="22">
        <f>(C65+D65+E65+F65+G65+I65)*0.005</f>
        <v>32.283000000000001</v>
      </c>
      <c r="J66" s="22">
        <f>(C65+D65+E65+F65+G65+I65+J65)*0.005</f>
        <v>32.283000000000001</v>
      </c>
      <c r="K66" s="22">
        <f>(C65+D65+E65+F65+G65+I65+J65+K65)*0.005</f>
        <v>32.283000000000001</v>
      </c>
      <c r="L66" s="22">
        <f>(C65+D65+E65+F65+G65+I65+J65+K65+L65)*0.005</f>
        <v>32.283000000000001</v>
      </c>
      <c r="M66" s="22">
        <f>(C65+D65+E65+F65+G65+I65+J65+K65+L65+M65)*0.005</f>
        <v>32.283000000000001</v>
      </c>
      <c r="N66" s="22">
        <f>(C65+D65+E65+F65+G65+I65+J65+K65+L65+M65+N65)*0.005</f>
        <v>32.283000000000001</v>
      </c>
      <c r="O66" s="22">
        <f>(C65+D65+E65+F65+G65+I65+J65+K65+L65+M65+N65+O65)*0.005</f>
        <v>32.283000000000001</v>
      </c>
      <c r="P66" s="22">
        <f>(C65+D65+E65+F65+G65+I65+J65+K65+L65+M65+N65+O65+P65)*0.005</f>
        <v>32.283000000000001</v>
      </c>
      <c r="Q66" s="22"/>
      <c r="R66" s="46"/>
      <c r="S66" s="22"/>
      <c r="T66" s="22"/>
      <c r="U66" s="22"/>
      <c r="W66" s="2"/>
    </row>
    <row r="67" spans="1:23">
      <c r="A67" s="162">
        <v>28</v>
      </c>
      <c r="B67" s="27" t="s">
        <v>186</v>
      </c>
      <c r="C67" s="161">
        <v>101.5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>
        <v>0</v>
      </c>
      <c r="O67" s="22"/>
      <c r="P67" s="22"/>
      <c r="Q67" s="22"/>
      <c r="R67" s="46">
        <f>C67+D67+E67+F67+G67+I67+J67+K67+L67+M67+N67+O67+P67</f>
        <v>101.5</v>
      </c>
      <c r="S67" s="22">
        <f t="shared" si="2"/>
        <v>8.4583333333333304</v>
      </c>
      <c r="T67" s="22">
        <f>D68+E68+F68+G68+I68+J68+K68+L68+M68+N68+O68+P68</f>
        <v>6.09</v>
      </c>
      <c r="U67" s="22">
        <f>R67+T67</f>
        <v>107.59</v>
      </c>
      <c r="W67" s="179"/>
    </row>
    <row r="68" spans="1:23">
      <c r="A68" s="162"/>
      <c r="B68" s="27"/>
      <c r="C68" s="163" t="s">
        <v>152</v>
      </c>
      <c r="D68" s="22">
        <f>(C67+D67)*0.005</f>
        <v>0.50749999999999995</v>
      </c>
      <c r="E68" s="22">
        <f>(C67+D67+E67)*0.005</f>
        <v>0.50749999999999995</v>
      </c>
      <c r="F68" s="22">
        <f>(+C67+D67+E67+F67)*0.005</f>
        <v>0.50749999999999995</v>
      </c>
      <c r="G68" s="22">
        <f>(C67+D67+E67+F67+G67)*0.005</f>
        <v>0.50749999999999995</v>
      </c>
      <c r="H68" s="22"/>
      <c r="I68" s="22">
        <f>(C67+D67+E67+F67+G67+I67)*0.005</f>
        <v>0.50749999999999995</v>
      </c>
      <c r="J68" s="22">
        <f>(C67+D67+E67+F67+G67+I67+J67)*0.005</f>
        <v>0.50749999999999995</v>
      </c>
      <c r="K68" s="22">
        <f>(C67+D67+E67+F67+G67+I67+J67+K67)*0.005</f>
        <v>0.50749999999999995</v>
      </c>
      <c r="L68" s="22">
        <f>(C67+D67+E67+F67+G67+I67+J67+K67+L67)*0.005</f>
        <v>0.50749999999999995</v>
      </c>
      <c r="M68" s="22">
        <f>(C67+D67+E67+F67+G67+I67+J67+K67+L67+M67)*0.005</f>
        <v>0.50749999999999995</v>
      </c>
      <c r="N68" s="22">
        <f>(C67+D67+E67+F67+G67+I67+J67+K67+L67+M67+N67)*0.005</f>
        <v>0.50749999999999995</v>
      </c>
      <c r="O68" s="22">
        <f>(C67+D67+E67+F67+G67+I67+J67+K67+L67+M67+N67+O67)*0.005</f>
        <v>0.50749999999999995</v>
      </c>
      <c r="P68" s="22">
        <f>(C67+D67+E67+F67+G67+I67+J67+K67+L67+M67+N67+O67+P67)*0.005</f>
        <v>0.50749999999999995</v>
      </c>
      <c r="Q68" s="22"/>
      <c r="R68" s="46"/>
      <c r="S68" s="22"/>
      <c r="T68" s="22"/>
      <c r="U68" s="22"/>
      <c r="W68" s="2"/>
    </row>
    <row r="69" spans="1:23">
      <c r="A69" s="162">
        <v>29</v>
      </c>
      <c r="B69" s="20" t="s">
        <v>187</v>
      </c>
      <c r="C69" s="161" t="e">
        <f>#REF!</f>
        <v>#REF!</v>
      </c>
      <c r="D69" s="25"/>
      <c r="E69" s="25"/>
      <c r="F69" s="22"/>
      <c r="G69" s="22"/>
      <c r="H69" s="22"/>
      <c r="I69" s="25">
        <v>15000</v>
      </c>
      <c r="J69" s="22"/>
      <c r="K69" s="22"/>
      <c r="L69" s="22"/>
      <c r="M69" s="25"/>
      <c r="N69" s="22">
        <v>0</v>
      </c>
      <c r="O69" s="22"/>
      <c r="P69" s="22"/>
      <c r="Q69" s="32">
        <v>1220</v>
      </c>
      <c r="R69" s="46" t="e">
        <f>C69+D69+E69+F69+G69+I69+J69+K69+L69+M69+N69+O69+P69-Q69</f>
        <v>#REF!</v>
      </c>
      <c r="S69" s="22" t="e">
        <f>R69/12</f>
        <v>#REF!</v>
      </c>
      <c r="T69" s="22" t="e">
        <f>D70+E70+F70+G70+I70+J70+K70+L70+M70+N70+O70+P70</f>
        <v>#REF!</v>
      </c>
      <c r="U69" s="22" t="e">
        <f>R69+T69</f>
        <v>#REF!</v>
      </c>
      <c r="W69" s="179"/>
    </row>
    <row r="70" spans="1:23">
      <c r="A70" s="162"/>
      <c r="B70" s="20"/>
      <c r="C70" s="163" t="s">
        <v>152</v>
      </c>
      <c r="D70" s="22" t="e">
        <f>(C69+D69)*0.005</f>
        <v>#REF!</v>
      </c>
      <c r="E70" s="22" t="e">
        <f>(C69+D69+E69)*0.005</f>
        <v>#REF!</v>
      </c>
      <c r="F70" s="22" t="e">
        <f>(+C69+D69+E69+F69)*0.005</f>
        <v>#REF!</v>
      </c>
      <c r="G70" s="22" t="e">
        <f>(C69+D69+E69+F69+G69)*0.005</f>
        <v>#REF!</v>
      </c>
      <c r="H70" s="22"/>
      <c r="I70" s="22" t="e">
        <f>(C69+D69+E69+F69+G69+I69)*0.005</f>
        <v>#REF!</v>
      </c>
      <c r="J70" s="22" t="e">
        <f>(C69+D69+E69+F69+G69+I69+J69)*0.005</f>
        <v>#REF!</v>
      </c>
      <c r="K70" s="22" t="e">
        <f>(C69+D69+E69+F69+G69+I69+J69+K69)*0.005</f>
        <v>#REF!</v>
      </c>
      <c r="L70" s="22" t="e">
        <f>(C69+D69+E69+F69+G69+I69+J69+K69+L69)*0.005</f>
        <v>#REF!</v>
      </c>
      <c r="M70" s="22" t="e">
        <f>(C69+D69+E69+F69+G69+I69+J69+K69+L69+M69)*0.005</f>
        <v>#REF!</v>
      </c>
      <c r="N70" s="22" t="e">
        <f>(C69+D69+E69+F69+G69+I69+J69+K69+L69+M69+N69)*0.005</f>
        <v>#REF!</v>
      </c>
      <c r="O70" s="22" t="e">
        <f>(C69+D69+E69+F69+G69+I69+J69+K69+L69+M69+N69+O69)*0.005</f>
        <v>#REF!</v>
      </c>
      <c r="P70" s="22" t="e">
        <f>(C69+D69+E69+F69+G69+I69+J69+K69+L69+M69+N69+O69+P69)*0.005</f>
        <v>#REF!</v>
      </c>
      <c r="Q70" s="22"/>
      <c r="R70" s="46"/>
      <c r="S70" s="22"/>
      <c r="T70" s="22"/>
      <c r="U70" s="22"/>
      <c r="W70" s="2"/>
    </row>
    <row r="71" spans="1:23">
      <c r="A71" s="162">
        <v>30</v>
      </c>
      <c r="B71" s="20" t="s">
        <v>188</v>
      </c>
      <c r="C71" s="161">
        <v>366</v>
      </c>
      <c r="D71" s="25"/>
      <c r="E71" s="25"/>
      <c r="F71" s="22"/>
      <c r="G71" s="22"/>
      <c r="H71" s="22"/>
      <c r="I71" s="25"/>
      <c r="J71" s="22"/>
      <c r="K71" s="22"/>
      <c r="L71" s="22"/>
      <c r="M71" s="25"/>
      <c r="N71" s="22">
        <v>0</v>
      </c>
      <c r="O71" s="22"/>
      <c r="P71" s="22"/>
      <c r="Q71" s="22"/>
      <c r="R71" s="46">
        <f>C71+D71+E71+F71+G71+I71+J71+K71+L71+M71+N71+O71+P71</f>
        <v>366</v>
      </c>
      <c r="S71" s="22">
        <f>R71/12</f>
        <v>30.5</v>
      </c>
      <c r="T71" s="22">
        <f>D72+E72+F72+G72+I72+J72+K72+L72+M72+N72+O72+P72</f>
        <v>21.96</v>
      </c>
      <c r="U71" s="22">
        <f>R71+T71</f>
        <v>387.96</v>
      </c>
      <c r="W71" s="2"/>
    </row>
    <row r="72" spans="1:23">
      <c r="A72" s="162"/>
      <c r="B72" s="20"/>
      <c r="C72" s="163" t="s">
        <v>152</v>
      </c>
      <c r="D72" s="22">
        <f>(C71+D71)*0.005</f>
        <v>1.83</v>
      </c>
      <c r="E72" s="22">
        <f>(C71+D71+E71)*0.005</f>
        <v>1.83</v>
      </c>
      <c r="F72" s="22">
        <f>(+C71+D71+E71+F71)*0.005</f>
        <v>1.83</v>
      </c>
      <c r="G72" s="22">
        <f>(C71+D71+E71+F71+G71)*0.005</f>
        <v>1.83</v>
      </c>
      <c r="H72" s="22"/>
      <c r="I72" s="22">
        <f>(C71+D71+E71+F71+G71+I71)*0.005</f>
        <v>1.83</v>
      </c>
      <c r="J72" s="22">
        <f>(C71+D71+E71+F71+G71+I71+J71)*0.005</f>
        <v>1.83</v>
      </c>
      <c r="K72" s="22">
        <f>(C71+D71+E71+F71+G71+I71+J71+K71)*0.005</f>
        <v>1.83</v>
      </c>
      <c r="L72" s="22">
        <f>(C71+D71+E71+F71+G71+I71+J71+K71+L71)*0.005</f>
        <v>1.83</v>
      </c>
      <c r="M72" s="22">
        <f>(C71+D71+E71+F71+G71+I71+J71+K71+L71+M71)*0.005</f>
        <v>1.83</v>
      </c>
      <c r="N72" s="22">
        <f>(C71+D71+E71+F71+G71+I71+J71+K71+L71+M71+N71)*0.005</f>
        <v>1.83</v>
      </c>
      <c r="O72" s="22">
        <f>(C71+D71+E71+F71+G71+I71+J71+K71+L71+M71+N71+O71)*0.005</f>
        <v>1.83</v>
      </c>
      <c r="P72" s="22">
        <f>(C71+D71+E71+F71+G71+I71+J71+K71+L71+M71+N71+O71+P71)*0.005</f>
        <v>1.83</v>
      </c>
      <c r="Q72" s="22"/>
      <c r="R72" s="46"/>
      <c r="S72" s="22"/>
      <c r="T72" s="22"/>
      <c r="U72" s="22"/>
      <c r="W72" s="2"/>
    </row>
    <row r="73" spans="1:23">
      <c r="A73" s="162">
        <v>31</v>
      </c>
      <c r="B73" s="20" t="s">
        <v>189</v>
      </c>
      <c r="C73" s="161">
        <v>94.47</v>
      </c>
      <c r="D73" s="25"/>
      <c r="E73" s="25"/>
      <c r="F73" s="22"/>
      <c r="G73" s="22"/>
      <c r="H73" s="22"/>
      <c r="I73" s="25"/>
      <c r="J73" s="22"/>
      <c r="K73" s="22"/>
      <c r="L73" s="22"/>
      <c r="M73" s="25"/>
      <c r="N73" s="22">
        <v>0</v>
      </c>
      <c r="O73" s="22"/>
      <c r="P73" s="22"/>
      <c r="Q73" s="22"/>
      <c r="R73" s="46">
        <f>C73+D73+E73+F73+G73+I73+J73+K73+L73+M73+N73+O73+P73</f>
        <v>94.47</v>
      </c>
      <c r="S73" s="22">
        <f>R73/12</f>
        <v>7.8724999999999996</v>
      </c>
      <c r="T73" s="22">
        <f>D74+E74+F74+G74+I74+J74+K74+L74+M74+N74+O74+P74</f>
        <v>5.6681999999999997</v>
      </c>
      <c r="U73" s="22">
        <f>R73+T73</f>
        <v>100.1382</v>
      </c>
      <c r="W73" s="2"/>
    </row>
    <row r="74" spans="1:23">
      <c r="A74" s="162"/>
      <c r="B74" s="20"/>
      <c r="C74" s="163" t="s">
        <v>152</v>
      </c>
      <c r="D74" s="22">
        <f>(C73+D73)*0.005</f>
        <v>0.47234999999999999</v>
      </c>
      <c r="E74" s="22">
        <f>(C73+D73+E73)*0.005</f>
        <v>0.47234999999999999</v>
      </c>
      <c r="F74" s="22">
        <f>(+C73+D73+E73+F73)*0.005</f>
        <v>0.47234999999999999</v>
      </c>
      <c r="G74" s="22">
        <f>(C73+D73+E73+F73+G73)*0.005</f>
        <v>0.47234999999999999</v>
      </c>
      <c r="H74" s="22"/>
      <c r="I74" s="22">
        <f>(C73+D73+E73+F73+G73+I73)*0.005</f>
        <v>0.47234999999999999</v>
      </c>
      <c r="J74" s="22">
        <f>(C73+D73+E73+F73+G73+I73+J73)*0.005</f>
        <v>0.47234999999999999</v>
      </c>
      <c r="K74" s="22">
        <f>(C73+D73+E73+F73+G73+I73+J73+K73)*0.005</f>
        <v>0.47234999999999999</v>
      </c>
      <c r="L74" s="22">
        <f>(C73+D73+E73+F73+G73+I73+J73+K73+L73)*0.005</f>
        <v>0.47234999999999999</v>
      </c>
      <c r="M74" s="22">
        <f>(C73+D73+E73+F73+G73+I73+J73+K73+L73+M73)*0.005</f>
        <v>0.47234999999999999</v>
      </c>
      <c r="N74" s="22">
        <f>(C73+D73+E73+F73+G73+I73+J73+K73+L73+M73+N73)*0.005</f>
        <v>0.47234999999999999</v>
      </c>
      <c r="O74" s="22">
        <f>(C73+D73+E73+F73+G73+I73+J73+K73+L73+M73+N73+O73)*0.005</f>
        <v>0.47234999999999999</v>
      </c>
      <c r="P74" s="22">
        <f>(C73+D73+E73+F73+G73+I73+J73+K73+L73+M73+N73+O73+P73)*0.005</f>
        <v>0.47234999999999999</v>
      </c>
      <c r="Q74" s="22"/>
      <c r="R74" s="173"/>
      <c r="S74" s="22"/>
      <c r="T74" s="22"/>
      <c r="U74" s="22"/>
      <c r="W74" s="2"/>
    </row>
    <row r="75" spans="1:23">
      <c r="A75" s="162">
        <v>32</v>
      </c>
      <c r="B75" s="20" t="s">
        <v>190</v>
      </c>
      <c r="C75" s="161">
        <v>2350</v>
      </c>
      <c r="D75" s="25"/>
      <c r="E75" s="25"/>
      <c r="F75" s="22"/>
      <c r="G75" s="22"/>
      <c r="H75" s="22"/>
      <c r="I75" s="25"/>
      <c r="J75" s="22"/>
      <c r="K75" s="22"/>
      <c r="L75" s="22"/>
      <c r="M75" s="25"/>
      <c r="N75" s="22">
        <v>0</v>
      </c>
      <c r="O75" s="22"/>
      <c r="P75" s="22"/>
      <c r="Q75" s="22"/>
      <c r="R75" s="173">
        <f t="shared" ref="R75:R79" si="3">C75+D75+E75+F75+G75+I75+J75+K75+L75+M75+N75+O75+P75</f>
        <v>2350</v>
      </c>
      <c r="S75" s="22">
        <f>R75/12</f>
        <v>195.833333333333</v>
      </c>
      <c r="T75" s="22">
        <f>D76+E76+F76+G76+I76+J76+K76+L76+M76+N76+O76+P76</f>
        <v>141</v>
      </c>
      <c r="U75" s="22">
        <f>R75+T75</f>
        <v>2491</v>
      </c>
      <c r="W75" s="2"/>
    </row>
    <row r="76" spans="1:23">
      <c r="A76" s="162"/>
      <c r="B76" s="20"/>
      <c r="C76" s="163" t="s">
        <v>152</v>
      </c>
      <c r="D76" s="22">
        <f t="shared" ref="D76:D80" si="4">(C75+D75)*0.005</f>
        <v>11.75</v>
      </c>
      <c r="E76" s="22">
        <f t="shared" ref="E76:E80" si="5">(C75+D75+E75)*0.005</f>
        <v>11.75</v>
      </c>
      <c r="F76" s="22">
        <f t="shared" ref="F76:F80" si="6">(+C75+D75+E75+F75)*0.005</f>
        <v>11.75</v>
      </c>
      <c r="G76" s="22">
        <f t="shared" ref="G76:G80" si="7">(C75+D75+E75+F75+G75)*0.005</f>
        <v>11.75</v>
      </c>
      <c r="H76" s="22"/>
      <c r="I76" s="22">
        <f t="shared" ref="I76:I80" si="8">(C75+D75+E75+F75+G75+I75)*0.005</f>
        <v>11.75</v>
      </c>
      <c r="J76" s="22">
        <f t="shared" ref="J76:J80" si="9">(C75+D75+E75+F75+G75+I75+J75)*0.005</f>
        <v>11.75</v>
      </c>
      <c r="K76" s="22">
        <f t="shared" ref="K76:K80" si="10">(C75+D75+E75+F75+G75+I75+J75+K75)*0.005</f>
        <v>11.75</v>
      </c>
      <c r="L76" s="22">
        <f t="shared" ref="L76:L80" si="11">(C75+D75+E75+F75+G75+I75+J75+K75+L75)*0.005</f>
        <v>11.75</v>
      </c>
      <c r="M76" s="22">
        <f t="shared" ref="M76:M80" si="12">(C75+D75+E75+F75+G75+I75+J75+K75+L75+M75)*0.005</f>
        <v>11.75</v>
      </c>
      <c r="N76" s="22">
        <f t="shared" ref="N76:N80" si="13">(C75+D75+E75+F75+G75+I75+J75+K75+L75+M75+N75)*0.005</f>
        <v>11.75</v>
      </c>
      <c r="O76" s="22">
        <f t="shared" ref="O76:O80" si="14">(C75+D75+E75+F75+G75+I75+J75+K75+L75+M75+N75+O75)*0.005</f>
        <v>11.75</v>
      </c>
      <c r="P76" s="22">
        <f t="shared" ref="P76:P80" si="15">(C75+D75+E75+F75+G75+I75+J75+K75+L75+M75+N75+O75+P75)*0.005</f>
        <v>11.75</v>
      </c>
      <c r="Q76" s="22"/>
      <c r="R76" s="173"/>
      <c r="S76" s="22"/>
      <c r="T76" s="22"/>
      <c r="U76" s="22"/>
      <c r="W76" s="2"/>
    </row>
    <row r="77" spans="1:23">
      <c r="A77" s="187">
        <v>33</v>
      </c>
      <c r="B77" s="20" t="s">
        <v>191</v>
      </c>
      <c r="C77" s="161"/>
      <c r="D77" s="25"/>
      <c r="E77" s="25"/>
      <c r="F77" s="22"/>
      <c r="G77" s="22"/>
      <c r="H77" s="22"/>
      <c r="I77" s="25"/>
      <c r="J77" s="22"/>
      <c r="K77" s="22">
        <f>200+200</f>
        <v>400</v>
      </c>
      <c r="L77" s="22">
        <v>300</v>
      </c>
      <c r="M77" s="25"/>
      <c r="N77" s="22">
        <v>100</v>
      </c>
      <c r="O77" s="22"/>
      <c r="P77" s="22"/>
      <c r="Q77" s="22"/>
      <c r="R77" s="173">
        <f t="shared" si="3"/>
        <v>800</v>
      </c>
      <c r="S77" s="22">
        <f>R77/12</f>
        <v>66.6666666666667</v>
      </c>
      <c r="T77" s="22">
        <f>D78+E78+F78+G78+I78+J78+K78+L78+M78+N78+O78+P78</f>
        <v>21</v>
      </c>
      <c r="U77" s="22">
        <f>R77+T77</f>
        <v>821</v>
      </c>
      <c r="W77" s="2"/>
    </row>
    <row r="78" spans="1:23" ht="16.5" customHeight="1">
      <c r="A78" s="162"/>
      <c r="B78" s="20"/>
      <c r="C78" s="163" t="s">
        <v>152</v>
      </c>
      <c r="D78" s="22">
        <f t="shared" si="4"/>
        <v>0</v>
      </c>
      <c r="E78" s="22">
        <f t="shared" si="5"/>
        <v>0</v>
      </c>
      <c r="F78" s="22">
        <f t="shared" si="6"/>
        <v>0</v>
      </c>
      <c r="G78" s="22">
        <f t="shared" si="7"/>
        <v>0</v>
      </c>
      <c r="H78" s="22"/>
      <c r="I78" s="22">
        <f t="shared" si="8"/>
        <v>0</v>
      </c>
      <c r="J78" s="22">
        <f t="shared" si="9"/>
        <v>0</v>
      </c>
      <c r="K78" s="22">
        <f>(C77+D77+E77+F77+G77+I77+J77+K77)*0.005</f>
        <v>2</v>
      </c>
      <c r="L78" s="22">
        <f>(C77+D77+E77+F77+G77+I77+J77+K77+L77)*0.005</f>
        <v>3.5</v>
      </c>
      <c r="M78" s="22">
        <f t="shared" si="12"/>
        <v>3.5</v>
      </c>
      <c r="N78" s="22">
        <f t="shared" si="13"/>
        <v>4</v>
      </c>
      <c r="O78" s="22">
        <f t="shared" si="14"/>
        <v>4</v>
      </c>
      <c r="P78" s="22">
        <f t="shared" si="15"/>
        <v>4</v>
      </c>
      <c r="Q78" s="22"/>
      <c r="R78" s="173"/>
      <c r="S78" s="77"/>
      <c r="T78" s="77"/>
      <c r="U78" s="77"/>
    </row>
    <row r="79" spans="1:23">
      <c r="A79" s="187">
        <v>34</v>
      </c>
      <c r="B79" s="20" t="s">
        <v>192</v>
      </c>
      <c r="C79" s="161"/>
      <c r="D79" s="25"/>
      <c r="E79" s="25"/>
      <c r="F79" s="22"/>
      <c r="G79" s="22"/>
      <c r="H79" s="22"/>
      <c r="I79" s="25"/>
      <c r="J79" s="22"/>
      <c r="K79" s="22"/>
      <c r="L79" s="22">
        <v>500</v>
      </c>
      <c r="M79" s="25"/>
      <c r="N79" s="22">
        <v>0</v>
      </c>
      <c r="O79" s="22"/>
      <c r="P79" s="22"/>
      <c r="Q79" s="22"/>
      <c r="R79" s="173">
        <f t="shared" si="3"/>
        <v>500</v>
      </c>
      <c r="S79" s="22">
        <f>R79/12</f>
        <v>41.6666666666667</v>
      </c>
      <c r="T79" s="22">
        <f>D80+E80+F80+G80+I80+J80+K80+L80+M80+N80+O80+P80</f>
        <v>12.5</v>
      </c>
      <c r="U79" s="22">
        <f>R79+T79</f>
        <v>512.5</v>
      </c>
      <c r="W79" s="2"/>
    </row>
    <row r="80" spans="1:23" ht="15" customHeight="1">
      <c r="A80" s="162"/>
      <c r="B80" s="20"/>
      <c r="C80" s="163" t="s">
        <v>152</v>
      </c>
      <c r="D80" s="22">
        <f t="shared" si="4"/>
        <v>0</v>
      </c>
      <c r="E80" s="22">
        <f t="shared" si="5"/>
        <v>0</v>
      </c>
      <c r="F80" s="22">
        <f t="shared" si="6"/>
        <v>0</v>
      </c>
      <c r="G80" s="22">
        <f t="shared" si="7"/>
        <v>0</v>
      </c>
      <c r="H80" s="22"/>
      <c r="I80" s="22">
        <f t="shared" si="8"/>
        <v>0</v>
      </c>
      <c r="J80" s="22">
        <f t="shared" si="9"/>
        <v>0</v>
      </c>
      <c r="K80" s="22">
        <f t="shared" si="10"/>
        <v>0</v>
      </c>
      <c r="L80" s="22">
        <f t="shared" si="11"/>
        <v>2.5</v>
      </c>
      <c r="M80" s="22">
        <f t="shared" si="12"/>
        <v>2.5</v>
      </c>
      <c r="N80" s="22">
        <f t="shared" si="13"/>
        <v>2.5</v>
      </c>
      <c r="O80" s="22">
        <f t="shared" si="14"/>
        <v>2.5</v>
      </c>
      <c r="P80" s="22">
        <f t="shared" si="15"/>
        <v>2.5</v>
      </c>
      <c r="Q80" s="22"/>
      <c r="R80" s="173"/>
      <c r="S80" s="77"/>
      <c r="T80" s="77"/>
      <c r="U80" s="77"/>
    </row>
    <row r="81" spans="1:23">
      <c r="A81" s="187">
        <v>35</v>
      </c>
      <c r="B81" s="20" t="s">
        <v>193</v>
      </c>
      <c r="C81" s="161"/>
      <c r="D81" s="25"/>
      <c r="E81" s="25"/>
      <c r="F81" s="22"/>
      <c r="G81" s="22"/>
      <c r="H81" s="22"/>
      <c r="I81" s="25"/>
      <c r="J81" s="22"/>
      <c r="K81" s="22"/>
      <c r="L81" s="22"/>
      <c r="M81" s="25"/>
      <c r="N81" s="22">
        <v>0</v>
      </c>
      <c r="O81" s="22">
        <f>2750+250</f>
        <v>3000</v>
      </c>
      <c r="P81" s="22"/>
      <c r="Q81" s="22"/>
      <c r="R81" s="173">
        <f>C81+D81+E81+F81+G81+I81+J81+K81+L81+M81+N81+O81+P81</f>
        <v>3000</v>
      </c>
      <c r="S81" s="22">
        <f>R81/12</f>
        <v>250</v>
      </c>
      <c r="T81" s="22">
        <f>D82+E82+F82+G82+I82+J82+K82+L82+M82+N82+O82+P82</f>
        <v>30</v>
      </c>
      <c r="U81" s="22">
        <f>R81+T81</f>
        <v>3030</v>
      </c>
      <c r="W81" s="2"/>
    </row>
    <row r="82" spans="1:23" ht="15" customHeight="1">
      <c r="A82" s="162"/>
      <c r="B82" s="20"/>
      <c r="C82" s="163" t="s">
        <v>152</v>
      </c>
      <c r="D82" s="22">
        <f>(C81+D81)*0.005</f>
        <v>0</v>
      </c>
      <c r="E82" s="22">
        <f>(C81+D81+E81)*0.005</f>
        <v>0</v>
      </c>
      <c r="F82" s="22">
        <f>(+C81+D81+E81+F81)*0.005</f>
        <v>0</v>
      </c>
      <c r="G82" s="22">
        <f>(C81+D81+E81+F81+G81)*0.005</f>
        <v>0</v>
      </c>
      <c r="H82" s="22"/>
      <c r="I82" s="22">
        <f>(C81+D81+E81+F81+G81+I81)*0.005</f>
        <v>0</v>
      </c>
      <c r="J82" s="22">
        <f>(C81+D81+E81+F81+G81+I81+J81)*0.005</f>
        <v>0</v>
      </c>
      <c r="K82" s="22">
        <f>(C81+D81+E81+F81+G81+I81+J81+K81)*0.005</f>
        <v>0</v>
      </c>
      <c r="L82" s="22">
        <f>(C81+D81+E81+F81+G81+I81+J81+K81+L81)*0.005</f>
        <v>0</v>
      </c>
      <c r="M82" s="22">
        <f>(C81+D81+E81+F81+G81+I81+J81+K81+L81+M81)*0.005</f>
        <v>0</v>
      </c>
      <c r="N82" s="22">
        <f>(C81+D81+E81+F81+G81+I81+J81+K81+L81+M81+N81)*0.005</f>
        <v>0</v>
      </c>
      <c r="O82" s="22">
        <f>(C81+D81+E81+F81+G81+I81+J81+K81+L81+M81+N81+O81)*0.005</f>
        <v>15</v>
      </c>
      <c r="P82" s="22">
        <f>(C81+D81+E81+F81+G81+I81+J81+K81+L81+M81+N81+O81+P81)*0.005</f>
        <v>15</v>
      </c>
      <c r="Q82" s="22"/>
      <c r="R82" s="173"/>
      <c r="S82" s="88"/>
      <c r="T82" s="88"/>
      <c r="U82" s="88"/>
    </row>
    <row r="83" spans="1:23">
      <c r="A83" s="189"/>
      <c r="B83" s="190" t="s">
        <v>120</v>
      </c>
      <c r="C83" s="191" t="e">
        <f>SUM(C10:C81)</f>
        <v>#REF!</v>
      </c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1" t="e">
        <f>SUM(R10:R81)</f>
        <v>#REF!</v>
      </c>
      <c r="S83" s="194" t="e">
        <f>SUM(S10:S81)</f>
        <v>#REF!</v>
      </c>
      <c r="T83" s="195" t="e">
        <f>SUM(T10:T81)</f>
        <v>#REF!</v>
      </c>
      <c r="U83" s="196" t="e">
        <f>SUM(U10:U81)</f>
        <v>#REF!</v>
      </c>
    </row>
    <row r="85" spans="1:23">
      <c r="A85" t="s">
        <v>121</v>
      </c>
      <c r="E85" t="s">
        <v>122</v>
      </c>
      <c r="L85" t="s">
        <v>123</v>
      </c>
      <c r="R85" t="s">
        <v>124</v>
      </c>
    </row>
    <row r="88" spans="1:23">
      <c r="B88" s="107" t="s">
        <v>125</v>
      </c>
      <c r="F88" s="107" t="s">
        <v>126</v>
      </c>
      <c r="M88" s="308" t="s">
        <v>167</v>
      </c>
      <c r="N88" s="308"/>
      <c r="O88" s="308"/>
      <c r="S88" s="308" t="s">
        <v>168</v>
      </c>
      <c r="T88" s="308"/>
      <c r="U88" s="308"/>
    </row>
    <row r="89" spans="1:23">
      <c r="B89" t="s">
        <v>169</v>
      </c>
      <c r="F89" s="313" t="s">
        <v>129</v>
      </c>
      <c r="G89" s="313"/>
      <c r="H89" s="313"/>
      <c r="I89" s="313"/>
      <c r="M89" s="311" t="s">
        <v>170</v>
      </c>
      <c r="N89" s="311"/>
      <c r="O89" s="311"/>
      <c r="S89" s="313" t="s">
        <v>131</v>
      </c>
      <c r="T89" s="313"/>
      <c r="U89" s="313"/>
    </row>
    <row r="92" spans="1:23">
      <c r="U92" s="3" t="s">
        <v>171</v>
      </c>
    </row>
    <row r="96" spans="1:23">
      <c r="R96" t="s">
        <v>172</v>
      </c>
      <c r="S96">
        <f>18</f>
        <v>18</v>
      </c>
      <c r="T96" s="314">
        <f>U10+U14+U16+U18+U20+U24+U26+U28+U30+U32+U34+U36+U40+U45+U47+U55+U67+U38+U57+U59+U61+U63</f>
        <v>39531.465944000003</v>
      </c>
      <c r="U96" s="314"/>
    </row>
    <row r="97" spans="18:21">
      <c r="R97" s="102" t="s">
        <v>173</v>
      </c>
      <c r="S97" s="102">
        <v>11</v>
      </c>
      <c r="T97" s="306" t="e">
        <f>U12+U49+U51+U53+U57+U59+U61+U63+U65+U69</f>
        <v>#REF!</v>
      </c>
      <c r="U97" s="306"/>
    </row>
    <row r="98" spans="18:21">
      <c r="S98">
        <f>S96+S97</f>
        <v>29</v>
      </c>
      <c r="T98" s="307" t="e">
        <f>T96+T97</f>
        <v>#REF!</v>
      </c>
      <c r="U98" s="307"/>
    </row>
    <row r="102" spans="18:21">
      <c r="U102" t="s">
        <v>174</v>
      </c>
    </row>
    <row r="104" spans="18:21">
      <c r="R104" s="50"/>
    </row>
  </sheetData>
  <mergeCells count="14">
    <mergeCell ref="T96:U96"/>
    <mergeCell ref="T97:U97"/>
    <mergeCell ref="T98:U98"/>
    <mergeCell ref="A9:B9"/>
    <mergeCell ref="M88:O88"/>
    <mergeCell ref="S88:U88"/>
    <mergeCell ref="F89:I89"/>
    <mergeCell ref="M89:O89"/>
    <mergeCell ref="S89:U89"/>
    <mergeCell ref="A2:U2"/>
    <mergeCell ref="A3:U3"/>
    <mergeCell ref="A4:U4"/>
    <mergeCell ref="A6:U6"/>
    <mergeCell ref="A7:U7"/>
  </mergeCells>
  <pageMargins left="0.25" right="0.25" top="0.25" bottom="0.25" header="0.3" footer="0.3"/>
  <pageSetup paperSize="5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F107"/>
  <sheetViews>
    <sheetView topLeftCell="A41" zoomScale="110" zoomScaleNormal="110" workbookViewId="0">
      <selection activeCell="J60" sqref="J60"/>
    </sheetView>
  </sheetViews>
  <sheetFormatPr defaultColWidth="9" defaultRowHeight="14.4"/>
  <cols>
    <col min="1" max="1" width="3.5546875" customWidth="1"/>
    <col min="2" max="2" width="16.88671875" customWidth="1"/>
    <col min="3" max="3" width="10.5546875" customWidth="1"/>
    <col min="4" max="4" width="7.77734375" customWidth="1"/>
    <col min="5" max="6" width="7.5546875" customWidth="1"/>
    <col min="7" max="8" width="7.44140625" customWidth="1"/>
    <col min="9" max="11" width="7.77734375" customWidth="1"/>
    <col min="12" max="12" width="8" customWidth="1"/>
    <col min="13" max="14" width="7.5546875" customWidth="1"/>
    <col min="15" max="15" width="7.77734375" customWidth="1"/>
    <col min="16" max="16" width="6.5546875" customWidth="1"/>
    <col min="17" max="17" width="8.21875" customWidth="1"/>
    <col min="18" max="18" width="8.5546875" customWidth="1"/>
    <col min="19" max="20" width="8.21875" customWidth="1"/>
    <col min="21" max="21" width="8.77734375" customWidth="1"/>
    <col min="22" max="22" width="8.44140625" customWidth="1"/>
    <col min="23" max="23" width="7.77734375" customWidth="1"/>
    <col min="24" max="24" width="8.44140625" customWidth="1"/>
    <col min="25" max="25" width="9" style="4"/>
  </cols>
  <sheetData>
    <row r="2" spans="1:32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</row>
    <row r="3" spans="1:32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</row>
    <row r="4" spans="1:32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</row>
    <row r="5" spans="1:32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8"/>
      <c r="Z5" s="9"/>
      <c r="AA5" s="9"/>
      <c r="AB5" s="9"/>
      <c r="AC5" s="9"/>
      <c r="AD5" s="9"/>
      <c r="AE5" s="9"/>
      <c r="AF5" s="9"/>
    </row>
    <row r="6" spans="1:32" ht="18">
      <c r="A6" s="316" t="s">
        <v>144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</row>
    <row r="7" spans="1:32">
      <c r="A7" s="313" t="s">
        <v>55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</row>
    <row r="8" spans="1:32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32" s="1" customFormat="1" ht="28.5" customHeight="1">
      <c r="A9" s="317" t="s">
        <v>5</v>
      </c>
      <c r="B9" s="318"/>
      <c r="C9" s="159" t="s">
        <v>177</v>
      </c>
      <c r="D9" s="158" t="s">
        <v>7</v>
      </c>
      <c r="E9" s="158" t="s">
        <v>8</v>
      </c>
      <c r="F9" s="158" t="s">
        <v>133</v>
      </c>
      <c r="G9" s="158" t="s">
        <v>9</v>
      </c>
      <c r="H9" s="158" t="s">
        <v>133</v>
      </c>
      <c r="I9" s="158" t="s">
        <v>10</v>
      </c>
      <c r="J9" s="158" t="s">
        <v>133</v>
      </c>
      <c r="K9" s="158" t="s">
        <v>11</v>
      </c>
      <c r="L9" s="158" t="s">
        <v>12</v>
      </c>
      <c r="M9" s="158" t="s">
        <v>13</v>
      </c>
      <c r="N9" s="158" t="s">
        <v>14</v>
      </c>
      <c r="O9" s="158" t="s">
        <v>15</v>
      </c>
      <c r="P9" s="158" t="s">
        <v>16</v>
      </c>
      <c r="Q9" s="158" t="s">
        <v>194</v>
      </c>
      <c r="R9" s="158" t="s">
        <v>17</v>
      </c>
      <c r="S9" s="158" t="s">
        <v>18</v>
      </c>
      <c r="T9" s="158" t="s">
        <v>133</v>
      </c>
      <c r="U9" s="158" t="s">
        <v>147</v>
      </c>
      <c r="V9" s="158" t="s">
        <v>148</v>
      </c>
      <c r="W9" s="133" t="s">
        <v>149</v>
      </c>
      <c r="X9" s="133" t="s">
        <v>150</v>
      </c>
      <c r="Y9" s="177"/>
    </row>
    <row r="10" spans="1:32" s="2" customFormat="1">
      <c r="A10" s="160">
        <v>1</v>
      </c>
      <c r="B10" s="16" t="s">
        <v>26</v>
      </c>
      <c r="C10" s="161">
        <v>393.9</v>
      </c>
      <c r="D10" s="18"/>
      <c r="E10" s="18"/>
      <c r="F10" s="25"/>
      <c r="G10" s="22"/>
      <c r="H10" s="22"/>
      <c r="I10" s="18"/>
      <c r="J10" s="25"/>
      <c r="K10" s="22"/>
      <c r="L10" s="22"/>
      <c r="M10" s="22"/>
      <c r="N10" s="18"/>
      <c r="O10" s="22"/>
      <c r="P10" s="22"/>
      <c r="Q10" s="22"/>
      <c r="R10" s="22"/>
      <c r="S10" s="18"/>
      <c r="T10" s="25"/>
      <c r="U10" s="46">
        <f>C10+D10+E10+G10+I10+K10+L10+M10+N10+O10+P10+R10+S10</f>
        <v>393.9</v>
      </c>
      <c r="V10" s="22">
        <f>U10/12</f>
        <v>32.825000000000003</v>
      </c>
      <c r="W10" s="22">
        <f>D11+E11+G11+I11+K11+L11+M11+N11+O11+P11+R11+S11</f>
        <v>23.634</v>
      </c>
      <c r="X10" s="22">
        <f>U10+W10</f>
        <v>417.53399999999999</v>
      </c>
      <c r="Y10" s="178"/>
    </row>
    <row r="11" spans="1:32" s="2" customFormat="1">
      <c r="A11" s="162"/>
      <c r="B11" s="20"/>
      <c r="C11" s="163" t="s">
        <v>152</v>
      </c>
      <c r="D11" s="22">
        <f>(C10+D10)*0.005</f>
        <v>1.9695</v>
      </c>
      <c r="E11" s="22">
        <f>(C10+D10+E10)*0.005</f>
        <v>1.9695</v>
      </c>
      <c r="F11" s="22"/>
      <c r="G11" s="22">
        <f>(+C10+D10+E10+G10)*0.005</f>
        <v>1.9695</v>
      </c>
      <c r="H11" s="22"/>
      <c r="I11" s="22">
        <f>(C10+D10+E10+G10+I10)*0.005</f>
        <v>1.9695</v>
      </c>
      <c r="J11" s="22"/>
      <c r="K11" s="22">
        <f>(C10+D10+E10+G10+I10+K10)*0.005</f>
        <v>1.9695</v>
      </c>
      <c r="L11" s="22">
        <f>(C10+D10+E10+G10+I10+K10+L10)*0.005</f>
        <v>1.9695</v>
      </c>
      <c r="M11" s="22">
        <f>(C10+D10+E10+G10+I10+K10+L10+M10)*0.005</f>
        <v>1.9695</v>
      </c>
      <c r="N11" s="22">
        <f>(C10+D10+E10+G10+I10+K10+L10+M10+N10)*0.005</f>
        <v>1.9695</v>
      </c>
      <c r="O11" s="22">
        <f>(C10+D10+E10+G10+I10+K10+L10+M10+N10+O10)*0.005</f>
        <v>1.9695</v>
      </c>
      <c r="P11" s="22">
        <f>(C10+D10+E10+G10+I10+K10+L10+M10+N10+O10+P10)*0.005</f>
        <v>1.9695</v>
      </c>
      <c r="Q11" s="22"/>
      <c r="R11" s="22">
        <f>(C10+D10+E10+G10+I10+K10+L10+M10+N10+O10+P10+R10)*0.005</f>
        <v>1.9695</v>
      </c>
      <c r="S11" s="22">
        <f>(C10+D10+E10+G10+I10+K10+L10+M10+N10+O10+P10+R10+S10)*0.005</f>
        <v>1.9695</v>
      </c>
      <c r="T11" s="22"/>
      <c r="U11" s="46"/>
      <c r="V11" s="22"/>
      <c r="W11" s="22"/>
      <c r="X11" s="22"/>
      <c r="Y11" s="178"/>
    </row>
    <row r="12" spans="1:32">
      <c r="A12" s="162">
        <v>2</v>
      </c>
      <c r="B12" s="20" t="s">
        <v>27</v>
      </c>
      <c r="C12" s="161">
        <v>1199.3599999999999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46">
        <f>C12+D12+E12+G12+I12+K12+L12+M12+N12+O12+P12+R12+S12</f>
        <v>1199.3599999999999</v>
      </c>
      <c r="V12" s="22">
        <f>U12/12</f>
        <v>99.946666666666701</v>
      </c>
      <c r="W12" s="22">
        <f>D13+E13+G13+I13+K13+L13+M13+N13+O13+P13+R13+S13</f>
        <v>71.961600000000004</v>
      </c>
      <c r="X12" s="22">
        <f>U12+W12</f>
        <v>1271.3216</v>
      </c>
      <c r="Z12" s="2"/>
    </row>
    <row r="13" spans="1:32">
      <c r="A13" s="162"/>
      <c r="B13" s="20"/>
      <c r="C13" s="163" t="s">
        <v>152</v>
      </c>
      <c r="D13" s="22">
        <f>(C12+D12)*0.005</f>
        <v>5.9968000000000004</v>
      </c>
      <c r="E13" s="22">
        <f>(C12+D12+E12)*0.005</f>
        <v>5.9968000000000004</v>
      </c>
      <c r="F13" s="22"/>
      <c r="G13" s="22">
        <f>(+C12+D12+E12+G12)*0.005</f>
        <v>5.9968000000000004</v>
      </c>
      <c r="H13" s="22"/>
      <c r="I13" s="22">
        <f>(C12+D12+E12+G12+I12)*0.005</f>
        <v>5.9968000000000004</v>
      </c>
      <c r="J13" s="22"/>
      <c r="K13" s="22">
        <f>(C12+D12+E12+G12+I12+K12)*0.005</f>
        <v>5.9968000000000004</v>
      </c>
      <c r="L13" s="22">
        <f>(C12+D12+E12+G12+I12+K12+L12)*0.005</f>
        <v>5.9968000000000004</v>
      </c>
      <c r="M13" s="22">
        <f>(C12+D12+E12+G12+I12+K12+L12+M12)*0.005</f>
        <v>5.9968000000000004</v>
      </c>
      <c r="N13" s="22">
        <f>(C12+D12+E12+G12+I12+K12+L12+M12+N12)*0.005</f>
        <v>5.9968000000000004</v>
      </c>
      <c r="O13" s="22">
        <f>(C12+D12+E12+G12+I12+K12+L12+M12+N12+O12)*0.005</f>
        <v>5.9968000000000004</v>
      </c>
      <c r="P13" s="22">
        <f>(C12+D12+E12+G12+I12+K12+L12+M12+N12+O12+P12)*0.005</f>
        <v>5.9968000000000004</v>
      </c>
      <c r="Q13" s="22"/>
      <c r="R13" s="22">
        <f>(C12+D12+E12+G12+I12+K12+L12+M12+N12+O12+P12+R12)*0.005</f>
        <v>5.9968000000000004</v>
      </c>
      <c r="S13" s="22">
        <f>(C12+D12+E12+G12+I12+K12+L12+M12+N12+O12+P12+R12+S12)*0.005</f>
        <v>5.9968000000000004</v>
      </c>
      <c r="T13" s="22"/>
      <c r="U13" s="46"/>
      <c r="V13" s="22"/>
      <c r="W13" s="22"/>
      <c r="X13" s="22"/>
      <c r="Z13" s="2"/>
    </row>
    <row r="14" spans="1:32">
      <c r="A14" s="162">
        <v>3</v>
      </c>
      <c r="B14" s="27" t="s">
        <v>30</v>
      </c>
      <c r="C14" s="161">
        <f>3635.79+37.6</f>
        <v>3673.39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32"/>
      <c r="S14" s="22"/>
      <c r="T14" s="22"/>
      <c r="U14" s="46">
        <f>C14+D14+E14+G14+I14+K14+L14+M14+N14+O14+P14+R14+S14</f>
        <v>3673.39</v>
      </c>
      <c r="V14" s="22">
        <f>U14/12</f>
        <v>306.115833333333</v>
      </c>
      <c r="W14" s="22">
        <f>D15+E15+G15+I15+K15+L15+M15+N15+O15+P15+R15+S15</f>
        <v>220.4034</v>
      </c>
      <c r="X14" s="22">
        <f>U14+W14</f>
        <v>3893.7934</v>
      </c>
      <c r="Z14" s="2"/>
    </row>
    <row r="15" spans="1:32">
      <c r="A15" s="162"/>
      <c r="B15" s="27"/>
      <c r="C15" s="163" t="s">
        <v>152</v>
      </c>
      <c r="D15" s="22">
        <f>(C14+D14)*0.005</f>
        <v>18.366949999999999</v>
      </c>
      <c r="E15" s="22">
        <f>(C14+D14+E14)*0.005</f>
        <v>18.366949999999999</v>
      </c>
      <c r="F15" s="22"/>
      <c r="G15" s="22">
        <f>(+C14+D14+E14+G14)*0.005</f>
        <v>18.366949999999999</v>
      </c>
      <c r="H15" s="22"/>
      <c r="I15" s="22">
        <f>(C14+D14+E14+G14+I14)*0.005</f>
        <v>18.366949999999999</v>
      </c>
      <c r="J15" s="22"/>
      <c r="K15" s="22">
        <f>(C14+D14+E14+G14+I14+K14)*0.005</f>
        <v>18.366949999999999</v>
      </c>
      <c r="L15" s="22">
        <f>(C14+D14+E14+G14+I14+K14+L14)*0.005</f>
        <v>18.366949999999999</v>
      </c>
      <c r="M15" s="22">
        <f>(C14+D14+E14+G14+I14+K14+L14+M14)*0.005</f>
        <v>18.366949999999999</v>
      </c>
      <c r="N15" s="22">
        <f>(C14+D14+E14+G14+I14+K14+L14+M14+N14)*0.005</f>
        <v>18.366949999999999</v>
      </c>
      <c r="O15" s="22">
        <f>(C14+D14+E14+G14+I14+K14+L14+M14+N14+O14)*0.005</f>
        <v>18.366949999999999</v>
      </c>
      <c r="P15" s="22">
        <f>(C14+D14+E14+G14+I14+K14+L14+M14+N14+O14+P14)*0.005</f>
        <v>18.366949999999999</v>
      </c>
      <c r="Q15" s="22"/>
      <c r="R15" s="22">
        <f>(C14+D14+E14+G14+I14+K14+L14+M14+N14+O14+P14+R14)*0.005</f>
        <v>18.366949999999999</v>
      </c>
      <c r="S15" s="22">
        <f>(C14+D14+E14+G14+I14+K14+L14+M14+N14+O14+P14+R14+S14)*0.005</f>
        <v>18.366949999999999</v>
      </c>
      <c r="T15" s="22"/>
      <c r="U15" s="46"/>
      <c r="V15" s="22"/>
      <c r="W15" s="22"/>
      <c r="X15" s="22"/>
      <c r="Z15" s="2"/>
    </row>
    <row r="16" spans="1:32">
      <c r="A16" s="162">
        <v>4</v>
      </c>
      <c r="B16" s="20" t="s">
        <v>32</v>
      </c>
      <c r="C16" s="161">
        <f>11667.66+355.89</f>
        <v>12023.55</v>
      </c>
      <c r="D16" s="32">
        <v>500</v>
      </c>
      <c r="E16" s="32">
        <v>500</v>
      </c>
      <c r="F16" s="22"/>
      <c r="G16" s="32">
        <v>675</v>
      </c>
      <c r="H16" s="22"/>
      <c r="I16" s="22">
        <v>0</v>
      </c>
      <c r="J16" s="22"/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v>0</v>
      </c>
      <c r="S16" s="22">
        <v>0</v>
      </c>
      <c r="T16" s="32"/>
      <c r="U16" s="46">
        <f>C16+D16+E16+G16+I16+K16+L16+M16+N16+O16+P16+R16+S16-T16</f>
        <v>13698.55</v>
      </c>
      <c r="V16" s="22">
        <f>U16/12</f>
        <v>1141.5458333333299</v>
      </c>
      <c r="W16" s="22">
        <f>D17+E17+G17+I17+K17+L17+M17+N17+O17+P17+R17+S17</f>
        <v>812.66300000000001</v>
      </c>
      <c r="X16" s="22">
        <f>U16+W16</f>
        <v>14511.213</v>
      </c>
      <c r="Z16" s="179"/>
      <c r="AA16" s="2"/>
    </row>
    <row r="17" spans="1:27">
      <c r="A17" s="162"/>
      <c r="B17" s="20"/>
      <c r="C17" s="163" t="s">
        <v>152</v>
      </c>
      <c r="D17" s="22">
        <f>(C16+D16)*0.005</f>
        <v>62.617750000000001</v>
      </c>
      <c r="E17" s="22">
        <f>(C16+D16+E16)*0.005</f>
        <v>65.117750000000001</v>
      </c>
      <c r="F17" s="22"/>
      <c r="G17" s="22">
        <f>(+C16+D16+E16+G16)*0.005</f>
        <v>68.492750000000001</v>
      </c>
      <c r="H17" s="22"/>
      <c r="I17" s="22">
        <f>(C16+D16+E16+G16+I16)*0.005</f>
        <v>68.492750000000001</v>
      </c>
      <c r="J17" s="22"/>
      <c r="K17" s="22">
        <f>(C16+D16+E16+G16+I16+K16)*0.005</f>
        <v>68.492750000000001</v>
      </c>
      <c r="L17" s="22">
        <f>(C16+D16+E16+G16+I16+K16+L16)*0.005</f>
        <v>68.492750000000001</v>
      </c>
      <c r="M17" s="22">
        <f>(C16+D16+E16+G16+I16+K16+L16+M16)*0.005</f>
        <v>68.492750000000001</v>
      </c>
      <c r="N17" s="22">
        <f>(C16+D16+E16+G16+I16+K16+L16+M16+N16)*0.005</f>
        <v>68.492750000000001</v>
      </c>
      <c r="O17" s="22">
        <f>(C16+D16+E16+G16+I16+K16+L16+M16+N16+O16)*0.005</f>
        <v>68.492750000000001</v>
      </c>
      <c r="P17" s="22">
        <f>(C16+D16+E16+G16+I16+K16+L16+M16+N16+O16+P16)*0.005</f>
        <v>68.492750000000001</v>
      </c>
      <c r="Q17" s="22"/>
      <c r="R17" s="22">
        <f>(C16+D16+E16+G16+I16+K16+L16+M16+N16+O16+P16+R16)*0.005</f>
        <v>68.492750000000001</v>
      </c>
      <c r="S17" s="22">
        <f>(C16+D16+E16+G16+I16+K16+L16+M16+N16+O16+P16+R16+S16)*0.005</f>
        <v>68.492750000000001</v>
      </c>
      <c r="T17" s="22"/>
      <c r="U17" s="46"/>
      <c r="V17" s="22"/>
      <c r="X17" s="22"/>
      <c r="Z17" s="2"/>
      <c r="AA17" s="2"/>
    </row>
    <row r="18" spans="1:27" s="2" customFormat="1">
      <c r="A18" s="162">
        <v>5</v>
      </c>
      <c r="B18" s="20" t="s">
        <v>184</v>
      </c>
      <c r="C18" s="161">
        <f>7404+107.12</f>
        <v>7511.12</v>
      </c>
      <c r="D18" s="25">
        <v>0</v>
      </c>
      <c r="E18" s="25"/>
      <c r="F18" s="25"/>
      <c r="G18" s="25">
        <v>0</v>
      </c>
      <c r="H18" s="25"/>
      <c r="I18" s="22">
        <v>0</v>
      </c>
      <c r="J18" s="22"/>
      <c r="K18" s="22"/>
      <c r="L18" s="25">
        <v>0</v>
      </c>
      <c r="M18" s="32"/>
      <c r="N18" s="22">
        <v>0</v>
      </c>
      <c r="O18" s="22"/>
      <c r="P18" s="25"/>
      <c r="Q18" s="25"/>
      <c r="R18" s="25">
        <v>0</v>
      </c>
      <c r="S18" s="25"/>
      <c r="T18" s="25"/>
      <c r="U18" s="46">
        <f>C18+D18+E18+G18+I18+K18+L18+M18+N18+O18+P18+R18+S18</f>
        <v>7511.12</v>
      </c>
      <c r="V18" s="22">
        <f t="shared" ref="V18:V30" si="0">U18/12</f>
        <v>625.92666666666696</v>
      </c>
      <c r="W18" s="22">
        <f>D19+E19+G19+I19+K19+L19+M19+N19+O19+P19+R19+S19</f>
        <v>450.66719999999998</v>
      </c>
      <c r="X18" s="22">
        <f>U18+W18</f>
        <v>7961.7871999999998</v>
      </c>
      <c r="Y18" s="178"/>
      <c r="Z18" s="179"/>
    </row>
    <row r="19" spans="1:27" s="2" customFormat="1">
      <c r="A19" s="162"/>
      <c r="B19" s="20"/>
      <c r="C19" s="163" t="s">
        <v>152</v>
      </c>
      <c r="D19" s="22">
        <f>(C18+D18)*0.005</f>
        <v>37.555599999999998</v>
      </c>
      <c r="E19" s="22">
        <f>(C18+D18+E18)*0.005</f>
        <v>37.555599999999998</v>
      </c>
      <c r="F19" s="22"/>
      <c r="G19" s="22">
        <f>(+C18+D18+E18+G18)*0.005</f>
        <v>37.555599999999998</v>
      </c>
      <c r="H19" s="22"/>
      <c r="I19" s="22">
        <f>(C18+D18+E18+G18+I18)*0.005</f>
        <v>37.555599999999998</v>
      </c>
      <c r="J19" s="22"/>
      <c r="K19" s="22">
        <f>(C18+D18+E18+G18+I18+K18)*0.005</f>
        <v>37.555599999999998</v>
      </c>
      <c r="L19" s="22">
        <f>(C18+D18+E18+G18+I18+K18+L18)*0.005</f>
        <v>37.555599999999998</v>
      </c>
      <c r="M19" s="22">
        <f>(C18+D18+E18+G18+I18+K18+L18+M18)*0.005</f>
        <v>37.555599999999998</v>
      </c>
      <c r="N19" s="22">
        <f>(C18+D18+E18+G18+I18+K18+L18+M18+N18)*0.005</f>
        <v>37.555599999999998</v>
      </c>
      <c r="O19" s="22">
        <f>(C18+D18+E18+G18+I18+K18+L18+M18+N18+O18)*0.005</f>
        <v>37.555599999999998</v>
      </c>
      <c r="P19" s="22">
        <f>(C18+D18+E18+G18+I18+K18+L18+M18+N18+O18+P18)*0.005</f>
        <v>37.555599999999998</v>
      </c>
      <c r="Q19" s="22"/>
      <c r="R19" s="22">
        <f>(C18+D18+E18+G18+I18+K18+L18+M18+N18+O18+P18+R18)*0.005</f>
        <v>37.555599999999998</v>
      </c>
      <c r="S19" s="22">
        <f>(C18+D18+E18+G18+I18+K18+L18+M18+N18+O18+P18+R18+S18)*0.005</f>
        <v>37.555599999999998</v>
      </c>
      <c r="T19" s="22"/>
      <c r="U19" s="46"/>
      <c r="V19" s="22"/>
      <c r="W19" s="22"/>
      <c r="X19" s="22"/>
      <c r="Y19" s="178"/>
    </row>
    <row r="20" spans="1:27">
      <c r="A20" s="162">
        <v>6</v>
      </c>
      <c r="B20" s="20" t="s">
        <v>34</v>
      </c>
      <c r="C20" s="161"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173"/>
      <c r="V20" s="22">
        <f t="shared" si="0"/>
        <v>0</v>
      </c>
      <c r="W20" s="22">
        <f>D21+E21+G21+I21+K21+L21+M21+N21+O21+P21+R21+S21</f>
        <v>0</v>
      </c>
      <c r="X20" s="22">
        <f>U20+W20</f>
        <v>0</v>
      </c>
      <c r="Z20" s="2"/>
      <c r="AA20" s="2"/>
    </row>
    <row r="21" spans="1:27">
      <c r="A21" s="162"/>
      <c r="B21" s="20"/>
      <c r="C21" s="163" t="s">
        <v>152</v>
      </c>
      <c r="D21" s="22">
        <f>(C20+D20)*0.005</f>
        <v>0</v>
      </c>
      <c r="E21" s="22">
        <f>(C20+D20+E20)*0.005</f>
        <v>0</v>
      </c>
      <c r="F21" s="22"/>
      <c r="G21" s="22">
        <f>(+C20+D20+E20+G20)*0.005</f>
        <v>0</v>
      </c>
      <c r="H21" s="22"/>
      <c r="I21" s="22">
        <f>(C20+D20+E20+G20+I20)*0.005</f>
        <v>0</v>
      </c>
      <c r="J21" s="22"/>
      <c r="K21" s="22">
        <f>(C20+D20+E20+G20+I20+K20)*0.005</f>
        <v>0</v>
      </c>
      <c r="L21" s="22">
        <f>(C20+D20+E20+G20+I20+K20+L20)*0.005</f>
        <v>0</v>
      </c>
      <c r="M21" s="22">
        <f>(C20+D20+E20+G20+I20+K20+L20+M20)*0.005</f>
        <v>0</v>
      </c>
      <c r="N21" s="22">
        <f>(C20+D20+E20+G20+I20+K20+L20+M20+N20)*0.005</f>
        <v>0</v>
      </c>
      <c r="O21" s="22">
        <f>(C20+D20+E20+G20+I20+K20+L20+M20+N20+O20)*0.005</f>
        <v>0</v>
      </c>
      <c r="P21" s="22">
        <f>(C20+D20+E20+G20+I20+K20+L20+M20+N20+O20+P20)*0.005</f>
        <v>0</v>
      </c>
      <c r="Q21" s="22"/>
      <c r="R21" s="22">
        <f>(C20+D20+E20+G20+I20+K20+L20+M20+N20+O20+P20+R20)*0.005</f>
        <v>0</v>
      </c>
      <c r="S21" s="22">
        <f>(C20+D20+E20+G20+I20+K20+L20+M20+N20+O20+P20+R20+S20)*0.005</f>
        <v>0</v>
      </c>
      <c r="T21" s="22"/>
      <c r="U21" s="173"/>
      <c r="V21" s="22"/>
      <c r="W21" s="22"/>
      <c r="X21" s="22"/>
      <c r="Z21" s="2"/>
      <c r="AA21" s="2"/>
    </row>
    <row r="22" spans="1:27">
      <c r="A22" s="162">
        <v>8</v>
      </c>
      <c r="B22" s="31" t="s">
        <v>37</v>
      </c>
      <c r="C22" s="161">
        <v>1036.83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46">
        <f>C22+D22+E22+G22+I22+K22+L22+M22+N22+O22+P22+R22+S22</f>
        <v>1036.83</v>
      </c>
      <c r="V22" s="22">
        <f t="shared" si="0"/>
        <v>86.402500000000003</v>
      </c>
      <c r="W22" s="22">
        <f>D23+E23+G23+I23+K23+L23+M23+N23+O23+P23+R23+S23</f>
        <v>62.209800000000001</v>
      </c>
      <c r="X22" s="22">
        <f>U22+W22</f>
        <v>1099.0398</v>
      </c>
      <c r="Z22" s="2"/>
      <c r="AA22" s="2"/>
    </row>
    <row r="23" spans="1:27">
      <c r="A23" s="162"/>
      <c r="B23" s="31"/>
      <c r="C23" s="163" t="s">
        <v>152</v>
      </c>
      <c r="D23" s="22">
        <f>(C22+D22)*0.005</f>
        <v>5.1841499999999998</v>
      </c>
      <c r="E23" s="22">
        <f>(C22+D22+E22)*0.005</f>
        <v>5.1841499999999998</v>
      </c>
      <c r="F23" s="22"/>
      <c r="G23" s="22">
        <f>(+C22+D22+E22+G22)*0.005</f>
        <v>5.1841499999999998</v>
      </c>
      <c r="H23" s="22"/>
      <c r="I23" s="22">
        <f>(C22+D22+E22+G22+I22)*0.005</f>
        <v>5.1841499999999998</v>
      </c>
      <c r="J23" s="22"/>
      <c r="K23" s="22">
        <f>(C22+D22+E22+G22+I22+K22)*0.005</f>
        <v>5.1841499999999998</v>
      </c>
      <c r="L23" s="22">
        <f>(C22+D22+E22+G22+I22+K22+L22)*0.005</f>
        <v>5.1841499999999998</v>
      </c>
      <c r="M23" s="22">
        <f>(C22+D22+E22+G22+I22+K22+L22+M22)*0.005</f>
        <v>5.1841499999999998</v>
      </c>
      <c r="N23" s="22">
        <f>(C22+D22+E22+G22+I22+K22+L22+M22+N22)*0.005</f>
        <v>5.1841499999999998</v>
      </c>
      <c r="O23" s="22">
        <f>(C22+D22+E22+G22+I22+K22+L22+M22+N22+O22)*0.005</f>
        <v>5.1841499999999998</v>
      </c>
      <c r="P23" s="22">
        <f>(C22+D22+E22+G22+I22+K22+L22+M22+N22+O22+P22)*0.005</f>
        <v>5.1841499999999998</v>
      </c>
      <c r="Q23" s="22"/>
      <c r="R23" s="22">
        <f>(C22+D22+E22+G22+I22+K22+L22+M22+N22+O22+P22+R22)*0.005</f>
        <v>5.1841499999999998</v>
      </c>
      <c r="S23" s="22">
        <f>(C22+D22+E22+G22+I22+K22+L22+M22+N22+O22+P22+R22+S22)*0.005</f>
        <v>5.1841499999999998</v>
      </c>
      <c r="T23" s="22"/>
      <c r="U23" s="46"/>
      <c r="V23" s="22"/>
      <c r="W23" s="22"/>
      <c r="X23" s="22"/>
      <c r="Z23" s="2"/>
      <c r="AA23" s="2"/>
    </row>
    <row r="24" spans="1:27">
      <c r="A24" s="162">
        <v>9</v>
      </c>
      <c r="B24" s="30" t="s">
        <v>38</v>
      </c>
      <c r="C24" s="161">
        <v>1106.42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46">
        <f>C24+D24+E24+G24+I24+K24+L24+M24+N24+O24+P24+R24+S24</f>
        <v>1106.42</v>
      </c>
      <c r="V24" s="22">
        <f t="shared" si="0"/>
        <v>92.201666666666696</v>
      </c>
      <c r="W24" s="22">
        <f>D25+E25+G25+I25+K25+L25+M25+N25+O25+P25+R25+S25</f>
        <v>66.385199999999998</v>
      </c>
      <c r="X24" s="22">
        <f>U24+W24</f>
        <v>1172.8052</v>
      </c>
      <c r="Z24" s="2"/>
      <c r="AA24" s="2"/>
    </row>
    <row r="25" spans="1:27">
      <c r="A25" s="162"/>
      <c r="B25" s="30"/>
      <c r="C25" s="163" t="s">
        <v>152</v>
      </c>
      <c r="D25" s="22">
        <f>(C24+D24)*0.005</f>
        <v>5.5320999999999998</v>
      </c>
      <c r="E25" s="22">
        <f>(C24+D24+E24)*0.005</f>
        <v>5.5320999999999998</v>
      </c>
      <c r="F25" s="22"/>
      <c r="G25" s="22">
        <f>(+C24+D24+E24+G24)*0.005</f>
        <v>5.5320999999999998</v>
      </c>
      <c r="H25" s="22"/>
      <c r="I25" s="22">
        <f>(C24+D24+E24+G24+I24)*0.005</f>
        <v>5.5320999999999998</v>
      </c>
      <c r="J25" s="22"/>
      <c r="K25" s="22">
        <f>(C24+D24+E24+G24+I24+K24)*0.005</f>
        <v>5.5320999999999998</v>
      </c>
      <c r="L25" s="22">
        <f>(C24+D24+E24+G24+I24+K24+L24)*0.005</f>
        <v>5.5320999999999998</v>
      </c>
      <c r="M25" s="22">
        <f>(C24+D24+E24+G24+I24+K24+L24+M24)*0.005</f>
        <v>5.5320999999999998</v>
      </c>
      <c r="N25" s="22">
        <f>(C24+D24+E24+G24+I24+K24+L24+M24+N24)*0.005</f>
        <v>5.5320999999999998</v>
      </c>
      <c r="O25" s="22">
        <f>(C24+D24+E24+G24+I24+K24+L24+M24+N24+O24)*0.005</f>
        <v>5.5320999999999998</v>
      </c>
      <c r="P25" s="22">
        <f>(C24+D24+E24+G24+I24+K24+L24+M24+N24+O24+P24)*0.005</f>
        <v>5.5320999999999998</v>
      </c>
      <c r="Q25" s="22"/>
      <c r="R25" s="22">
        <f>(C24+D24+E24+G24+I24+K24+L24+M24+N24+O24+P24+R24)*0.005</f>
        <v>5.5320999999999998</v>
      </c>
      <c r="S25" s="22">
        <f>(C24+D24+E24+G24+I24+K24+L24+M24+N24+O24+P24+R24+S24)*0.005</f>
        <v>5.5320999999999998</v>
      </c>
      <c r="T25" s="22"/>
      <c r="U25" s="46"/>
      <c r="V25" s="22"/>
      <c r="W25" s="22"/>
      <c r="X25" s="22"/>
      <c r="Z25" s="2"/>
      <c r="AA25" s="2"/>
    </row>
    <row r="26" spans="1:27">
      <c r="A26" s="162">
        <v>10</v>
      </c>
      <c r="B26" s="31" t="s">
        <v>44</v>
      </c>
      <c r="C26" s="161">
        <v>2880.06</v>
      </c>
      <c r="D26" s="22">
        <v>0</v>
      </c>
      <c r="E26" s="22"/>
      <c r="F26" s="22"/>
      <c r="G26" s="22">
        <v>0</v>
      </c>
      <c r="H26" s="22"/>
      <c r="I26" s="22"/>
      <c r="J26" s="22"/>
      <c r="K26" s="22"/>
      <c r="L26" s="22">
        <v>0</v>
      </c>
      <c r="M26" s="32"/>
      <c r="N26" s="22"/>
      <c r="O26" s="22"/>
      <c r="P26" s="22"/>
      <c r="Q26" s="22"/>
      <c r="R26" s="22"/>
      <c r="S26" s="22"/>
      <c r="T26" s="22"/>
      <c r="U26" s="46">
        <f>C26+D26+E26+G26+I26+K26+L26+M26+N26+O26+P26+R26+S26</f>
        <v>2880.06</v>
      </c>
      <c r="V26" s="22">
        <f t="shared" si="0"/>
        <v>240.005</v>
      </c>
      <c r="W26" s="22">
        <f>D27+E27+G27+I27+K27+L27+M27+N27+O27+P27+R27+S27</f>
        <v>172.80359999999999</v>
      </c>
      <c r="X26" s="22">
        <f>U26+W26</f>
        <v>3052.8636000000001</v>
      </c>
      <c r="Z26" s="179"/>
      <c r="AA26" s="2"/>
    </row>
    <row r="27" spans="1:27">
      <c r="A27" s="162"/>
      <c r="B27" s="31"/>
      <c r="C27" s="163" t="s">
        <v>152</v>
      </c>
      <c r="D27" s="22">
        <f>(C26+D26)*0.005</f>
        <v>14.4003</v>
      </c>
      <c r="E27" s="22">
        <f>(C26+D26+E26)*0.005</f>
        <v>14.4003</v>
      </c>
      <c r="F27" s="22"/>
      <c r="G27" s="22">
        <f>(+C26+D26+E26+G26)*0.005</f>
        <v>14.4003</v>
      </c>
      <c r="H27" s="22"/>
      <c r="I27" s="22">
        <f>(C26+D26+E26+G26+I26)*0.005</f>
        <v>14.4003</v>
      </c>
      <c r="J27" s="22"/>
      <c r="K27" s="22">
        <f>(C26+D26+E26+G26+I26+K26)*0.005</f>
        <v>14.4003</v>
      </c>
      <c r="L27" s="22">
        <f>(C26+D26+E26+G26+I26+K26+L26)*0.005</f>
        <v>14.4003</v>
      </c>
      <c r="M27" s="22">
        <f>(C26+D26+E26+G26+I26+K26+L26+M26)*0.005</f>
        <v>14.4003</v>
      </c>
      <c r="N27" s="22">
        <f>(C26+D26+E26+G26+I26+K26+L26+M26+N26)*0.005</f>
        <v>14.4003</v>
      </c>
      <c r="O27" s="22">
        <f>(C26+D26+E26+G26+I26+K26+L26+M26+N26+O26)*0.005</f>
        <v>14.4003</v>
      </c>
      <c r="P27" s="22">
        <f>(C26+D26+E26+G26+I26+K26+L26+M26+N26+O26+P26)*0.005</f>
        <v>14.4003</v>
      </c>
      <c r="Q27" s="22"/>
      <c r="R27" s="22">
        <f>(C26+D26+E26+G26+I26+K26+L26+M26+N26+O26+P26+R26)*0.005</f>
        <v>14.4003</v>
      </c>
      <c r="S27" s="22">
        <f>(C26+D26+E26+G26+I26+K26+L26+M26+N26+O26+P26+R26+S26)*0.005</f>
        <v>14.4003</v>
      </c>
      <c r="T27" s="22"/>
      <c r="U27" s="46"/>
      <c r="V27" s="22"/>
      <c r="W27" s="22"/>
      <c r="X27" s="22"/>
      <c r="Z27" s="2"/>
      <c r="AA27" s="2"/>
    </row>
    <row r="28" spans="1:27" s="2" customFormat="1">
      <c r="A28" s="162">
        <v>11</v>
      </c>
      <c r="B28" s="20" t="s">
        <v>52</v>
      </c>
      <c r="C28" s="161">
        <v>553.53</v>
      </c>
      <c r="D28" s="25"/>
      <c r="E28" s="25"/>
      <c r="F28" s="25"/>
      <c r="G28" s="22"/>
      <c r="H28" s="22"/>
      <c r="I28" s="22"/>
      <c r="J28" s="22"/>
      <c r="K28" s="22"/>
      <c r="L28" s="22"/>
      <c r="M28" s="22">
        <v>0</v>
      </c>
      <c r="N28" s="22"/>
      <c r="O28" s="22"/>
      <c r="P28" s="22">
        <v>0</v>
      </c>
      <c r="Q28" s="22"/>
      <c r="R28" s="22"/>
      <c r="S28" s="22"/>
      <c r="T28" s="22"/>
      <c r="U28" s="46">
        <f>C28+D28+E28+G28+I28+K28+L28+M28+N28+O28+P28+R28+S28</f>
        <v>553.53</v>
      </c>
      <c r="V28" s="22">
        <f t="shared" si="0"/>
        <v>46.127499999999998</v>
      </c>
      <c r="W28" s="22">
        <f>D29+E29+G29+I29+K29+L29+M29+N29+O29+P29+R29+S29</f>
        <v>33.211799999999997</v>
      </c>
      <c r="X28" s="22">
        <f>U28+W28</f>
        <v>586.74180000000001</v>
      </c>
      <c r="Y28" s="178"/>
      <c r="Z28" s="179"/>
    </row>
    <row r="29" spans="1:27" s="2" customFormat="1">
      <c r="A29" s="162"/>
      <c r="B29" s="20"/>
      <c r="C29" s="163" t="s">
        <v>152</v>
      </c>
      <c r="D29" s="22">
        <f>(C28+D28)*0.005</f>
        <v>2.7676500000000002</v>
      </c>
      <c r="E29" s="22">
        <f>(C28+D28+E28)*0.005</f>
        <v>2.7676500000000002</v>
      </c>
      <c r="F29" s="22"/>
      <c r="G29" s="22">
        <f>(+C28+D28+E28+G28)*0.005</f>
        <v>2.7676500000000002</v>
      </c>
      <c r="H29" s="22"/>
      <c r="I29" s="22">
        <f>(C28+D28+E28+G28+I28)*0.005</f>
        <v>2.7676500000000002</v>
      </c>
      <c r="J29" s="22"/>
      <c r="K29" s="22">
        <f>(C28+D28+E28+G28+I28+K28)*0.005</f>
        <v>2.7676500000000002</v>
      </c>
      <c r="L29" s="22">
        <f>(C28+D28+E28+G28+I28+K28+L28)*0.005</f>
        <v>2.7676500000000002</v>
      </c>
      <c r="M29" s="22">
        <f>(C28+D28+E28+G28+I28+K28+L28+M28)*0.005</f>
        <v>2.7676500000000002</v>
      </c>
      <c r="N29" s="22">
        <f>(C28+D28+E28+G28+I28+K28+L28+M28+N28)*0.005</f>
        <v>2.7676500000000002</v>
      </c>
      <c r="O29" s="22">
        <f>(C28+D28+E28+G28+I28+K28+L28+M28+N28+O28)*0.005</f>
        <v>2.7676500000000002</v>
      </c>
      <c r="P29" s="22">
        <f>(C28+D28+E28+G28+I28+K28+L28+M28+N28+O28+P28)*0.005</f>
        <v>2.7676500000000002</v>
      </c>
      <c r="Q29" s="22"/>
      <c r="R29" s="22">
        <f>(C28+D28+E28+G28+I28+K28+L28+M28+N28+O28+P28+R28)*0.005</f>
        <v>2.7676500000000002</v>
      </c>
      <c r="S29" s="22">
        <f>(C28+D28+E28+G28+I28+K28+L28+M28+N28+O28+P28+R28+S28)*0.005</f>
        <v>2.7676500000000002</v>
      </c>
      <c r="T29" s="22"/>
      <c r="U29" s="46"/>
      <c r="V29" s="22"/>
      <c r="W29" s="22"/>
      <c r="X29" s="22"/>
      <c r="Y29" s="178"/>
    </row>
    <row r="30" spans="1:27">
      <c r="A30" s="162">
        <v>12</v>
      </c>
      <c r="B30" s="27" t="s">
        <v>57</v>
      </c>
      <c r="C30" s="161">
        <v>357.3</v>
      </c>
      <c r="D30" s="22">
        <v>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46">
        <f>C30+D30+E30+G30+I30+K30+L30+M30+N30+O30+P30+R30+S30</f>
        <v>357.3</v>
      </c>
      <c r="V30" s="22">
        <f t="shared" si="0"/>
        <v>29.774999999999999</v>
      </c>
      <c r="W30" s="22">
        <f>D31+E31+G31+I31+K31+L31+M31+N31+O31+P31+R31+S31</f>
        <v>21.437999999999999</v>
      </c>
      <c r="X30" s="22">
        <f>U30+W30</f>
        <v>378.738</v>
      </c>
      <c r="Z30" s="2"/>
      <c r="AA30" s="2"/>
    </row>
    <row r="31" spans="1:27" ht="12.75" customHeight="1">
      <c r="A31" s="162"/>
      <c r="B31" s="27"/>
      <c r="C31" s="163" t="s">
        <v>152</v>
      </c>
      <c r="D31" s="22">
        <f>(C30+D30)*0.005</f>
        <v>1.7865</v>
      </c>
      <c r="E31" s="22">
        <f>(C30+D30+E30)*0.005</f>
        <v>1.7865</v>
      </c>
      <c r="F31" s="22"/>
      <c r="G31" s="22">
        <f>(+C30+D30+E30+G30)*0.005</f>
        <v>1.7865</v>
      </c>
      <c r="H31" s="22"/>
      <c r="I31" s="22">
        <f>(C30+D30+E30+G30+I30)*0.005</f>
        <v>1.7865</v>
      </c>
      <c r="J31" s="22"/>
      <c r="K31" s="22">
        <f>(C30+D30+E30+G30+I30+K30)*0.005</f>
        <v>1.7865</v>
      </c>
      <c r="L31" s="22">
        <f>(C30+D30+E30+G30+I30+K30+L30)*0.005</f>
        <v>1.7865</v>
      </c>
      <c r="M31" s="22">
        <f>(C30+D30+E30+G30+I30+K30+L30+M30)*0.005</f>
        <v>1.7865</v>
      </c>
      <c r="N31" s="22">
        <f>(C30+D30+E30+G30+I30+K30+L30+M30+N30)*0.005</f>
        <v>1.7865</v>
      </c>
      <c r="O31" s="22">
        <f>(C30+D30+E30+G30+I30+K30+L30+M30+N30+O30)*0.005</f>
        <v>1.7865</v>
      </c>
      <c r="P31" s="22">
        <f>(C30+D30+E30+G30+I30+K30+L30+M30+N30+O30+P30)*0.005</f>
        <v>1.7865</v>
      </c>
      <c r="Q31" s="22"/>
      <c r="R31" s="22">
        <f>(C30+D30+E30+G30+I30+K30+L30+M30+N30+O30+P30+R30)*0.005</f>
        <v>1.7865</v>
      </c>
      <c r="S31" s="22">
        <f>(C30+D30+E30+G30+I30+K30+L30+M30+N30+O30+P30+R30+S30)*0.005</f>
        <v>1.7865</v>
      </c>
      <c r="T31" s="22"/>
      <c r="U31" s="46"/>
      <c r="V31" s="22"/>
      <c r="W31" s="22"/>
      <c r="X31" s="22"/>
      <c r="Z31" s="2"/>
      <c r="AA31" s="2"/>
    </row>
    <row r="32" spans="1:27">
      <c r="A32" s="162">
        <v>13</v>
      </c>
      <c r="B32" s="20" t="s">
        <v>68</v>
      </c>
      <c r="C32" s="165">
        <v>512.66</v>
      </c>
      <c r="D32" s="22">
        <v>0</v>
      </c>
      <c r="E32" s="22">
        <v>0</v>
      </c>
      <c r="F32" s="22"/>
      <c r="G32" s="22">
        <v>0</v>
      </c>
      <c r="H32" s="22"/>
      <c r="I32" s="22"/>
      <c r="J32" s="22"/>
      <c r="K32" s="22"/>
      <c r="L32" s="45"/>
      <c r="M32" s="45"/>
      <c r="N32" s="45"/>
      <c r="O32" s="45">
        <v>0</v>
      </c>
      <c r="P32" s="45"/>
      <c r="Q32" s="45"/>
      <c r="R32" s="45"/>
      <c r="S32" s="22"/>
      <c r="T32" s="22"/>
      <c r="U32" s="46">
        <f>C32+D32+E32+G32+I32+K32+L32+M32+N32+O32+P32+R32+S32</f>
        <v>512.66</v>
      </c>
      <c r="V32" s="22">
        <f>U32/12</f>
        <v>42.7216666666667</v>
      </c>
      <c r="W32" s="22">
        <f>D33+E33+G33+I33+K33+L33+M33+N33+O33+P33+R33+S33</f>
        <v>30.759599999999999</v>
      </c>
      <c r="X32" s="22">
        <f>U32+W32</f>
        <v>543.41959999999995</v>
      </c>
      <c r="Z32" s="179"/>
      <c r="AA32" s="2"/>
    </row>
    <row r="33" spans="1:27" ht="12.75" customHeight="1">
      <c r="A33" s="162"/>
      <c r="B33" s="20"/>
      <c r="C33" s="163" t="s">
        <v>152</v>
      </c>
      <c r="D33" s="22">
        <f>(C32+D32)*0.005</f>
        <v>2.5632999999999999</v>
      </c>
      <c r="E33" s="22">
        <f>(C32+D32+E32)*0.005</f>
        <v>2.5632999999999999</v>
      </c>
      <c r="F33" s="22"/>
      <c r="G33" s="22">
        <f>(+C32+D32+E32+G32)*0.005</f>
        <v>2.5632999999999999</v>
      </c>
      <c r="H33" s="22"/>
      <c r="I33" s="22">
        <f>(C32+D32+E32+G32+I32)*0.005</f>
        <v>2.5632999999999999</v>
      </c>
      <c r="J33" s="22"/>
      <c r="K33" s="22">
        <f>(C32+D32+E32+G32+I32+K32)*0.005</f>
        <v>2.5632999999999999</v>
      </c>
      <c r="L33" s="22">
        <f>(C32+D32+E32+G32+I32+K32+L32)*0.005</f>
        <v>2.5632999999999999</v>
      </c>
      <c r="M33" s="22">
        <f>(C32+D32+E32+G32+I32+K32+L32+M32)*0.005</f>
        <v>2.5632999999999999</v>
      </c>
      <c r="N33" s="22">
        <f>(C32+D32+E32+G32+I32+K32+L32+M32+N32)*0.005</f>
        <v>2.5632999999999999</v>
      </c>
      <c r="O33" s="22">
        <f>(C32+D32+E32+G32+I32+K32+L32+M32+N32+O32)*0.005</f>
        <v>2.5632999999999999</v>
      </c>
      <c r="P33" s="22">
        <f>(C32+D32+E32+G32+I32+K32+L32+M32+N32+O32+P32)*0.005</f>
        <v>2.5632999999999999</v>
      </c>
      <c r="Q33" s="22"/>
      <c r="R33" s="22">
        <f>(C32+D32+E32+G32+I32+K32+L32+M32+N32+O32+P32+R32)*0.005</f>
        <v>2.5632999999999999</v>
      </c>
      <c r="S33" s="22">
        <f>(C32+D32+E32+G32+I32+K32+L32+M32+N32+O32+P32+R32+S32)*0.005</f>
        <v>2.5632999999999999</v>
      </c>
      <c r="T33" s="22"/>
      <c r="U33" s="46"/>
      <c r="V33" s="22"/>
      <c r="W33" s="22"/>
      <c r="X33" s="22"/>
      <c r="Z33" s="2"/>
      <c r="AA33" s="2"/>
    </row>
    <row r="34" spans="1:27">
      <c r="A34" s="162">
        <v>14</v>
      </c>
      <c r="B34" s="20" t="s">
        <v>69</v>
      </c>
      <c r="C34" s="165">
        <f>989.03+128.94</f>
        <v>1117.97</v>
      </c>
      <c r="D34" s="22">
        <v>0</v>
      </c>
      <c r="E34" s="22">
        <v>0</v>
      </c>
      <c r="F34" s="22"/>
      <c r="G34" s="22">
        <v>0</v>
      </c>
      <c r="H34" s="22"/>
      <c r="I34" s="22"/>
      <c r="J34" s="22"/>
      <c r="K34" s="22"/>
      <c r="L34" s="45"/>
      <c r="M34" s="45"/>
      <c r="N34" s="45"/>
      <c r="O34" s="45">
        <v>0</v>
      </c>
      <c r="P34" s="45"/>
      <c r="Q34" s="45"/>
      <c r="R34" s="45"/>
      <c r="S34" s="22"/>
      <c r="T34" s="22"/>
      <c r="U34" s="46">
        <f>C34+D34+E34+G34+I34+K34+L34+M34+N34+O34+P34+R34+S34</f>
        <v>1117.97</v>
      </c>
      <c r="V34" s="22">
        <f>U34/12</f>
        <v>93.164166666666702</v>
      </c>
      <c r="W34" s="22">
        <f>D35+E35+G35+I35+K35+L35+M35+N35+O35+P35+R35+S35</f>
        <v>67.078199999999995</v>
      </c>
      <c r="X34" s="22">
        <f>U34+W34</f>
        <v>1185.0482</v>
      </c>
      <c r="Z34" s="179"/>
    </row>
    <row r="35" spans="1:27" ht="12.75" customHeight="1">
      <c r="A35" s="162"/>
      <c r="B35" s="20"/>
      <c r="C35" s="163" t="s">
        <v>152</v>
      </c>
      <c r="D35" s="22">
        <f>(C34+D34)*0.005</f>
        <v>5.5898500000000002</v>
      </c>
      <c r="E35" s="22">
        <f>(C34+D34+E34)*0.005</f>
        <v>5.5898500000000002</v>
      </c>
      <c r="F35" s="22"/>
      <c r="G35" s="22">
        <f>(+C34+D34+E34+G34)*0.005</f>
        <v>5.5898500000000002</v>
      </c>
      <c r="H35" s="22"/>
      <c r="I35" s="22">
        <f>(C34+D34+E34+G34+I34)*0.005</f>
        <v>5.5898500000000002</v>
      </c>
      <c r="J35" s="22"/>
      <c r="K35" s="22">
        <f>(C34+D34+E34+G34+I34+K34)*0.005</f>
        <v>5.5898500000000002</v>
      </c>
      <c r="L35" s="22">
        <f>(C34+D34+E34+G34+I34+K34+L34)*0.005</f>
        <v>5.5898500000000002</v>
      </c>
      <c r="M35" s="22">
        <f>(C34+D34+E34+G34+I34+K34+L34+M34)*0.005</f>
        <v>5.5898500000000002</v>
      </c>
      <c r="N35" s="22">
        <f>(C34+D34+E34+G34+I34+K34+L34+M34+N34)*0.005</f>
        <v>5.5898500000000002</v>
      </c>
      <c r="O35" s="22">
        <f>(C34+D34+E34+G34+I34+K34+L34+M34+N34+O34)*0.005</f>
        <v>5.5898500000000002</v>
      </c>
      <c r="P35" s="22">
        <f>(C34+D34+E34+G34+I34+K34+L34+M34+N34+O34+P34)*0.005</f>
        <v>5.5898500000000002</v>
      </c>
      <c r="Q35" s="22"/>
      <c r="R35" s="22">
        <f>(C34+D34+E34+G34+I34+K34+L34+M34+N34+O34+P34+R34)*0.005</f>
        <v>5.5898500000000002</v>
      </c>
      <c r="S35" s="22">
        <f>(C34+D34+E34+G34+I34+K34+L34+M34+N34+O34+P34+R34+S34)*0.005</f>
        <v>5.5898500000000002</v>
      </c>
      <c r="T35" s="22"/>
      <c r="U35" s="46"/>
      <c r="V35" s="22"/>
      <c r="W35" s="22"/>
      <c r="X35" s="22"/>
      <c r="Z35" s="2"/>
    </row>
    <row r="36" spans="1:27">
      <c r="A36" s="162">
        <v>15</v>
      </c>
      <c r="B36" s="20" t="s">
        <v>70</v>
      </c>
      <c r="C36" s="165">
        <f>600.27+63.4+94.03</f>
        <v>757.7</v>
      </c>
      <c r="D36" s="22">
        <v>0</v>
      </c>
      <c r="E36" s="22">
        <v>0</v>
      </c>
      <c r="F36" s="22"/>
      <c r="G36" s="22">
        <v>0</v>
      </c>
      <c r="H36" s="22"/>
      <c r="I36" s="22">
        <v>0</v>
      </c>
      <c r="J36" s="22"/>
      <c r="K36" s="22"/>
      <c r="L36" s="45"/>
      <c r="M36" s="45"/>
      <c r="N36" s="45"/>
      <c r="O36" s="45">
        <v>0</v>
      </c>
      <c r="P36" s="45"/>
      <c r="Q36" s="45"/>
      <c r="R36" s="45"/>
      <c r="S36" s="22"/>
      <c r="T36" s="22"/>
      <c r="U36" s="46">
        <f>C36+D36+E36+G36+I36+K36+L36+M36+N36+O36+P36+R36+S36</f>
        <v>757.7</v>
      </c>
      <c r="V36" s="22">
        <f>U36/12</f>
        <v>63.141666666666701</v>
      </c>
      <c r="W36" s="22">
        <f>D37+E37+G37+I37+K37+L37+M37+N37+O37+P37+R37+S37</f>
        <v>45.462000000000003</v>
      </c>
      <c r="X36" s="22">
        <f>U36+W36</f>
        <v>803.16200000000003</v>
      </c>
      <c r="Z36" s="179"/>
    </row>
    <row r="37" spans="1:27" ht="12.75" customHeight="1">
      <c r="A37" s="162"/>
      <c r="B37" s="20"/>
      <c r="C37" s="163" t="s">
        <v>152</v>
      </c>
      <c r="D37" s="22">
        <f>(C36+D36)*0.005</f>
        <v>3.7885</v>
      </c>
      <c r="E37" s="22">
        <f>(C36+D36+E36)*0.005</f>
        <v>3.7885</v>
      </c>
      <c r="F37" s="22"/>
      <c r="G37" s="22">
        <f>(+C36+D36+E36+G36)*0.005</f>
        <v>3.7885</v>
      </c>
      <c r="H37" s="22"/>
      <c r="I37" s="22">
        <f>(C36+D36+E36+G36+I36)*0.005</f>
        <v>3.7885</v>
      </c>
      <c r="J37" s="22"/>
      <c r="K37" s="22">
        <f>(C36+D36+E36+G36+I36+K36)*0.005</f>
        <v>3.7885</v>
      </c>
      <c r="L37" s="22">
        <f>(C36+D36+E36+G36+I36+K36+L36)*0.005</f>
        <v>3.7885</v>
      </c>
      <c r="M37" s="22">
        <f>(C36+D36+E36+G36+I36+K36+L36+M36)*0.005</f>
        <v>3.7885</v>
      </c>
      <c r="N37" s="22">
        <f>(C36+D36+E36+G36+I36+K36+L36+M36+N36)*0.005</f>
        <v>3.7885</v>
      </c>
      <c r="O37" s="22">
        <f>(C36+D36+E36+G36+I36+K36+L36+M36+N36+O36)*0.005</f>
        <v>3.7885</v>
      </c>
      <c r="P37" s="22">
        <f>(C36+D36+E36+G36+I36+K36+L36+M36+N36+O36+P36)*0.005</f>
        <v>3.7885</v>
      </c>
      <c r="Q37" s="22"/>
      <c r="R37" s="22">
        <f>(C36+D36+E36+G36+I36+K36+L36+M36+N36+O36+P36+R36)*0.005</f>
        <v>3.7885</v>
      </c>
      <c r="S37" s="22">
        <f>(C36+D36+E36+G36+I36+K36+L36+M36+N36+O36+P36+R36+S36)*0.005</f>
        <v>3.7885</v>
      </c>
      <c r="T37" s="22"/>
      <c r="U37" s="46"/>
      <c r="V37" s="22"/>
      <c r="W37" s="22"/>
      <c r="X37" s="22"/>
      <c r="Z37" s="2"/>
    </row>
    <row r="38" spans="1:27" ht="12.75" customHeight="1">
      <c r="A38" s="162">
        <v>16</v>
      </c>
      <c r="B38" s="20" t="s">
        <v>71</v>
      </c>
      <c r="C38" s="165">
        <f>1482.93+115.85</f>
        <v>1598.78</v>
      </c>
      <c r="D38" s="22">
        <v>0</v>
      </c>
      <c r="E38" s="22">
        <v>0</v>
      </c>
      <c r="F38" s="22"/>
      <c r="G38" s="22">
        <v>0</v>
      </c>
      <c r="H38" s="22"/>
      <c r="I38" s="22">
        <v>0</v>
      </c>
      <c r="J38" s="22"/>
      <c r="K38" s="22">
        <v>0</v>
      </c>
      <c r="L38" s="71"/>
      <c r="M38" s="45"/>
      <c r="N38" s="45"/>
      <c r="O38" s="45">
        <v>0</v>
      </c>
      <c r="P38" s="45"/>
      <c r="Q38" s="45"/>
      <c r="R38" s="45"/>
      <c r="S38" s="22"/>
      <c r="T38" s="22"/>
      <c r="U38" s="46">
        <f>C38+D38+E38+G38+I38+K38+L38+M38+N38+O38+P38+R38+S38</f>
        <v>1598.78</v>
      </c>
      <c r="V38" s="22">
        <f>U38/12</f>
        <v>133.231666666667</v>
      </c>
      <c r="W38" s="22">
        <f>D39+E39+G39+I39+K39+L39+M39+N39+O39+P39+R39+S39</f>
        <v>95.9268</v>
      </c>
      <c r="X38" s="22">
        <f>U38+W38</f>
        <v>1694.7067999999999</v>
      </c>
      <c r="Z38" s="179"/>
    </row>
    <row r="39" spans="1:27" ht="12.75" customHeight="1">
      <c r="A39" s="166"/>
      <c r="B39" s="36"/>
      <c r="C39" s="167" t="s">
        <v>152</v>
      </c>
      <c r="D39" s="38">
        <f>(C38+D38)*0.005</f>
        <v>7.9939</v>
      </c>
      <c r="E39" s="38">
        <f>(C38+D38+E38)*0.005</f>
        <v>7.9939</v>
      </c>
      <c r="F39" s="38"/>
      <c r="G39" s="38">
        <f>(+C38+D38+E38+G38)*0.005</f>
        <v>7.9939</v>
      </c>
      <c r="H39" s="38"/>
      <c r="I39" s="38">
        <f>(C38+D38+E38+G38+I38)*0.005</f>
        <v>7.9939</v>
      </c>
      <c r="J39" s="38"/>
      <c r="K39" s="38">
        <f>(C38+D38+E38+G38+I38+K38)*0.005</f>
        <v>7.9939</v>
      </c>
      <c r="L39" s="38">
        <f>(C38+D38+E38+G38+I38+K38+L38)*0.005</f>
        <v>7.9939</v>
      </c>
      <c r="M39" s="38">
        <f>(C38+D38+E38+G38+I38+K38+L38+M38)*0.005</f>
        <v>7.9939</v>
      </c>
      <c r="N39" s="38">
        <f>(C38+D38+E38+G38+I38+K38+L38+M38+N38)*0.005</f>
        <v>7.9939</v>
      </c>
      <c r="O39" s="38">
        <f>(C38+D38+E38+G38+I38+K38+L38+M38+N38+O38)*0.005</f>
        <v>7.9939</v>
      </c>
      <c r="P39" s="38">
        <f>(C38+D38+E38+G38+I38+K38+L38+M38+N38+O38+P38)*0.005</f>
        <v>7.9939</v>
      </c>
      <c r="Q39" s="38"/>
      <c r="R39" s="38">
        <f>(C38+D38+E38+G38+I38+K38+L38+M38+N38+O38+P38+R38)*0.005</f>
        <v>7.9939</v>
      </c>
      <c r="S39" s="38">
        <f>(C38+D38+E38+G38+I38+K38+L38+M38+N38+O38+P38+R38+S38)*0.005</f>
        <v>7.9939</v>
      </c>
      <c r="T39" s="38"/>
      <c r="U39" s="108"/>
      <c r="V39" s="38"/>
      <c r="W39" s="38"/>
      <c r="X39" s="38"/>
      <c r="Z39" s="2"/>
    </row>
    <row r="40" spans="1:27" ht="12.75" customHeight="1">
      <c r="A40" s="168"/>
      <c r="B40" s="16"/>
      <c r="C40" s="155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74"/>
      <c r="V40" s="169"/>
      <c r="W40" s="169"/>
      <c r="X40" s="175" t="s">
        <v>166</v>
      </c>
      <c r="Z40" s="2"/>
    </row>
    <row r="41" spans="1:27">
      <c r="A41" s="170"/>
      <c r="B41" s="36"/>
      <c r="C41" s="171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76"/>
      <c r="V41" s="148"/>
      <c r="W41" s="148"/>
      <c r="X41" s="148"/>
      <c r="Z41" s="2"/>
    </row>
    <row r="42" spans="1:27" ht="4.5" customHeight="1">
      <c r="A42" s="162"/>
      <c r="B42" s="20"/>
      <c r="C42" s="76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46"/>
      <c r="V42" s="22"/>
      <c r="W42" s="22"/>
      <c r="X42" s="22"/>
      <c r="Z42" s="2"/>
    </row>
    <row r="43" spans="1:27">
      <c r="A43" s="162">
        <v>17</v>
      </c>
      <c r="B43" s="20" t="s">
        <v>73</v>
      </c>
      <c r="C43" s="165">
        <v>284</v>
      </c>
      <c r="D43" s="22"/>
      <c r="E43" s="22"/>
      <c r="F43" s="22"/>
      <c r="G43" s="22"/>
      <c r="H43" s="22"/>
      <c r="I43" s="22"/>
      <c r="J43" s="22"/>
      <c r="K43" s="22"/>
      <c r="L43" s="22">
        <v>0</v>
      </c>
      <c r="M43" s="22"/>
      <c r="N43" s="22"/>
      <c r="O43" s="22"/>
      <c r="P43" s="22"/>
      <c r="Q43" s="22"/>
      <c r="R43" s="22">
        <v>0</v>
      </c>
      <c r="S43" s="22"/>
      <c r="T43" s="22"/>
      <c r="U43" s="46">
        <f>C43+D43+E43+G43+I43+K43+L43+M43+N43+O43+P43+R43+S43</f>
        <v>284</v>
      </c>
      <c r="V43" s="22">
        <f t="shared" ref="V43:V65" si="1">U43/12</f>
        <v>23.6666666666667</v>
      </c>
      <c r="W43" s="22">
        <f>D44+E44+G44+I44+K44+L44+M44+N44+O44+P44+R44+S44</f>
        <v>17.04</v>
      </c>
      <c r="X43" s="22">
        <f>U43+W43</f>
        <v>301.04000000000002</v>
      </c>
      <c r="Z43" s="179"/>
    </row>
    <row r="44" spans="1:27">
      <c r="A44" s="162"/>
      <c r="B44" s="20"/>
      <c r="C44" s="163" t="s">
        <v>152</v>
      </c>
      <c r="D44" s="22">
        <f>(C43+D43)*0.005</f>
        <v>1.42</v>
      </c>
      <c r="E44" s="22">
        <f>(C43+D43+E43)*0.005</f>
        <v>1.42</v>
      </c>
      <c r="F44" s="22"/>
      <c r="G44" s="22">
        <f>(+C43+D43+E43+G43)*0.005</f>
        <v>1.42</v>
      </c>
      <c r="H44" s="22"/>
      <c r="I44" s="22">
        <f>(C43+D43+E43+G43+I43)*0.005</f>
        <v>1.42</v>
      </c>
      <c r="J44" s="22"/>
      <c r="K44" s="22">
        <f>(C43+D43+E43+G43+I43+K43)*0.005</f>
        <v>1.42</v>
      </c>
      <c r="L44" s="22">
        <f>(C43+D43+E43+G43+I43+K43+L43)*0.005</f>
        <v>1.42</v>
      </c>
      <c r="M44" s="22">
        <f>(C43+D43+E43+G43+I43+K43+L43+M43)*0.005</f>
        <v>1.42</v>
      </c>
      <c r="N44" s="22">
        <f>(C43+D43+E43+G43+I43+K43+L43+M43+N43)*0.005</f>
        <v>1.42</v>
      </c>
      <c r="O44" s="22">
        <f>(C43+D43+E43+G43+I43+K43+L43+M43+N43+O43)*0.005</f>
        <v>1.42</v>
      </c>
      <c r="P44" s="22">
        <f>(C43+D43+E43+G43+I43+K43+L43+M43+N43+O43+P43)*0.005</f>
        <v>1.42</v>
      </c>
      <c r="Q44" s="22"/>
      <c r="R44" s="22">
        <f>(C43+D43+E43+G43+I43+K43+L43+M43+N43+O43+P43+R43)*0.005</f>
        <v>1.42</v>
      </c>
      <c r="S44" s="22">
        <f>(C43+D43+E43+G43+I43+K43+L43+M43+N43+O43+P43+R43+S43)*0.005</f>
        <v>1.42</v>
      </c>
      <c r="T44" s="22"/>
      <c r="U44" s="46"/>
      <c r="V44" s="22"/>
      <c r="W44" s="22"/>
      <c r="X44" s="22"/>
      <c r="Z44" s="2"/>
    </row>
    <row r="45" spans="1:27">
      <c r="A45" s="162">
        <v>18</v>
      </c>
      <c r="B45" s="20" t="s">
        <v>74</v>
      </c>
      <c r="C45" s="165">
        <f>1979.43+198.77</f>
        <v>2178.1999999999998</v>
      </c>
      <c r="D45" s="22"/>
      <c r="E45" s="22">
        <v>0</v>
      </c>
      <c r="F45" s="22"/>
      <c r="G45" s="22">
        <v>0</v>
      </c>
      <c r="H45" s="22"/>
      <c r="I45" s="22">
        <v>0</v>
      </c>
      <c r="J45" s="22"/>
      <c r="K45" s="22">
        <v>0</v>
      </c>
      <c r="L45" s="22">
        <v>0</v>
      </c>
      <c r="M45" s="32"/>
      <c r="N45" s="22"/>
      <c r="O45" s="22"/>
      <c r="P45" s="22"/>
      <c r="Q45" s="22"/>
      <c r="R45" s="22"/>
      <c r="S45" s="22"/>
      <c r="T45" s="22"/>
      <c r="U45" s="46">
        <f>C45+D45+E45+G45+I45+K45+L45+M45+N45+O45+P45+R45+S45</f>
        <v>2178.1999999999998</v>
      </c>
      <c r="V45" s="22">
        <f t="shared" si="1"/>
        <v>181.51666666666699</v>
      </c>
      <c r="W45" s="22">
        <f>D46+E46+G46+I46+K46+L46+M46+N46+O46+P46+R46+S46</f>
        <v>130.69200000000001</v>
      </c>
      <c r="X45" s="22">
        <f>U45+W45</f>
        <v>2308.8919999999998</v>
      </c>
      <c r="Z45" s="179"/>
    </row>
    <row r="46" spans="1:27">
      <c r="A46" s="162"/>
      <c r="B46" s="20"/>
      <c r="C46" s="163" t="s">
        <v>152</v>
      </c>
      <c r="D46" s="22">
        <f>(C45+D45)*0.005</f>
        <v>10.891</v>
      </c>
      <c r="E46" s="22">
        <f>(C45+D45+E45)*0.005</f>
        <v>10.891</v>
      </c>
      <c r="F46" s="22"/>
      <c r="G46" s="22">
        <f>(+C45+D45+E45+G45)*0.005</f>
        <v>10.891</v>
      </c>
      <c r="H46" s="22"/>
      <c r="I46" s="22">
        <f>(C45+D45+E45+G45+I45)*0.005</f>
        <v>10.891</v>
      </c>
      <c r="J46" s="22"/>
      <c r="K46" s="22">
        <f>(C45+D45+E45+G45+I45+K45)*0.005</f>
        <v>10.891</v>
      </c>
      <c r="L46" s="22">
        <f>(C45+D45+E45+G45+I45+K45+L45)*0.005</f>
        <v>10.891</v>
      </c>
      <c r="M46" s="22">
        <f>(C45+D45+E45+G45+I45+K45+L45+M45)*0.005</f>
        <v>10.891</v>
      </c>
      <c r="N46" s="22">
        <f>(C45+D45+E45+G45+I45+K45+L45+M45+N45)*0.005</f>
        <v>10.891</v>
      </c>
      <c r="O46" s="22">
        <f>(C45+D45+E45+G45+I45+K45+L45+M45+N45+O45)*0.005</f>
        <v>10.891</v>
      </c>
      <c r="P46" s="22">
        <f>(C45+D45+E45+G45+I45+K45+L45+M45+N45+O45+P45)*0.005</f>
        <v>10.891</v>
      </c>
      <c r="Q46" s="22"/>
      <c r="R46" s="22">
        <f>(C45+D45+E45+G45+I45+K45+L45+M45+N45+O45+P45+R45)*0.005</f>
        <v>10.891</v>
      </c>
      <c r="S46" s="22">
        <f>(C45+D45+E45+G45+I45+K45+L45+M45+N45+O45+P45+R45+S45)*0.005</f>
        <v>10.891</v>
      </c>
      <c r="T46" s="22"/>
      <c r="U46" s="46"/>
      <c r="V46" s="22"/>
      <c r="W46" s="22"/>
      <c r="X46" s="22"/>
      <c r="Z46" s="2"/>
    </row>
    <row r="47" spans="1:27">
      <c r="A47" s="162">
        <v>19</v>
      </c>
      <c r="B47" s="20" t="s">
        <v>80</v>
      </c>
      <c r="C47" s="165">
        <v>58.71</v>
      </c>
      <c r="D47" s="22"/>
      <c r="E47" s="22"/>
      <c r="F47" s="22"/>
      <c r="G47" s="22"/>
      <c r="H47" s="22"/>
      <c r="I47" s="22"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46">
        <f>C47+D47+E47+G47+I47+K47+L47+M47+N47+O47+P47+R47+S47</f>
        <v>58.71</v>
      </c>
      <c r="V47" s="22">
        <f t="shared" si="1"/>
        <v>4.8925000000000001</v>
      </c>
      <c r="W47" s="22">
        <f>D48+E48+G48+I48+K48+L48+M48+N48+O48+P48+R48+S48</f>
        <v>3.5226000000000002</v>
      </c>
      <c r="X47" s="22">
        <f>U47+W47</f>
        <v>62.232599999999998</v>
      </c>
      <c r="Z47" s="179"/>
    </row>
    <row r="48" spans="1:27">
      <c r="A48" s="162"/>
      <c r="B48" s="20"/>
      <c r="C48" s="163" t="s">
        <v>152</v>
      </c>
      <c r="D48" s="22">
        <f>(C47+D47)*0.005</f>
        <v>0.29354999999999998</v>
      </c>
      <c r="E48" s="22">
        <f>(C47+D47+E47)*0.005</f>
        <v>0.29354999999999998</v>
      </c>
      <c r="F48" s="22"/>
      <c r="G48" s="22">
        <f>(+C47+D47+E47+G47)*0.005</f>
        <v>0.29354999999999998</v>
      </c>
      <c r="H48" s="22"/>
      <c r="I48" s="22">
        <f>(C47+D47+E47+G47+I47)*0.005</f>
        <v>0.29354999999999998</v>
      </c>
      <c r="J48" s="22"/>
      <c r="K48" s="22">
        <f>(C47+D47+E47+G47+I47+K47)*0.005</f>
        <v>0.29354999999999998</v>
      </c>
      <c r="L48" s="22">
        <f>(C47+D47+E47+G47+I47+K47+L47)*0.005</f>
        <v>0.29354999999999998</v>
      </c>
      <c r="M48" s="22">
        <f>(C47+D47+E47+G47+I47+K47+L47+M47)*0.005</f>
        <v>0.29354999999999998</v>
      </c>
      <c r="N48" s="22">
        <f>(C47+D47+E47+G47+I47+K47+L47+M47+N47)*0.005</f>
        <v>0.29354999999999998</v>
      </c>
      <c r="O48" s="22">
        <f>(C47+D47+E47+G47+I47+K47+L47+M47+N47+O47)*0.005</f>
        <v>0.29354999999999998</v>
      </c>
      <c r="P48" s="22">
        <f>(C47+D47+E47+G47+I47+K47+L47+M47+N47+O47+P47)*0.005</f>
        <v>0.29354999999999998</v>
      </c>
      <c r="Q48" s="22"/>
      <c r="R48" s="22">
        <f>(C47+D47+E47+G47+I47+K47+L47+M47+N47+O47+P47+R47)*0.005</f>
        <v>0.29354999999999998</v>
      </c>
      <c r="S48" s="22">
        <f>(C47+D47+E47+G47+I47+K47+L47+M47+N47+O47+P47+R47+S47)*0.005</f>
        <v>0.29354999999999998</v>
      </c>
      <c r="T48" s="22"/>
      <c r="U48" s="46"/>
      <c r="V48" s="22"/>
      <c r="W48" s="22"/>
      <c r="X48" s="22"/>
      <c r="Z48" s="2"/>
    </row>
    <row r="49" spans="1:26">
      <c r="A49" s="162">
        <v>20</v>
      </c>
      <c r="B49" s="70" t="s">
        <v>82</v>
      </c>
      <c r="C49" s="165">
        <v>1704.79</v>
      </c>
      <c r="D49" s="22"/>
      <c r="E49" s="22"/>
      <c r="F49" s="22"/>
      <c r="G49" s="22">
        <v>0</v>
      </c>
      <c r="H49" s="22"/>
      <c r="I49" s="22">
        <v>0</v>
      </c>
      <c r="J49" s="22"/>
      <c r="K49" s="22">
        <v>0</v>
      </c>
      <c r="L49" s="22">
        <v>0</v>
      </c>
      <c r="M49" s="22">
        <v>0</v>
      </c>
      <c r="N49" s="22"/>
      <c r="O49" s="22"/>
      <c r="P49" s="22"/>
      <c r="Q49" s="22"/>
      <c r="R49" s="22"/>
      <c r="S49" s="22"/>
      <c r="T49" s="22"/>
      <c r="U49" s="46">
        <f>C49+D49+E49+G49+I49+K49+L49+M49+N49+O49+P49+R49+S49</f>
        <v>1704.79</v>
      </c>
      <c r="V49" s="22">
        <f t="shared" si="1"/>
        <v>142.06583333333299</v>
      </c>
      <c r="W49" s="22">
        <f>D50+E50+G50+I50+K50+L50+M50+N50+O50+P50+R50+S50</f>
        <v>102.28740000000001</v>
      </c>
      <c r="X49" s="22">
        <f>U49+W49</f>
        <v>1807.0773999999999</v>
      </c>
      <c r="Z49" s="179"/>
    </row>
    <row r="50" spans="1:26">
      <c r="A50" s="162"/>
      <c r="B50" s="70"/>
      <c r="C50" s="163" t="s">
        <v>152</v>
      </c>
      <c r="D50" s="22">
        <f>(C49+D49)*0.005</f>
        <v>8.5239499999999992</v>
      </c>
      <c r="E50" s="22">
        <f>(C49+D49+E49)*0.005</f>
        <v>8.5239499999999992</v>
      </c>
      <c r="F50" s="22"/>
      <c r="G50" s="22">
        <f>(+C49+D49+E49+G49)*0.005</f>
        <v>8.5239499999999992</v>
      </c>
      <c r="H50" s="22"/>
      <c r="I50" s="22">
        <f>(C49+D49+E49+G49+I49)*0.005</f>
        <v>8.5239499999999992</v>
      </c>
      <c r="J50" s="22"/>
      <c r="K50" s="22">
        <f>(C49+D49+E49+G49+I49+K49)*0.005</f>
        <v>8.5239499999999992</v>
      </c>
      <c r="L50" s="22">
        <f>(C49+D49+E49+G49+I49+K49+L49)*0.005</f>
        <v>8.5239499999999992</v>
      </c>
      <c r="M50" s="22">
        <f>(C49+D49+E49+G49+I49+K49+L49+M49)*0.005</f>
        <v>8.5239499999999992</v>
      </c>
      <c r="N50" s="22">
        <f>(C49+D49+E49+G49+I49+K49+L49+M49+N49)*0.005</f>
        <v>8.5239499999999992</v>
      </c>
      <c r="O50" s="22">
        <f>(C49+D49+E49+G49+I49+K49+L49+M49+N49+O49)*0.005</f>
        <v>8.5239499999999992</v>
      </c>
      <c r="P50" s="22">
        <f>(C49+D49+E49+G49+I49+K49+L49+M49+N49+O49+P49)*0.005</f>
        <v>8.5239499999999992</v>
      </c>
      <c r="Q50" s="22"/>
      <c r="R50" s="22">
        <f>(C49+D49+E49+G49+I49+K49+L49+M49+N49+O49+P49+R49)*0.005</f>
        <v>8.5239499999999992</v>
      </c>
      <c r="S50" s="22">
        <f>(C49+D49+E49+G49+I49+K49+L49+M49+N49+O49+P49+R49+S49)*0.005</f>
        <v>8.5239499999999992</v>
      </c>
      <c r="T50" s="22"/>
      <c r="U50" s="46"/>
      <c r="V50" s="22"/>
      <c r="W50" s="22"/>
      <c r="X50" s="22"/>
      <c r="Z50" s="2"/>
    </row>
    <row r="51" spans="1:26">
      <c r="A51" s="162">
        <v>21</v>
      </c>
      <c r="B51" s="70" t="s">
        <v>83</v>
      </c>
      <c r="C51" s="165">
        <v>233.43</v>
      </c>
      <c r="D51" s="22"/>
      <c r="E51" s="22"/>
      <c r="F51" s="22"/>
      <c r="G51" s="22">
        <v>0</v>
      </c>
      <c r="H51" s="22"/>
      <c r="I51" s="22">
        <v>0</v>
      </c>
      <c r="J51" s="22"/>
      <c r="K51" s="22">
        <v>0</v>
      </c>
      <c r="L51" s="22">
        <v>0</v>
      </c>
      <c r="M51" s="22">
        <v>0</v>
      </c>
      <c r="N51" s="22"/>
      <c r="O51" s="22"/>
      <c r="P51" s="22"/>
      <c r="Q51" s="22"/>
      <c r="R51" s="22"/>
      <c r="S51" s="22"/>
      <c r="T51" s="22"/>
      <c r="U51" s="46">
        <f>C51+D51+E51+G51+I51+K51+L51+M51+N51+O51+P51+R51+S51</f>
        <v>233.43</v>
      </c>
      <c r="V51" s="22">
        <f t="shared" si="1"/>
        <v>19.452500000000001</v>
      </c>
      <c r="W51" s="22">
        <f>D52+E52+G52+I52+K52+L52+M52+N52+O52+P52+R52+S52</f>
        <v>14.005800000000001</v>
      </c>
      <c r="X51" s="22">
        <f>U51+W51</f>
        <v>247.4358</v>
      </c>
      <c r="Z51" s="179"/>
    </row>
    <row r="52" spans="1:26">
      <c r="A52" s="162"/>
      <c r="B52" s="70"/>
      <c r="C52" s="163" t="s">
        <v>152</v>
      </c>
      <c r="D52" s="22">
        <f>(C51+D51)*0.005</f>
        <v>1.1671499999999999</v>
      </c>
      <c r="E52" s="22">
        <f>(C51+D51+E51)*0.005</f>
        <v>1.1671499999999999</v>
      </c>
      <c r="F52" s="22"/>
      <c r="G52" s="22">
        <f>(+C51+D51+E51+G51)*0.005</f>
        <v>1.1671499999999999</v>
      </c>
      <c r="H52" s="22"/>
      <c r="I52" s="22">
        <f>(C51+D51+E51+G51+I51)*0.005</f>
        <v>1.1671499999999999</v>
      </c>
      <c r="J52" s="22"/>
      <c r="K52" s="22">
        <f>(C51+D51+E51+G51+I51+K51)*0.005</f>
        <v>1.1671499999999999</v>
      </c>
      <c r="L52" s="22">
        <f>(C51+D51+E51+G51+I51+K51+L51)*0.005</f>
        <v>1.1671499999999999</v>
      </c>
      <c r="M52" s="22">
        <f>(C51+D51+E51+G51+I51+K51+L51+M51)*0.005</f>
        <v>1.1671499999999999</v>
      </c>
      <c r="N52" s="22">
        <f>(C51+D51+E51+G51+I51+K51+L51+M51+N51)*0.005</f>
        <v>1.1671499999999999</v>
      </c>
      <c r="O52" s="22">
        <f>(C51+D51+E51+G51+I51+K51+L51+M51+N51+O51)*0.005</f>
        <v>1.1671499999999999</v>
      </c>
      <c r="P52" s="22">
        <f>(C51+D51+E51+G51+I51+K51+L51+M51+N51+O51+P51)*0.005</f>
        <v>1.1671499999999999</v>
      </c>
      <c r="Q52" s="22"/>
      <c r="R52" s="22">
        <f>(C51+D51+E51+G51+I51+K51+L51+M51+N51+O51+P51+R51)*0.005</f>
        <v>1.1671499999999999</v>
      </c>
      <c r="S52" s="22">
        <f>(C51+D51+E51+G51+I51+K51+L51+M51+N51+O51+P51+R51+S51)*0.005</f>
        <v>1.1671499999999999</v>
      </c>
      <c r="T52" s="22"/>
      <c r="U52" s="46"/>
      <c r="V52" s="22"/>
      <c r="W52" s="22"/>
      <c r="X52" s="22"/>
      <c r="Z52" s="2"/>
    </row>
    <row r="53" spans="1:26">
      <c r="A53" s="162">
        <v>22</v>
      </c>
      <c r="B53" s="70" t="s">
        <v>85</v>
      </c>
      <c r="C53" s="165">
        <v>347.75</v>
      </c>
      <c r="D53" s="22"/>
      <c r="E53" s="22"/>
      <c r="F53" s="22"/>
      <c r="G53" s="22"/>
      <c r="H53" s="22"/>
      <c r="I53" s="22"/>
      <c r="J53" s="22"/>
      <c r="K53" s="22"/>
      <c r="L53" s="22">
        <v>0</v>
      </c>
      <c r="M53" s="22">
        <v>0</v>
      </c>
      <c r="N53" s="22"/>
      <c r="O53" s="22"/>
      <c r="P53" s="22"/>
      <c r="Q53" s="22"/>
      <c r="R53" s="22"/>
      <c r="S53" s="22"/>
      <c r="T53" s="22"/>
      <c r="U53" s="46">
        <f>C53+D53+E53+G53+I53+K53+L53+M53+N53+O53+P53+R53+S53</f>
        <v>347.75</v>
      </c>
      <c r="V53" s="22">
        <f t="shared" si="1"/>
        <v>28.9791666666667</v>
      </c>
      <c r="W53" s="22">
        <f>D54+E54+G54+I54+K54+L54+M54+N54+O54+P54+R54+S54</f>
        <v>20.864999999999998</v>
      </c>
      <c r="X53" s="22">
        <f>U53+W53</f>
        <v>368.61500000000001</v>
      </c>
      <c r="Z53" s="179"/>
    </row>
    <row r="54" spans="1:26">
      <c r="A54" s="162"/>
      <c r="B54" s="70"/>
      <c r="C54" s="163" t="s">
        <v>152</v>
      </c>
      <c r="D54" s="22">
        <f>(C53+D53)*0.005</f>
        <v>1.73875</v>
      </c>
      <c r="E54" s="22">
        <f>(C53+D53+E53)*0.005</f>
        <v>1.73875</v>
      </c>
      <c r="F54" s="22"/>
      <c r="G54" s="22">
        <f>(+C53+D53+E53+G53)*0.005</f>
        <v>1.73875</v>
      </c>
      <c r="H54" s="22"/>
      <c r="I54" s="22">
        <f>(C53+D53+E53+G53+I53)*0.005</f>
        <v>1.73875</v>
      </c>
      <c r="J54" s="22"/>
      <c r="K54" s="22">
        <f>(C53+D53+E53+G53+I53+K53)*0.005</f>
        <v>1.73875</v>
      </c>
      <c r="L54" s="22">
        <f>(C53+D53+E53+G53+I53+K53+L53)*0.005</f>
        <v>1.73875</v>
      </c>
      <c r="M54" s="22">
        <f>(C53+D53+E53+G53+I53+K53+L53+M53)*0.005</f>
        <v>1.73875</v>
      </c>
      <c r="N54" s="22">
        <f>(C53+D53+E53+G53+I53+K53+L53+M53+N53)*0.005</f>
        <v>1.73875</v>
      </c>
      <c r="O54" s="22">
        <f>(C53+D53+E53+G53+I53+K53+L53+M53+N53+O53)*0.005</f>
        <v>1.73875</v>
      </c>
      <c r="P54" s="22">
        <f>(C53+D53+E53+G53+I53+K53+L53+M53+N53+O53+P53)*0.005</f>
        <v>1.73875</v>
      </c>
      <c r="Q54" s="22"/>
      <c r="R54" s="22">
        <f>(C53+D53+E53+G53+I53+K53+L53+M53+N53+O53+P53+R53)*0.005</f>
        <v>1.73875</v>
      </c>
      <c r="S54" s="22">
        <f>(C53+D53+E53+G53+I53+K53+L53+M53+N53+O53+P53+R53+S53)*0.005</f>
        <v>1.73875</v>
      </c>
      <c r="T54" s="22"/>
      <c r="U54" s="46"/>
      <c r="V54" s="22"/>
      <c r="W54" s="22"/>
      <c r="X54" s="22"/>
      <c r="Z54" s="2"/>
    </row>
    <row r="55" spans="1:26">
      <c r="A55" s="162">
        <v>23</v>
      </c>
      <c r="B55" s="70" t="str">
        <f>'[1]Subscribed&amp;Paid-up (2)'!$B$72</f>
        <v>Concepcion B. Cruz</v>
      </c>
      <c r="C55" s="165">
        <v>9270.35</v>
      </c>
      <c r="D55" s="22"/>
      <c r="E55" s="22"/>
      <c r="F55" s="32">
        <v>1500</v>
      </c>
      <c r="G55" s="52">
        <v>2500</v>
      </c>
      <c r="H55" s="22"/>
      <c r="I55" s="52">
        <v>1000</v>
      </c>
      <c r="J55" s="172">
        <v>0</v>
      </c>
      <c r="K55" s="22">
        <v>0</v>
      </c>
      <c r="L55" s="22">
        <v>0</v>
      </c>
      <c r="M55" s="22">
        <v>0</v>
      </c>
      <c r="N55" s="22"/>
      <c r="O55" s="22"/>
      <c r="P55" s="22"/>
      <c r="Q55" s="32">
        <v>8000</v>
      </c>
      <c r="R55" s="22"/>
      <c r="S55" s="32"/>
      <c r="T55" s="22"/>
      <c r="U55" s="46">
        <f>C55+D55+E55-F55+G55+H55+I55+J55+K55+L55+M55+N55+O55+P55-Q55+R55+S55+D56+E56+F56+G56+H56+I56+J56+K56+L56+M56+N56+O56+P56+R56+S56</f>
        <v>3996.5709999999999</v>
      </c>
      <c r="V55" s="22">
        <f t="shared" si="1"/>
        <v>333.04758333333302</v>
      </c>
      <c r="W55" s="22">
        <f>D56+E56+G56+I56+K56+L56+M56+N56+O56+P56+R56+S56</f>
        <v>726.221</v>
      </c>
      <c r="X55" s="22">
        <f>U55+W55</f>
        <v>4722.7920000000004</v>
      </c>
      <c r="Z55" s="179"/>
    </row>
    <row r="56" spans="1:26">
      <c r="A56" s="162"/>
      <c r="B56" s="70"/>
      <c r="C56" s="163" t="s">
        <v>152</v>
      </c>
      <c r="D56" s="22">
        <f>(C55+D55)*0.005</f>
        <v>46.351750000000003</v>
      </c>
      <c r="E56" s="22">
        <f>(C55+D55+E55)*0.005</f>
        <v>46.351750000000003</v>
      </c>
      <c r="F56" s="22"/>
      <c r="G56" s="22">
        <f>(+C55+D55+E55+G55)*0.005</f>
        <v>58.851750000000003</v>
      </c>
      <c r="H56" s="22"/>
      <c r="I56" s="22">
        <f>(C55+D55+E55+G55+I55)*0.005</f>
        <v>63.851750000000003</v>
      </c>
      <c r="J56" s="22"/>
      <c r="K56" s="22">
        <f>(C55+D55+E55+G55+I55+K55)*0.005</f>
        <v>63.851750000000003</v>
      </c>
      <c r="L56" s="22">
        <f>(C55+D55+E55+G55+I55+K55+L55)*0.005</f>
        <v>63.851750000000003</v>
      </c>
      <c r="M56" s="22">
        <f>(C55+D55+E55+G55+I55+K55+L55+M55)*0.005</f>
        <v>63.851750000000003</v>
      </c>
      <c r="N56" s="22">
        <f>(C55+D55+E55+G55+I55+K55+L55+M55+N55)*0.005</f>
        <v>63.851750000000003</v>
      </c>
      <c r="O56" s="22">
        <f>(C55+D55+E55+G55+I55+K55+L55+M55+N55+O55)*0.005</f>
        <v>63.851750000000003</v>
      </c>
      <c r="P56" s="22">
        <f>(C55+D55+E55+G55+I55+K55+L55+M55+N55+O55+P55)*0.005</f>
        <v>63.851750000000003</v>
      </c>
      <c r="Q56" s="22"/>
      <c r="R56" s="22">
        <f>(C55+D55+E55+G55+I55+K55+L55+M55+N55+O55+P55+R55)*0.005</f>
        <v>63.851750000000003</v>
      </c>
      <c r="S56" s="22">
        <f>(C55+D55+E55+G55+I55+K55+L55+M55+N55+O55+P55+R55+S55)*0.005</f>
        <v>63.851750000000003</v>
      </c>
      <c r="T56" s="22"/>
      <c r="U56" s="46"/>
      <c r="V56" s="22"/>
      <c r="W56" s="22"/>
      <c r="X56" s="22"/>
      <c r="Z56" s="2"/>
    </row>
    <row r="57" spans="1:26">
      <c r="A57" s="162">
        <v>24</v>
      </c>
      <c r="B57" s="70" t="str">
        <f>'[1]Subscribed&amp;Paid-up (2)'!$B$73</f>
        <v>Leonardo B. Cruz</v>
      </c>
      <c r="C57" s="165">
        <v>1545.46</v>
      </c>
      <c r="D57" s="22"/>
      <c r="E57" s="22"/>
      <c r="F57" s="22"/>
      <c r="G57" s="22"/>
      <c r="H57" s="22"/>
      <c r="I57" s="22"/>
      <c r="J57" s="22"/>
      <c r="K57" s="22"/>
      <c r="L57" s="22">
        <v>0</v>
      </c>
      <c r="M57" s="22"/>
      <c r="N57" s="22"/>
      <c r="O57" s="22"/>
      <c r="P57" s="22"/>
      <c r="Q57" s="22"/>
      <c r="R57" s="22"/>
      <c r="S57" s="22"/>
      <c r="T57" s="22"/>
      <c r="U57" s="46">
        <f>C57+D57+E57+G57+I57+K57+L57+M57+N57+O57+P57+R57+S57</f>
        <v>1545.46</v>
      </c>
      <c r="V57" s="22">
        <f t="shared" si="1"/>
        <v>128.78833333333299</v>
      </c>
      <c r="W57" s="22">
        <f>D58+E58+G58+I58+K58+L58+M58+N58+O58+P58+R58+S58</f>
        <v>92.727599999999995</v>
      </c>
      <c r="X57" s="22">
        <f>U57+W57</f>
        <v>1638.1876</v>
      </c>
      <c r="Z57" s="179"/>
    </row>
    <row r="58" spans="1:26">
      <c r="A58" s="162"/>
      <c r="B58" s="70"/>
      <c r="C58" s="163" t="s">
        <v>152</v>
      </c>
      <c r="D58" s="22">
        <f>(C57+D57)*0.005</f>
        <v>7.7272999999999996</v>
      </c>
      <c r="E58" s="22">
        <f>(C57+D57+E57)*0.005</f>
        <v>7.7272999999999996</v>
      </c>
      <c r="F58" s="22"/>
      <c r="G58" s="22">
        <f>(+C57+D57+E57+G57)*0.005</f>
        <v>7.7272999999999996</v>
      </c>
      <c r="H58" s="22"/>
      <c r="I58" s="22">
        <f>(C57+D57+E57+G57+I57)*0.005</f>
        <v>7.7272999999999996</v>
      </c>
      <c r="J58" s="22"/>
      <c r="K58" s="22">
        <f>(C57+D57+E57+G57+I57+K57)*0.005</f>
        <v>7.7272999999999996</v>
      </c>
      <c r="L58" s="22">
        <f>(C57+D57+E57+G57+I57+K57+L57)*0.005</f>
        <v>7.7272999999999996</v>
      </c>
      <c r="M58" s="22">
        <f>(C57+D57+E57+G57+I57+K57+L57+M57)*0.005</f>
        <v>7.7272999999999996</v>
      </c>
      <c r="N58" s="22">
        <f>(C57+D57+E57+G57+I57+K57+L57+M57+N57)*0.005</f>
        <v>7.7272999999999996</v>
      </c>
      <c r="O58" s="22">
        <f>(C57+D57+E57+G57+I57+K57+L57+M57+N57+O57)*0.005</f>
        <v>7.7272999999999996</v>
      </c>
      <c r="P58" s="22">
        <f>(C57+D57+E57+G57+I57+K57+L57+M57+N57+O57+P57)*0.005</f>
        <v>7.7272999999999996</v>
      </c>
      <c r="Q58" s="22"/>
      <c r="R58" s="22">
        <f>(C57+D57+E57+G57+I57+K57+L57+M57+N57+O57+P57+R57)*0.005</f>
        <v>7.7272999999999996</v>
      </c>
      <c r="S58" s="22">
        <f>(C57+D57+E57+G57+I57+K57+L57+M57+N57+O57+P57+R57+S57)*0.005</f>
        <v>7.7272999999999996</v>
      </c>
      <c r="T58" s="22"/>
      <c r="U58" s="46"/>
      <c r="V58" s="22"/>
      <c r="W58" s="22"/>
      <c r="X58" s="22"/>
      <c r="Z58" s="2"/>
    </row>
    <row r="59" spans="1:26">
      <c r="A59" s="162">
        <v>25</v>
      </c>
      <c r="B59" s="70" t="str">
        <f>'[1]Subscribed&amp;Paid-up (2)'!$B$74</f>
        <v>Annalyn B. Cruz</v>
      </c>
      <c r="C59" s="165">
        <v>520.63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>
        <v>0</v>
      </c>
      <c r="S59" s="22"/>
      <c r="T59" s="22"/>
      <c r="U59" s="46">
        <f>C59+D59+E59+G59+I59+K59+L59+M59+N59+O59+P59+R59+S59</f>
        <v>520.63</v>
      </c>
      <c r="V59" s="22">
        <f t="shared" si="1"/>
        <v>43.385833333333302</v>
      </c>
      <c r="W59" s="22">
        <f>D60+E60+G60+I60+K60+L60+M60+N60+O60+P60+R60+S60</f>
        <v>31.2378</v>
      </c>
      <c r="X59" s="22">
        <f>U59+W59</f>
        <v>551.86779999999999</v>
      </c>
      <c r="Z59" s="2"/>
    </row>
    <row r="60" spans="1:26">
      <c r="A60" s="162"/>
      <c r="B60" s="70"/>
      <c r="C60" s="163" t="s">
        <v>152</v>
      </c>
      <c r="D60" s="22">
        <f>(C59+D59)*0.005</f>
        <v>2.6031499999999999</v>
      </c>
      <c r="E60" s="22">
        <f>(C59+D59+E59)*0.005</f>
        <v>2.6031499999999999</v>
      </c>
      <c r="F60" s="22"/>
      <c r="G60" s="22">
        <f>(+C59+D59+E59+G59)*0.005</f>
        <v>2.6031499999999999</v>
      </c>
      <c r="H60" s="22"/>
      <c r="I60" s="22">
        <f>(C59+D59+E59+G59+I59)*0.005</f>
        <v>2.6031499999999999</v>
      </c>
      <c r="J60" s="22"/>
      <c r="K60" s="22">
        <f>(C59+D59+E59+G59+I59+K59)*0.005</f>
        <v>2.6031499999999999</v>
      </c>
      <c r="L60" s="22">
        <f>(C59+D59+E59+G59+I59+K59+L59)*0.005</f>
        <v>2.6031499999999999</v>
      </c>
      <c r="M60" s="22">
        <f>(C59+D59+E59+G59+I59+K59+L59+M59)*0.005</f>
        <v>2.6031499999999999</v>
      </c>
      <c r="N60" s="22">
        <f>(C59+D59+E59+G59+I59+K59+L59+M59+N59)*0.005</f>
        <v>2.6031499999999999</v>
      </c>
      <c r="O60" s="22">
        <f>(C59+D59+E59+G59+I59+K59+L59+M59+N59+O59)*0.005</f>
        <v>2.6031499999999999</v>
      </c>
      <c r="P60" s="22">
        <f>(C59+D59+E59+G59+I59+K59+L59+M59+N59+O59+P59)*0.005</f>
        <v>2.6031499999999999</v>
      </c>
      <c r="Q60" s="22"/>
      <c r="R60" s="22">
        <f>(C59+D59+E59+G59+I59+K59+L59+M59+N59+O59+P59+R59)*0.005</f>
        <v>2.6031499999999999</v>
      </c>
      <c r="S60" s="22">
        <f>(C59+D59+E59+G59+I59+K59+L59+M59+N59+O59+P59+R59+S59)*0.005</f>
        <v>2.6031499999999999</v>
      </c>
      <c r="T60" s="22"/>
      <c r="U60" s="46"/>
      <c r="V60" s="22"/>
      <c r="W60" s="22"/>
      <c r="X60" s="22"/>
      <c r="Z60" s="2"/>
    </row>
    <row r="61" spans="1:26">
      <c r="A61" s="162">
        <v>26</v>
      </c>
      <c r="B61" s="70" t="str">
        <f>'[1]Subscribed&amp;Paid-up (2)'!$B$76</f>
        <v>Milben Rex P. Balao</v>
      </c>
      <c r="C61" s="165">
        <v>807.87</v>
      </c>
      <c r="D61" s="22"/>
      <c r="E61" s="22"/>
      <c r="F61" s="22"/>
      <c r="G61" s="22"/>
      <c r="H61" s="22"/>
      <c r="I61" s="22"/>
      <c r="J61" s="22"/>
      <c r="K61" s="22"/>
      <c r="L61" s="22"/>
      <c r="M61" s="22">
        <v>0</v>
      </c>
      <c r="N61" s="22"/>
      <c r="O61" s="22"/>
      <c r="P61" s="22"/>
      <c r="Q61" s="22"/>
      <c r="R61" s="22">
        <v>0</v>
      </c>
      <c r="S61" s="22"/>
      <c r="T61" s="22"/>
      <c r="U61" s="46">
        <f>C61+D61+E61+G61+I61+K61+L61+M61+N61+O61+P61+R61+S61</f>
        <v>807.87</v>
      </c>
      <c r="V61" s="22">
        <f t="shared" si="1"/>
        <v>67.322500000000005</v>
      </c>
      <c r="W61" s="22">
        <f>D62+E62+G62+I62+K62+L62+M62+N62+O62+P62+R62+S62</f>
        <v>48.472200000000001</v>
      </c>
      <c r="X61" s="22">
        <f>U61+W61</f>
        <v>856.34220000000005</v>
      </c>
      <c r="Z61" s="179"/>
    </row>
    <row r="62" spans="1:26">
      <c r="A62" s="162"/>
      <c r="B62" s="70"/>
      <c r="C62" s="163" t="s">
        <v>152</v>
      </c>
      <c r="D62" s="22">
        <f>(C61+D61)*0.005</f>
        <v>4.0393499999999998</v>
      </c>
      <c r="E62" s="22">
        <f>(C61+D61+E61)*0.005</f>
        <v>4.0393499999999998</v>
      </c>
      <c r="F62" s="22"/>
      <c r="G62" s="22">
        <f>(+C61+D61+E61+G61)*0.005</f>
        <v>4.0393499999999998</v>
      </c>
      <c r="H62" s="22"/>
      <c r="I62" s="22">
        <f>(C61+D61+E61+G61+I61)*0.005</f>
        <v>4.0393499999999998</v>
      </c>
      <c r="J62" s="22"/>
      <c r="K62" s="22">
        <f>(C61+D61+E61+G61+I61+K61)*0.005</f>
        <v>4.0393499999999998</v>
      </c>
      <c r="L62" s="22">
        <f>(C61+D61+E61+G61+I61+K61+L61)*0.005</f>
        <v>4.0393499999999998</v>
      </c>
      <c r="M62" s="22">
        <f>(C61+D61+E61+G61+I61+K61+L61+M61)*0.005</f>
        <v>4.0393499999999998</v>
      </c>
      <c r="N62" s="22">
        <f>(C61+D61+E61+G61+I61+K61+L61+M61+N61)*0.005</f>
        <v>4.0393499999999998</v>
      </c>
      <c r="O62" s="22">
        <f>(C61+D61+E61+G61+I61+K61+L61+M61+N61+O61)*0.005</f>
        <v>4.0393499999999998</v>
      </c>
      <c r="P62" s="22">
        <f>(C61+D61+E61+G61+I61+K61+L61+M61+N61+O61+P61)*0.005</f>
        <v>4.0393499999999998</v>
      </c>
      <c r="Q62" s="22"/>
      <c r="R62" s="22">
        <f>(C61+D61+E61+G61+I61+K61+L61+M61+N61+O61+P61+R61)*0.005</f>
        <v>4.0393499999999998</v>
      </c>
      <c r="S62" s="22">
        <f>(C61+D61+E61+G61+I61+K61+L61+M61+N61+O61+P61+R61+S61)*0.005</f>
        <v>4.0393499999999998</v>
      </c>
      <c r="T62" s="22"/>
      <c r="U62" s="46"/>
      <c r="V62" s="22"/>
      <c r="W62" s="22"/>
      <c r="X62" s="22"/>
      <c r="Z62" s="2"/>
    </row>
    <row r="63" spans="1:26">
      <c r="A63" s="162">
        <v>27</v>
      </c>
      <c r="B63" s="70" t="s">
        <v>185</v>
      </c>
      <c r="C63" s="161">
        <v>7254.64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>
        <v>0</v>
      </c>
      <c r="P63" s="45"/>
      <c r="Q63" s="45"/>
      <c r="R63" s="45"/>
      <c r="S63" s="45">
        <v>0</v>
      </c>
      <c r="T63" s="45"/>
      <c r="U63" s="46">
        <f>C63+D63+E63+G63+I63+K63+L63+M63+N63+O63+P63+R63+S63</f>
        <v>7254.64</v>
      </c>
      <c r="V63" s="45">
        <f t="shared" si="1"/>
        <v>604.55333333333294</v>
      </c>
      <c r="W63" s="45">
        <f>D64+E64+G64+I64+K64+L64+M64+N64+O64+P64+R64+S64</f>
        <v>435.27839999999998</v>
      </c>
      <c r="X63" s="45">
        <f>U63+W63</f>
        <v>7689.9183999999996</v>
      </c>
      <c r="Z63" s="179"/>
    </row>
    <row r="64" spans="1:26">
      <c r="A64" s="162"/>
      <c r="B64" s="70"/>
      <c r="C64" s="163" t="s">
        <v>152</v>
      </c>
      <c r="D64" s="22">
        <f>(C63+D63)*0.005</f>
        <v>36.273200000000003</v>
      </c>
      <c r="E64" s="22">
        <f>(C63+D63+E63)*0.005</f>
        <v>36.273200000000003</v>
      </c>
      <c r="F64" s="22"/>
      <c r="G64" s="22">
        <f>(+C63+D63+E63+G63)*0.005</f>
        <v>36.273200000000003</v>
      </c>
      <c r="H64" s="22"/>
      <c r="I64" s="22">
        <f>(C63+D63+E63+G63+I63)*0.005</f>
        <v>36.273200000000003</v>
      </c>
      <c r="J64" s="22"/>
      <c r="K64" s="22">
        <f>(C63+D63+E63+G63+I63+K63)*0.005</f>
        <v>36.273200000000003</v>
      </c>
      <c r="L64" s="22">
        <f>(C63+D63+E63+G63+I63+K63+L63)*0.005</f>
        <v>36.273200000000003</v>
      </c>
      <c r="M64" s="22">
        <f>(C63+D63+E63+G63+I63+K63+L63+M63)*0.005</f>
        <v>36.273200000000003</v>
      </c>
      <c r="N64" s="22">
        <f>(C63+D63+E63+G63+I63+K63+L63+M63+N63)*0.005</f>
        <v>36.273200000000003</v>
      </c>
      <c r="O64" s="22">
        <f>(C63+D63+E63+G63+I63+K63+L63+M63+N63+O63)*0.005</f>
        <v>36.273200000000003</v>
      </c>
      <c r="P64" s="22">
        <f>(C63+D63+E63+G63+I63+K63+L63+M63+N63+O63+P63)*0.005</f>
        <v>36.273200000000003</v>
      </c>
      <c r="Q64" s="22"/>
      <c r="R64" s="22">
        <f>(C63+D63+E63+G63+I63+K63+L63+M63+N63+O63+P63+R63)*0.005</f>
        <v>36.273200000000003</v>
      </c>
      <c r="S64" s="22">
        <f>(C63+D63+E63+G63+I63+K63+L63+M63+N63+O63+P63+R63+S63)*0.005</f>
        <v>36.273200000000003</v>
      </c>
      <c r="T64" s="22"/>
      <c r="U64" s="46"/>
      <c r="V64" s="22"/>
      <c r="W64" s="22"/>
      <c r="X64" s="22"/>
      <c r="Z64" s="2"/>
    </row>
    <row r="65" spans="1:26">
      <c r="A65" s="162">
        <v>28</v>
      </c>
      <c r="B65" s="27" t="s">
        <v>186</v>
      </c>
      <c r="C65" s="161">
        <v>114.05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0</v>
      </c>
      <c r="Q65" s="22"/>
      <c r="R65" s="22"/>
      <c r="S65" s="22"/>
      <c r="T65" s="22"/>
      <c r="U65" s="46">
        <f>C65+D65+E65+G65+I65+K65+L65+M65+N65+O65+P65+R65+S65</f>
        <v>114.05</v>
      </c>
      <c r="V65" s="22">
        <f t="shared" si="1"/>
        <v>9.50416666666667</v>
      </c>
      <c r="W65" s="22">
        <f>D66+E66+G66+I66+K66+L66+M66+N66+O66+P66+R66+S66</f>
        <v>6.843</v>
      </c>
      <c r="X65" s="22">
        <f>U65+W65</f>
        <v>120.893</v>
      </c>
      <c r="Z65" s="179"/>
    </row>
    <row r="66" spans="1:26">
      <c r="A66" s="162"/>
      <c r="B66" s="27"/>
      <c r="C66" s="163" t="s">
        <v>152</v>
      </c>
      <c r="D66" s="22">
        <f>(C65+D65)*0.005</f>
        <v>0.57025000000000003</v>
      </c>
      <c r="E66" s="22">
        <f>(C65+D65+E65)*0.005</f>
        <v>0.57025000000000003</v>
      </c>
      <c r="F66" s="22"/>
      <c r="G66" s="22">
        <f>(+C65+D65+E65+G65)*0.005</f>
        <v>0.57025000000000003</v>
      </c>
      <c r="H66" s="22"/>
      <c r="I66" s="22">
        <f>(C65+D65+E65+G65+I65)*0.005</f>
        <v>0.57025000000000003</v>
      </c>
      <c r="J66" s="22"/>
      <c r="K66" s="22">
        <f>(C65+D65+E65+G65+I65+K65)*0.005</f>
        <v>0.57025000000000003</v>
      </c>
      <c r="L66" s="22">
        <f>(C65+D65+E65+G65+I65+K65+L65)*0.005</f>
        <v>0.57025000000000003</v>
      </c>
      <c r="M66" s="22">
        <f>(C65+D65+E65+G65+I65+K65+L65+M65)*0.005</f>
        <v>0.57025000000000003</v>
      </c>
      <c r="N66" s="22">
        <f>(C65+D65+E65+G65+I65+K65+L65+M65+N65)*0.005</f>
        <v>0.57025000000000003</v>
      </c>
      <c r="O66" s="22">
        <f>(C65+D65+E65+G65+I65+K65+L65+M65+N65+O65)*0.005</f>
        <v>0.57025000000000003</v>
      </c>
      <c r="P66" s="22">
        <f>(C65+D65+E65+G65+I65+K65+L65+M65+N65+O65+P65)*0.005</f>
        <v>0.57025000000000003</v>
      </c>
      <c r="Q66" s="22"/>
      <c r="R66" s="22">
        <f>(C65+D65+E65+G65+I65+K65+L65+M65+N65+O65+P65+R65)*0.005</f>
        <v>0.57025000000000003</v>
      </c>
      <c r="S66" s="22">
        <f>(C65+D65+E65+G65+I65+K65+L65+M65+N65+O65+P65+R65+S65)*0.005</f>
        <v>0.57025000000000003</v>
      </c>
      <c r="T66" s="22"/>
      <c r="U66" s="46"/>
      <c r="V66" s="22"/>
      <c r="W66" s="22"/>
      <c r="X66" s="22"/>
      <c r="Z66" s="2"/>
    </row>
    <row r="67" spans="1:26" s="156" customFormat="1">
      <c r="A67" s="180">
        <v>29</v>
      </c>
      <c r="B67" s="181" t="s">
        <v>187</v>
      </c>
      <c r="C67" s="182">
        <f>9218.04+41.66</f>
        <v>9259.7000000000007</v>
      </c>
      <c r="D67" s="183"/>
      <c r="E67" s="183"/>
      <c r="F67" s="184"/>
      <c r="G67" s="185"/>
      <c r="H67" s="186"/>
      <c r="I67" s="185"/>
      <c r="J67" s="185"/>
      <c r="K67" s="183"/>
      <c r="L67" s="185"/>
      <c r="M67" s="185"/>
      <c r="N67" s="185"/>
      <c r="O67" s="183"/>
      <c r="P67" s="185">
        <v>0</v>
      </c>
      <c r="Q67" s="185"/>
      <c r="R67" s="185"/>
      <c r="S67" s="185"/>
      <c r="T67" s="185"/>
      <c r="U67" s="193">
        <f>C67+D67+E67-F67+G67+I67-H67+K67+L67+M67+N67+O67+P67+R67+S67</f>
        <v>9259.7000000000007</v>
      </c>
      <c r="V67" s="185">
        <f>U67/12</f>
        <v>771.64166666666699</v>
      </c>
      <c r="W67" s="185">
        <f>D68+E68+G68+I68+K68+L68+M68+N68+O68+P68+R68+S68</f>
        <v>555.58199999999999</v>
      </c>
      <c r="X67" s="185">
        <f>U67+W67</f>
        <v>9815.2819999999992</v>
      </c>
      <c r="Y67" s="197"/>
      <c r="Z67" s="198"/>
    </row>
    <row r="68" spans="1:26">
      <c r="A68" s="162"/>
      <c r="B68" s="20"/>
      <c r="C68" s="163" t="s">
        <v>152</v>
      </c>
      <c r="D68" s="22">
        <f>(C67+D67)*0.005</f>
        <v>46.298499999999997</v>
      </c>
      <c r="E68" s="22">
        <f>(C67+D67+E67)*0.005</f>
        <v>46.298499999999997</v>
      </c>
      <c r="F68" s="22"/>
      <c r="G68" s="22">
        <f>(+C67+D67+E67+G67)*0.005</f>
        <v>46.298499999999997</v>
      </c>
      <c r="H68" s="22"/>
      <c r="I68" s="22">
        <f>(C67+D67+E67+G67+I67)*0.005</f>
        <v>46.298499999999997</v>
      </c>
      <c r="J68" s="22"/>
      <c r="K68" s="22">
        <f>(C67+D67+E67+G67+I67+K67)*0.005</f>
        <v>46.298499999999997</v>
      </c>
      <c r="L68" s="22">
        <f>(C67+D67+E67+G67+I67+K67+L67)*0.005</f>
        <v>46.298499999999997</v>
      </c>
      <c r="M68" s="22">
        <f>(C67+D67+E67+G67+I67+K67+L67+M67)*0.005</f>
        <v>46.298499999999997</v>
      </c>
      <c r="N68" s="22">
        <f>(C67+D67+E67+G67+I67+K67+L67+M67+N67)*0.005</f>
        <v>46.298499999999997</v>
      </c>
      <c r="O68" s="22">
        <f>(C67+D67+E67+G67+I67+K67+L67+M67+N67+O67)*0.005</f>
        <v>46.298499999999997</v>
      </c>
      <c r="P68" s="22">
        <f>(C67+D67+E67+G67+I67+K67+L67+M67+N67+O67+P67)*0.005</f>
        <v>46.298499999999997</v>
      </c>
      <c r="Q68" s="22"/>
      <c r="R68" s="22">
        <f>(C67+D67+E67+G67+I67+K67+L67+M67+N67+O67+P67+R67)*0.005</f>
        <v>46.298499999999997</v>
      </c>
      <c r="S68" s="22">
        <f>(C67+D67+E67+G67+I67+K67+L67+M67+N67+O67+P67+R67+S67)*0.005</f>
        <v>46.298499999999997</v>
      </c>
      <c r="T68" s="22"/>
      <c r="U68" s="46"/>
      <c r="V68" s="22"/>
      <c r="W68" s="22"/>
      <c r="X68" s="22"/>
      <c r="Z68" s="2"/>
    </row>
    <row r="69" spans="1:26">
      <c r="A69" s="162">
        <v>30</v>
      </c>
      <c r="B69" s="20" t="s">
        <v>188</v>
      </c>
      <c r="C69" s="161">
        <v>411.24</v>
      </c>
      <c r="D69" s="25"/>
      <c r="E69" s="25"/>
      <c r="F69" s="25"/>
      <c r="G69" s="22"/>
      <c r="H69" s="22"/>
      <c r="I69" s="22"/>
      <c r="J69" s="22"/>
      <c r="K69" s="25"/>
      <c r="L69" s="22"/>
      <c r="M69" s="22"/>
      <c r="N69" s="22"/>
      <c r="O69" s="25"/>
      <c r="P69" s="22">
        <v>0</v>
      </c>
      <c r="Q69" s="22"/>
      <c r="R69" s="22"/>
      <c r="S69" s="22"/>
      <c r="T69" s="22"/>
      <c r="U69" s="46">
        <f>C69+D69+E69+G69+I69+K69+L69+M69+N69+O69+P69+R69+S69</f>
        <v>411.24</v>
      </c>
      <c r="V69" s="22">
        <f>U69/12</f>
        <v>34.270000000000003</v>
      </c>
      <c r="W69" s="22">
        <f>D70+E70+G70+I70+K70+L70+M70+N70+O70+P70+R70+S70</f>
        <v>24.674399999999999</v>
      </c>
      <c r="X69" s="22">
        <f>U69+W69</f>
        <v>435.9144</v>
      </c>
      <c r="Z69" s="2"/>
    </row>
    <row r="70" spans="1:26">
      <c r="A70" s="162"/>
      <c r="B70" s="20"/>
      <c r="C70" s="163" t="s">
        <v>152</v>
      </c>
      <c r="D70" s="22">
        <f>(C69+D69)*0.005</f>
        <v>2.0562</v>
      </c>
      <c r="E70" s="22">
        <f>(C69+D69+E69)*0.005</f>
        <v>2.0562</v>
      </c>
      <c r="F70" s="22"/>
      <c r="G70" s="22">
        <f>(+C69+D69+E69+G69)*0.005</f>
        <v>2.0562</v>
      </c>
      <c r="H70" s="22"/>
      <c r="I70" s="22">
        <f>(C69+D69+E69+G69+I69)*0.005</f>
        <v>2.0562</v>
      </c>
      <c r="J70" s="22"/>
      <c r="K70" s="22">
        <f>(C69+D69+E69+G69+I69+K69)*0.005</f>
        <v>2.0562</v>
      </c>
      <c r="L70" s="22">
        <f>(C69+D69+E69+G69+I69+K69+L69)*0.005</f>
        <v>2.0562</v>
      </c>
      <c r="M70" s="22">
        <f>(C69+D69+E69+G69+I69+K69+L69+M69)*0.005</f>
        <v>2.0562</v>
      </c>
      <c r="N70" s="22">
        <f>(C69+D69+E69+G69+I69+K69+L69+M69+N69)*0.005</f>
        <v>2.0562</v>
      </c>
      <c r="O70" s="22">
        <f>(C69+D69+E69+G69+I69+K69+L69+M69+N69+O69)*0.005</f>
        <v>2.0562</v>
      </c>
      <c r="P70" s="22">
        <f>(C69+D69+E69+G69+I69+K69+L69+M69+N69+O69+P69)*0.005</f>
        <v>2.0562</v>
      </c>
      <c r="Q70" s="22"/>
      <c r="R70" s="22">
        <f>(C69+D69+E69+G69+I69+K69+L69+M69+N69+O69+P69+R69)*0.005</f>
        <v>2.0562</v>
      </c>
      <c r="S70" s="22">
        <f>(C69+D69+E69+G69+I69+K69+L69+M69+N69+O69+P69+R69+S69)*0.005</f>
        <v>2.0562</v>
      </c>
      <c r="T70" s="22"/>
      <c r="U70" s="46"/>
      <c r="V70" s="22"/>
      <c r="W70" s="22"/>
      <c r="X70" s="22"/>
      <c r="Z70" s="2"/>
    </row>
    <row r="71" spans="1:26">
      <c r="A71" s="162">
        <v>31</v>
      </c>
      <c r="B71" s="20" t="s">
        <v>189</v>
      </c>
      <c r="C71" s="161">
        <v>106.15</v>
      </c>
      <c r="D71" s="25"/>
      <c r="E71" s="25"/>
      <c r="F71" s="25"/>
      <c r="G71" s="22"/>
      <c r="H71" s="22"/>
      <c r="I71" s="22"/>
      <c r="J71" s="22"/>
      <c r="K71" s="25"/>
      <c r="L71" s="22"/>
      <c r="M71" s="22"/>
      <c r="N71" s="22"/>
      <c r="O71" s="25"/>
      <c r="P71" s="22">
        <v>0</v>
      </c>
      <c r="Q71" s="22"/>
      <c r="R71" s="22"/>
      <c r="S71" s="22"/>
      <c r="T71" s="22"/>
      <c r="U71" s="46">
        <f>C71+D71+E71+G71+I71+K71+L71+M71+N71+O71+P71+R71+S71</f>
        <v>106.15</v>
      </c>
      <c r="V71" s="22">
        <f>U71/12</f>
        <v>8.8458333333333297</v>
      </c>
      <c r="W71" s="22">
        <f>D72+E72+G72+I72+K72+L72+M72+N72+O72+P72+R72+S72</f>
        <v>6.3689999999999998</v>
      </c>
      <c r="X71" s="22">
        <f>U71+W71</f>
        <v>112.51900000000001</v>
      </c>
      <c r="Z71" s="2"/>
    </row>
    <row r="72" spans="1:26">
      <c r="A72" s="162"/>
      <c r="B72" s="20"/>
      <c r="C72" s="163" t="s">
        <v>152</v>
      </c>
      <c r="D72" s="22">
        <f>(C71+D71)*0.005</f>
        <v>0.53075000000000006</v>
      </c>
      <c r="E72" s="22">
        <f>(C71+D71+E71)*0.005</f>
        <v>0.53075000000000006</v>
      </c>
      <c r="F72" s="22"/>
      <c r="G72" s="22">
        <f>(+C71+D71+E71+G71)*0.005</f>
        <v>0.53075000000000006</v>
      </c>
      <c r="H72" s="22"/>
      <c r="I72" s="22">
        <f>(C71+D71+E71+G71+I71)*0.005</f>
        <v>0.53075000000000006</v>
      </c>
      <c r="J72" s="22"/>
      <c r="K72" s="22">
        <f>(C71+D71+E71+G71+I71+K71)*0.005</f>
        <v>0.53075000000000006</v>
      </c>
      <c r="L72" s="22">
        <f>(C71+D71+E71+G71+I71+K71+L71)*0.005</f>
        <v>0.53075000000000006</v>
      </c>
      <c r="M72" s="22">
        <f>(C71+D71+E71+G71+I71+K71+L71+M71)*0.005</f>
        <v>0.53075000000000006</v>
      </c>
      <c r="N72" s="22">
        <f>(C71+D71+E71+G71+I71+K71+L71+M71+N71)*0.005</f>
        <v>0.53075000000000006</v>
      </c>
      <c r="O72" s="22">
        <f>(C71+D71+E71+G71+I71+K71+L71+M71+N71+O71)*0.005</f>
        <v>0.53075000000000006</v>
      </c>
      <c r="P72" s="22">
        <f>(C71+D71+E71+G71+I71+K71+L71+M71+N71+O71+P71)*0.005</f>
        <v>0.53075000000000006</v>
      </c>
      <c r="Q72" s="22"/>
      <c r="R72" s="22">
        <f>(C71+D71+E71+G71+I71+K71+L71+M71+N71+O71+P71+R71)*0.005</f>
        <v>0.53075000000000006</v>
      </c>
      <c r="S72" s="22">
        <f>(C71+D71+E71+G71+I71+K71+L71+M71+N71+O71+P71+R71+S71)*0.005</f>
        <v>0.53075000000000006</v>
      </c>
      <c r="T72" s="22"/>
      <c r="U72" s="173"/>
      <c r="V72" s="22"/>
      <c r="W72" s="22"/>
      <c r="X72" s="22"/>
      <c r="Z72" s="2"/>
    </row>
    <row r="73" spans="1:26">
      <c r="A73" s="162">
        <v>32</v>
      </c>
      <c r="B73" s="20" t="s">
        <v>190</v>
      </c>
      <c r="C73" s="161">
        <v>2640.46</v>
      </c>
      <c r="D73" s="25"/>
      <c r="E73" s="25"/>
      <c r="F73" s="25"/>
      <c r="G73" s="22"/>
      <c r="H73" s="22"/>
      <c r="I73" s="22"/>
      <c r="J73" s="22"/>
      <c r="K73" s="25"/>
      <c r="L73" s="22"/>
      <c r="M73" s="22"/>
      <c r="N73" s="22"/>
      <c r="O73" s="25"/>
      <c r="P73" s="22">
        <v>0</v>
      </c>
      <c r="Q73" s="22"/>
      <c r="R73" s="22"/>
      <c r="S73" s="22"/>
      <c r="T73" s="22"/>
      <c r="U73" s="173">
        <f t="shared" ref="U73:U77" si="2">C73+D73+E73+G73+I73+K73+L73+M73+N73+O73+P73+R73+S73</f>
        <v>2640.46</v>
      </c>
      <c r="V73" s="22">
        <f>U73/12</f>
        <v>220.03833333333299</v>
      </c>
      <c r="W73" s="22">
        <f>D74+E74+G74+I74+K74+L74+M74+N74+O74+P74+R74+S74</f>
        <v>158.42760000000001</v>
      </c>
      <c r="X73" s="22">
        <f>U73+W73</f>
        <v>2798.8876</v>
      </c>
      <c r="Z73" s="2"/>
    </row>
    <row r="74" spans="1:26">
      <c r="A74" s="162"/>
      <c r="B74" s="20"/>
      <c r="C74" s="163" t="s">
        <v>152</v>
      </c>
      <c r="D74" s="22">
        <f t="shared" ref="D74:D78" si="3">(C73+D73)*0.005</f>
        <v>13.202299999999999</v>
      </c>
      <c r="E74" s="22">
        <f t="shared" ref="E74:E78" si="4">(C73+D73+E73)*0.005</f>
        <v>13.202299999999999</v>
      </c>
      <c r="F74" s="22"/>
      <c r="G74" s="22">
        <f t="shared" ref="G74:G78" si="5">(+C73+D73+E73+G73)*0.005</f>
        <v>13.202299999999999</v>
      </c>
      <c r="H74" s="22"/>
      <c r="I74" s="22">
        <f t="shared" ref="I74:I78" si="6">(C73+D73+E73+G73+I73)*0.005</f>
        <v>13.202299999999999</v>
      </c>
      <c r="J74" s="22"/>
      <c r="K74" s="22">
        <f t="shared" ref="K74:K78" si="7">(C73+D73+E73+G73+I73+K73)*0.005</f>
        <v>13.202299999999999</v>
      </c>
      <c r="L74" s="22">
        <f t="shared" ref="L74:L78" si="8">(C73+D73+E73+G73+I73+K73+L73)*0.005</f>
        <v>13.202299999999999</v>
      </c>
      <c r="M74" s="22">
        <f t="shared" ref="M74:M78" si="9">(C73+D73+E73+G73+I73+K73+L73+M73)*0.005</f>
        <v>13.202299999999999</v>
      </c>
      <c r="N74" s="22">
        <f t="shared" ref="N74:N78" si="10">(C73+D73+E73+G73+I73+K73+L73+M73+N73)*0.005</f>
        <v>13.202299999999999</v>
      </c>
      <c r="O74" s="22">
        <f t="shared" ref="O74:O78" si="11">(C73+D73+E73+G73+I73+K73+L73+M73+N73+O73)*0.005</f>
        <v>13.202299999999999</v>
      </c>
      <c r="P74" s="22">
        <f t="shared" ref="P74:P78" si="12">(C73+D73+E73+G73+I73+K73+L73+M73+N73+O73+P73)*0.005</f>
        <v>13.202299999999999</v>
      </c>
      <c r="Q74" s="22"/>
      <c r="R74" s="22">
        <f t="shared" ref="R74:R78" si="13">(C73+D73+E73+G73+I73+K73+L73+M73+N73+O73+P73+R73)*0.005</f>
        <v>13.202299999999999</v>
      </c>
      <c r="S74" s="22">
        <f t="shared" ref="S74:S78" si="14">(C73+D73+E73+G73+I73+K73+L73+M73+N73+O73+P73+R73+S73)*0.005</f>
        <v>13.202299999999999</v>
      </c>
      <c r="T74" s="22"/>
      <c r="U74" s="173"/>
      <c r="V74" s="22"/>
      <c r="W74" s="22"/>
      <c r="X74" s="22"/>
      <c r="Z74" s="2"/>
    </row>
    <row r="75" spans="1:26">
      <c r="A75" s="187">
        <v>33</v>
      </c>
      <c r="B75" s="20" t="s">
        <v>191</v>
      </c>
      <c r="C75" s="161">
        <v>870.26</v>
      </c>
      <c r="D75" s="25"/>
      <c r="E75" s="25"/>
      <c r="F75" s="25"/>
      <c r="G75" s="22"/>
      <c r="H75" s="22"/>
      <c r="I75" s="22"/>
      <c r="J75" s="22"/>
      <c r="K75" s="25"/>
      <c r="L75" s="22"/>
      <c r="M75" s="22">
        <v>0</v>
      </c>
      <c r="N75" s="22">
        <v>0</v>
      </c>
      <c r="O75" s="25"/>
      <c r="P75" s="22">
        <v>0</v>
      </c>
      <c r="Q75" s="22"/>
      <c r="R75" s="22"/>
      <c r="S75" s="22"/>
      <c r="T75" s="22"/>
      <c r="U75" s="173">
        <f t="shared" si="2"/>
        <v>870.26</v>
      </c>
      <c r="V75" s="22">
        <f>U75/12</f>
        <v>72.521666666666704</v>
      </c>
      <c r="W75" s="22">
        <f>D76+E76+G76+I76+K76+L76+M76+N76+O76+P76+R76+S76</f>
        <v>52.215600000000002</v>
      </c>
      <c r="X75" s="22">
        <f>U75+W75</f>
        <v>922.47559999999999</v>
      </c>
      <c r="Z75" s="2"/>
    </row>
    <row r="76" spans="1:26" ht="16.5" customHeight="1">
      <c r="A76" s="162"/>
      <c r="B76" s="20"/>
      <c r="C76" s="163" t="s">
        <v>152</v>
      </c>
      <c r="D76" s="22">
        <f t="shared" si="3"/>
        <v>4.3513000000000002</v>
      </c>
      <c r="E76" s="22">
        <f t="shared" si="4"/>
        <v>4.3513000000000002</v>
      </c>
      <c r="F76" s="22"/>
      <c r="G76" s="22">
        <f t="shared" si="5"/>
        <v>4.3513000000000002</v>
      </c>
      <c r="H76" s="22"/>
      <c r="I76" s="22">
        <f t="shared" si="6"/>
        <v>4.3513000000000002</v>
      </c>
      <c r="J76" s="22"/>
      <c r="K76" s="22">
        <f t="shared" si="7"/>
        <v>4.3513000000000002</v>
      </c>
      <c r="L76" s="22">
        <f t="shared" si="8"/>
        <v>4.3513000000000002</v>
      </c>
      <c r="M76" s="22">
        <f>(C75+D75+E75+G75+I75+K75+L75+M75)*0.005</f>
        <v>4.3513000000000002</v>
      </c>
      <c r="N76" s="22">
        <f>(C75+D75+E75+G75+I75+K75+L75+M75+N75)*0.005</f>
        <v>4.3513000000000002</v>
      </c>
      <c r="O76" s="22">
        <f t="shared" si="11"/>
        <v>4.3513000000000002</v>
      </c>
      <c r="P76" s="22">
        <f t="shared" si="12"/>
        <v>4.3513000000000002</v>
      </c>
      <c r="Q76" s="22"/>
      <c r="R76" s="22">
        <f t="shared" si="13"/>
        <v>4.3513000000000002</v>
      </c>
      <c r="S76" s="22">
        <f t="shared" si="14"/>
        <v>4.3513000000000002</v>
      </c>
      <c r="T76" s="22"/>
      <c r="U76" s="173"/>
      <c r="V76" s="77"/>
      <c r="W76" s="77"/>
      <c r="X76" s="77"/>
    </row>
    <row r="77" spans="1:26">
      <c r="A77" s="187">
        <v>34</v>
      </c>
      <c r="B77" s="20" t="s">
        <v>192</v>
      </c>
      <c r="C77" s="161">
        <v>1055.75</v>
      </c>
      <c r="D77" s="25"/>
      <c r="E77" s="25"/>
      <c r="F77" s="25"/>
      <c r="G77" s="22"/>
      <c r="H77" s="22"/>
      <c r="I77" s="22"/>
      <c r="J77" s="22"/>
      <c r="K77" s="25"/>
      <c r="L77" s="22"/>
      <c r="M77" s="22"/>
      <c r="N77" s="22">
        <v>500</v>
      </c>
      <c r="O77" s="25"/>
      <c r="P77" s="22">
        <v>0</v>
      </c>
      <c r="Q77" s="22"/>
      <c r="R77" s="22"/>
      <c r="S77" s="22"/>
      <c r="T77" s="22"/>
      <c r="U77" s="173">
        <f t="shared" si="2"/>
        <v>1555.75</v>
      </c>
      <c r="V77" s="22">
        <f>U77/12</f>
        <v>129.645833333333</v>
      </c>
      <c r="W77" s="22">
        <f>D78+E78+G78+I78+K78+L78+M78+N78+O78+P78+R78+S78</f>
        <v>75.844999999999999</v>
      </c>
      <c r="X77" s="22">
        <f>U77+W77</f>
        <v>1631.595</v>
      </c>
      <c r="Z77" s="2"/>
    </row>
    <row r="78" spans="1:26" ht="15" customHeight="1">
      <c r="A78" s="162"/>
      <c r="B78" s="20"/>
      <c r="C78" s="163" t="s">
        <v>152</v>
      </c>
      <c r="D78" s="22">
        <f t="shared" si="3"/>
        <v>5.2787499999999996</v>
      </c>
      <c r="E78" s="22">
        <f t="shared" si="4"/>
        <v>5.2787499999999996</v>
      </c>
      <c r="F78" s="22"/>
      <c r="G78" s="22">
        <f t="shared" si="5"/>
        <v>5.2787499999999996</v>
      </c>
      <c r="H78" s="22"/>
      <c r="I78" s="22">
        <f t="shared" si="6"/>
        <v>5.2787499999999996</v>
      </c>
      <c r="J78" s="22"/>
      <c r="K78" s="22">
        <f t="shared" si="7"/>
        <v>5.2787499999999996</v>
      </c>
      <c r="L78" s="22">
        <f t="shared" si="8"/>
        <v>5.2787499999999996</v>
      </c>
      <c r="M78" s="22">
        <f t="shared" si="9"/>
        <v>5.2787499999999996</v>
      </c>
      <c r="N78" s="22">
        <f t="shared" si="10"/>
        <v>7.7787499999999996</v>
      </c>
      <c r="O78" s="22">
        <f t="shared" si="11"/>
        <v>7.7787499999999996</v>
      </c>
      <c r="P78" s="22">
        <f t="shared" si="12"/>
        <v>7.7787499999999996</v>
      </c>
      <c r="Q78" s="22"/>
      <c r="R78" s="22">
        <f t="shared" si="13"/>
        <v>7.7787499999999996</v>
      </c>
      <c r="S78" s="22">
        <f t="shared" si="14"/>
        <v>7.7787499999999996</v>
      </c>
      <c r="T78" s="22"/>
      <c r="U78" s="173"/>
      <c r="V78" s="77"/>
      <c r="W78" s="77"/>
      <c r="X78" s="77"/>
    </row>
    <row r="79" spans="1:26">
      <c r="A79" s="187">
        <v>35</v>
      </c>
      <c r="B79" s="20" t="s">
        <v>193</v>
      </c>
      <c r="C79" s="161">
        <f>7251.8+41.66</f>
        <v>7293.46</v>
      </c>
      <c r="D79" s="25"/>
      <c r="E79" s="25"/>
      <c r="F79" s="25"/>
      <c r="G79" s="22"/>
      <c r="H79" s="22"/>
      <c r="I79" s="22"/>
      <c r="J79" s="22"/>
      <c r="K79" s="25"/>
      <c r="L79" s="22"/>
      <c r="M79" s="22"/>
      <c r="N79" s="22"/>
      <c r="O79" s="25"/>
      <c r="P79" s="22">
        <v>0</v>
      </c>
      <c r="Q79" s="22"/>
      <c r="R79" s="32"/>
      <c r="S79" s="22"/>
      <c r="T79" s="22"/>
      <c r="U79" s="173">
        <f>C79+D79+E79+G79+I79+K79+L79+M79+N79+O79+P79+R79+S79</f>
        <v>7293.46</v>
      </c>
      <c r="V79" s="22">
        <f>U79/12</f>
        <v>607.78833333333296</v>
      </c>
      <c r="W79" s="22">
        <f>D80+E80+G80+I80+K80+L80+M80+N80+O80+P80+R80+S80</f>
        <v>437.60759999999999</v>
      </c>
      <c r="X79" s="22">
        <f>U79+W79</f>
        <v>7731.0676000000003</v>
      </c>
      <c r="Z79" s="2"/>
    </row>
    <row r="80" spans="1:26" ht="15" customHeight="1">
      <c r="A80" s="162"/>
      <c r="B80" s="20"/>
      <c r="C80" s="163" t="s">
        <v>152</v>
      </c>
      <c r="D80" s="22">
        <f>(C79+D79)*0.005</f>
        <v>36.467300000000002</v>
      </c>
      <c r="E80" s="22">
        <f>(C79+D79+E79)*0.005</f>
        <v>36.467300000000002</v>
      </c>
      <c r="F80" s="22"/>
      <c r="G80" s="22">
        <f>(+C79+D79+E79+G79)*0.005</f>
        <v>36.467300000000002</v>
      </c>
      <c r="H80" s="22"/>
      <c r="I80" s="22">
        <f>(C79+D79+E79+G79+I79)*0.005</f>
        <v>36.467300000000002</v>
      </c>
      <c r="J80" s="22"/>
      <c r="K80" s="22">
        <f>(C79+D79+E79+G79+I79+K79)*0.005</f>
        <v>36.467300000000002</v>
      </c>
      <c r="L80" s="22">
        <f>(C79+D79+E79+G79+I79+K79+L79)*0.005</f>
        <v>36.467300000000002</v>
      </c>
      <c r="M80" s="22">
        <f>(C79+D79+E79+G79+I79+K79+L79+M79)*0.005</f>
        <v>36.467300000000002</v>
      </c>
      <c r="N80" s="22">
        <f>(C79+D79+E79+G79+I79+K79+L79+M79+N79)*0.005</f>
        <v>36.467300000000002</v>
      </c>
      <c r="O80" s="22">
        <f>(C79+D79+E79+G79+I79+K79+L79+M79+N79+O79)*0.005</f>
        <v>36.467300000000002</v>
      </c>
      <c r="P80" s="22">
        <f>(C79+D79+E79+G79+I79+K79+L79+M79+N79+O79+P79)*0.005</f>
        <v>36.467300000000002</v>
      </c>
      <c r="Q80" s="22"/>
      <c r="R80" s="22">
        <f>(C79+D79+E79+G79+I79+K79+L79+M79+N79+O79+P79+R79)*0.005</f>
        <v>36.467300000000002</v>
      </c>
      <c r="S80" s="22">
        <f>(C79+D79+E79+G79+I79+K79+L79+M79+N79+O79+P79+R79+S79)*0.005</f>
        <v>36.467300000000002</v>
      </c>
      <c r="T80" s="22"/>
      <c r="U80" s="173"/>
      <c r="V80" s="88"/>
      <c r="W80" s="88"/>
      <c r="X80" s="88"/>
    </row>
    <row r="81" spans="1:26" ht="27.6">
      <c r="A81" s="187">
        <v>35</v>
      </c>
      <c r="B81" s="20" t="s">
        <v>195</v>
      </c>
      <c r="C81" s="161">
        <v>1045</v>
      </c>
      <c r="D81" s="25"/>
      <c r="E81" s="25"/>
      <c r="F81" s="25"/>
      <c r="G81" s="22"/>
      <c r="H81" s="22"/>
      <c r="I81" s="32"/>
      <c r="J81" s="22"/>
      <c r="K81" s="25"/>
      <c r="L81" s="22"/>
      <c r="M81" s="22"/>
      <c r="N81" s="22"/>
      <c r="O81" s="25"/>
      <c r="P81" s="22">
        <v>0</v>
      </c>
      <c r="Q81" s="22"/>
      <c r="R81" s="22">
        <v>0</v>
      </c>
      <c r="S81" s="22"/>
      <c r="T81" s="22"/>
      <c r="U81" s="173">
        <f>C81+D81+E81+G81+I81+K81+L81+M81+N81+O81+P81+R81+S81</f>
        <v>1045</v>
      </c>
      <c r="V81" s="22">
        <f>U81/12</f>
        <v>87.0833333333333</v>
      </c>
      <c r="W81" s="22">
        <f>D82+E82+G82+I82+K82+L82+M82+N82+O82+P82+R82+S82</f>
        <v>62.7</v>
      </c>
      <c r="X81" s="22">
        <f>U81+W81</f>
        <v>1107.7</v>
      </c>
      <c r="Z81" s="2"/>
    </row>
    <row r="82" spans="1:26" ht="15" customHeight="1">
      <c r="A82" s="162"/>
      <c r="B82" s="20"/>
      <c r="C82" s="163" t="s">
        <v>152</v>
      </c>
      <c r="D82" s="22">
        <f>(C81+D81)*0.005</f>
        <v>5.2249999999999996</v>
      </c>
      <c r="E82" s="22">
        <f>(C81+D81+E81)*0.005</f>
        <v>5.2249999999999996</v>
      </c>
      <c r="F82" s="22"/>
      <c r="G82" s="22">
        <f>(+C81+D81+E81+G81)*0.005</f>
        <v>5.2249999999999996</v>
      </c>
      <c r="H82" s="22"/>
      <c r="I82" s="22">
        <f>(C81+D81+E81+G81+I81)*0.005</f>
        <v>5.2249999999999996</v>
      </c>
      <c r="J82" s="22"/>
      <c r="K82" s="22">
        <f>(C81+D81+E81+G81+I81+K81)*0.005</f>
        <v>5.2249999999999996</v>
      </c>
      <c r="L82" s="22">
        <f>(C81+D81+E81+G81+I81+K81+L81)*0.005</f>
        <v>5.2249999999999996</v>
      </c>
      <c r="M82" s="22">
        <f>(C81+D81+E81+G81+I81+K81+L81+M81)*0.005</f>
        <v>5.2249999999999996</v>
      </c>
      <c r="N82" s="22">
        <f>(C81+D81+E81+G81+I81+K81+L81+M81+N81)*0.005</f>
        <v>5.2249999999999996</v>
      </c>
      <c r="O82" s="22">
        <f>(C81+D81+E81+G81+I81+K81+L81+M81+N81+O81)*0.005</f>
        <v>5.2249999999999996</v>
      </c>
      <c r="P82" s="22">
        <f>(C81+D81+E81+G81+I81+K81+L81+M81+N81+O81+P81)*0.005</f>
        <v>5.2249999999999996</v>
      </c>
      <c r="Q82" s="22"/>
      <c r="R82" s="22">
        <f>(C81+D81+E81+G81+I81+K81+L81+M81+N81+O81+P81+R81)*0.005</f>
        <v>5.2249999999999996</v>
      </c>
      <c r="S82" s="22">
        <f>(C81+D81+E81+G81+I81+K81+L81+M81+N81+O81+P81+R81+S81)*0.005</f>
        <v>5.2249999999999996</v>
      </c>
      <c r="T82" s="22"/>
      <c r="U82" s="173"/>
      <c r="V82" s="88"/>
      <c r="W82" s="88"/>
      <c r="X82" s="88"/>
    </row>
    <row r="83" spans="1:26" ht="16.95" customHeight="1">
      <c r="A83" s="187">
        <v>36</v>
      </c>
      <c r="B83" s="20" t="s">
        <v>196</v>
      </c>
      <c r="C83" s="161">
        <f>502.5+44.63</f>
        <v>547.13</v>
      </c>
      <c r="D83" s="188">
        <v>500</v>
      </c>
      <c r="E83" s="188">
        <v>500</v>
      </c>
      <c r="F83" s="25"/>
      <c r="G83" s="22"/>
      <c r="H83" s="22"/>
      <c r="I83" s="22"/>
      <c r="J83" s="22"/>
      <c r="K83" s="25"/>
      <c r="L83" s="22"/>
      <c r="M83" s="22"/>
      <c r="N83" s="22"/>
      <c r="O83" s="25"/>
      <c r="P83" s="22">
        <v>0</v>
      </c>
      <c r="Q83" s="22"/>
      <c r="R83" s="22">
        <v>0</v>
      </c>
      <c r="S83" s="32"/>
      <c r="T83" s="22"/>
      <c r="U83" s="173">
        <f>C83+D83+E83+G83+I83+K83+L83+M83+N83+O83+P83+R83+S83</f>
        <v>1547.13</v>
      </c>
      <c r="V83" s="22">
        <f>U83/12</f>
        <v>128.92750000000001</v>
      </c>
      <c r="W83" s="22">
        <f>D84+E84+G84+I84+K84+L84+M84+N84+O84+P84+R84+S84</f>
        <v>90.327799999999996</v>
      </c>
      <c r="X83" s="22">
        <f>U83+W83</f>
        <v>1637.4577999999999</v>
      </c>
      <c r="Z83" s="2"/>
    </row>
    <row r="84" spans="1:26" ht="15" customHeight="1">
      <c r="A84" s="162"/>
      <c r="B84" s="20"/>
      <c r="C84" s="163" t="s">
        <v>152</v>
      </c>
      <c r="D84" s="22">
        <f>(C83+D83)*0.005</f>
        <v>5.2356499999999997</v>
      </c>
      <c r="E84" s="22">
        <f>(C83+D83+E83)*0.005</f>
        <v>7.7356499999999997</v>
      </c>
      <c r="F84" s="22"/>
      <c r="G84" s="22">
        <f>(+C83+D83+E83+G83)*0.005</f>
        <v>7.7356499999999997</v>
      </c>
      <c r="H84" s="22"/>
      <c r="I84" s="22">
        <f>(C83+D83+E83+G83+I83)*0.005</f>
        <v>7.7356499999999997</v>
      </c>
      <c r="J84" s="22"/>
      <c r="K84" s="22">
        <f>(C83+D83+E83+G83+I83+K83)*0.005</f>
        <v>7.7356499999999997</v>
      </c>
      <c r="L84" s="22">
        <f>(C83+D83+E83+G83+I83+K83+L83)*0.005</f>
        <v>7.7356499999999997</v>
      </c>
      <c r="M84" s="22">
        <f>(C83+D83+E83+G83+I83+K83+L83+M83)*0.005</f>
        <v>7.7356499999999997</v>
      </c>
      <c r="N84" s="22">
        <f>(C83+D83+E83+G83+I83+K83+L83+M83+N83)*0.005</f>
        <v>7.7356499999999997</v>
      </c>
      <c r="O84" s="22">
        <f>(C83+D83+E83+G83+I83+K83+L83+M83+N83+O83)*0.005</f>
        <v>7.7356499999999997</v>
      </c>
      <c r="P84" s="22">
        <f>(C83+D83+E83+G83+I83+K83+L83+M83+N83+O83+P83)*0.005</f>
        <v>7.7356499999999997</v>
      </c>
      <c r="Q84" s="22"/>
      <c r="R84" s="22">
        <f>(C83+D83+E83+G83+I83+K83+L83+M83+N83+O83+P83+R83)*0.005</f>
        <v>7.7356499999999997</v>
      </c>
      <c r="S84" s="22">
        <f>(C83+D83+E83+G83+I83+K83+L83+M83+N83+O83+P83+R83+S83)*0.005</f>
        <v>7.7356499999999997</v>
      </c>
      <c r="T84" s="22"/>
      <c r="U84" s="173"/>
      <c r="V84" s="88"/>
      <c r="W84" s="88"/>
      <c r="X84" s="88"/>
    </row>
    <row r="85" spans="1:26" ht="15" customHeight="1">
      <c r="A85" s="162"/>
      <c r="B85" s="20"/>
      <c r="C85" s="163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173"/>
      <c r="V85" s="88"/>
      <c r="W85" s="88"/>
      <c r="X85" s="88"/>
    </row>
    <row r="86" spans="1:26">
      <c r="A86" s="189"/>
      <c r="B86" s="190" t="s">
        <v>120</v>
      </c>
      <c r="C86" s="191">
        <f>SUM(C10:C79)</f>
        <v>80679.47</v>
      </c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1">
        <f>SUM(U10:U79)</f>
        <v>77580.691000000006</v>
      </c>
      <c r="V86" s="194">
        <f>SUM(V10:V79)</f>
        <v>6465.0575833333296</v>
      </c>
      <c r="W86" s="195">
        <f>SUM(W10:W79)</f>
        <v>5114.5182000000004</v>
      </c>
      <c r="X86" s="196">
        <f>SUM(X10:X79)</f>
        <v>82695.209199999998</v>
      </c>
    </row>
    <row r="88" spans="1:26">
      <c r="A88" t="s">
        <v>121</v>
      </c>
      <c r="E88" t="s">
        <v>122</v>
      </c>
      <c r="N88" t="s">
        <v>123</v>
      </c>
      <c r="U88" t="s">
        <v>124</v>
      </c>
    </row>
    <row r="91" spans="1:26">
      <c r="B91" s="107" t="s">
        <v>125</v>
      </c>
      <c r="G91" s="107" t="s">
        <v>126</v>
      </c>
      <c r="H91" s="107"/>
      <c r="O91" s="308" t="s">
        <v>167</v>
      </c>
      <c r="P91" s="308"/>
      <c r="Q91" s="308"/>
      <c r="R91" s="308"/>
      <c r="V91" s="308" t="s">
        <v>168</v>
      </c>
      <c r="W91" s="308"/>
      <c r="X91" s="308"/>
    </row>
    <row r="92" spans="1:26">
      <c r="B92" t="s">
        <v>169</v>
      </c>
      <c r="G92" s="313" t="s">
        <v>129</v>
      </c>
      <c r="H92" s="313"/>
      <c r="I92" s="313"/>
      <c r="J92" s="313"/>
      <c r="K92" s="313"/>
      <c r="O92" s="311" t="s">
        <v>170</v>
      </c>
      <c r="P92" s="311"/>
      <c r="Q92" s="311"/>
      <c r="R92" s="311"/>
      <c r="V92" s="313" t="s">
        <v>131</v>
      </c>
      <c r="W92" s="313"/>
      <c r="X92" s="313"/>
    </row>
    <row r="95" spans="1:26">
      <c r="X95" s="3" t="s">
        <v>171</v>
      </c>
    </row>
    <row r="99" spans="1:32">
      <c r="U99" t="s">
        <v>172</v>
      </c>
      <c r="V99">
        <f>18</f>
        <v>18</v>
      </c>
      <c r="W99" s="314">
        <f>X10+X14+X16+X18+X20+X22+X24+X26+X28+X30+X32+X34+X38+X43+X45+X53+X65+X36+X55+X57+X59+X61</f>
        <v>48169.482199999999</v>
      </c>
      <c r="X99" s="314"/>
    </row>
    <row r="100" spans="1:32" s="4" customForma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 s="102" t="s">
        <v>173</v>
      </c>
      <c r="V100" s="102">
        <v>11</v>
      </c>
      <c r="W100" s="306">
        <f>X12+X47+X49+X51+X55+X57+X59+X61+X63+X67</f>
        <v>28662.457399999999</v>
      </c>
      <c r="X100" s="306"/>
      <c r="Z100"/>
      <c r="AA100"/>
      <c r="AB100"/>
      <c r="AC100"/>
      <c r="AD100"/>
      <c r="AE100"/>
      <c r="AF100"/>
    </row>
    <row r="101" spans="1:32" s="4" customForma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>
        <f>V99+V100</f>
        <v>29</v>
      </c>
      <c r="W101" s="307">
        <f>W99+W100</f>
        <v>76831.939599999998</v>
      </c>
      <c r="X101" s="307"/>
      <c r="Z101"/>
      <c r="AA101"/>
      <c r="AB101"/>
      <c r="AC101"/>
      <c r="AD101"/>
      <c r="AE101"/>
      <c r="AF101"/>
    </row>
    <row r="105" spans="1:32" s="4" customForma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 t="s">
        <v>174</v>
      </c>
      <c r="Z105"/>
      <c r="AA105"/>
      <c r="AB105"/>
      <c r="AC105"/>
      <c r="AD105"/>
      <c r="AE105"/>
      <c r="AF105"/>
    </row>
    <row r="107" spans="1:32" s="4" customForma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 s="50"/>
      <c r="V107"/>
      <c r="W107"/>
      <c r="X107"/>
      <c r="Z107"/>
      <c r="AA107"/>
      <c r="AB107"/>
      <c r="AC107"/>
      <c r="AD107"/>
      <c r="AE107"/>
      <c r="AF107"/>
    </row>
  </sheetData>
  <mergeCells count="14">
    <mergeCell ref="W99:X99"/>
    <mergeCell ref="W100:X100"/>
    <mergeCell ref="W101:X101"/>
    <mergeCell ref="A9:B9"/>
    <mergeCell ref="O91:R91"/>
    <mergeCell ref="V91:X91"/>
    <mergeCell ref="G92:K92"/>
    <mergeCell ref="O92:R92"/>
    <mergeCell ref="V92:X92"/>
    <mergeCell ref="A2:X2"/>
    <mergeCell ref="A3:X3"/>
    <mergeCell ref="A4:X4"/>
    <mergeCell ref="A6:X6"/>
    <mergeCell ref="A7:X7"/>
  </mergeCells>
  <pageMargins left="0.25" right="0.25" top="0.25" bottom="0.25" header="0.3" footer="0.3"/>
  <pageSetup paperSize="5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F113"/>
  <sheetViews>
    <sheetView topLeftCell="A82" zoomScale="112" zoomScaleNormal="112" workbookViewId="0">
      <selection activeCell="L16" sqref="L16"/>
    </sheetView>
  </sheetViews>
  <sheetFormatPr defaultColWidth="9" defaultRowHeight="14.4"/>
  <cols>
    <col min="1" max="1" width="3.5546875" customWidth="1"/>
    <col min="2" max="2" width="20.33203125" customWidth="1"/>
    <col min="3" max="3" width="10.5546875" customWidth="1"/>
    <col min="4" max="4" width="7.77734375" customWidth="1"/>
    <col min="5" max="6" width="7.5546875" customWidth="1"/>
    <col min="7" max="8" width="7.44140625" customWidth="1"/>
    <col min="9" max="11" width="7.77734375" customWidth="1"/>
    <col min="12" max="12" width="8" customWidth="1"/>
    <col min="13" max="14" width="7.5546875" customWidth="1"/>
    <col min="15" max="15" width="7.77734375" customWidth="1"/>
    <col min="16" max="16" width="6.5546875" customWidth="1"/>
    <col min="17" max="17" width="8.21875" customWidth="1"/>
    <col min="18" max="18" width="8.5546875" customWidth="1"/>
    <col min="19" max="20" width="8.21875" customWidth="1"/>
    <col min="21" max="21" width="8.77734375" customWidth="1"/>
    <col min="22" max="22" width="8.44140625" customWidth="1"/>
    <col min="23" max="23" width="7.77734375" customWidth="1"/>
    <col min="24" max="24" width="8.44140625" customWidth="1"/>
    <col min="25" max="25" width="9" style="4"/>
  </cols>
  <sheetData>
    <row r="2" spans="1:32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</row>
    <row r="3" spans="1:32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</row>
    <row r="4" spans="1:32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</row>
    <row r="5" spans="1:32">
      <c r="B5" s="9"/>
      <c r="C5" s="9"/>
      <c r="D5" s="157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8"/>
      <c r="Z5" s="9"/>
      <c r="AA5" s="9"/>
      <c r="AB5" s="9"/>
      <c r="AC5" s="9"/>
      <c r="AD5" s="9"/>
      <c r="AE5" s="9"/>
      <c r="AF5" s="9"/>
    </row>
    <row r="6" spans="1:32" ht="18">
      <c r="A6" s="316" t="s">
        <v>144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</row>
    <row r="7" spans="1:32">
      <c r="A7" s="313" t="s">
        <v>4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</row>
    <row r="8" spans="1:32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32" s="1" customFormat="1" ht="28.5" customHeight="1">
      <c r="A9" s="317" t="s">
        <v>5</v>
      </c>
      <c r="B9" s="318"/>
      <c r="C9" s="159" t="s">
        <v>179</v>
      </c>
      <c r="D9" s="158" t="s">
        <v>7</v>
      </c>
      <c r="E9" s="158" t="s">
        <v>8</v>
      </c>
      <c r="F9" s="158" t="s">
        <v>133</v>
      </c>
      <c r="G9" s="158" t="s">
        <v>9</v>
      </c>
      <c r="H9" s="158" t="s">
        <v>133</v>
      </c>
      <c r="I9" s="158" t="s">
        <v>10</v>
      </c>
      <c r="J9" s="158" t="s">
        <v>133</v>
      </c>
      <c r="K9" s="158" t="s">
        <v>11</v>
      </c>
      <c r="L9" s="158" t="s">
        <v>12</v>
      </c>
      <c r="M9" s="158" t="s">
        <v>13</v>
      </c>
      <c r="N9" s="158" t="s">
        <v>14</v>
      </c>
      <c r="O9" s="158" t="s">
        <v>15</v>
      </c>
      <c r="P9" s="158" t="s">
        <v>16</v>
      </c>
      <c r="Q9" s="158" t="s">
        <v>194</v>
      </c>
      <c r="R9" s="158" t="s">
        <v>17</v>
      </c>
      <c r="S9" s="158" t="s">
        <v>18</v>
      </c>
      <c r="T9" s="158" t="s">
        <v>133</v>
      </c>
      <c r="U9" s="158" t="s">
        <v>147</v>
      </c>
      <c r="V9" s="158" t="s">
        <v>148</v>
      </c>
      <c r="W9" s="133" t="s">
        <v>149</v>
      </c>
      <c r="X9" s="133" t="s">
        <v>150</v>
      </c>
      <c r="Y9" s="177"/>
    </row>
    <row r="10" spans="1:32" s="2" customFormat="1">
      <c r="A10" s="160">
        <v>1</v>
      </c>
      <c r="B10" s="16" t="s">
        <v>26</v>
      </c>
      <c r="C10" s="161">
        <f>393.9+23.63</f>
        <v>417.53</v>
      </c>
      <c r="D10" s="18"/>
      <c r="E10" s="18"/>
      <c r="F10" s="25"/>
      <c r="G10" s="22"/>
      <c r="H10" s="22"/>
      <c r="I10" s="18"/>
      <c r="J10" s="25"/>
      <c r="K10" s="22"/>
      <c r="L10" s="22"/>
      <c r="M10" s="22"/>
      <c r="N10" s="18"/>
      <c r="O10" s="22"/>
      <c r="P10" s="22"/>
      <c r="Q10" s="22"/>
      <c r="R10" s="22"/>
      <c r="S10" s="18"/>
      <c r="T10" s="25"/>
      <c r="U10" s="46">
        <f t="shared" ref="U10:U14" si="0">C10+D10+E10+G10+I10+K10+L10+M10+N10+O10+P10+R10+S10</f>
        <v>417.53</v>
      </c>
      <c r="V10" s="22">
        <f t="shared" ref="V10:V14" si="1">U10/12</f>
        <v>34.794166666666698</v>
      </c>
      <c r="W10" s="22">
        <f t="shared" ref="W10:W14" si="2">D11+E11+G11+I11+K11+L11+M11+N11+O11+P11+R11+S11</f>
        <v>25.0518</v>
      </c>
      <c r="X10" s="22">
        <f t="shared" ref="X10:X14" si="3">U10+W10</f>
        <v>442.58179999999999</v>
      </c>
      <c r="Y10" s="178"/>
    </row>
    <row r="11" spans="1:32" s="2" customFormat="1">
      <c r="A11" s="162"/>
      <c r="B11" s="20"/>
      <c r="C11" s="163" t="s">
        <v>152</v>
      </c>
      <c r="D11" s="22">
        <f t="shared" ref="D11:D15" si="4">(C10+D10)*0.005</f>
        <v>2.08765</v>
      </c>
      <c r="E11" s="22">
        <f t="shared" ref="E11:E15" si="5">(C10+D10+E10)*0.005</f>
        <v>2.08765</v>
      </c>
      <c r="F11" s="22"/>
      <c r="G11" s="22">
        <f t="shared" ref="G11:G13" si="6">(+C10+D10+E10+G10)*0.005</f>
        <v>2.08765</v>
      </c>
      <c r="H11" s="22"/>
      <c r="I11" s="22">
        <f t="shared" ref="I11:I15" si="7">(C10+D10+E10+G10+I10)*0.005</f>
        <v>2.08765</v>
      </c>
      <c r="J11" s="22"/>
      <c r="K11" s="22">
        <f t="shared" ref="K11:K15" si="8">(C10+D10+E10+G10+I10+K10)*0.005</f>
        <v>2.08765</v>
      </c>
      <c r="L11" s="22">
        <f t="shared" ref="L11:L15" si="9">(C10+D10+E10+G10+I10+K10+L10)*0.005</f>
        <v>2.08765</v>
      </c>
      <c r="M11" s="22">
        <f t="shared" ref="M11:M15" si="10">(C10+D10+E10+G10+I10+K10+L10+M10)*0.005</f>
        <v>2.08765</v>
      </c>
      <c r="N11" s="22">
        <f t="shared" ref="N11:N15" si="11">(C10+D10+E10+G10+I10+K10+L10+M10+N10)*0.005</f>
        <v>2.08765</v>
      </c>
      <c r="O11" s="22">
        <f t="shared" ref="O11:O15" si="12">(C10+D10+E10+G10+I10+K10+L10+M10+N10+O10)*0.005</f>
        <v>2.08765</v>
      </c>
      <c r="P11" s="22">
        <f t="shared" ref="P11:P15" si="13">(C10+D10+E10+G10+I10+K10+L10+M10+N10+O10+P10)*0.005</f>
        <v>2.08765</v>
      </c>
      <c r="Q11" s="22"/>
      <c r="R11" s="22">
        <f t="shared" ref="R11:R15" si="14">(C10+D10+E10+G10+I10+K10+L10+M10+N10+O10+P10+R10)*0.005</f>
        <v>2.08765</v>
      </c>
      <c r="S11" s="22">
        <f t="shared" ref="S11:S15" si="15">(C10+D10+E10+G10+I10+K10+L10+M10+N10+O10+P10+R10+S10)*0.005</f>
        <v>2.08765</v>
      </c>
      <c r="T11" s="22"/>
      <c r="U11" s="46"/>
      <c r="V11" s="22"/>
      <c r="W11" s="22"/>
      <c r="X11" s="22"/>
      <c r="Y11" s="178"/>
    </row>
    <row r="12" spans="1:32">
      <c r="A12" s="162">
        <v>2</v>
      </c>
      <c r="B12" s="20" t="s">
        <v>27</v>
      </c>
      <c r="C12" s="161">
        <f>1199.36+71.96</f>
        <v>1271.32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46">
        <f t="shared" si="0"/>
        <v>1271.32</v>
      </c>
      <c r="V12" s="22">
        <f t="shared" si="1"/>
        <v>105.943333333333</v>
      </c>
      <c r="W12" s="22">
        <f t="shared" si="2"/>
        <v>76.279200000000003</v>
      </c>
      <c r="X12" s="22">
        <f t="shared" si="3"/>
        <v>1347.5992000000001</v>
      </c>
      <c r="Z12" s="2"/>
    </row>
    <row r="13" spans="1:32">
      <c r="A13" s="162"/>
      <c r="B13" s="20"/>
      <c r="C13" s="163" t="s">
        <v>152</v>
      </c>
      <c r="D13" s="22">
        <f t="shared" si="4"/>
        <v>6.3566000000000003</v>
      </c>
      <c r="E13" s="22">
        <f t="shared" si="5"/>
        <v>6.3566000000000003</v>
      </c>
      <c r="F13" s="22"/>
      <c r="G13" s="22">
        <f t="shared" si="6"/>
        <v>6.3566000000000003</v>
      </c>
      <c r="H13" s="22"/>
      <c r="I13" s="22">
        <f t="shared" si="7"/>
        <v>6.3566000000000003</v>
      </c>
      <c r="J13" s="22"/>
      <c r="K13" s="22">
        <f t="shared" si="8"/>
        <v>6.3566000000000003</v>
      </c>
      <c r="L13" s="22">
        <f t="shared" si="9"/>
        <v>6.3566000000000003</v>
      </c>
      <c r="M13" s="22">
        <f t="shared" si="10"/>
        <v>6.3566000000000003</v>
      </c>
      <c r="N13" s="22">
        <f t="shared" si="11"/>
        <v>6.3566000000000003</v>
      </c>
      <c r="O13" s="22">
        <f t="shared" si="12"/>
        <v>6.3566000000000003</v>
      </c>
      <c r="P13" s="22">
        <f t="shared" si="13"/>
        <v>6.3566000000000003</v>
      </c>
      <c r="Q13" s="22"/>
      <c r="R13" s="22">
        <f t="shared" si="14"/>
        <v>6.3566000000000003</v>
      </c>
      <c r="S13" s="22">
        <f t="shared" si="15"/>
        <v>6.3566000000000003</v>
      </c>
      <c r="T13" s="22"/>
      <c r="U13" s="46"/>
      <c r="V13" s="22"/>
      <c r="W13" s="22"/>
      <c r="X13" s="22"/>
      <c r="Z13" s="2"/>
    </row>
    <row r="14" spans="1:32">
      <c r="A14" s="162">
        <v>3</v>
      </c>
      <c r="B14" s="27" t="s">
        <v>30</v>
      </c>
      <c r="C14" s="161">
        <f>3776.1+226.57</f>
        <v>4002.67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32"/>
      <c r="S14" s="22"/>
      <c r="T14" s="22"/>
      <c r="U14" s="46">
        <f t="shared" si="0"/>
        <v>4002.67</v>
      </c>
      <c r="V14" s="22">
        <f t="shared" si="1"/>
        <v>333.555833333333</v>
      </c>
      <c r="W14" s="22">
        <f t="shared" si="2"/>
        <v>240.1602</v>
      </c>
      <c r="X14" s="22">
        <f t="shared" si="3"/>
        <v>4242.8302000000003</v>
      </c>
      <c r="Z14" s="2"/>
    </row>
    <row r="15" spans="1:32">
      <c r="A15" s="162"/>
      <c r="B15" s="27"/>
      <c r="C15" s="163" t="s">
        <v>152</v>
      </c>
      <c r="D15" s="22">
        <f t="shared" si="4"/>
        <v>20.013349999999999</v>
      </c>
      <c r="E15" s="22">
        <f t="shared" si="5"/>
        <v>20.013349999999999</v>
      </c>
      <c r="F15" s="22"/>
      <c r="G15" s="22">
        <f>(+C14+D14+E14+G14)*0.005</f>
        <v>20.013349999999999</v>
      </c>
      <c r="H15" s="22"/>
      <c r="I15" s="22">
        <f t="shared" si="7"/>
        <v>20.013349999999999</v>
      </c>
      <c r="J15" s="22"/>
      <c r="K15" s="22">
        <f t="shared" si="8"/>
        <v>20.013349999999999</v>
      </c>
      <c r="L15" s="22">
        <f t="shared" si="9"/>
        <v>20.013349999999999</v>
      </c>
      <c r="M15" s="22">
        <f t="shared" si="10"/>
        <v>20.013349999999999</v>
      </c>
      <c r="N15" s="22">
        <f t="shared" si="11"/>
        <v>20.013349999999999</v>
      </c>
      <c r="O15" s="22">
        <f t="shared" si="12"/>
        <v>20.013349999999999</v>
      </c>
      <c r="P15" s="22">
        <f t="shared" si="13"/>
        <v>20.013349999999999</v>
      </c>
      <c r="Q15" s="22"/>
      <c r="R15" s="22">
        <f t="shared" si="14"/>
        <v>20.013349999999999</v>
      </c>
      <c r="S15" s="22">
        <f t="shared" si="15"/>
        <v>20.013349999999999</v>
      </c>
      <c r="T15" s="22"/>
      <c r="U15" s="46"/>
      <c r="V15" s="22"/>
      <c r="W15" s="22"/>
      <c r="X15" s="22"/>
      <c r="Z15" s="2"/>
    </row>
    <row r="16" spans="1:32">
      <c r="A16" s="162">
        <v>4</v>
      </c>
      <c r="B16" s="20" t="s">
        <v>32</v>
      </c>
      <c r="C16" s="161">
        <f>13738.55+813.06</f>
        <v>14551.61</v>
      </c>
      <c r="D16" s="32">
        <v>1000</v>
      </c>
      <c r="E16" s="32">
        <v>500</v>
      </c>
      <c r="F16" s="22"/>
      <c r="G16" s="164">
        <v>500</v>
      </c>
      <c r="H16" s="22"/>
      <c r="I16" s="22">
        <v>0</v>
      </c>
      <c r="J16" s="22"/>
      <c r="K16" s="22">
        <v>0</v>
      </c>
      <c r="L16" s="164">
        <v>500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v>0</v>
      </c>
      <c r="S16" s="22">
        <v>0</v>
      </c>
      <c r="T16" s="32"/>
      <c r="U16" s="46">
        <f>C16+D16+E16+G16+I16+K16+L16+M16+N16+O16+P16+R16+S16-T16</f>
        <v>17051.61</v>
      </c>
      <c r="V16" s="22">
        <f t="shared" ref="V16:V20" si="16">U16/12</f>
        <v>1420.9675</v>
      </c>
      <c r="W16" s="22">
        <f t="shared" ref="W16:W20" si="17">D17+E17+G17+I17+K17+L17+M17+N17+O17+P17+R17+S17</f>
        <v>1003.0966</v>
      </c>
      <c r="X16" s="22">
        <f t="shared" ref="X16:X20" si="18">U16+W16</f>
        <v>18054.706600000001</v>
      </c>
      <c r="Z16" s="179"/>
      <c r="AA16" s="2"/>
    </row>
    <row r="17" spans="1:27">
      <c r="A17" s="162"/>
      <c r="B17" s="20"/>
      <c r="C17" s="163" t="s">
        <v>152</v>
      </c>
      <c r="D17" s="22">
        <f t="shared" ref="D17:D21" si="19">(C16+D16)*0.005</f>
        <v>77.758049999999997</v>
      </c>
      <c r="E17" s="22">
        <f t="shared" ref="E17:E21" si="20">(C16+D16+E16)*0.005</f>
        <v>80.258049999999997</v>
      </c>
      <c r="F17" s="22"/>
      <c r="G17" s="22">
        <f t="shared" ref="G17:G21" si="21">(+C16+D16+E16+G16)*0.005</f>
        <v>82.758049999999997</v>
      </c>
      <c r="H17" s="22"/>
      <c r="I17" s="22">
        <f t="shared" ref="I17:I21" si="22">(C16+D16+E16+G16+I16)*0.005</f>
        <v>82.758049999999997</v>
      </c>
      <c r="J17" s="22"/>
      <c r="K17" s="22">
        <f t="shared" ref="K17:K21" si="23">(C16+D16+E16+G16+I16+K16)*0.005</f>
        <v>82.758049999999997</v>
      </c>
      <c r="L17" s="22">
        <f t="shared" ref="L17:L21" si="24">(C16+D16+E16+G16+I16+K16+L16)*0.005</f>
        <v>85.258049999999997</v>
      </c>
      <c r="M17" s="22">
        <f t="shared" ref="M17:M21" si="25">(C16+D16+E16+G16+I16+K16+L16+M16)*0.005</f>
        <v>85.258049999999997</v>
      </c>
      <c r="N17" s="22">
        <f t="shared" ref="N17:N21" si="26">(C16+D16+E16+G16+I16+K16+L16+M16+N16)*0.005</f>
        <v>85.258049999999997</v>
      </c>
      <c r="O17" s="22">
        <f t="shared" ref="O17:O21" si="27">(C16+D16+E16+G16+I16+K16+L16+M16+N16+O16)*0.005</f>
        <v>85.258049999999997</v>
      </c>
      <c r="P17" s="22">
        <f t="shared" ref="P17:P21" si="28">(C16+D16+E16+G16+I16+K16+L16+M16+N16+O16+P16)*0.005</f>
        <v>85.258049999999997</v>
      </c>
      <c r="Q17" s="22"/>
      <c r="R17" s="22">
        <f t="shared" ref="R17:R21" si="29">(C16+D16+E16+G16+I16+K16+L16+M16+N16+O16+P16+R16)*0.005</f>
        <v>85.258049999999997</v>
      </c>
      <c r="S17" s="22">
        <f t="shared" ref="S17:S21" si="30">(C16+D16+E16+G16+I16+K16+L16+M16+N16+O16+P16+R16+S16)*0.005</f>
        <v>85.258049999999997</v>
      </c>
      <c r="T17" s="22"/>
      <c r="U17" s="46"/>
      <c r="V17" s="22"/>
      <c r="X17" s="22"/>
      <c r="Z17" s="2"/>
      <c r="AA17" s="2"/>
    </row>
    <row r="18" spans="1:27" s="2" customFormat="1">
      <c r="A18" s="162">
        <v>5</v>
      </c>
      <c r="B18" s="20" t="s">
        <v>184</v>
      </c>
      <c r="C18" s="161">
        <f>7511.12+450.67</f>
        <v>7961.79</v>
      </c>
      <c r="D18" s="25">
        <v>0</v>
      </c>
      <c r="E18" s="25"/>
      <c r="F18" s="25"/>
      <c r="G18" s="25">
        <v>0</v>
      </c>
      <c r="H18" s="25"/>
      <c r="I18" s="22">
        <v>0</v>
      </c>
      <c r="J18" s="22"/>
      <c r="K18" s="22"/>
      <c r="L18" s="25">
        <v>0</v>
      </c>
      <c r="M18" s="32"/>
      <c r="N18" s="22">
        <v>0</v>
      </c>
      <c r="O18" s="22"/>
      <c r="P18" s="25"/>
      <c r="Q18" s="25"/>
      <c r="R18" s="25">
        <v>0</v>
      </c>
      <c r="S18" s="25"/>
      <c r="T18" s="25"/>
      <c r="U18" s="46">
        <f>C18+D18+E18+G18+I18+K18+L18+M18+N18+O18+P18+R18+S18</f>
        <v>7961.79</v>
      </c>
      <c r="V18" s="22">
        <f t="shared" si="16"/>
        <v>663.48249999999996</v>
      </c>
      <c r="W18" s="22">
        <f t="shared" si="17"/>
        <v>477.70740000000001</v>
      </c>
      <c r="X18" s="22">
        <f t="shared" si="18"/>
        <v>8439.4974000000002</v>
      </c>
      <c r="Y18" s="178"/>
      <c r="Z18" s="179"/>
    </row>
    <row r="19" spans="1:27" s="2" customFormat="1">
      <c r="A19" s="162"/>
      <c r="B19" s="20"/>
      <c r="C19" s="163" t="s">
        <v>152</v>
      </c>
      <c r="D19" s="22">
        <f t="shared" si="19"/>
        <v>39.808950000000003</v>
      </c>
      <c r="E19" s="22">
        <f t="shared" si="20"/>
        <v>39.808950000000003</v>
      </c>
      <c r="F19" s="22"/>
      <c r="G19" s="22">
        <f t="shared" si="21"/>
        <v>39.808950000000003</v>
      </c>
      <c r="H19" s="22"/>
      <c r="I19" s="22">
        <f t="shared" si="22"/>
        <v>39.808950000000003</v>
      </c>
      <c r="J19" s="22"/>
      <c r="K19" s="22">
        <f t="shared" si="23"/>
        <v>39.808950000000003</v>
      </c>
      <c r="L19" s="22">
        <f t="shared" si="24"/>
        <v>39.808950000000003</v>
      </c>
      <c r="M19" s="22">
        <f t="shared" si="25"/>
        <v>39.808950000000003</v>
      </c>
      <c r="N19" s="22">
        <f t="shared" si="26"/>
        <v>39.808950000000003</v>
      </c>
      <c r="O19" s="22">
        <f t="shared" si="27"/>
        <v>39.808950000000003</v>
      </c>
      <c r="P19" s="22">
        <f t="shared" si="28"/>
        <v>39.808950000000003</v>
      </c>
      <c r="Q19" s="22"/>
      <c r="R19" s="22">
        <f t="shared" si="29"/>
        <v>39.808950000000003</v>
      </c>
      <c r="S19" s="22">
        <f t="shared" si="30"/>
        <v>39.808950000000003</v>
      </c>
      <c r="T19" s="22"/>
      <c r="U19" s="46"/>
      <c r="V19" s="22"/>
      <c r="W19" s="22"/>
      <c r="X19" s="22"/>
      <c r="Y19" s="178"/>
    </row>
    <row r="20" spans="1:27">
      <c r="A20" s="162">
        <v>6</v>
      </c>
      <c r="B20" s="20" t="s">
        <v>34</v>
      </c>
      <c r="C20" s="161"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173"/>
      <c r="V20" s="22">
        <f t="shared" si="16"/>
        <v>0</v>
      </c>
      <c r="W20" s="22">
        <f t="shared" si="17"/>
        <v>0</v>
      </c>
      <c r="X20" s="22">
        <f t="shared" si="18"/>
        <v>0</v>
      </c>
      <c r="Z20" s="2"/>
      <c r="AA20" s="2"/>
    </row>
    <row r="21" spans="1:27">
      <c r="A21" s="162"/>
      <c r="B21" s="20"/>
      <c r="C21" s="163" t="s">
        <v>152</v>
      </c>
      <c r="D21" s="22">
        <f t="shared" si="19"/>
        <v>0</v>
      </c>
      <c r="E21" s="22">
        <f t="shared" si="20"/>
        <v>0</v>
      </c>
      <c r="F21" s="22"/>
      <c r="G21" s="22">
        <f t="shared" si="21"/>
        <v>0</v>
      </c>
      <c r="H21" s="22"/>
      <c r="I21" s="22">
        <f t="shared" si="22"/>
        <v>0</v>
      </c>
      <c r="J21" s="22"/>
      <c r="K21" s="22">
        <f t="shared" si="23"/>
        <v>0</v>
      </c>
      <c r="L21" s="22">
        <f t="shared" si="24"/>
        <v>0</v>
      </c>
      <c r="M21" s="22">
        <f t="shared" si="25"/>
        <v>0</v>
      </c>
      <c r="N21" s="22">
        <f t="shared" si="26"/>
        <v>0</v>
      </c>
      <c r="O21" s="22">
        <f t="shared" si="27"/>
        <v>0</v>
      </c>
      <c r="P21" s="22">
        <f t="shared" si="28"/>
        <v>0</v>
      </c>
      <c r="Q21" s="22"/>
      <c r="R21" s="22">
        <f t="shared" si="29"/>
        <v>0</v>
      </c>
      <c r="S21" s="22">
        <f t="shared" si="30"/>
        <v>0</v>
      </c>
      <c r="T21" s="22"/>
      <c r="U21" s="173"/>
      <c r="V21" s="22"/>
      <c r="W21" s="22"/>
      <c r="X21" s="22"/>
      <c r="Z21" s="2"/>
      <c r="AA21" s="2"/>
    </row>
    <row r="22" spans="1:27">
      <c r="A22" s="162">
        <v>8</v>
      </c>
      <c r="B22" s="31" t="s">
        <v>37</v>
      </c>
      <c r="C22" s="161">
        <f>1036.83+62.21</f>
        <v>1099.04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46">
        <f t="shared" ref="U22:U26" si="31">C22+D22+E22+G22+I22+K22+L22+M22+N22+O22+P22+R22+S22</f>
        <v>1099.04</v>
      </c>
      <c r="V22" s="22">
        <f t="shared" ref="V22:V26" si="32">U22/12</f>
        <v>91.586666666666702</v>
      </c>
      <c r="W22" s="22">
        <f t="shared" ref="W22:W26" si="33">D23+E23+G23+I23+K23+L23+M23+N23+O23+P23+R23+S23</f>
        <v>65.942400000000006</v>
      </c>
      <c r="X22" s="22">
        <f t="shared" ref="X22:X26" si="34">U22+W22</f>
        <v>1164.9824000000001</v>
      </c>
      <c r="Z22" s="2"/>
      <c r="AA22" s="2"/>
    </row>
    <row r="23" spans="1:27">
      <c r="A23" s="162"/>
      <c r="B23" s="31"/>
      <c r="C23" s="163" t="s">
        <v>152</v>
      </c>
      <c r="D23" s="22">
        <f t="shared" ref="D23:D27" si="35">(C22+D22)*0.005</f>
        <v>5.4951999999999996</v>
      </c>
      <c r="E23" s="22">
        <f t="shared" ref="E23:E27" si="36">(C22+D22+E22)*0.005</f>
        <v>5.4951999999999996</v>
      </c>
      <c r="F23" s="22"/>
      <c r="G23" s="22">
        <f t="shared" ref="G23:G27" si="37">(+C22+D22+E22+G22)*0.005</f>
        <v>5.4951999999999996</v>
      </c>
      <c r="H23" s="22"/>
      <c r="I23" s="22">
        <f t="shared" ref="I23:I27" si="38">(C22+D22+E22+G22+I22)*0.005</f>
        <v>5.4951999999999996</v>
      </c>
      <c r="J23" s="22"/>
      <c r="K23" s="22">
        <f t="shared" ref="K23:K27" si="39">(C22+D22+E22+G22+I22+K22)*0.005</f>
        <v>5.4951999999999996</v>
      </c>
      <c r="L23" s="22">
        <f t="shared" ref="L23:L27" si="40">(C22+D22+E22+G22+I22+K22+L22)*0.005</f>
        <v>5.4951999999999996</v>
      </c>
      <c r="M23" s="22">
        <f t="shared" ref="M23:M27" si="41">(C22+D22+E22+G22+I22+K22+L22+M22)*0.005</f>
        <v>5.4951999999999996</v>
      </c>
      <c r="N23" s="22">
        <f t="shared" ref="N23:N27" si="42">(C22+D22+E22+G22+I22+K22+L22+M22+N22)*0.005</f>
        <v>5.4951999999999996</v>
      </c>
      <c r="O23" s="22">
        <f t="shared" ref="O23:O27" si="43">(C22+D22+E22+G22+I22+K22+L22+M22+N22+O22)*0.005</f>
        <v>5.4951999999999996</v>
      </c>
      <c r="P23" s="22">
        <f t="shared" ref="P23:P27" si="44">(C22+D22+E22+G22+I22+K22+L22+M22+N22+O22+P22)*0.005</f>
        <v>5.4951999999999996</v>
      </c>
      <c r="Q23" s="22"/>
      <c r="R23" s="22">
        <f t="shared" ref="R23:R27" si="45">(C22+D22+E22+G22+I22+K22+L22+M22+N22+O22+P22+R22)*0.005</f>
        <v>5.4951999999999996</v>
      </c>
      <c r="S23" s="22">
        <f t="shared" ref="S23:S27" si="46">(C22+D22+E22+G22+I22+K22+L22+M22+N22+O22+P22+R22+S22)*0.005</f>
        <v>5.4951999999999996</v>
      </c>
      <c r="T23" s="22"/>
      <c r="U23" s="46"/>
      <c r="V23" s="22"/>
      <c r="W23" s="22"/>
      <c r="X23" s="22"/>
      <c r="Z23" s="2"/>
      <c r="AA23" s="2"/>
    </row>
    <row r="24" spans="1:27">
      <c r="A24" s="162">
        <v>9</v>
      </c>
      <c r="B24" s="30" t="s">
        <v>38</v>
      </c>
      <c r="C24" s="161">
        <f>1106.42+66.39</f>
        <v>1172.81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46">
        <f t="shared" si="31"/>
        <v>1172.81</v>
      </c>
      <c r="V24" s="22">
        <f t="shared" si="32"/>
        <v>97.734166666666695</v>
      </c>
      <c r="W24" s="22">
        <f t="shared" si="33"/>
        <v>70.368600000000001</v>
      </c>
      <c r="X24" s="22">
        <f t="shared" si="34"/>
        <v>1243.1786</v>
      </c>
      <c r="Z24" s="2"/>
      <c r="AA24" s="2"/>
    </row>
    <row r="25" spans="1:27">
      <c r="A25" s="162"/>
      <c r="B25" s="30"/>
      <c r="C25" s="163" t="s">
        <v>152</v>
      </c>
      <c r="D25" s="22">
        <f t="shared" si="35"/>
        <v>5.8640499999999998</v>
      </c>
      <c r="E25" s="22">
        <f t="shared" si="36"/>
        <v>5.8640499999999998</v>
      </c>
      <c r="F25" s="22"/>
      <c r="G25" s="22">
        <f t="shared" si="37"/>
        <v>5.8640499999999998</v>
      </c>
      <c r="H25" s="22"/>
      <c r="I25" s="22">
        <f t="shared" si="38"/>
        <v>5.8640499999999998</v>
      </c>
      <c r="J25" s="22"/>
      <c r="K25" s="22">
        <f t="shared" si="39"/>
        <v>5.8640499999999998</v>
      </c>
      <c r="L25" s="22">
        <f t="shared" si="40"/>
        <v>5.8640499999999998</v>
      </c>
      <c r="M25" s="22">
        <f t="shared" si="41"/>
        <v>5.8640499999999998</v>
      </c>
      <c r="N25" s="22">
        <f t="shared" si="42"/>
        <v>5.8640499999999998</v>
      </c>
      <c r="O25" s="22">
        <f t="shared" si="43"/>
        <v>5.8640499999999998</v>
      </c>
      <c r="P25" s="22">
        <f t="shared" si="44"/>
        <v>5.8640499999999998</v>
      </c>
      <c r="Q25" s="22"/>
      <c r="R25" s="22">
        <f t="shared" si="45"/>
        <v>5.8640499999999998</v>
      </c>
      <c r="S25" s="22">
        <f t="shared" si="46"/>
        <v>5.8640499999999998</v>
      </c>
      <c r="T25" s="22"/>
      <c r="U25" s="46"/>
      <c r="V25" s="22"/>
      <c r="W25" s="22"/>
      <c r="X25" s="22"/>
      <c r="Z25" s="2"/>
      <c r="AA25" s="2"/>
    </row>
    <row r="26" spans="1:27">
      <c r="A26" s="162">
        <v>10</v>
      </c>
      <c r="B26" s="31" t="s">
        <v>44</v>
      </c>
      <c r="C26" s="161">
        <f>2880.06+172.8</f>
        <v>3052.86</v>
      </c>
      <c r="D26" s="22">
        <v>0</v>
      </c>
      <c r="E26" s="22"/>
      <c r="F26" s="22"/>
      <c r="G26" s="22">
        <v>0</v>
      </c>
      <c r="H26" s="22"/>
      <c r="I26" s="22"/>
      <c r="J26" s="22"/>
      <c r="K26" s="22"/>
      <c r="L26" s="22">
        <v>0</v>
      </c>
      <c r="M26" s="32"/>
      <c r="N26" s="22"/>
      <c r="O26" s="22"/>
      <c r="P26" s="22"/>
      <c r="Q26" s="22"/>
      <c r="R26" s="22"/>
      <c r="S26" s="22"/>
      <c r="T26" s="22"/>
      <c r="U26" s="46">
        <f t="shared" si="31"/>
        <v>3052.86</v>
      </c>
      <c r="V26" s="22">
        <f t="shared" si="32"/>
        <v>254.405</v>
      </c>
      <c r="W26" s="22">
        <f t="shared" si="33"/>
        <v>183.17160000000001</v>
      </c>
      <c r="X26" s="22">
        <f t="shared" si="34"/>
        <v>3236.0315999999998</v>
      </c>
      <c r="Z26" s="179"/>
      <c r="AA26" s="2"/>
    </row>
    <row r="27" spans="1:27">
      <c r="A27" s="162"/>
      <c r="B27" s="31"/>
      <c r="C27" s="163" t="s">
        <v>152</v>
      </c>
      <c r="D27" s="22">
        <f t="shared" si="35"/>
        <v>15.2643</v>
      </c>
      <c r="E27" s="22">
        <f t="shared" si="36"/>
        <v>15.2643</v>
      </c>
      <c r="F27" s="22"/>
      <c r="G27" s="22">
        <f t="shared" si="37"/>
        <v>15.2643</v>
      </c>
      <c r="H27" s="22"/>
      <c r="I27" s="22">
        <f t="shared" si="38"/>
        <v>15.2643</v>
      </c>
      <c r="J27" s="22"/>
      <c r="K27" s="22">
        <f t="shared" si="39"/>
        <v>15.2643</v>
      </c>
      <c r="L27" s="22">
        <f t="shared" si="40"/>
        <v>15.2643</v>
      </c>
      <c r="M27" s="22">
        <f t="shared" si="41"/>
        <v>15.2643</v>
      </c>
      <c r="N27" s="22">
        <f t="shared" si="42"/>
        <v>15.2643</v>
      </c>
      <c r="O27" s="22">
        <f t="shared" si="43"/>
        <v>15.2643</v>
      </c>
      <c r="P27" s="22">
        <f t="shared" si="44"/>
        <v>15.2643</v>
      </c>
      <c r="Q27" s="22"/>
      <c r="R27" s="22">
        <f t="shared" si="45"/>
        <v>15.2643</v>
      </c>
      <c r="S27" s="22">
        <f t="shared" si="46"/>
        <v>15.2643</v>
      </c>
      <c r="T27" s="22"/>
      <c r="U27" s="46"/>
      <c r="V27" s="22"/>
      <c r="W27" s="22"/>
      <c r="X27" s="22"/>
      <c r="Z27" s="2"/>
      <c r="AA27" s="2"/>
    </row>
    <row r="28" spans="1:27" s="2" customFormat="1">
      <c r="A28" s="162">
        <v>11</v>
      </c>
      <c r="B28" s="20" t="s">
        <v>52</v>
      </c>
      <c r="C28" s="161">
        <f>553.53+33.21</f>
        <v>586.74</v>
      </c>
      <c r="D28" s="25"/>
      <c r="E28" s="25"/>
      <c r="F28" s="25"/>
      <c r="G28" s="22"/>
      <c r="H28" s="22"/>
      <c r="I28" s="22"/>
      <c r="J28" s="22"/>
      <c r="K28" s="22"/>
      <c r="L28" s="22"/>
      <c r="M28" s="22">
        <v>0</v>
      </c>
      <c r="N28" s="22"/>
      <c r="O28" s="22"/>
      <c r="P28" s="22">
        <v>0</v>
      </c>
      <c r="Q28" s="22"/>
      <c r="R28" s="22"/>
      <c r="S28" s="22"/>
      <c r="T28" s="22"/>
      <c r="U28" s="46">
        <f t="shared" ref="U28:U32" si="47">C28+D28+E28+G28+I28+K28+L28+M28+N28+O28+P28+R28+S28</f>
        <v>586.74</v>
      </c>
      <c r="V28" s="22">
        <f t="shared" ref="V28:V32" si="48">U28/12</f>
        <v>48.895000000000003</v>
      </c>
      <c r="W28" s="22">
        <f t="shared" ref="W28:W32" si="49">D29+E29+G29+I29+K29+L29+M29+N29+O29+P29+R29+S29</f>
        <v>35.2044</v>
      </c>
      <c r="X28" s="22">
        <f t="shared" ref="X28:X32" si="50">U28+W28</f>
        <v>621.94439999999997</v>
      </c>
      <c r="Y28" s="178"/>
      <c r="Z28" s="179"/>
    </row>
    <row r="29" spans="1:27" s="2" customFormat="1">
      <c r="A29" s="162"/>
      <c r="B29" s="20"/>
      <c r="C29" s="163" t="s">
        <v>152</v>
      </c>
      <c r="D29" s="22">
        <f t="shared" ref="D29:D33" si="51">(C28+D28)*0.005</f>
        <v>2.9337</v>
      </c>
      <c r="E29" s="22">
        <f t="shared" ref="E29:E33" si="52">(C28+D28+E28)*0.005</f>
        <v>2.9337</v>
      </c>
      <c r="F29" s="22"/>
      <c r="G29" s="22">
        <f t="shared" ref="G29:G33" si="53">(+C28+D28+E28+G28)*0.005</f>
        <v>2.9337</v>
      </c>
      <c r="H29" s="22"/>
      <c r="I29" s="22">
        <f t="shared" ref="I29:I33" si="54">(C28+D28+E28+G28+I28)*0.005</f>
        <v>2.9337</v>
      </c>
      <c r="J29" s="22"/>
      <c r="K29" s="22">
        <f t="shared" ref="K29:K33" si="55">(C28+D28+E28+G28+I28+K28)*0.005</f>
        <v>2.9337</v>
      </c>
      <c r="L29" s="22">
        <f t="shared" ref="L29:L33" si="56">(C28+D28+E28+G28+I28+K28+L28)*0.005</f>
        <v>2.9337</v>
      </c>
      <c r="M29" s="22">
        <f t="shared" ref="M29:M33" si="57">(C28+D28+E28+G28+I28+K28+L28+M28)*0.005</f>
        <v>2.9337</v>
      </c>
      <c r="N29" s="22">
        <f t="shared" ref="N29:N33" si="58">(C28+D28+E28+G28+I28+K28+L28+M28+N28)*0.005</f>
        <v>2.9337</v>
      </c>
      <c r="O29" s="22">
        <f t="shared" ref="O29:O33" si="59">(C28+D28+E28+G28+I28+K28+L28+M28+N28+O28)*0.005</f>
        <v>2.9337</v>
      </c>
      <c r="P29" s="22">
        <f t="shared" ref="P29:P33" si="60">(C28+D28+E28+G28+I28+K28+L28+M28+N28+O28+P28)*0.005</f>
        <v>2.9337</v>
      </c>
      <c r="Q29" s="22"/>
      <c r="R29" s="22">
        <f t="shared" ref="R29:R33" si="61">(C28+D28+E28+G28+I28+K28+L28+M28+N28+O28+P28+R28)*0.005</f>
        <v>2.9337</v>
      </c>
      <c r="S29" s="22">
        <f t="shared" ref="S29:S33" si="62">(C28+D28+E28+G28+I28+K28+L28+M28+N28+O28+P28+R28+S28)*0.005</f>
        <v>2.9337</v>
      </c>
      <c r="T29" s="22"/>
      <c r="U29" s="46"/>
      <c r="V29" s="22"/>
      <c r="W29" s="22"/>
      <c r="X29" s="22"/>
      <c r="Y29" s="178"/>
    </row>
    <row r="30" spans="1:27">
      <c r="A30" s="162">
        <v>12</v>
      </c>
      <c r="B30" s="27" t="s">
        <v>57</v>
      </c>
      <c r="C30" s="161">
        <f>357.3+21.44</f>
        <v>378.74</v>
      </c>
      <c r="D30" s="22">
        <v>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46">
        <f t="shared" si="47"/>
        <v>378.74</v>
      </c>
      <c r="V30" s="22">
        <f t="shared" si="48"/>
        <v>31.561666666666699</v>
      </c>
      <c r="W30" s="22">
        <f t="shared" si="49"/>
        <v>22.724399999999999</v>
      </c>
      <c r="X30" s="22">
        <f t="shared" si="50"/>
        <v>401.46440000000001</v>
      </c>
      <c r="Z30" s="2"/>
      <c r="AA30" s="2"/>
    </row>
    <row r="31" spans="1:27" ht="12.75" customHeight="1">
      <c r="A31" s="162"/>
      <c r="B31" s="27"/>
      <c r="C31" s="163" t="s">
        <v>152</v>
      </c>
      <c r="D31" s="22">
        <f t="shared" si="51"/>
        <v>1.8936999999999999</v>
      </c>
      <c r="E31" s="22">
        <f t="shared" si="52"/>
        <v>1.8936999999999999</v>
      </c>
      <c r="F31" s="22"/>
      <c r="G31" s="22">
        <f t="shared" si="53"/>
        <v>1.8936999999999999</v>
      </c>
      <c r="H31" s="22"/>
      <c r="I31" s="22">
        <f t="shared" si="54"/>
        <v>1.8936999999999999</v>
      </c>
      <c r="J31" s="22"/>
      <c r="K31" s="22">
        <f t="shared" si="55"/>
        <v>1.8936999999999999</v>
      </c>
      <c r="L31" s="22">
        <f t="shared" si="56"/>
        <v>1.8936999999999999</v>
      </c>
      <c r="M31" s="22">
        <f t="shared" si="57"/>
        <v>1.8936999999999999</v>
      </c>
      <c r="N31" s="22">
        <f t="shared" si="58"/>
        <v>1.8936999999999999</v>
      </c>
      <c r="O31" s="22">
        <f t="shared" si="59"/>
        <v>1.8936999999999999</v>
      </c>
      <c r="P31" s="22">
        <f t="shared" si="60"/>
        <v>1.8936999999999999</v>
      </c>
      <c r="Q31" s="22"/>
      <c r="R31" s="22">
        <f t="shared" si="61"/>
        <v>1.8936999999999999</v>
      </c>
      <c r="S31" s="22">
        <f t="shared" si="62"/>
        <v>1.8936999999999999</v>
      </c>
      <c r="T31" s="22"/>
      <c r="U31" s="46"/>
      <c r="V31" s="22"/>
      <c r="W31" s="22"/>
      <c r="X31" s="22"/>
      <c r="Z31" s="2"/>
      <c r="AA31" s="2"/>
    </row>
    <row r="32" spans="1:27">
      <c r="A32" s="162">
        <v>13</v>
      </c>
      <c r="B32" s="20" t="s">
        <v>68</v>
      </c>
      <c r="C32" s="165">
        <f>512.66+30.76</f>
        <v>543.41999999999996</v>
      </c>
      <c r="D32" s="22">
        <v>0</v>
      </c>
      <c r="E32" s="22">
        <v>0</v>
      </c>
      <c r="F32" s="22"/>
      <c r="G32" s="22">
        <v>0</v>
      </c>
      <c r="H32" s="22"/>
      <c r="I32" s="22"/>
      <c r="J32" s="22"/>
      <c r="K32" s="22"/>
      <c r="L32" s="45"/>
      <c r="M32" s="45"/>
      <c r="N32" s="45"/>
      <c r="O32" s="45">
        <v>0</v>
      </c>
      <c r="P32" s="45"/>
      <c r="Q32" s="45"/>
      <c r="R32" s="45"/>
      <c r="S32" s="22"/>
      <c r="T32" s="22"/>
      <c r="U32" s="46">
        <f t="shared" si="47"/>
        <v>543.41999999999996</v>
      </c>
      <c r="V32" s="22">
        <f t="shared" si="48"/>
        <v>45.284999999999997</v>
      </c>
      <c r="W32" s="22">
        <f t="shared" si="49"/>
        <v>32.605200000000004</v>
      </c>
      <c r="X32" s="22">
        <f t="shared" si="50"/>
        <v>576.02520000000004</v>
      </c>
      <c r="Z32" s="179"/>
      <c r="AA32" s="2"/>
    </row>
    <row r="33" spans="1:27" ht="12.75" customHeight="1">
      <c r="A33" s="162"/>
      <c r="B33" s="20"/>
      <c r="C33" s="163" t="s">
        <v>152</v>
      </c>
      <c r="D33" s="22">
        <f t="shared" si="51"/>
        <v>2.7170999999999998</v>
      </c>
      <c r="E33" s="22">
        <f t="shared" si="52"/>
        <v>2.7170999999999998</v>
      </c>
      <c r="F33" s="22"/>
      <c r="G33" s="22">
        <f t="shared" si="53"/>
        <v>2.7170999999999998</v>
      </c>
      <c r="H33" s="22"/>
      <c r="I33" s="22">
        <f t="shared" si="54"/>
        <v>2.7170999999999998</v>
      </c>
      <c r="J33" s="22"/>
      <c r="K33" s="22">
        <f t="shared" si="55"/>
        <v>2.7170999999999998</v>
      </c>
      <c r="L33" s="22">
        <f t="shared" si="56"/>
        <v>2.7170999999999998</v>
      </c>
      <c r="M33" s="22">
        <f t="shared" si="57"/>
        <v>2.7170999999999998</v>
      </c>
      <c r="N33" s="22">
        <f t="shared" si="58"/>
        <v>2.7170999999999998</v>
      </c>
      <c r="O33" s="22">
        <f t="shared" si="59"/>
        <v>2.7170999999999998</v>
      </c>
      <c r="P33" s="22">
        <f t="shared" si="60"/>
        <v>2.7170999999999998</v>
      </c>
      <c r="Q33" s="22"/>
      <c r="R33" s="22">
        <f t="shared" si="61"/>
        <v>2.7170999999999998</v>
      </c>
      <c r="S33" s="22">
        <f t="shared" si="62"/>
        <v>2.7170999999999998</v>
      </c>
      <c r="T33" s="22"/>
      <c r="U33" s="46"/>
      <c r="V33" s="22"/>
      <c r="W33" s="22"/>
      <c r="X33" s="22"/>
      <c r="Z33" s="2"/>
      <c r="AA33" s="2"/>
    </row>
    <row r="34" spans="1:27">
      <c r="A34" s="162">
        <v>14</v>
      </c>
      <c r="B34" s="20" t="s">
        <v>69</v>
      </c>
      <c r="C34" s="165">
        <f>1247.46+73.25</f>
        <v>1320.71</v>
      </c>
      <c r="D34" s="22">
        <v>0</v>
      </c>
      <c r="E34" s="22">
        <v>0</v>
      </c>
      <c r="F34" s="22"/>
      <c r="G34" s="22">
        <v>0</v>
      </c>
      <c r="H34" s="22"/>
      <c r="I34" s="22"/>
      <c r="J34" s="22"/>
      <c r="K34" s="22"/>
      <c r="L34" s="45"/>
      <c r="M34" s="45"/>
      <c r="N34" s="45"/>
      <c r="O34" s="45">
        <v>0</v>
      </c>
      <c r="P34" s="45"/>
      <c r="Q34" s="45"/>
      <c r="R34" s="45"/>
      <c r="S34" s="22"/>
      <c r="T34" s="22"/>
      <c r="U34" s="46">
        <f t="shared" ref="U34:U38" si="63">C34+D34+E34+G34+I34+K34+L34+M34+N34+O34+P34+R34+S34</f>
        <v>1320.71</v>
      </c>
      <c r="V34" s="22">
        <f t="shared" ref="V34:V38" si="64">U34/12</f>
        <v>110.059166666667</v>
      </c>
      <c r="W34" s="22">
        <f t="shared" ref="W34:W38" si="65">D35+E35+G35+I35+K35+L35+M35+N35+O35+P35+R35+S35</f>
        <v>79.242599999999996</v>
      </c>
      <c r="X34" s="22">
        <f t="shared" ref="X34:X38" si="66">U34+W34</f>
        <v>1399.9526000000001</v>
      </c>
      <c r="Z34" s="179"/>
    </row>
    <row r="35" spans="1:27" ht="12.75" customHeight="1">
      <c r="A35" s="162"/>
      <c r="B35" s="20"/>
      <c r="C35" s="163" t="s">
        <v>152</v>
      </c>
      <c r="D35" s="22">
        <f t="shared" ref="D35:D39" si="67">(C34+D34)*0.005</f>
        <v>6.6035500000000003</v>
      </c>
      <c r="E35" s="22">
        <f t="shared" ref="E35:E39" si="68">(C34+D34+E34)*0.005</f>
        <v>6.6035500000000003</v>
      </c>
      <c r="F35" s="22"/>
      <c r="G35" s="22">
        <f t="shared" ref="G35:G39" si="69">(+C34+D34+E34+G34)*0.005</f>
        <v>6.6035500000000003</v>
      </c>
      <c r="H35" s="22"/>
      <c r="I35" s="22">
        <f t="shared" ref="I35:I39" si="70">(C34+D34+E34+G34+I34)*0.005</f>
        <v>6.6035500000000003</v>
      </c>
      <c r="J35" s="22"/>
      <c r="K35" s="22">
        <f t="shared" ref="K35:K39" si="71">(C34+D34+E34+G34+I34+K34)*0.005</f>
        <v>6.6035500000000003</v>
      </c>
      <c r="L35" s="22">
        <f t="shared" ref="L35:L39" si="72">(C34+D34+E34+G34+I34+K34+L34)*0.005</f>
        <v>6.6035500000000003</v>
      </c>
      <c r="M35" s="22">
        <f t="shared" ref="M35:M39" si="73">(C34+D34+E34+G34+I34+K34+L34+M34)*0.005</f>
        <v>6.6035500000000003</v>
      </c>
      <c r="N35" s="22">
        <f t="shared" ref="N35:N39" si="74">(C34+D34+E34+G34+I34+K34+L34+M34+N34)*0.005</f>
        <v>6.6035500000000003</v>
      </c>
      <c r="O35" s="22">
        <f t="shared" ref="O35:O39" si="75">(C34+D34+E34+G34+I34+K34+L34+M34+N34+O34)*0.005</f>
        <v>6.6035500000000003</v>
      </c>
      <c r="P35" s="22">
        <f t="shared" ref="P35:P39" si="76">(C34+D34+E34+G34+I34+K34+L34+M34+N34+O34+P34)*0.005</f>
        <v>6.6035500000000003</v>
      </c>
      <c r="Q35" s="22"/>
      <c r="R35" s="22">
        <f t="shared" ref="R35:R39" si="77">(C34+D34+E34+G34+I34+K34+L34+M34+N34+O34+P34+R34)*0.005</f>
        <v>6.6035500000000003</v>
      </c>
      <c r="S35" s="22">
        <f t="shared" ref="S35:S39" si="78">(C34+D34+E34+G34+I34+K34+L34+M34+N34+O34+P34+R34+S34)*0.005</f>
        <v>6.6035500000000003</v>
      </c>
      <c r="T35" s="22"/>
      <c r="U35" s="46"/>
      <c r="V35" s="22"/>
      <c r="W35" s="22"/>
      <c r="X35" s="22"/>
      <c r="Z35" s="2"/>
    </row>
    <row r="36" spans="1:27">
      <c r="A36" s="162">
        <v>15</v>
      </c>
      <c r="B36" s="20" t="s">
        <v>70</v>
      </c>
      <c r="C36" s="165">
        <f>757.7+45.46</f>
        <v>803.16</v>
      </c>
      <c r="D36" s="22">
        <v>0</v>
      </c>
      <c r="E36" s="22">
        <v>0</v>
      </c>
      <c r="F36" s="22"/>
      <c r="G36" s="22">
        <v>0</v>
      </c>
      <c r="H36" s="22"/>
      <c r="I36" s="22">
        <v>0</v>
      </c>
      <c r="J36" s="22"/>
      <c r="K36" s="22"/>
      <c r="L36" s="45"/>
      <c r="M36" s="45"/>
      <c r="N36" s="45"/>
      <c r="O36" s="45">
        <v>0</v>
      </c>
      <c r="P36" s="45"/>
      <c r="Q36" s="45"/>
      <c r="R36" s="45"/>
      <c r="S36" s="22"/>
      <c r="T36" s="22"/>
      <c r="U36" s="46">
        <f t="shared" si="63"/>
        <v>803.16</v>
      </c>
      <c r="V36" s="22">
        <f t="shared" si="64"/>
        <v>66.930000000000007</v>
      </c>
      <c r="W36" s="22">
        <f t="shared" si="65"/>
        <v>48.189599999999999</v>
      </c>
      <c r="X36" s="22">
        <f t="shared" si="66"/>
        <v>851.34960000000001</v>
      </c>
      <c r="Z36" s="179"/>
    </row>
    <row r="37" spans="1:27" ht="12.75" customHeight="1">
      <c r="A37" s="162"/>
      <c r="B37" s="20"/>
      <c r="C37" s="163" t="s">
        <v>152</v>
      </c>
      <c r="D37" s="22">
        <f t="shared" si="67"/>
        <v>4.0157999999999996</v>
      </c>
      <c r="E37" s="22">
        <f t="shared" si="68"/>
        <v>4.0157999999999996</v>
      </c>
      <c r="F37" s="22"/>
      <c r="G37" s="22">
        <f t="shared" si="69"/>
        <v>4.0157999999999996</v>
      </c>
      <c r="H37" s="22"/>
      <c r="I37" s="22">
        <f t="shared" si="70"/>
        <v>4.0157999999999996</v>
      </c>
      <c r="J37" s="22"/>
      <c r="K37" s="22">
        <f t="shared" si="71"/>
        <v>4.0157999999999996</v>
      </c>
      <c r="L37" s="22">
        <f t="shared" si="72"/>
        <v>4.0157999999999996</v>
      </c>
      <c r="M37" s="22">
        <f t="shared" si="73"/>
        <v>4.0157999999999996</v>
      </c>
      <c r="N37" s="22">
        <f t="shared" si="74"/>
        <v>4.0157999999999996</v>
      </c>
      <c r="O37" s="22">
        <f t="shared" si="75"/>
        <v>4.0157999999999996</v>
      </c>
      <c r="P37" s="22">
        <f t="shared" si="76"/>
        <v>4.0157999999999996</v>
      </c>
      <c r="Q37" s="22"/>
      <c r="R37" s="22">
        <f t="shared" si="77"/>
        <v>4.0157999999999996</v>
      </c>
      <c r="S37" s="22">
        <f t="shared" si="78"/>
        <v>4.0157999999999996</v>
      </c>
      <c r="T37" s="22"/>
      <c r="U37" s="46"/>
      <c r="V37" s="22"/>
      <c r="W37" s="22"/>
      <c r="X37" s="22"/>
      <c r="Z37" s="2"/>
    </row>
    <row r="38" spans="1:27" ht="12.75" customHeight="1">
      <c r="A38" s="162">
        <v>16</v>
      </c>
      <c r="B38" s="20" t="s">
        <v>71</v>
      </c>
      <c r="C38" s="165">
        <f>1618.78+96.33</f>
        <v>1715.11</v>
      </c>
      <c r="D38" s="22">
        <v>0</v>
      </c>
      <c r="E38" s="22">
        <v>0</v>
      </c>
      <c r="F38" s="22"/>
      <c r="G38" s="164">
        <v>1500</v>
      </c>
      <c r="H38" s="22"/>
      <c r="I38" s="22">
        <v>0</v>
      </c>
      <c r="J38" s="22"/>
      <c r="K38" s="22">
        <v>0</v>
      </c>
      <c r="L38" s="71"/>
      <c r="M38" s="45"/>
      <c r="N38" s="45"/>
      <c r="O38" s="45">
        <v>0</v>
      </c>
      <c r="P38" s="45"/>
      <c r="Q38" s="45"/>
      <c r="R38" s="45"/>
      <c r="S38" s="22"/>
      <c r="T38" s="22"/>
      <c r="U38" s="46">
        <f t="shared" si="63"/>
        <v>3215.11</v>
      </c>
      <c r="V38" s="22">
        <f t="shared" si="64"/>
        <v>267.925833333333</v>
      </c>
      <c r="W38" s="22">
        <f t="shared" si="65"/>
        <v>177.9066</v>
      </c>
      <c r="X38" s="22">
        <f t="shared" si="66"/>
        <v>3393.0165999999999</v>
      </c>
      <c r="Z38" s="179"/>
    </row>
    <row r="39" spans="1:27" ht="12.75" customHeight="1">
      <c r="A39" s="166"/>
      <c r="B39" s="36"/>
      <c r="C39" s="167" t="s">
        <v>152</v>
      </c>
      <c r="D39" s="38">
        <f t="shared" si="67"/>
        <v>8.5755499999999998</v>
      </c>
      <c r="E39" s="38">
        <f t="shared" si="68"/>
        <v>8.5755499999999998</v>
      </c>
      <c r="F39" s="38"/>
      <c r="G39" s="38">
        <f t="shared" si="69"/>
        <v>16.07555</v>
      </c>
      <c r="H39" s="38"/>
      <c r="I39" s="38">
        <f t="shared" si="70"/>
        <v>16.07555</v>
      </c>
      <c r="J39" s="38"/>
      <c r="K39" s="38">
        <f t="shared" si="71"/>
        <v>16.07555</v>
      </c>
      <c r="L39" s="38">
        <f t="shared" si="72"/>
        <v>16.07555</v>
      </c>
      <c r="M39" s="38">
        <f t="shared" si="73"/>
        <v>16.07555</v>
      </c>
      <c r="N39" s="38">
        <f t="shared" si="74"/>
        <v>16.07555</v>
      </c>
      <c r="O39" s="38">
        <f t="shared" si="75"/>
        <v>16.07555</v>
      </c>
      <c r="P39" s="38">
        <f t="shared" si="76"/>
        <v>16.07555</v>
      </c>
      <c r="Q39" s="38"/>
      <c r="R39" s="38">
        <f t="shared" si="77"/>
        <v>16.07555</v>
      </c>
      <c r="S39" s="38">
        <f t="shared" si="78"/>
        <v>16.07555</v>
      </c>
      <c r="T39" s="38"/>
      <c r="U39" s="108"/>
      <c r="V39" s="38"/>
      <c r="W39" s="38"/>
      <c r="X39" s="38"/>
      <c r="Z39" s="2"/>
    </row>
    <row r="40" spans="1:27" ht="12.75" customHeight="1">
      <c r="A40" s="168"/>
      <c r="B40" s="16"/>
      <c r="C40" s="155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74"/>
      <c r="V40" s="169"/>
      <c r="W40" s="169"/>
      <c r="X40" s="175" t="s">
        <v>166</v>
      </c>
      <c r="Z40" s="2"/>
    </row>
    <row r="41" spans="1:27">
      <c r="A41" s="170"/>
      <c r="B41" s="36"/>
      <c r="C41" s="171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76"/>
      <c r="V41" s="148"/>
      <c r="W41" s="148"/>
      <c r="X41" s="148"/>
      <c r="Z41" s="2"/>
    </row>
    <row r="42" spans="1:27" ht="4.5" customHeight="1">
      <c r="A42" s="162"/>
      <c r="B42" s="20"/>
      <c r="C42" s="76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46"/>
      <c r="V42" s="22"/>
      <c r="W42" s="22"/>
      <c r="X42" s="22"/>
      <c r="Z42" s="2"/>
    </row>
    <row r="43" spans="1:27">
      <c r="A43" s="162">
        <v>17</v>
      </c>
      <c r="B43" s="20" t="s">
        <v>73</v>
      </c>
      <c r="C43" s="165">
        <f>304+17.54</f>
        <v>321.54000000000002</v>
      </c>
      <c r="D43" s="22"/>
      <c r="E43" s="22"/>
      <c r="F43" s="22"/>
      <c r="G43" s="22"/>
      <c r="H43" s="22"/>
      <c r="I43" s="22"/>
      <c r="J43" s="22"/>
      <c r="K43" s="22"/>
      <c r="L43" s="22">
        <v>0</v>
      </c>
      <c r="M43" s="22"/>
      <c r="N43" s="22"/>
      <c r="O43" s="22"/>
      <c r="P43" s="22"/>
      <c r="Q43" s="22"/>
      <c r="R43" s="22">
        <v>0</v>
      </c>
      <c r="S43" s="22"/>
      <c r="T43" s="22"/>
      <c r="U43" s="46">
        <f t="shared" ref="U43:U47" si="79">C43+D43+E43+G43+I43+K43+L43+M43+N43+O43+P43+R43+S43</f>
        <v>321.54000000000002</v>
      </c>
      <c r="V43" s="22">
        <f t="shared" ref="V43:V47" si="80">U43/12</f>
        <v>26.795000000000002</v>
      </c>
      <c r="W43" s="22">
        <f t="shared" ref="W43:W47" si="81">D44+E44+G44+I44+K44+L44+M44+N44+O44+P44+R44+S44</f>
        <v>19.292400000000001</v>
      </c>
      <c r="X43" s="22">
        <f t="shared" ref="X43:X47" si="82">U43+W43</f>
        <v>340.83240000000001</v>
      </c>
      <c r="Z43" s="179"/>
    </row>
    <row r="44" spans="1:27">
      <c r="A44" s="162"/>
      <c r="B44" s="20"/>
      <c r="C44" s="163" t="s">
        <v>152</v>
      </c>
      <c r="D44" s="22">
        <f t="shared" ref="D44:D48" si="83">(C43+D43)*0.005</f>
        <v>1.6076999999999999</v>
      </c>
      <c r="E44" s="22">
        <f t="shared" ref="E44:E48" si="84">(C43+D43+E43)*0.005</f>
        <v>1.6076999999999999</v>
      </c>
      <c r="F44" s="22"/>
      <c r="G44" s="22">
        <f t="shared" ref="G44:G48" si="85">(+C43+D43+E43+G43)*0.005</f>
        <v>1.6076999999999999</v>
      </c>
      <c r="H44" s="22"/>
      <c r="I44" s="22">
        <f t="shared" ref="I44:I48" si="86">(C43+D43+E43+G43+I43)*0.005</f>
        <v>1.6076999999999999</v>
      </c>
      <c r="J44" s="22"/>
      <c r="K44" s="22">
        <f t="shared" ref="K44:K48" si="87">(C43+D43+E43+G43+I43+K43)*0.005</f>
        <v>1.6076999999999999</v>
      </c>
      <c r="L44" s="22">
        <f t="shared" ref="L44:L48" si="88">(C43+D43+E43+G43+I43+K43+L43)*0.005</f>
        <v>1.6076999999999999</v>
      </c>
      <c r="M44" s="22">
        <f t="shared" ref="M44:M48" si="89">(C43+D43+E43+G43+I43+K43+L43+M43)*0.005</f>
        <v>1.6076999999999999</v>
      </c>
      <c r="N44" s="22">
        <f t="shared" ref="N44:N48" si="90">(C43+D43+E43+G43+I43+K43+L43+M43+N43)*0.005</f>
        <v>1.6076999999999999</v>
      </c>
      <c r="O44" s="22">
        <f t="shared" ref="O44:O48" si="91">(C43+D43+E43+G43+I43+K43+L43+M43+N43+O43)*0.005</f>
        <v>1.6076999999999999</v>
      </c>
      <c r="P44" s="22">
        <f t="shared" ref="P44:P48" si="92">(C43+D43+E43+G43+I43+K43+L43+M43+N43+O43+P43)*0.005</f>
        <v>1.6076999999999999</v>
      </c>
      <c r="Q44" s="22"/>
      <c r="R44" s="22">
        <f t="shared" ref="R44:R48" si="93">(C43+D43+E43+G43+I43+K43+L43+M43+N43+O43+P43+R43)*0.005</f>
        <v>1.6076999999999999</v>
      </c>
      <c r="S44" s="22">
        <f t="shared" ref="S44:S48" si="94">(C43+D43+E43+G43+I43+K43+L43+M43+N43+O43+P43+R43+S43)*0.005</f>
        <v>1.6076999999999999</v>
      </c>
      <c r="T44" s="22"/>
      <c r="U44" s="46"/>
      <c r="V44" s="22"/>
      <c r="W44" s="22"/>
      <c r="X44" s="22"/>
      <c r="Z44" s="2"/>
    </row>
    <row r="45" spans="1:27">
      <c r="A45" s="162">
        <v>18</v>
      </c>
      <c r="B45" s="20" t="s">
        <v>74</v>
      </c>
      <c r="C45" s="165">
        <f>2178.2+130.69</f>
        <v>2308.89</v>
      </c>
      <c r="D45" s="22"/>
      <c r="E45" s="22">
        <v>0</v>
      </c>
      <c r="F45" s="22"/>
      <c r="G45" s="22">
        <v>0</v>
      </c>
      <c r="H45" s="22"/>
      <c r="I45" s="22">
        <v>0</v>
      </c>
      <c r="J45" s="22"/>
      <c r="K45" s="22">
        <v>0</v>
      </c>
      <c r="L45" s="22">
        <v>0</v>
      </c>
      <c r="M45" s="32"/>
      <c r="N45" s="22"/>
      <c r="O45" s="22"/>
      <c r="P45" s="22"/>
      <c r="Q45" s="22"/>
      <c r="R45" s="22"/>
      <c r="S45" s="22"/>
      <c r="T45" s="22"/>
      <c r="U45" s="46">
        <f t="shared" si="79"/>
        <v>2308.89</v>
      </c>
      <c r="V45" s="22">
        <f t="shared" si="80"/>
        <v>192.4075</v>
      </c>
      <c r="W45" s="22">
        <f t="shared" si="81"/>
        <v>138.5334</v>
      </c>
      <c r="X45" s="22">
        <f t="shared" si="82"/>
        <v>2447.4234000000001</v>
      </c>
      <c r="Z45" s="179"/>
    </row>
    <row r="46" spans="1:27">
      <c r="A46" s="162"/>
      <c r="B46" s="20"/>
      <c r="C46" s="163" t="s">
        <v>152</v>
      </c>
      <c r="D46" s="22">
        <f t="shared" si="83"/>
        <v>11.544449999999999</v>
      </c>
      <c r="E46" s="22">
        <f t="shared" si="84"/>
        <v>11.544449999999999</v>
      </c>
      <c r="F46" s="22"/>
      <c r="G46" s="22">
        <f t="shared" si="85"/>
        <v>11.544449999999999</v>
      </c>
      <c r="H46" s="22"/>
      <c r="I46" s="22">
        <f t="shared" si="86"/>
        <v>11.544449999999999</v>
      </c>
      <c r="J46" s="22"/>
      <c r="K46" s="22">
        <f t="shared" si="87"/>
        <v>11.544449999999999</v>
      </c>
      <c r="L46" s="22">
        <f t="shared" si="88"/>
        <v>11.544449999999999</v>
      </c>
      <c r="M46" s="22">
        <f t="shared" si="89"/>
        <v>11.544449999999999</v>
      </c>
      <c r="N46" s="22">
        <f t="shared" si="90"/>
        <v>11.544449999999999</v>
      </c>
      <c r="O46" s="22">
        <f t="shared" si="91"/>
        <v>11.544449999999999</v>
      </c>
      <c r="P46" s="22">
        <f t="shared" si="92"/>
        <v>11.544449999999999</v>
      </c>
      <c r="Q46" s="22"/>
      <c r="R46" s="22">
        <f t="shared" si="93"/>
        <v>11.544449999999999</v>
      </c>
      <c r="S46" s="22">
        <f t="shared" si="94"/>
        <v>11.544449999999999</v>
      </c>
      <c r="T46" s="22"/>
      <c r="U46" s="46"/>
      <c r="V46" s="22"/>
      <c r="W46" s="22"/>
      <c r="X46" s="22"/>
      <c r="Z46" s="2"/>
    </row>
    <row r="47" spans="1:27">
      <c r="A47" s="162">
        <v>19</v>
      </c>
      <c r="B47" s="20" t="s">
        <v>80</v>
      </c>
      <c r="C47" s="165">
        <f>58.71+3.52</f>
        <v>62.23</v>
      </c>
      <c r="D47" s="22"/>
      <c r="E47" s="22"/>
      <c r="F47" s="22"/>
      <c r="G47" s="22"/>
      <c r="H47" s="22"/>
      <c r="I47" s="22"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46">
        <f t="shared" si="79"/>
        <v>62.23</v>
      </c>
      <c r="V47" s="22">
        <f t="shared" si="80"/>
        <v>5.1858333333333304</v>
      </c>
      <c r="W47" s="22">
        <f t="shared" si="81"/>
        <v>3.7338</v>
      </c>
      <c r="X47" s="22">
        <f t="shared" si="82"/>
        <v>65.963800000000006</v>
      </c>
      <c r="Z47" s="179"/>
    </row>
    <row r="48" spans="1:27">
      <c r="A48" s="162"/>
      <c r="B48" s="20"/>
      <c r="C48" s="163" t="s">
        <v>152</v>
      </c>
      <c r="D48" s="22">
        <f t="shared" si="83"/>
        <v>0.31114999999999998</v>
      </c>
      <c r="E48" s="22">
        <f t="shared" si="84"/>
        <v>0.31114999999999998</v>
      </c>
      <c r="F48" s="22"/>
      <c r="G48" s="22">
        <f t="shared" si="85"/>
        <v>0.31114999999999998</v>
      </c>
      <c r="H48" s="22"/>
      <c r="I48" s="22">
        <f t="shared" si="86"/>
        <v>0.31114999999999998</v>
      </c>
      <c r="J48" s="22"/>
      <c r="K48" s="22">
        <f t="shared" si="87"/>
        <v>0.31114999999999998</v>
      </c>
      <c r="L48" s="22">
        <f t="shared" si="88"/>
        <v>0.31114999999999998</v>
      </c>
      <c r="M48" s="22">
        <f t="shared" si="89"/>
        <v>0.31114999999999998</v>
      </c>
      <c r="N48" s="22">
        <f t="shared" si="90"/>
        <v>0.31114999999999998</v>
      </c>
      <c r="O48" s="22">
        <f t="shared" si="91"/>
        <v>0.31114999999999998</v>
      </c>
      <c r="P48" s="22">
        <f t="shared" si="92"/>
        <v>0.31114999999999998</v>
      </c>
      <c r="Q48" s="22"/>
      <c r="R48" s="22">
        <f t="shared" si="93"/>
        <v>0.31114999999999998</v>
      </c>
      <c r="S48" s="22">
        <f t="shared" si="94"/>
        <v>0.31114999999999998</v>
      </c>
      <c r="T48" s="22"/>
      <c r="U48" s="46"/>
      <c r="V48" s="22"/>
      <c r="W48" s="22"/>
      <c r="X48" s="22"/>
      <c r="Z48" s="2"/>
    </row>
    <row r="49" spans="1:26">
      <c r="A49" s="162">
        <v>20</v>
      </c>
      <c r="B49" s="70" t="s">
        <v>82</v>
      </c>
      <c r="C49" s="165">
        <f>1830.59+109.84</f>
        <v>1940.43</v>
      </c>
      <c r="D49" s="22"/>
      <c r="E49" s="22"/>
      <c r="F49" s="22"/>
      <c r="G49" s="22">
        <v>0</v>
      </c>
      <c r="H49" s="22"/>
      <c r="I49" s="22">
        <v>0</v>
      </c>
      <c r="J49" s="22"/>
      <c r="K49" s="22">
        <v>0</v>
      </c>
      <c r="L49" s="22">
        <v>0</v>
      </c>
      <c r="M49" s="22">
        <v>0</v>
      </c>
      <c r="N49" s="22"/>
      <c r="O49" s="22"/>
      <c r="P49" s="22"/>
      <c r="Q49" s="22"/>
      <c r="R49" s="22"/>
      <c r="S49" s="22"/>
      <c r="T49" s="22"/>
      <c r="U49" s="46">
        <f t="shared" ref="U49:U53" si="95">C49+D49+E49+G49+I49+K49+L49+M49+N49+O49+P49+R49+S49</f>
        <v>1940.43</v>
      </c>
      <c r="V49" s="22">
        <f t="shared" ref="V49:V53" si="96">U49/12</f>
        <v>161.70249999999999</v>
      </c>
      <c r="W49" s="22">
        <f t="shared" ref="W49:W53" si="97">D50+E50+G50+I50+K50+L50+M50+N50+O50+P50+R50+S50</f>
        <v>116.4258</v>
      </c>
      <c r="X49" s="22">
        <f t="shared" ref="X49:X53" si="98">U49+W49</f>
        <v>2056.8557999999998</v>
      </c>
      <c r="Z49" s="179"/>
    </row>
    <row r="50" spans="1:26">
      <c r="A50" s="162"/>
      <c r="B50" s="70"/>
      <c r="C50" s="163" t="s">
        <v>152</v>
      </c>
      <c r="D50" s="22">
        <f t="shared" ref="D50:D54" si="99">(C49+D49)*0.005</f>
        <v>9.7021499999999996</v>
      </c>
      <c r="E50" s="22">
        <f t="shared" ref="E50:E54" si="100">(C49+D49+E49)*0.005</f>
        <v>9.7021499999999996</v>
      </c>
      <c r="F50" s="22"/>
      <c r="G50" s="22">
        <f t="shared" ref="G50:G54" si="101">(+C49+D49+E49+G49)*0.005</f>
        <v>9.7021499999999996</v>
      </c>
      <c r="H50" s="22"/>
      <c r="I50" s="22">
        <f t="shared" ref="I50:I54" si="102">(C49+D49+E49+G49+I49)*0.005</f>
        <v>9.7021499999999996</v>
      </c>
      <c r="J50" s="22"/>
      <c r="K50" s="22">
        <f t="shared" ref="K50:K54" si="103">(C49+D49+E49+G49+I49+K49)*0.005</f>
        <v>9.7021499999999996</v>
      </c>
      <c r="L50" s="22">
        <f t="shared" ref="L50:L54" si="104">(C49+D49+E49+G49+I49+K49+L49)*0.005</f>
        <v>9.7021499999999996</v>
      </c>
      <c r="M50" s="22">
        <f t="shared" ref="M50:M54" si="105">(C49+D49+E49+G49+I49+K49+L49+M49)*0.005</f>
        <v>9.7021499999999996</v>
      </c>
      <c r="N50" s="22">
        <f t="shared" ref="N50:N54" si="106">(C49+D49+E49+G49+I49+K49+L49+M49+N49)*0.005</f>
        <v>9.7021499999999996</v>
      </c>
      <c r="O50" s="22">
        <f t="shared" ref="O50:O54" si="107">(C49+D49+E49+G49+I49+K49+L49+M49+N49+O49)*0.005</f>
        <v>9.7021499999999996</v>
      </c>
      <c r="P50" s="22">
        <f t="shared" ref="P50:P54" si="108">(C49+D49+E49+G49+I49+K49+L49+M49+N49+O49+P49)*0.005</f>
        <v>9.7021499999999996</v>
      </c>
      <c r="Q50" s="22"/>
      <c r="R50" s="22">
        <f t="shared" ref="R50:R54" si="109">(C49+D49+E49+G49+I49+K49+L49+M49+N49+O49+P49+R49)*0.005</f>
        <v>9.7021499999999996</v>
      </c>
      <c r="S50" s="22">
        <f t="shared" ref="S50:S54" si="110">(C49+D49+E49+G49+I49+K49+L49+M49+N49+O49+P49+R49+S49)*0.005</f>
        <v>9.7021499999999996</v>
      </c>
      <c r="T50" s="22"/>
      <c r="U50" s="46"/>
      <c r="V50" s="22"/>
      <c r="W50" s="22"/>
      <c r="X50" s="22"/>
      <c r="Z50" s="2"/>
    </row>
    <row r="51" spans="1:26">
      <c r="A51" s="162">
        <v>21</v>
      </c>
      <c r="B51" s="70" t="s">
        <v>83</v>
      </c>
      <c r="C51" s="165">
        <f>252.43+15.15</f>
        <v>267.58</v>
      </c>
      <c r="D51" s="22"/>
      <c r="E51" s="22"/>
      <c r="F51" s="22"/>
      <c r="G51" s="22">
        <v>0</v>
      </c>
      <c r="H51" s="22"/>
      <c r="I51" s="22">
        <v>0</v>
      </c>
      <c r="J51" s="22"/>
      <c r="K51" s="22">
        <v>0</v>
      </c>
      <c r="L51" s="22">
        <v>0</v>
      </c>
      <c r="M51" s="22">
        <v>0</v>
      </c>
      <c r="N51" s="22"/>
      <c r="O51" s="22"/>
      <c r="P51" s="22"/>
      <c r="Q51" s="22"/>
      <c r="R51" s="22"/>
      <c r="S51" s="22"/>
      <c r="T51" s="22"/>
      <c r="U51" s="46">
        <f t="shared" si="95"/>
        <v>267.58</v>
      </c>
      <c r="V51" s="22">
        <f t="shared" si="96"/>
        <v>22.2983333333333</v>
      </c>
      <c r="W51" s="22">
        <f t="shared" si="97"/>
        <v>16.0548</v>
      </c>
      <c r="X51" s="22">
        <f t="shared" si="98"/>
        <v>283.63479999999998</v>
      </c>
      <c r="Z51" s="179"/>
    </row>
    <row r="52" spans="1:26">
      <c r="A52" s="162"/>
      <c r="B52" s="70"/>
      <c r="C52" s="163" t="s">
        <v>152</v>
      </c>
      <c r="D52" s="22">
        <f t="shared" si="99"/>
        <v>1.3379000000000001</v>
      </c>
      <c r="E52" s="22">
        <f t="shared" si="100"/>
        <v>1.3379000000000001</v>
      </c>
      <c r="F52" s="22"/>
      <c r="G52" s="22">
        <f t="shared" si="101"/>
        <v>1.3379000000000001</v>
      </c>
      <c r="H52" s="22"/>
      <c r="I52" s="22">
        <f t="shared" si="102"/>
        <v>1.3379000000000001</v>
      </c>
      <c r="J52" s="22"/>
      <c r="K52" s="22">
        <f t="shared" si="103"/>
        <v>1.3379000000000001</v>
      </c>
      <c r="L52" s="22">
        <f t="shared" si="104"/>
        <v>1.3379000000000001</v>
      </c>
      <c r="M52" s="22">
        <f t="shared" si="105"/>
        <v>1.3379000000000001</v>
      </c>
      <c r="N52" s="22">
        <f t="shared" si="106"/>
        <v>1.3379000000000001</v>
      </c>
      <c r="O52" s="22">
        <f t="shared" si="107"/>
        <v>1.3379000000000001</v>
      </c>
      <c r="P52" s="22">
        <f t="shared" si="108"/>
        <v>1.3379000000000001</v>
      </c>
      <c r="Q52" s="22"/>
      <c r="R52" s="22">
        <f t="shared" si="109"/>
        <v>1.3379000000000001</v>
      </c>
      <c r="S52" s="22">
        <f t="shared" si="110"/>
        <v>1.3379000000000001</v>
      </c>
      <c r="T52" s="22"/>
      <c r="U52" s="46"/>
      <c r="V52" s="22"/>
      <c r="W52" s="22"/>
      <c r="X52" s="22"/>
      <c r="Z52" s="2"/>
    </row>
    <row r="53" spans="1:26">
      <c r="A53" s="162">
        <v>22</v>
      </c>
      <c r="B53" s="70" t="s">
        <v>85</v>
      </c>
      <c r="C53" s="165">
        <f>347.75+20.87</f>
        <v>368.62</v>
      </c>
      <c r="D53" s="22"/>
      <c r="E53" s="22"/>
      <c r="F53" s="22"/>
      <c r="G53" s="22"/>
      <c r="H53" s="22"/>
      <c r="I53" s="22"/>
      <c r="J53" s="22"/>
      <c r="K53" s="22"/>
      <c r="L53" s="22">
        <v>0</v>
      </c>
      <c r="M53" s="22">
        <v>0</v>
      </c>
      <c r="N53" s="22"/>
      <c r="O53" s="22"/>
      <c r="P53" s="22"/>
      <c r="Q53" s="22"/>
      <c r="R53" s="22"/>
      <c r="S53" s="22"/>
      <c r="T53" s="22"/>
      <c r="U53" s="46">
        <f t="shared" si="95"/>
        <v>368.62</v>
      </c>
      <c r="V53" s="22">
        <f t="shared" si="96"/>
        <v>30.718333333333302</v>
      </c>
      <c r="W53" s="22">
        <f t="shared" si="97"/>
        <v>22.1172</v>
      </c>
      <c r="X53" s="22">
        <f t="shared" si="98"/>
        <v>390.73719999999997</v>
      </c>
      <c r="Z53" s="179"/>
    </row>
    <row r="54" spans="1:26">
      <c r="A54" s="162"/>
      <c r="B54" s="70"/>
      <c r="C54" s="163" t="s">
        <v>152</v>
      </c>
      <c r="D54" s="22">
        <f t="shared" si="99"/>
        <v>1.8431</v>
      </c>
      <c r="E54" s="22">
        <f t="shared" si="100"/>
        <v>1.8431</v>
      </c>
      <c r="F54" s="22"/>
      <c r="G54" s="22">
        <f t="shared" si="101"/>
        <v>1.8431</v>
      </c>
      <c r="H54" s="22"/>
      <c r="I54" s="22">
        <f t="shared" si="102"/>
        <v>1.8431</v>
      </c>
      <c r="J54" s="22"/>
      <c r="K54" s="22">
        <f t="shared" si="103"/>
        <v>1.8431</v>
      </c>
      <c r="L54" s="22">
        <f t="shared" si="104"/>
        <v>1.8431</v>
      </c>
      <c r="M54" s="22">
        <f t="shared" si="105"/>
        <v>1.8431</v>
      </c>
      <c r="N54" s="22">
        <f t="shared" si="106"/>
        <v>1.8431</v>
      </c>
      <c r="O54" s="22">
        <f t="shared" si="107"/>
        <v>1.8431</v>
      </c>
      <c r="P54" s="22">
        <f t="shared" si="108"/>
        <v>1.8431</v>
      </c>
      <c r="Q54" s="22"/>
      <c r="R54" s="22">
        <f t="shared" si="109"/>
        <v>1.8431</v>
      </c>
      <c r="S54" s="22">
        <f t="shared" si="110"/>
        <v>1.8431</v>
      </c>
      <c r="T54" s="22"/>
      <c r="U54" s="46"/>
      <c r="V54" s="22"/>
      <c r="W54" s="22"/>
      <c r="X54" s="22"/>
      <c r="Z54" s="2"/>
    </row>
    <row r="55" spans="1:26">
      <c r="A55" s="162">
        <v>23</v>
      </c>
      <c r="B55" s="70" t="str">
        <f>'[1]Subscribed&amp;Paid-up (2)'!$B$72</f>
        <v>Concepcion B. Cruz</v>
      </c>
      <c r="C55" s="165">
        <f>3841.57+571.22</f>
        <v>4412.79</v>
      </c>
      <c r="D55" s="22"/>
      <c r="E55" s="22"/>
      <c r="F55" s="32"/>
      <c r="G55" s="52"/>
      <c r="H55" s="22"/>
      <c r="I55" s="52"/>
      <c r="J55" s="172">
        <v>0</v>
      </c>
      <c r="K55" s="22">
        <v>0</v>
      </c>
      <c r="L55" s="22">
        <v>0</v>
      </c>
      <c r="M55" s="22">
        <v>0</v>
      </c>
      <c r="N55" s="22"/>
      <c r="O55" s="22"/>
      <c r="P55" s="22"/>
      <c r="Q55" s="32"/>
      <c r="R55" s="22"/>
      <c r="S55" s="32"/>
      <c r="T55" s="22"/>
      <c r="U55" s="46">
        <f>C55+D55+E55-F55+G55+H55+I55+J55+K55+L55+M55+N55+O55+P55-Q55+R55+S55+D56+E56+F56+G56+H56+I56+J56+K56+L56+M56+N56+O56+P56+R56+S56</f>
        <v>4677.5573999999997</v>
      </c>
      <c r="V55" s="22">
        <f t="shared" ref="V55:V59" si="111">U55/12</f>
        <v>389.79644999999999</v>
      </c>
      <c r="W55" s="22">
        <f t="shared" ref="W55:W59" si="112">D56+E56+G56+I56+K56+L56+M56+N56+O56+P56+R56+S56</f>
        <v>264.76740000000001</v>
      </c>
      <c r="X55" s="22">
        <f t="shared" ref="X55:X59" si="113">U55+W55</f>
        <v>4942.3248000000003</v>
      </c>
      <c r="Z55" s="179"/>
    </row>
    <row r="56" spans="1:26">
      <c r="A56" s="162"/>
      <c r="B56" s="70"/>
      <c r="C56" s="163" t="s">
        <v>152</v>
      </c>
      <c r="D56" s="22">
        <f t="shared" ref="D56:D60" si="114">(C55+D55)*0.005</f>
        <v>22.063949999999998</v>
      </c>
      <c r="E56" s="22">
        <f t="shared" ref="E56:E60" si="115">(C55+D55+E55)*0.005</f>
        <v>22.063949999999998</v>
      </c>
      <c r="F56" s="22"/>
      <c r="G56" s="22">
        <f t="shared" ref="G56:G60" si="116">(+C55+D55+E55+G55)*0.005</f>
        <v>22.063949999999998</v>
      </c>
      <c r="H56" s="22"/>
      <c r="I56" s="22">
        <f t="shared" ref="I56:I60" si="117">(C55+D55+E55+G55+I55)*0.005</f>
        <v>22.063949999999998</v>
      </c>
      <c r="J56" s="22"/>
      <c r="K56" s="22">
        <f t="shared" ref="K56:K60" si="118">(C55+D55+E55+G55+I55+K55)*0.005</f>
        <v>22.063949999999998</v>
      </c>
      <c r="L56" s="22">
        <f t="shared" ref="L56:L60" si="119">(C55+D55+E55+G55+I55+K55+L55)*0.005</f>
        <v>22.063949999999998</v>
      </c>
      <c r="M56" s="22">
        <f t="shared" ref="M56:M60" si="120">(C55+D55+E55+G55+I55+K55+L55+M55)*0.005</f>
        <v>22.063949999999998</v>
      </c>
      <c r="N56" s="22">
        <f t="shared" ref="N56:N60" si="121">(C55+D55+E55+G55+I55+K55+L55+M55+N55)*0.005</f>
        <v>22.063949999999998</v>
      </c>
      <c r="O56" s="22">
        <f t="shared" ref="O56:O60" si="122">(C55+D55+E55+G55+I55+K55+L55+M55+N55+O55)*0.005</f>
        <v>22.063949999999998</v>
      </c>
      <c r="P56" s="22">
        <f t="shared" ref="P56:P60" si="123">(C55+D55+E55+G55+I55+K55+L55+M55+N55+O55+P55)*0.005</f>
        <v>22.063949999999998</v>
      </c>
      <c r="Q56" s="22"/>
      <c r="R56" s="22">
        <f t="shared" ref="R56:R60" si="124">(C55+D55+E55+G55+I55+K55+L55+M55+N55+O55+P55+R55)*0.005</f>
        <v>22.063949999999998</v>
      </c>
      <c r="S56" s="22">
        <f t="shared" ref="S56:S60" si="125">(C55+D55+E55+G55+I55+K55+L55+M55+N55+O55+P55+R55+S55)*0.005</f>
        <v>22.063949999999998</v>
      </c>
      <c r="T56" s="22"/>
      <c r="U56" s="46"/>
      <c r="V56" s="22"/>
      <c r="W56" s="22"/>
      <c r="X56" s="22"/>
      <c r="Z56" s="2"/>
    </row>
    <row r="57" spans="1:26">
      <c r="A57" s="162">
        <v>24</v>
      </c>
      <c r="B57" s="70" t="str">
        <f>'[1]Subscribed&amp;Paid-up (2)'!$B$73</f>
        <v>Leonardo B. Cruz</v>
      </c>
      <c r="C57" s="165">
        <f>1545.46+92.73</f>
        <v>1638.19</v>
      </c>
      <c r="D57" s="22"/>
      <c r="E57" s="22"/>
      <c r="F57" s="22"/>
      <c r="G57" s="22"/>
      <c r="H57" s="22"/>
      <c r="I57" s="22"/>
      <c r="J57" s="22"/>
      <c r="K57" s="22"/>
      <c r="L57" s="22">
        <v>0</v>
      </c>
      <c r="M57" s="22"/>
      <c r="N57" s="22"/>
      <c r="O57" s="22"/>
      <c r="P57" s="22"/>
      <c r="Q57" s="22"/>
      <c r="R57" s="22"/>
      <c r="S57" s="22"/>
      <c r="T57" s="22"/>
      <c r="U57" s="46">
        <f t="shared" ref="U57:U61" si="126">C57+D57+E57+G57+I57+K57+L57+M57+N57+O57+P57+R57+S57</f>
        <v>1638.19</v>
      </c>
      <c r="V57" s="22">
        <f t="shared" si="111"/>
        <v>136.51583333333301</v>
      </c>
      <c r="W57" s="22">
        <f t="shared" si="112"/>
        <v>98.291399999999996</v>
      </c>
      <c r="X57" s="22">
        <f t="shared" si="113"/>
        <v>1736.4813999999999</v>
      </c>
      <c r="Z57" s="179"/>
    </row>
    <row r="58" spans="1:26">
      <c r="A58" s="162"/>
      <c r="B58" s="70"/>
      <c r="C58" s="163" t="s">
        <v>152</v>
      </c>
      <c r="D58" s="22">
        <f t="shared" si="114"/>
        <v>8.1909500000000008</v>
      </c>
      <c r="E58" s="22">
        <f t="shared" si="115"/>
        <v>8.1909500000000008</v>
      </c>
      <c r="F58" s="22"/>
      <c r="G58" s="22">
        <f t="shared" si="116"/>
        <v>8.1909500000000008</v>
      </c>
      <c r="H58" s="22"/>
      <c r="I58" s="22">
        <f t="shared" si="117"/>
        <v>8.1909500000000008</v>
      </c>
      <c r="J58" s="22"/>
      <c r="K58" s="22">
        <f t="shared" si="118"/>
        <v>8.1909500000000008</v>
      </c>
      <c r="L58" s="22">
        <f t="shared" si="119"/>
        <v>8.1909500000000008</v>
      </c>
      <c r="M58" s="22">
        <f t="shared" si="120"/>
        <v>8.1909500000000008</v>
      </c>
      <c r="N58" s="22">
        <f t="shared" si="121"/>
        <v>8.1909500000000008</v>
      </c>
      <c r="O58" s="22">
        <f t="shared" si="122"/>
        <v>8.1909500000000008</v>
      </c>
      <c r="P58" s="22">
        <f t="shared" si="123"/>
        <v>8.1909500000000008</v>
      </c>
      <c r="Q58" s="22"/>
      <c r="R58" s="22">
        <f t="shared" si="124"/>
        <v>8.1909500000000008</v>
      </c>
      <c r="S58" s="22">
        <f t="shared" si="125"/>
        <v>8.1909500000000008</v>
      </c>
      <c r="T58" s="22"/>
      <c r="U58" s="46"/>
      <c r="V58" s="22"/>
      <c r="W58" s="22"/>
      <c r="X58" s="22"/>
      <c r="Z58" s="2"/>
    </row>
    <row r="59" spans="1:26">
      <c r="A59" s="162">
        <v>25</v>
      </c>
      <c r="B59" s="70" t="str">
        <f>'[1]Subscribed&amp;Paid-up (2)'!$B$74</f>
        <v>Annalyn B. Cruz</v>
      </c>
      <c r="C59" s="165">
        <f>520.63+31.24</f>
        <v>551.87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>
        <v>0</v>
      </c>
      <c r="S59" s="22"/>
      <c r="T59" s="22"/>
      <c r="U59" s="46">
        <f t="shared" si="126"/>
        <v>551.87</v>
      </c>
      <c r="V59" s="22">
        <f t="shared" si="111"/>
        <v>45.989166666666698</v>
      </c>
      <c r="W59" s="22">
        <f t="shared" si="112"/>
        <v>33.112200000000001</v>
      </c>
      <c r="X59" s="22">
        <f t="shared" si="113"/>
        <v>584.98220000000003</v>
      </c>
      <c r="Z59" s="2"/>
    </row>
    <row r="60" spans="1:26">
      <c r="A60" s="162"/>
      <c r="B60" s="70"/>
      <c r="C60" s="163" t="s">
        <v>152</v>
      </c>
      <c r="D60" s="22">
        <f t="shared" si="114"/>
        <v>2.75935</v>
      </c>
      <c r="E60" s="22">
        <f t="shared" si="115"/>
        <v>2.75935</v>
      </c>
      <c r="F60" s="22"/>
      <c r="G60" s="22">
        <f t="shared" si="116"/>
        <v>2.75935</v>
      </c>
      <c r="H60" s="22"/>
      <c r="I60" s="22">
        <f t="shared" si="117"/>
        <v>2.75935</v>
      </c>
      <c r="J60" s="22"/>
      <c r="K60" s="22">
        <f t="shared" si="118"/>
        <v>2.75935</v>
      </c>
      <c r="L60" s="22">
        <f t="shared" si="119"/>
        <v>2.75935</v>
      </c>
      <c r="M60" s="22">
        <f t="shared" si="120"/>
        <v>2.75935</v>
      </c>
      <c r="N60" s="22">
        <f t="shared" si="121"/>
        <v>2.75935</v>
      </c>
      <c r="O60" s="22">
        <f t="shared" si="122"/>
        <v>2.75935</v>
      </c>
      <c r="P60" s="22">
        <f t="shared" si="123"/>
        <v>2.75935</v>
      </c>
      <c r="Q60" s="22"/>
      <c r="R60" s="22">
        <f t="shared" si="124"/>
        <v>2.75935</v>
      </c>
      <c r="S60" s="22">
        <f t="shared" si="125"/>
        <v>2.75935</v>
      </c>
      <c r="T60" s="22"/>
      <c r="U60" s="46"/>
      <c r="V60" s="22"/>
      <c r="W60" s="22"/>
      <c r="X60" s="22"/>
      <c r="Z60" s="2"/>
    </row>
    <row r="61" spans="1:26">
      <c r="A61" s="162">
        <v>26</v>
      </c>
      <c r="B61" s="70" t="str">
        <f>'[1]Subscribed&amp;Paid-up (2)'!$B$76</f>
        <v>Milben Rex P. Balao</v>
      </c>
      <c r="C61" s="165">
        <f>807.87+48.47</f>
        <v>856.34</v>
      </c>
      <c r="D61" s="22"/>
      <c r="E61" s="22"/>
      <c r="F61" s="22"/>
      <c r="G61" s="22"/>
      <c r="H61" s="22"/>
      <c r="I61" s="22"/>
      <c r="J61" s="22"/>
      <c r="K61" s="22"/>
      <c r="L61" s="22"/>
      <c r="M61" s="22">
        <v>0</v>
      </c>
      <c r="N61" s="22"/>
      <c r="O61" s="22"/>
      <c r="P61" s="22"/>
      <c r="Q61" s="22"/>
      <c r="R61" s="22">
        <v>0</v>
      </c>
      <c r="S61" s="22"/>
      <c r="T61" s="22"/>
      <c r="U61" s="46">
        <f t="shared" si="126"/>
        <v>856.34</v>
      </c>
      <c r="V61" s="22">
        <f t="shared" ref="V61:V65" si="127">U61/12</f>
        <v>71.361666666666693</v>
      </c>
      <c r="W61" s="22">
        <f t="shared" ref="W61:W65" si="128">D62+E62+G62+I62+K62+L62+M62+N62+O62+P62+R62+S62</f>
        <v>51.380400000000002</v>
      </c>
      <c r="X61" s="22">
        <f t="shared" ref="X61:X65" si="129">U61+W61</f>
        <v>907.72040000000004</v>
      </c>
      <c r="Z61" s="179"/>
    </row>
    <row r="62" spans="1:26">
      <c r="A62" s="162"/>
      <c r="B62" s="70"/>
      <c r="C62" s="163" t="s">
        <v>152</v>
      </c>
      <c r="D62" s="22">
        <f t="shared" ref="D62:D66" si="130">(C61+D61)*0.005</f>
        <v>4.2816999999999998</v>
      </c>
      <c r="E62" s="22">
        <f t="shared" ref="E62:E66" si="131">(C61+D61+E61)*0.005</f>
        <v>4.2816999999999998</v>
      </c>
      <c r="F62" s="22"/>
      <c r="G62" s="22">
        <f t="shared" ref="G62:G66" si="132">(+C61+D61+E61+G61)*0.005</f>
        <v>4.2816999999999998</v>
      </c>
      <c r="H62" s="22"/>
      <c r="I62" s="22">
        <f t="shared" ref="I62:I66" si="133">(C61+D61+E61+G61+I61)*0.005</f>
        <v>4.2816999999999998</v>
      </c>
      <c r="J62" s="22"/>
      <c r="K62" s="22">
        <f t="shared" ref="K62:K66" si="134">(C61+D61+E61+G61+I61+K61)*0.005</f>
        <v>4.2816999999999998</v>
      </c>
      <c r="L62" s="22">
        <f t="shared" ref="L62:L66" si="135">(C61+D61+E61+G61+I61+K61+L61)*0.005</f>
        <v>4.2816999999999998</v>
      </c>
      <c r="M62" s="22">
        <f t="shared" ref="M62:M66" si="136">(C61+D61+E61+G61+I61+K61+L61+M61)*0.005</f>
        <v>4.2816999999999998</v>
      </c>
      <c r="N62" s="22">
        <f t="shared" ref="N62:N66" si="137">(C61+D61+E61+G61+I61+K61+L61+M61+N61)*0.005</f>
        <v>4.2816999999999998</v>
      </c>
      <c r="O62" s="22">
        <f t="shared" ref="O62:O66" si="138">(C61+D61+E61+G61+I61+K61+L61+M61+N61+O61)*0.005</f>
        <v>4.2816999999999998</v>
      </c>
      <c r="P62" s="22">
        <f t="shared" ref="P62:P66" si="139">(C61+D61+E61+G61+I61+K61+L61+M61+N61+O61+P61)*0.005</f>
        <v>4.2816999999999998</v>
      </c>
      <c r="Q62" s="22"/>
      <c r="R62" s="22">
        <f t="shared" ref="R62:R66" si="140">(C61+D61+E61+G61+I61+K61+L61+M61+N61+O61+P61+R61)*0.005</f>
        <v>4.2816999999999998</v>
      </c>
      <c r="S62" s="22">
        <f t="shared" ref="S62:S66" si="141">(C61+D61+E61+G61+I61+K61+L61+M61+N61+O61+P61+R61+S61)*0.005</f>
        <v>4.2816999999999998</v>
      </c>
      <c r="T62" s="22"/>
      <c r="U62" s="46"/>
      <c r="V62" s="22"/>
      <c r="W62" s="22"/>
      <c r="X62" s="22"/>
      <c r="Z62" s="2"/>
    </row>
    <row r="63" spans="1:26">
      <c r="A63" s="162">
        <v>27</v>
      </c>
      <c r="B63" s="70" t="s">
        <v>185</v>
      </c>
      <c r="C63" s="161">
        <f>7254.64+435.28</f>
        <v>7689.92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>
        <v>0</v>
      </c>
      <c r="P63" s="45"/>
      <c r="Q63" s="45"/>
      <c r="R63" s="45"/>
      <c r="S63" s="45">
        <v>0</v>
      </c>
      <c r="T63" s="45"/>
      <c r="U63" s="46">
        <f>C63+D63+E63+G63+I63+K63+L63+M63+N63+O63+P63+R63+S63</f>
        <v>7689.92</v>
      </c>
      <c r="V63" s="45">
        <f t="shared" si="127"/>
        <v>640.82666666666705</v>
      </c>
      <c r="W63" s="45">
        <f t="shared" si="128"/>
        <v>461.39519999999999</v>
      </c>
      <c r="X63" s="45">
        <f t="shared" si="129"/>
        <v>8151.3152</v>
      </c>
      <c r="Z63" s="179"/>
    </row>
    <row r="64" spans="1:26">
      <c r="A64" s="162"/>
      <c r="B64" s="70"/>
      <c r="C64" s="163" t="s">
        <v>152</v>
      </c>
      <c r="D64" s="22">
        <f t="shared" si="130"/>
        <v>38.449599999999997</v>
      </c>
      <c r="E64" s="22">
        <f t="shared" si="131"/>
        <v>38.449599999999997</v>
      </c>
      <c r="F64" s="22"/>
      <c r="G64" s="22">
        <f t="shared" si="132"/>
        <v>38.449599999999997</v>
      </c>
      <c r="H64" s="22"/>
      <c r="I64" s="22">
        <f t="shared" si="133"/>
        <v>38.449599999999997</v>
      </c>
      <c r="J64" s="22"/>
      <c r="K64" s="22">
        <f t="shared" si="134"/>
        <v>38.449599999999997</v>
      </c>
      <c r="L64" s="22">
        <f t="shared" si="135"/>
        <v>38.449599999999997</v>
      </c>
      <c r="M64" s="22">
        <f t="shared" si="136"/>
        <v>38.449599999999997</v>
      </c>
      <c r="N64" s="22">
        <f t="shared" si="137"/>
        <v>38.449599999999997</v>
      </c>
      <c r="O64" s="22">
        <f t="shared" si="138"/>
        <v>38.449599999999997</v>
      </c>
      <c r="P64" s="22">
        <f t="shared" si="139"/>
        <v>38.449599999999997</v>
      </c>
      <c r="Q64" s="22"/>
      <c r="R64" s="22">
        <f t="shared" si="140"/>
        <v>38.449599999999997</v>
      </c>
      <c r="S64" s="22">
        <f t="shared" si="141"/>
        <v>38.449599999999997</v>
      </c>
      <c r="T64" s="22"/>
      <c r="U64" s="46"/>
      <c r="V64" s="22"/>
      <c r="W64" s="22"/>
      <c r="X64" s="22"/>
      <c r="Z64" s="2"/>
    </row>
    <row r="65" spans="1:26">
      <c r="A65" s="162">
        <v>28</v>
      </c>
      <c r="B65" s="27" t="s">
        <v>186</v>
      </c>
      <c r="C65" s="161">
        <f>114.05+6.84</f>
        <v>120.89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0</v>
      </c>
      <c r="Q65" s="22"/>
      <c r="R65" s="22"/>
      <c r="S65" s="22"/>
      <c r="T65" s="22"/>
      <c r="U65" s="46">
        <f>C65+D65+E65+G65+I65+K65+L65+M65+N65+O65+P65+R65+S65</f>
        <v>120.89</v>
      </c>
      <c r="V65" s="22">
        <f t="shared" si="127"/>
        <v>10.0741666666667</v>
      </c>
      <c r="W65" s="22">
        <f t="shared" si="128"/>
        <v>7.2534000000000001</v>
      </c>
      <c r="X65" s="22">
        <f t="shared" si="129"/>
        <v>128.14340000000001</v>
      </c>
      <c r="Z65" s="179"/>
    </row>
    <row r="66" spans="1:26">
      <c r="A66" s="162"/>
      <c r="B66" s="27"/>
      <c r="C66" s="163" t="s">
        <v>152</v>
      </c>
      <c r="D66" s="22">
        <f t="shared" si="130"/>
        <v>0.60445000000000004</v>
      </c>
      <c r="E66" s="22">
        <f t="shared" si="131"/>
        <v>0.60445000000000004</v>
      </c>
      <c r="F66" s="22"/>
      <c r="G66" s="22">
        <f t="shared" si="132"/>
        <v>0.60445000000000004</v>
      </c>
      <c r="H66" s="22"/>
      <c r="I66" s="22">
        <f t="shared" si="133"/>
        <v>0.60445000000000004</v>
      </c>
      <c r="J66" s="22"/>
      <c r="K66" s="22">
        <f t="shared" si="134"/>
        <v>0.60445000000000004</v>
      </c>
      <c r="L66" s="22">
        <f t="shared" si="135"/>
        <v>0.60445000000000004</v>
      </c>
      <c r="M66" s="22">
        <f t="shared" si="136"/>
        <v>0.60445000000000004</v>
      </c>
      <c r="N66" s="22">
        <f t="shared" si="137"/>
        <v>0.60445000000000004</v>
      </c>
      <c r="O66" s="22">
        <f t="shared" si="138"/>
        <v>0.60445000000000004</v>
      </c>
      <c r="P66" s="22">
        <f t="shared" si="139"/>
        <v>0.60445000000000004</v>
      </c>
      <c r="Q66" s="22"/>
      <c r="R66" s="22">
        <f t="shared" si="140"/>
        <v>0.60445000000000004</v>
      </c>
      <c r="S66" s="22">
        <f t="shared" si="141"/>
        <v>0.60445000000000004</v>
      </c>
      <c r="T66" s="22"/>
      <c r="U66" s="46"/>
      <c r="V66" s="22"/>
      <c r="W66" s="22"/>
      <c r="X66" s="22"/>
      <c r="Z66" s="2"/>
    </row>
    <row r="67" spans="1:26" s="156" customFormat="1">
      <c r="A67" s="180">
        <v>29</v>
      </c>
      <c r="B67" s="181" t="s">
        <v>187</v>
      </c>
      <c r="C67" s="182">
        <v>4024.1</v>
      </c>
      <c r="D67" s="183"/>
      <c r="E67" s="183"/>
      <c r="F67" s="184"/>
      <c r="G67" s="185"/>
      <c r="H67" s="186"/>
      <c r="I67" s="185"/>
      <c r="J67" s="185"/>
      <c r="K67" s="183"/>
      <c r="L67" s="185"/>
      <c r="M67" s="185"/>
      <c r="N67" s="185"/>
      <c r="O67" s="183"/>
      <c r="P67" s="185">
        <v>0</v>
      </c>
      <c r="Q67" s="185"/>
      <c r="R67" s="185"/>
      <c r="S67" s="185"/>
      <c r="T67" s="185"/>
      <c r="U67" s="193">
        <f>C67+D67+E67-F67+G67+I67-H67+K67+L67+M67+N67+O67+P67+R67+S67</f>
        <v>4024.1</v>
      </c>
      <c r="V67" s="185">
        <f t="shared" ref="V67:V71" si="142">U67/12</f>
        <v>335.34166666666698</v>
      </c>
      <c r="W67" s="185">
        <f t="shared" ref="W67:W71" si="143">D68+E68+G68+I68+K68+L68+M68+N68+O68+P68+R68+S68</f>
        <v>241.446</v>
      </c>
      <c r="X67" s="185">
        <f t="shared" ref="X67:X71" si="144">U67+W67</f>
        <v>4265.5460000000003</v>
      </c>
      <c r="Y67" s="197"/>
      <c r="Z67" s="198"/>
    </row>
    <row r="68" spans="1:26">
      <c r="A68" s="162"/>
      <c r="B68" s="20"/>
      <c r="C68" s="163" t="s">
        <v>152</v>
      </c>
      <c r="D68" s="22">
        <f t="shared" ref="D68:D72" si="145">(C67+D67)*0.005</f>
        <v>20.1205</v>
      </c>
      <c r="E68" s="22">
        <f t="shared" ref="E68:E72" si="146">(C67+D67+E67)*0.005</f>
        <v>20.1205</v>
      </c>
      <c r="F68" s="22"/>
      <c r="G68" s="22">
        <f t="shared" ref="G68:G72" si="147">(+C67+D67+E67+G67)*0.005</f>
        <v>20.1205</v>
      </c>
      <c r="H68" s="22"/>
      <c r="I68" s="22">
        <f t="shared" ref="I68:I72" si="148">(C67+D67+E67+G67+I67)*0.005</f>
        <v>20.1205</v>
      </c>
      <c r="J68" s="22"/>
      <c r="K68" s="22">
        <f t="shared" ref="K68:K72" si="149">(C67+D67+E67+G67+I67+K67)*0.005</f>
        <v>20.1205</v>
      </c>
      <c r="L68" s="22">
        <f t="shared" ref="L68:L72" si="150">(C67+D67+E67+G67+I67+K67+L67)*0.005</f>
        <v>20.1205</v>
      </c>
      <c r="M68" s="22">
        <f t="shared" ref="M68:M72" si="151">(C67+D67+E67+G67+I67+K67+L67+M67)*0.005</f>
        <v>20.1205</v>
      </c>
      <c r="N68" s="22">
        <f t="shared" ref="N68:N72" si="152">(C67+D67+E67+G67+I67+K67+L67+M67+N67)*0.005</f>
        <v>20.1205</v>
      </c>
      <c r="O68" s="22">
        <f t="shared" ref="O68:O72" si="153">(C67+D67+E67+G67+I67+K67+L67+M67+N67+O67)*0.005</f>
        <v>20.1205</v>
      </c>
      <c r="P68" s="22">
        <f t="shared" ref="P68:P72" si="154">(C67+D67+E67+G67+I67+K67+L67+M67+N67+O67+P67)*0.005</f>
        <v>20.1205</v>
      </c>
      <c r="Q68" s="22"/>
      <c r="R68" s="22">
        <f t="shared" ref="R68:R72" si="155">(C67+D67+E67+G67+I67+K67+L67+M67+N67+O67+P67+R67)*0.005</f>
        <v>20.1205</v>
      </c>
      <c r="S68" s="22">
        <f t="shared" ref="S68:S72" si="156">(C67+D67+E67+G67+I67+K67+L67+M67+N67+O67+P67+R67+S67)*0.005</f>
        <v>20.1205</v>
      </c>
      <c r="T68" s="22"/>
      <c r="U68" s="46"/>
      <c r="V68" s="22"/>
      <c r="W68" s="22"/>
      <c r="X68" s="22"/>
      <c r="Z68" s="2"/>
    </row>
    <row r="69" spans="1:26">
      <c r="A69" s="162">
        <v>30</v>
      </c>
      <c r="B69" s="20" t="s">
        <v>188</v>
      </c>
      <c r="C69" s="161">
        <f>411.24+24.67</f>
        <v>435.91</v>
      </c>
      <c r="D69" s="25"/>
      <c r="E69" s="25"/>
      <c r="F69" s="25"/>
      <c r="G69" s="22"/>
      <c r="H69" s="22"/>
      <c r="I69" s="22"/>
      <c r="J69" s="22"/>
      <c r="K69" s="25"/>
      <c r="L69" s="22"/>
      <c r="M69" s="22"/>
      <c r="N69" s="22"/>
      <c r="O69" s="25"/>
      <c r="P69" s="22">
        <v>0</v>
      </c>
      <c r="Q69" s="22"/>
      <c r="R69" s="22"/>
      <c r="S69" s="22"/>
      <c r="T69" s="22"/>
      <c r="U69" s="46">
        <f t="shared" ref="U69:U73" si="157">C69+D69+E69+G69+I69+K69+L69+M69+N69+O69+P69+R69+S69</f>
        <v>435.91</v>
      </c>
      <c r="V69" s="22">
        <f t="shared" si="142"/>
        <v>36.3258333333333</v>
      </c>
      <c r="W69" s="22">
        <f t="shared" si="143"/>
        <v>26.154599999999999</v>
      </c>
      <c r="X69" s="22">
        <f t="shared" si="144"/>
        <v>462.06459999999998</v>
      </c>
      <c r="Z69" s="2"/>
    </row>
    <row r="70" spans="1:26">
      <c r="A70" s="162"/>
      <c r="B70" s="20"/>
      <c r="C70" s="163" t="s">
        <v>152</v>
      </c>
      <c r="D70" s="22">
        <f t="shared" si="145"/>
        <v>2.1795499999999999</v>
      </c>
      <c r="E70" s="22">
        <f t="shared" si="146"/>
        <v>2.1795499999999999</v>
      </c>
      <c r="F70" s="22"/>
      <c r="G70" s="22">
        <f t="shared" si="147"/>
        <v>2.1795499999999999</v>
      </c>
      <c r="H70" s="22"/>
      <c r="I70" s="22">
        <f t="shared" si="148"/>
        <v>2.1795499999999999</v>
      </c>
      <c r="J70" s="22"/>
      <c r="K70" s="22">
        <f t="shared" si="149"/>
        <v>2.1795499999999999</v>
      </c>
      <c r="L70" s="22">
        <f t="shared" si="150"/>
        <v>2.1795499999999999</v>
      </c>
      <c r="M70" s="22">
        <f t="shared" si="151"/>
        <v>2.1795499999999999</v>
      </c>
      <c r="N70" s="22">
        <f t="shared" si="152"/>
        <v>2.1795499999999999</v>
      </c>
      <c r="O70" s="22">
        <f t="shared" si="153"/>
        <v>2.1795499999999999</v>
      </c>
      <c r="P70" s="22">
        <f t="shared" si="154"/>
        <v>2.1795499999999999</v>
      </c>
      <c r="Q70" s="22"/>
      <c r="R70" s="22">
        <f t="shared" si="155"/>
        <v>2.1795499999999999</v>
      </c>
      <c r="S70" s="22">
        <f t="shared" si="156"/>
        <v>2.1795499999999999</v>
      </c>
      <c r="T70" s="22"/>
      <c r="U70" s="46"/>
      <c r="V70" s="22"/>
      <c r="W70" s="22"/>
      <c r="X70" s="22"/>
      <c r="Z70" s="2"/>
    </row>
    <row r="71" spans="1:26">
      <c r="A71" s="162">
        <v>31</v>
      </c>
      <c r="B71" s="20" t="s">
        <v>189</v>
      </c>
      <c r="C71" s="161">
        <f>106.15+6.37</f>
        <v>112.52</v>
      </c>
      <c r="D71" s="25"/>
      <c r="E71" s="25"/>
      <c r="F71" s="25"/>
      <c r="G71" s="22"/>
      <c r="H71" s="22"/>
      <c r="I71" s="22"/>
      <c r="J71" s="22"/>
      <c r="K71" s="25"/>
      <c r="L71" s="22"/>
      <c r="M71" s="22"/>
      <c r="N71" s="22"/>
      <c r="O71" s="25"/>
      <c r="P71" s="22">
        <v>0</v>
      </c>
      <c r="Q71" s="22"/>
      <c r="R71" s="22"/>
      <c r="S71" s="22"/>
      <c r="T71" s="22"/>
      <c r="U71" s="46">
        <f t="shared" si="157"/>
        <v>112.52</v>
      </c>
      <c r="V71" s="22">
        <f t="shared" si="142"/>
        <v>9.3766666666666705</v>
      </c>
      <c r="W71" s="22">
        <f t="shared" si="143"/>
        <v>6.7511999999999999</v>
      </c>
      <c r="X71" s="22">
        <f t="shared" si="144"/>
        <v>119.27119999999999</v>
      </c>
      <c r="Z71" s="2"/>
    </row>
    <row r="72" spans="1:26">
      <c r="A72" s="162"/>
      <c r="B72" s="20"/>
      <c r="C72" s="163" t="s">
        <v>152</v>
      </c>
      <c r="D72" s="22">
        <f t="shared" si="145"/>
        <v>0.56259999999999999</v>
      </c>
      <c r="E72" s="22">
        <f t="shared" si="146"/>
        <v>0.56259999999999999</v>
      </c>
      <c r="F72" s="22"/>
      <c r="G72" s="22">
        <f t="shared" si="147"/>
        <v>0.56259999999999999</v>
      </c>
      <c r="H72" s="22"/>
      <c r="I72" s="22">
        <f t="shared" si="148"/>
        <v>0.56259999999999999</v>
      </c>
      <c r="J72" s="22"/>
      <c r="K72" s="22">
        <f t="shared" si="149"/>
        <v>0.56259999999999999</v>
      </c>
      <c r="L72" s="22">
        <f t="shared" si="150"/>
        <v>0.56259999999999999</v>
      </c>
      <c r="M72" s="22">
        <f t="shared" si="151"/>
        <v>0.56259999999999999</v>
      </c>
      <c r="N72" s="22">
        <f t="shared" si="152"/>
        <v>0.56259999999999999</v>
      </c>
      <c r="O72" s="22">
        <f t="shared" si="153"/>
        <v>0.56259999999999999</v>
      </c>
      <c r="P72" s="22">
        <f t="shared" si="154"/>
        <v>0.56259999999999999</v>
      </c>
      <c r="Q72" s="22"/>
      <c r="R72" s="22">
        <f t="shared" si="155"/>
        <v>0.56259999999999999</v>
      </c>
      <c r="S72" s="22">
        <f t="shared" si="156"/>
        <v>0.56259999999999999</v>
      </c>
      <c r="T72" s="22"/>
      <c r="U72" s="173"/>
      <c r="V72" s="22"/>
      <c r="W72" s="22"/>
      <c r="X72" s="22"/>
      <c r="Z72" s="2"/>
    </row>
    <row r="73" spans="1:26">
      <c r="A73" s="162">
        <v>32</v>
      </c>
      <c r="B73" s="20" t="s">
        <v>190</v>
      </c>
      <c r="C73" s="161">
        <f>2640.46+158.43</f>
        <v>2798.89</v>
      </c>
      <c r="D73" s="25"/>
      <c r="E73" s="25"/>
      <c r="F73" s="25"/>
      <c r="G73" s="22"/>
      <c r="H73" s="22"/>
      <c r="I73" s="22"/>
      <c r="J73" s="22"/>
      <c r="K73" s="25"/>
      <c r="L73" s="22"/>
      <c r="M73" s="22"/>
      <c r="N73" s="22"/>
      <c r="O73" s="25"/>
      <c r="P73" s="22">
        <v>0</v>
      </c>
      <c r="Q73" s="22"/>
      <c r="R73" s="22"/>
      <c r="S73" s="22"/>
      <c r="T73" s="22"/>
      <c r="U73" s="173">
        <f t="shared" si="157"/>
        <v>2798.89</v>
      </c>
      <c r="V73" s="22">
        <f t="shared" ref="V73:V77" si="158">U73/12</f>
        <v>233.240833333333</v>
      </c>
      <c r="W73" s="22">
        <f t="shared" ref="W73:W77" si="159">D74+E74+G74+I74+K74+L74+M74+N74+O74+P74+R74+S74</f>
        <v>167.93340000000001</v>
      </c>
      <c r="X73" s="22">
        <f t="shared" ref="X73:X77" si="160">U73+W73</f>
        <v>2966.8234000000002</v>
      </c>
      <c r="Z73" s="2"/>
    </row>
    <row r="74" spans="1:26">
      <c r="A74" s="162"/>
      <c r="B74" s="20"/>
      <c r="C74" s="163" t="s">
        <v>152</v>
      </c>
      <c r="D74" s="22">
        <f t="shared" ref="D74:D78" si="161">(C73+D73)*0.005</f>
        <v>13.994450000000001</v>
      </c>
      <c r="E74" s="22">
        <f t="shared" ref="E74:E78" si="162">(C73+D73+E73)*0.005</f>
        <v>13.994450000000001</v>
      </c>
      <c r="F74" s="22"/>
      <c r="G74" s="22">
        <f t="shared" ref="G74:G78" si="163">(+C73+D73+E73+G73)*0.005</f>
        <v>13.994450000000001</v>
      </c>
      <c r="H74" s="22"/>
      <c r="I74" s="22">
        <f t="shared" ref="I74:I78" si="164">(C73+D73+E73+G73+I73)*0.005</f>
        <v>13.994450000000001</v>
      </c>
      <c r="J74" s="22"/>
      <c r="K74" s="22">
        <f t="shared" ref="K74:K78" si="165">(C73+D73+E73+G73+I73+K73)*0.005</f>
        <v>13.994450000000001</v>
      </c>
      <c r="L74" s="22">
        <f t="shared" ref="L74:L78" si="166">(C73+D73+E73+G73+I73+K73+L73)*0.005</f>
        <v>13.994450000000001</v>
      </c>
      <c r="M74" s="22">
        <f t="shared" ref="M74:M78" si="167">(C73+D73+E73+G73+I73+K73+L73+M73)*0.005</f>
        <v>13.994450000000001</v>
      </c>
      <c r="N74" s="22">
        <f t="shared" ref="N74:N78" si="168">(C73+D73+E73+G73+I73+K73+L73+M73+N73)*0.005</f>
        <v>13.994450000000001</v>
      </c>
      <c r="O74" s="22">
        <f t="shared" ref="O74:O78" si="169">(C73+D73+E73+G73+I73+K73+L73+M73+N73+O73)*0.005</f>
        <v>13.994450000000001</v>
      </c>
      <c r="P74" s="22">
        <f t="shared" ref="P74:P78" si="170">(C73+D73+E73+G73+I73+K73+L73+M73+N73+O73+P73)*0.005</f>
        <v>13.994450000000001</v>
      </c>
      <c r="Q74" s="22"/>
      <c r="R74" s="22">
        <f t="shared" ref="R74:R78" si="171">(C73+D73+E73+G73+I73+K73+L73+M73+N73+O73+P73+R73)*0.005</f>
        <v>13.994450000000001</v>
      </c>
      <c r="S74" s="22">
        <f t="shared" ref="S74:S78" si="172">(C73+D73+E73+G73+I73+K73+L73+M73+N73+O73+P73+R73+S73)*0.005</f>
        <v>13.994450000000001</v>
      </c>
      <c r="T74" s="22"/>
      <c r="U74" s="173"/>
      <c r="V74" s="22"/>
      <c r="W74" s="22"/>
      <c r="X74" s="22"/>
      <c r="Z74" s="2"/>
    </row>
    <row r="75" spans="1:26">
      <c r="A75" s="187">
        <v>33</v>
      </c>
      <c r="B75" s="20" t="s">
        <v>191</v>
      </c>
      <c r="C75" s="161">
        <f>870.26+52.22</f>
        <v>922.48</v>
      </c>
      <c r="D75" s="25"/>
      <c r="E75" s="25"/>
      <c r="F75" s="25"/>
      <c r="G75" s="22"/>
      <c r="H75" s="22"/>
      <c r="I75" s="22"/>
      <c r="J75" s="22"/>
      <c r="K75" s="25"/>
      <c r="L75" s="22"/>
      <c r="M75" s="22">
        <v>0</v>
      </c>
      <c r="N75" s="22">
        <v>0</v>
      </c>
      <c r="O75" s="25"/>
      <c r="P75" s="22">
        <v>0</v>
      </c>
      <c r="Q75" s="22"/>
      <c r="R75" s="22"/>
      <c r="S75" s="22"/>
      <c r="T75" s="22"/>
      <c r="U75" s="173">
        <f t="shared" ref="U75:U79" si="173">C75+D75+E75+G75+I75+K75+L75+M75+N75+O75+P75+R75+S75</f>
        <v>922.48</v>
      </c>
      <c r="V75" s="22">
        <f t="shared" si="158"/>
        <v>76.873333333333306</v>
      </c>
      <c r="W75" s="22">
        <f t="shared" si="159"/>
        <v>55.348799999999997</v>
      </c>
      <c r="X75" s="22">
        <f t="shared" si="160"/>
        <v>977.8288</v>
      </c>
      <c r="Z75" s="2"/>
    </row>
    <row r="76" spans="1:26" ht="16.5" customHeight="1">
      <c r="A76" s="162"/>
      <c r="B76" s="20"/>
      <c r="C76" s="163" t="s">
        <v>152</v>
      </c>
      <c r="D76" s="22">
        <f t="shared" si="161"/>
        <v>4.6124000000000001</v>
      </c>
      <c r="E76" s="22">
        <f t="shared" si="162"/>
        <v>4.6124000000000001</v>
      </c>
      <c r="F76" s="22"/>
      <c r="G76" s="22">
        <f t="shared" si="163"/>
        <v>4.6124000000000001</v>
      </c>
      <c r="H76" s="22"/>
      <c r="I76" s="22">
        <f t="shared" si="164"/>
        <v>4.6124000000000001</v>
      </c>
      <c r="J76" s="22"/>
      <c r="K76" s="22">
        <f t="shared" si="165"/>
        <v>4.6124000000000001</v>
      </c>
      <c r="L76" s="22">
        <f t="shared" si="166"/>
        <v>4.6124000000000001</v>
      </c>
      <c r="M76" s="22">
        <f t="shared" si="167"/>
        <v>4.6124000000000001</v>
      </c>
      <c r="N76" s="22">
        <f t="shared" si="168"/>
        <v>4.6124000000000001</v>
      </c>
      <c r="O76" s="22">
        <f t="shared" si="169"/>
        <v>4.6124000000000001</v>
      </c>
      <c r="P76" s="22">
        <f t="shared" si="170"/>
        <v>4.6124000000000001</v>
      </c>
      <c r="Q76" s="22"/>
      <c r="R76" s="22">
        <f t="shared" si="171"/>
        <v>4.6124000000000001</v>
      </c>
      <c r="S76" s="22">
        <f t="shared" si="172"/>
        <v>4.6124000000000001</v>
      </c>
      <c r="T76" s="22"/>
      <c r="U76" s="173"/>
      <c r="V76" s="77"/>
      <c r="W76" s="77"/>
      <c r="X76" s="77"/>
    </row>
    <row r="77" spans="1:26">
      <c r="A77" s="187">
        <v>34</v>
      </c>
      <c r="B77" s="20" t="s">
        <v>192</v>
      </c>
      <c r="C77" s="161">
        <f>1055.75+75.85</f>
        <v>1131.5999999999999</v>
      </c>
      <c r="D77" s="25"/>
      <c r="E77" s="25"/>
      <c r="F77" s="25"/>
      <c r="G77" s="22"/>
      <c r="H77" s="22"/>
      <c r="I77" s="22"/>
      <c r="J77" s="22"/>
      <c r="K77" s="25"/>
      <c r="L77" s="22"/>
      <c r="M77" s="22"/>
      <c r="N77" s="22">
        <v>500</v>
      </c>
      <c r="O77" s="25"/>
      <c r="P77" s="22">
        <v>0</v>
      </c>
      <c r="Q77" s="22"/>
      <c r="R77" s="22"/>
      <c r="S77" s="22"/>
      <c r="T77" s="22"/>
      <c r="U77" s="173">
        <f t="shared" si="173"/>
        <v>1631.6</v>
      </c>
      <c r="V77" s="22">
        <f t="shared" si="158"/>
        <v>135.96666666666701</v>
      </c>
      <c r="W77" s="22">
        <f t="shared" si="159"/>
        <v>80.396000000000001</v>
      </c>
      <c r="X77" s="22">
        <f t="shared" si="160"/>
        <v>1711.9960000000001</v>
      </c>
      <c r="Z77" s="2"/>
    </row>
    <row r="78" spans="1:26" ht="15" customHeight="1">
      <c r="A78" s="162"/>
      <c r="B78" s="20"/>
      <c r="C78" s="163" t="s">
        <v>152</v>
      </c>
      <c r="D78" s="22">
        <f t="shared" si="161"/>
        <v>5.6580000000000004</v>
      </c>
      <c r="E78" s="22">
        <f t="shared" si="162"/>
        <v>5.6580000000000004</v>
      </c>
      <c r="F78" s="22"/>
      <c r="G78" s="22">
        <f t="shared" si="163"/>
        <v>5.6580000000000004</v>
      </c>
      <c r="H78" s="22"/>
      <c r="I78" s="22">
        <f t="shared" si="164"/>
        <v>5.6580000000000004</v>
      </c>
      <c r="J78" s="22"/>
      <c r="K78" s="22">
        <f t="shared" si="165"/>
        <v>5.6580000000000004</v>
      </c>
      <c r="L78" s="22">
        <f t="shared" si="166"/>
        <v>5.6580000000000004</v>
      </c>
      <c r="M78" s="22">
        <f t="shared" si="167"/>
        <v>5.6580000000000004</v>
      </c>
      <c r="N78" s="22">
        <f t="shared" si="168"/>
        <v>8.1579999999999995</v>
      </c>
      <c r="O78" s="22">
        <f t="shared" si="169"/>
        <v>8.1579999999999995</v>
      </c>
      <c r="P78" s="22">
        <f t="shared" si="170"/>
        <v>8.1579999999999995</v>
      </c>
      <c r="Q78" s="22"/>
      <c r="R78" s="22">
        <f t="shared" si="171"/>
        <v>8.1579999999999995</v>
      </c>
      <c r="S78" s="22">
        <f t="shared" si="172"/>
        <v>8.1579999999999995</v>
      </c>
      <c r="T78" s="22"/>
      <c r="U78" s="173"/>
      <c r="V78" s="77"/>
      <c r="W78" s="77"/>
      <c r="X78" s="77"/>
    </row>
    <row r="79" spans="1:26">
      <c r="A79" s="187">
        <v>35</v>
      </c>
      <c r="B79" s="20" t="s">
        <v>193</v>
      </c>
      <c r="C79" s="161">
        <f>3293.46+397.61</f>
        <v>3691.07</v>
      </c>
      <c r="D79" s="25"/>
      <c r="E79" s="25"/>
      <c r="F79" s="25"/>
      <c r="G79" s="22"/>
      <c r="H79" s="22"/>
      <c r="I79" s="22"/>
      <c r="J79" s="22"/>
      <c r="K79" s="25"/>
      <c r="L79" s="22"/>
      <c r="M79" s="22"/>
      <c r="N79" s="22"/>
      <c r="O79" s="25"/>
      <c r="P79" s="22">
        <v>0</v>
      </c>
      <c r="Q79" s="22"/>
      <c r="R79" s="32"/>
      <c r="S79" s="22"/>
      <c r="T79" s="22"/>
      <c r="U79" s="173">
        <f t="shared" si="173"/>
        <v>3691.07</v>
      </c>
      <c r="V79" s="22">
        <f t="shared" ref="V79:V83" si="174">U79/12</f>
        <v>307.58916666666698</v>
      </c>
      <c r="W79" s="22">
        <f t="shared" ref="W79:W83" si="175">D80+E80+G80+I80+K80+L80+M80+N80+O80+P80+R80+S80</f>
        <v>221.46420000000001</v>
      </c>
      <c r="X79" s="22">
        <f t="shared" ref="X79:X83" si="176">U79+W79</f>
        <v>3912.5342000000001</v>
      </c>
      <c r="Z79" s="2"/>
    </row>
    <row r="80" spans="1:26" ht="15" customHeight="1">
      <c r="A80" s="162"/>
      <c r="B80" s="20"/>
      <c r="C80" s="163" t="s">
        <v>152</v>
      </c>
      <c r="D80" s="22">
        <f t="shared" ref="D80:D84" si="177">(C79+D79)*0.005</f>
        <v>18.455349999999999</v>
      </c>
      <c r="E80" s="22">
        <f t="shared" ref="E80:E84" si="178">(C79+D79+E79)*0.005</f>
        <v>18.455349999999999</v>
      </c>
      <c r="F80" s="22"/>
      <c r="G80" s="22">
        <f t="shared" ref="G80:G84" si="179">(+C79+D79+E79+G79)*0.005</f>
        <v>18.455349999999999</v>
      </c>
      <c r="H80" s="22"/>
      <c r="I80" s="22">
        <f t="shared" ref="I80:I84" si="180">(C79+D79+E79+G79+I79)*0.005</f>
        <v>18.455349999999999</v>
      </c>
      <c r="J80" s="22"/>
      <c r="K80" s="22">
        <f t="shared" ref="K80:K84" si="181">(C79+D79+E79+G79+I79+K79)*0.005</f>
        <v>18.455349999999999</v>
      </c>
      <c r="L80" s="22">
        <f t="shared" ref="L80:L84" si="182">(C79+D79+E79+G79+I79+K79+L79)*0.005</f>
        <v>18.455349999999999</v>
      </c>
      <c r="M80" s="22">
        <f t="shared" ref="M80:M84" si="183">(C79+D79+E79+G79+I79+K79+L79+M79)*0.005</f>
        <v>18.455349999999999</v>
      </c>
      <c r="N80" s="22">
        <f t="shared" ref="N80:N84" si="184">(C79+D79+E79+G79+I79+K79+L79+M79+N79)*0.005</f>
        <v>18.455349999999999</v>
      </c>
      <c r="O80" s="22">
        <f t="shared" ref="O80:O84" si="185">(C79+D79+E79+G79+I79+K79+L79+M79+N79+O79)*0.005</f>
        <v>18.455349999999999</v>
      </c>
      <c r="P80" s="22">
        <f t="shared" ref="P80:P84" si="186">(C79+D79+E79+G79+I79+K79+L79+M79+N79+O79+P79)*0.005</f>
        <v>18.455349999999999</v>
      </c>
      <c r="Q80" s="22"/>
      <c r="R80" s="22">
        <f t="shared" ref="R80:R84" si="187">(C79+D79+E79+G79+I79+K79+L79+M79+N79+O79+P79+R79)*0.005</f>
        <v>18.455349999999999</v>
      </c>
      <c r="S80" s="22">
        <f t="shared" ref="S80:S84" si="188">(C79+D79+E79+G79+I79+K79+L79+M79+N79+O79+P79+R79+S79)*0.005</f>
        <v>18.455349999999999</v>
      </c>
      <c r="T80" s="22"/>
      <c r="U80" s="173"/>
      <c r="V80" s="88"/>
      <c r="W80" s="88"/>
      <c r="X80" s="88"/>
    </row>
    <row r="81" spans="1:26">
      <c r="A81" s="187">
        <v>36</v>
      </c>
      <c r="B81" s="20" t="s">
        <v>195</v>
      </c>
      <c r="C81" s="161">
        <f>1045+62.7</f>
        <v>1107.7</v>
      </c>
      <c r="D81" s="25"/>
      <c r="E81" s="25"/>
      <c r="F81" s="25"/>
      <c r="G81" s="22"/>
      <c r="H81" s="22"/>
      <c r="I81" s="32"/>
      <c r="J81" s="22"/>
      <c r="K81" s="25"/>
      <c r="L81" s="22"/>
      <c r="M81" s="22"/>
      <c r="N81" s="22"/>
      <c r="O81" s="25"/>
      <c r="P81" s="22">
        <v>0</v>
      </c>
      <c r="Q81" s="22"/>
      <c r="R81" s="22">
        <v>0</v>
      </c>
      <c r="S81" s="22"/>
      <c r="T81" s="22"/>
      <c r="U81" s="173">
        <f>C81+D81+E81+G81+I81+K81+L81+M81+N81+O81+P81+R81+S81</f>
        <v>1107.7</v>
      </c>
      <c r="V81" s="22">
        <f t="shared" si="174"/>
        <v>92.308333333333294</v>
      </c>
      <c r="W81" s="22">
        <f t="shared" si="175"/>
        <v>66.462000000000003</v>
      </c>
      <c r="X81" s="22">
        <f t="shared" si="176"/>
        <v>1174.162</v>
      </c>
      <c r="Z81" s="2"/>
    </row>
    <row r="82" spans="1:26" ht="15" customHeight="1">
      <c r="A82" s="162"/>
      <c r="B82" s="20"/>
      <c r="C82" s="163" t="s">
        <v>152</v>
      </c>
      <c r="D82" s="22">
        <f t="shared" si="177"/>
        <v>5.5385</v>
      </c>
      <c r="E82" s="22">
        <f t="shared" si="178"/>
        <v>5.5385</v>
      </c>
      <c r="F82" s="22"/>
      <c r="G82" s="22">
        <f t="shared" si="179"/>
        <v>5.5385</v>
      </c>
      <c r="H82" s="22"/>
      <c r="I82" s="22">
        <f t="shared" si="180"/>
        <v>5.5385</v>
      </c>
      <c r="J82" s="22"/>
      <c r="K82" s="22">
        <f t="shared" si="181"/>
        <v>5.5385</v>
      </c>
      <c r="L82" s="22">
        <f t="shared" si="182"/>
        <v>5.5385</v>
      </c>
      <c r="M82" s="22">
        <f t="shared" si="183"/>
        <v>5.5385</v>
      </c>
      <c r="N82" s="22">
        <f t="shared" si="184"/>
        <v>5.5385</v>
      </c>
      <c r="O82" s="22">
        <f t="shared" si="185"/>
        <v>5.5385</v>
      </c>
      <c r="P82" s="22">
        <f t="shared" si="186"/>
        <v>5.5385</v>
      </c>
      <c r="Q82" s="22"/>
      <c r="R82" s="22">
        <f t="shared" si="187"/>
        <v>5.5385</v>
      </c>
      <c r="S82" s="22">
        <f t="shared" si="188"/>
        <v>5.5385</v>
      </c>
      <c r="T82" s="22"/>
      <c r="U82" s="173"/>
      <c r="V82" s="88"/>
      <c r="W82" s="88"/>
      <c r="X82" s="88"/>
    </row>
    <row r="83" spans="1:26" ht="16.95" customHeight="1">
      <c r="A83" s="187">
        <v>37</v>
      </c>
      <c r="B83" s="20" t="s">
        <v>196</v>
      </c>
      <c r="C83" s="161">
        <f>2091.76+123.01</f>
        <v>2214.77</v>
      </c>
      <c r="D83" s="188"/>
      <c r="E83" s="188">
        <v>500</v>
      </c>
      <c r="F83" s="25"/>
      <c r="G83" s="22"/>
      <c r="H83" s="22"/>
      <c r="I83" s="164">
        <v>500</v>
      </c>
      <c r="J83" s="22"/>
      <c r="K83" s="25"/>
      <c r="L83" s="164">
        <v>500</v>
      </c>
      <c r="M83" s="22"/>
      <c r="N83" s="22"/>
      <c r="O83" s="25"/>
      <c r="P83" s="22">
        <v>0</v>
      </c>
      <c r="Q83" s="22"/>
      <c r="R83" s="22">
        <v>0</v>
      </c>
      <c r="S83" s="32"/>
      <c r="T83" s="22"/>
      <c r="U83" s="173">
        <f>C83+D83+E83+G83+I83+K83+L83+M83+N83+O83+P83+R83+S83</f>
        <v>3714.77</v>
      </c>
      <c r="V83" s="22">
        <f t="shared" si="174"/>
        <v>309.56416666666701</v>
      </c>
      <c r="W83" s="22">
        <f t="shared" si="175"/>
        <v>200.3862</v>
      </c>
      <c r="X83" s="22">
        <f t="shared" si="176"/>
        <v>3915.1561999999999</v>
      </c>
      <c r="Z83" s="2"/>
    </row>
    <row r="84" spans="1:26" ht="15" customHeight="1">
      <c r="A84" s="162"/>
      <c r="B84" s="20"/>
      <c r="C84" s="163" t="s">
        <v>152</v>
      </c>
      <c r="D84" s="22">
        <f t="shared" si="177"/>
        <v>11.07385</v>
      </c>
      <c r="E84" s="22">
        <f t="shared" si="178"/>
        <v>13.57385</v>
      </c>
      <c r="F84" s="22"/>
      <c r="G84" s="22">
        <f t="shared" si="179"/>
        <v>13.57385</v>
      </c>
      <c r="H84" s="22"/>
      <c r="I84" s="22">
        <f t="shared" si="180"/>
        <v>16.07385</v>
      </c>
      <c r="J84" s="22"/>
      <c r="K84" s="22">
        <f t="shared" si="181"/>
        <v>16.07385</v>
      </c>
      <c r="L84" s="22">
        <f t="shared" si="182"/>
        <v>18.57385</v>
      </c>
      <c r="M84" s="22">
        <f t="shared" si="183"/>
        <v>18.57385</v>
      </c>
      <c r="N84" s="22">
        <f t="shared" si="184"/>
        <v>18.57385</v>
      </c>
      <c r="O84" s="22">
        <f t="shared" si="185"/>
        <v>18.57385</v>
      </c>
      <c r="P84" s="22">
        <f t="shared" si="186"/>
        <v>18.57385</v>
      </c>
      <c r="Q84" s="22"/>
      <c r="R84" s="22">
        <f t="shared" si="187"/>
        <v>18.57385</v>
      </c>
      <c r="S84" s="22">
        <f t="shared" si="188"/>
        <v>18.57385</v>
      </c>
      <c r="T84" s="22"/>
      <c r="U84" s="173"/>
      <c r="V84" s="88"/>
      <c r="W84" s="88"/>
      <c r="X84" s="88"/>
    </row>
    <row r="85" spans="1:26" ht="15" customHeight="1">
      <c r="A85" s="162">
        <v>38</v>
      </c>
      <c r="B85" s="20" t="s">
        <v>197</v>
      </c>
      <c r="C85" s="161">
        <f>40+1.2</f>
        <v>41.2</v>
      </c>
      <c r="D85" s="188"/>
      <c r="E85" s="188">
        <v>500</v>
      </c>
      <c r="F85" s="25"/>
      <c r="G85" s="22"/>
      <c r="H85" s="22"/>
      <c r="I85" s="22"/>
      <c r="J85" s="22"/>
      <c r="K85" s="25"/>
      <c r="L85" s="32">
        <v>500</v>
      </c>
      <c r="M85" s="22"/>
      <c r="N85" s="22"/>
      <c r="O85" s="25"/>
      <c r="P85" s="22">
        <v>0</v>
      </c>
      <c r="Q85" s="22"/>
      <c r="R85" s="22">
        <v>0</v>
      </c>
      <c r="S85" s="32"/>
      <c r="T85" s="22"/>
      <c r="U85" s="173">
        <f>C85+D85+E85+G85+I85+K85+L85+M85+N85+O85+P85+R85+S85</f>
        <v>1041.2</v>
      </c>
      <c r="V85" s="22">
        <f t="shared" ref="V85" si="189">U85/12</f>
        <v>86.766666666666694</v>
      </c>
      <c r="W85" s="22">
        <f t="shared" ref="W85" si="190">D86+E86+G86+I86+K86+L86+M86+N86+O86+P86+R86+S86</f>
        <v>47.472000000000001</v>
      </c>
      <c r="X85" s="22">
        <f t="shared" ref="X85" si="191">U85+W85</f>
        <v>1088.672</v>
      </c>
    </row>
    <row r="86" spans="1:26" ht="15" customHeight="1">
      <c r="A86" s="162"/>
      <c r="B86" s="20"/>
      <c r="C86" s="163" t="s">
        <v>152</v>
      </c>
      <c r="D86" s="22">
        <f t="shared" ref="D86" si="192">(C85+D85)*0.005</f>
        <v>0.20599999999999999</v>
      </c>
      <c r="E86" s="22">
        <f t="shared" ref="E86" si="193">(C85+D85+E85)*0.005</f>
        <v>2.706</v>
      </c>
      <c r="F86" s="22"/>
      <c r="G86" s="22">
        <f t="shared" ref="G86" si="194">(+C85+D85+E85+G85)*0.005</f>
        <v>2.706</v>
      </c>
      <c r="H86" s="22"/>
      <c r="I86" s="22">
        <f t="shared" ref="I86" si="195">(C85+D85+E85+G85+I85)*0.005</f>
        <v>2.706</v>
      </c>
      <c r="J86" s="22"/>
      <c r="K86" s="22">
        <f t="shared" ref="K86" si="196">(C85+D85+E85+G85+I85+K85)*0.005</f>
        <v>2.706</v>
      </c>
      <c r="L86" s="22">
        <f t="shared" ref="L86" si="197">(C85+D85+E85+G85+I85+K85+L85)*0.005</f>
        <v>5.2060000000000004</v>
      </c>
      <c r="M86" s="22">
        <f t="shared" ref="M86" si="198">(C85+D85+E85+G85+I85+K85+L85+M85)*0.005</f>
        <v>5.2060000000000004</v>
      </c>
      <c r="N86" s="22">
        <f t="shared" ref="N86" si="199">(C85+D85+E85+G85+I85+K85+L85+M85+N85)*0.005</f>
        <v>5.2060000000000004</v>
      </c>
      <c r="O86" s="22">
        <f t="shared" ref="O86" si="200">(C85+D85+E85+G85+I85+K85+L85+M85+N85+O85)*0.005</f>
        <v>5.2060000000000004</v>
      </c>
      <c r="P86" s="22">
        <f t="shared" ref="P86" si="201">(C85+D85+E85+G85+I85+K85+L85+M85+N85+O85+P85)*0.005</f>
        <v>5.2060000000000004</v>
      </c>
      <c r="Q86" s="22"/>
      <c r="R86" s="22">
        <f t="shared" ref="R86" si="202">(C85+D85+E85+G85+I85+K85+L85+M85+N85+O85+P85+R85)*0.005</f>
        <v>5.2060000000000004</v>
      </c>
      <c r="S86" s="22">
        <f t="shared" ref="S86" si="203">(C85+D85+E85+G85+I85+K85+L85+M85+N85+O85+P85+R85+S85)*0.005</f>
        <v>5.2060000000000004</v>
      </c>
      <c r="T86" s="22"/>
      <c r="U86" s="173"/>
      <c r="V86" s="88"/>
      <c r="W86" s="88"/>
      <c r="X86" s="88"/>
    </row>
    <row r="87" spans="1:26" ht="17.55" customHeight="1">
      <c r="A87" s="162">
        <v>39</v>
      </c>
      <c r="B87" s="20" t="s">
        <v>198</v>
      </c>
      <c r="C87" s="161">
        <f>150+3.75</f>
        <v>153.75</v>
      </c>
      <c r="D87" s="188"/>
      <c r="E87" s="188">
        <v>500</v>
      </c>
      <c r="F87" s="25"/>
      <c r="G87" s="22"/>
      <c r="H87" s="22"/>
      <c r="I87" s="22"/>
      <c r="J87" s="22"/>
      <c r="K87" s="25"/>
      <c r="L87" s="32">
        <v>500</v>
      </c>
      <c r="M87" s="22"/>
      <c r="N87" s="22"/>
      <c r="O87" s="25"/>
      <c r="P87" s="22">
        <v>0</v>
      </c>
      <c r="Q87" s="22"/>
      <c r="R87" s="22">
        <v>0</v>
      </c>
      <c r="S87" s="32"/>
      <c r="T87" s="22"/>
      <c r="U87" s="173">
        <f>C87+D87+E87+G87+I87+K87+L87+M87+N87+O87+P87+R87+S87</f>
        <v>1153.75</v>
      </c>
      <c r="V87" s="22">
        <f t="shared" ref="V87" si="204">U87/12</f>
        <v>96.1458333333333</v>
      </c>
      <c r="W87" s="22">
        <f>D88+E88+G88+I88+K88+L88+M88+N88+O88+P88+R88+S88</f>
        <v>54.225000000000001</v>
      </c>
      <c r="X87" s="22">
        <f t="shared" ref="X87" si="205">U87+W87</f>
        <v>1207.9749999999999</v>
      </c>
    </row>
    <row r="88" spans="1:26" ht="17.55" customHeight="1">
      <c r="A88" s="162"/>
      <c r="B88" s="20"/>
      <c r="C88" s="163" t="s">
        <v>152</v>
      </c>
      <c r="D88" s="22">
        <f t="shared" ref="D88" si="206">(C87+D87)*0.005</f>
        <v>0.76875000000000004</v>
      </c>
      <c r="E88" s="22">
        <f t="shared" ref="E88" si="207">(C87+D87+E87)*0.005</f>
        <v>3.2687499999999998</v>
      </c>
      <c r="F88" s="22"/>
      <c r="G88" s="22">
        <f t="shared" ref="G88" si="208">(+C87+D87+E87+G87)*0.005</f>
        <v>3.2687499999999998</v>
      </c>
      <c r="H88" s="22"/>
      <c r="I88" s="22">
        <f t="shared" ref="I88" si="209">(C87+D87+E87+G87+I87)*0.005</f>
        <v>3.2687499999999998</v>
      </c>
      <c r="J88" s="22"/>
      <c r="K88" s="22">
        <f t="shared" ref="K88" si="210">(C87+D87+E87+G87+I87+K87)*0.005</f>
        <v>3.2687499999999998</v>
      </c>
      <c r="L88" s="22">
        <f t="shared" ref="L88" si="211">(C87+D87+E87+G87+I87+K87+L87)*0.005</f>
        <v>5.7687499999999998</v>
      </c>
      <c r="M88" s="22">
        <f t="shared" ref="M88" si="212">(C87+D87+E87+G87+I87+K87+L87+M87)*0.005</f>
        <v>5.7687499999999998</v>
      </c>
      <c r="N88" s="22">
        <f t="shared" ref="N88" si="213">(C87+D87+E87+G87+I87+K87+L87+M87+N87)*0.005</f>
        <v>5.7687499999999998</v>
      </c>
      <c r="O88" s="22">
        <f t="shared" ref="O88" si="214">(C87+D87+E87+G87+I87+K87+L87+M87+N87+O87)*0.005</f>
        <v>5.7687499999999998</v>
      </c>
      <c r="P88" s="22">
        <f t="shared" ref="P88" si="215">(C87+D87+E87+G87+I87+K87+L87+M87+N87+O87+P87)*0.005</f>
        <v>5.7687499999999998</v>
      </c>
      <c r="Q88" s="22"/>
      <c r="R88" s="22">
        <f t="shared" ref="R88" si="216">(C87+D87+E87+G87+I87+K87+L87+M87+N87+O87+P87+R87)*0.005</f>
        <v>5.7687499999999998</v>
      </c>
      <c r="S88" s="22">
        <f t="shared" ref="S88" si="217">(C87+D87+E87+G87+I87+K87+L87+M87+N87+O87+P87+R87+S87)*0.005</f>
        <v>5.7687499999999998</v>
      </c>
      <c r="T88" s="22"/>
      <c r="U88" s="173"/>
      <c r="V88" s="88"/>
      <c r="W88" s="88"/>
      <c r="X88" s="88"/>
    </row>
    <row r="89" spans="1:26" ht="17.55" customHeight="1">
      <c r="A89" s="162"/>
      <c r="B89" s="20" t="s">
        <v>134</v>
      </c>
      <c r="C89" s="161"/>
      <c r="D89" s="188"/>
      <c r="E89" s="188"/>
      <c r="F89" s="25"/>
      <c r="G89" s="22"/>
      <c r="H89" s="22"/>
      <c r="I89" s="22"/>
      <c r="J89" s="22"/>
      <c r="K89" s="25"/>
      <c r="L89" s="32"/>
      <c r="M89" s="22"/>
      <c r="N89" s="22"/>
      <c r="O89" s="25"/>
      <c r="P89" s="22">
        <v>0</v>
      </c>
      <c r="Q89" s="22"/>
      <c r="R89" s="22">
        <v>0</v>
      </c>
      <c r="S89" s="164">
        <v>500</v>
      </c>
      <c r="T89" s="22"/>
      <c r="U89" s="173">
        <f>C89+D89+E89+G89+I89+K89+L89+M89+N89+O89+P89+R89+S89</f>
        <v>500</v>
      </c>
      <c r="V89" s="22">
        <f t="shared" ref="V89" si="218">U89/12</f>
        <v>41.6666666666667</v>
      </c>
      <c r="W89" s="22">
        <f>D90+E90+G90+I90+K90+L90+M90+N90+O90+P90+R90+S90</f>
        <v>2.5</v>
      </c>
      <c r="X89" s="22">
        <f t="shared" ref="X89" si="219">U89+W89</f>
        <v>502.5</v>
      </c>
    </row>
    <row r="90" spans="1:26" ht="17.55" customHeight="1">
      <c r="A90" s="162"/>
      <c r="B90" s="20"/>
      <c r="C90" s="163" t="s">
        <v>152</v>
      </c>
      <c r="D90" s="22">
        <f t="shared" ref="D90" si="220">(C89+D89)*0.005</f>
        <v>0</v>
      </c>
      <c r="E90" s="22">
        <f t="shared" ref="E90" si="221">(C89+D89+E89)*0.005</f>
        <v>0</v>
      </c>
      <c r="F90" s="22"/>
      <c r="G90" s="22">
        <f t="shared" ref="G90" si="222">(+C89+D89+E89+G89)*0.005</f>
        <v>0</v>
      </c>
      <c r="H90" s="22"/>
      <c r="I90" s="22">
        <f t="shared" ref="I90" si="223">(C89+D89+E89+G89+I89)*0.005</f>
        <v>0</v>
      </c>
      <c r="J90" s="22"/>
      <c r="K90" s="22">
        <f t="shared" ref="K90" si="224">(C89+D89+E89+G89+I89+K89)*0.005</f>
        <v>0</v>
      </c>
      <c r="L90" s="22">
        <f t="shared" ref="L90" si="225">(C89+D89+E89+G89+I89+K89+L89)*0.005</f>
        <v>0</v>
      </c>
      <c r="M90" s="22">
        <f t="shared" ref="M90" si="226">(C89+D89+E89+G89+I89+K89+L89+M89)*0.005</f>
        <v>0</v>
      </c>
      <c r="N90" s="22">
        <f t="shared" ref="N90" si="227">(C89+D89+E89+G89+I89+K89+L89+M89+N89)*0.005</f>
        <v>0</v>
      </c>
      <c r="O90" s="22">
        <f t="shared" ref="O90" si="228">(C89+D89+E89+G89+I89+K89+L89+M89+N89+O89)*0.005</f>
        <v>0</v>
      </c>
      <c r="P90" s="22">
        <f t="shared" ref="P90" si="229">(C89+D89+E89+G89+I89+K89+L89+M89+N89+O89+P89)*0.005</f>
        <v>0</v>
      </c>
      <c r="Q90" s="22"/>
      <c r="R90" s="22">
        <f t="shared" ref="R90" si="230">(C89+D89+E89+G89+I89+K89+L89+M89+N89+O89+P89+R89)*0.005</f>
        <v>0</v>
      </c>
      <c r="S90" s="22">
        <f t="shared" ref="S90" si="231">(C89+D89+E89+G89+I89+K89+L89+M89+N89+O89+P89+R89+S89)*0.005</f>
        <v>2.5</v>
      </c>
      <c r="T90" s="22"/>
      <c r="U90" s="173"/>
      <c r="V90" s="88"/>
      <c r="W90" s="88"/>
      <c r="X90" s="88"/>
    </row>
    <row r="91" spans="1:26" ht="17.55" customHeight="1">
      <c r="A91" s="162"/>
      <c r="B91" s="20"/>
      <c r="C91" s="163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173"/>
      <c r="V91" s="88"/>
      <c r="W91" s="88"/>
      <c r="X91" s="88"/>
    </row>
    <row r="92" spans="1:26">
      <c r="A92" s="189"/>
      <c r="B92" s="190" t="s">
        <v>120</v>
      </c>
      <c r="C92" s="191">
        <f>SUM(C10:C79)</f>
        <v>72533.37</v>
      </c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1">
        <f t="shared" ref="U92:X92" si="232">SUM(U10:U79)</f>
        <v>77298.137400000007</v>
      </c>
      <c r="V92" s="194">
        <f t="shared" si="232"/>
        <v>6441.51145</v>
      </c>
      <c r="W92" s="195">
        <f t="shared" si="232"/>
        <v>4569.5021999999999</v>
      </c>
      <c r="X92" s="196">
        <f t="shared" si="232"/>
        <v>81867.639599999995</v>
      </c>
    </row>
    <row r="94" spans="1:26">
      <c r="A94" t="s">
        <v>121</v>
      </c>
      <c r="E94" t="s">
        <v>122</v>
      </c>
      <c r="N94" t="s">
        <v>123</v>
      </c>
      <c r="U94" t="s">
        <v>124</v>
      </c>
    </row>
    <row r="97" spans="1:32">
      <c r="B97" s="107" t="s">
        <v>125</v>
      </c>
      <c r="G97" s="107" t="s">
        <v>126</v>
      </c>
      <c r="H97" s="107"/>
      <c r="O97" s="308" t="s">
        <v>167</v>
      </c>
      <c r="P97" s="308"/>
      <c r="Q97" s="308"/>
      <c r="R97" s="308"/>
      <c r="V97" s="308" t="s">
        <v>168</v>
      </c>
      <c r="W97" s="308"/>
      <c r="X97" s="308"/>
    </row>
    <row r="98" spans="1:32">
      <c r="B98" t="s">
        <v>169</v>
      </c>
      <c r="G98" s="313" t="s">
        <v>129</v>
      </c>
      <c r="H98" s="313"/>
      <c r="I98" s="313"/>
      <c r="J98" s="313"/>
      <c r="K98" s="313"/>
      <c r="O98" s="311" t="s">
        <v>170</v>
      </c>
      <c r="P98" s="311"/>
      <c r="Q98" s="311"/>
      <c r="R98" s="311"/>
      <c r="V98" s="313" t="s">
        <v>131</v>
      </c>
      <c r="W98" s="313"/>
      <c r="X98" s="313"/>
    </row>
    <row r="101" spans="1:32">
      <c r="X101" s="3" t="s">
        <v>171</v>
      </c>
    </row>
    <row r="105" spans="1:32">
      <c r="U105" t="s">
        <v>172</v>
      </c>
      <c r="V105">
        <f>18</f>
        <v>18</v>
      </c>
      <c r="W105" s="314">
        <f>X10+X14+X16+X18+X20+X22+X24+X26+X28+X30+X32+X34+X38+X43+X45+X53+X65+X36+X55+X57+X59+X61</f>
        <v>55546.206599999998</v>
      </c>
      <c r="X105" s="314"/>
    </row>
    <row r="106" spans="1:32" s="4" customForma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 s="102" t="s">
        <v>173</v>
      </c>
      <c r="V106" s="102">
        <v>11</v>
      </c>
      <c r="W106" s="306">
        <f>X12+X47+X49+X51+X55+X57+X59+X61+X63+X67</f>
        <v>24342.423599999998</v>
      </c>
      <c r="X106" s="306"/>
      <c r="Z106"/>
      <c r="AA106"/>
      <c r="AB106"/>
      <c r="AC106"/>
      <c r="AD106"/>
      <c r="AE106"/>
      <c r="AF106"/>
    </row>
    <row r="107" spans="1:32" s="4" customForma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>
        <f>V105+V106</f>
        <v>29</v>
      </c>
      <c r="W107" s="307">
        <f>W105+W106</f>
        <v>79888.6302</v>
      </c>
      <c r="X107" s="307"/>
      <c r="Z107"/>
      <c r="AA107"/>
      <c r="AB107"/>
      <c r="AC107"/>
      <c r="AD107"/>
      <c r="AE107"/>
      <c r="AF107"/>
    </row>
    <row r="111" spans="1:32" s="4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 t="s">
        <v>174</v>
      </c>
      <c r="Z111"/>
      <c r="AA111"/>
      <c r="AB111"/>
      <c r="AC111"/>
      <c r="AD111"/>
      <c r="AE111"/>
      <c r="AF111"/>
    </row>
    <row r="113" spans="1:32" s="4" customForma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 s="50"/>
      <c r="V113"/>
      <c r="W113"/>
      <c r="X113"/>
      <c r="Z113"/>
      <c r="AA113"/>
      <c r="AB113"/>
      <c r="AC113"/>
      <c r="AD113"/>
      <c r="AE113"/>
      <c r="AF113"/>
    </row>
  </sheetData>
  <mergeCells count="14">
    <mergeCell ref="W105:X105"/>
    <mergeCell ref="W106:X106"/>
    <mergeCell ref="W107:X107"/>
    <mergeCell ref="A9:B9"/>
    <mergeCell ref="O97:R97"/>
    <mergeCell ref="V97:X97"/>
    <mergeCell ref="G98:K98"/>
    <mergeCell ref="O98:R98"/>
    <mergeCell ref="V98:X98"/>
    <mergeCell ref="A2:X2"/>
    <mergeCell ref="A3:X3"/>
    <mergeCell ref="A4:X4"/>
    <mergeCell ref="A6:X6"/>
    <mergeCell ref="A7:X7"/>
  </mergeCells>
  <pageMargins left="0.25" right="0.25" top="0.25" bottom="0.25" header="0.3" footer="0.3"/>
  <pageSetup paperSize="5"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F113"/>
  <sheetViews>
    <sheetView topLeftCell="A39" zoomScale="112" zoomScaleNormal="112" workbookViewId="0">
      <selection activeCell="Z96" sqref="Z96"/>
    </sheetView>
  </sheetViews>
  <sheetFormatPr defaultColWidth="9" defaultRowHeight="14.4"/>
  <cols>
    <col min="1" max="1" width="3.5546875" customWidth="1"/>
    <col min="2" max="2" width="20.33203125" customWidth="1"/>
    <col min="3" max="3" width="10.5546875" customWidth="1"/>
    <col min="4" max="4" width="7.77734375" customWidth="1"/>
    <col min="5" max="6" width="7.5546875" customWidth="1"/>
    <col min="7" max="8" width="7.44140625" customWidth="1"/>
    <col min="9" max="11" width="7.77734375" customWidth="1"/>
    <col min="12" max="12" width="8" customWidth="1"/>
    <col min="13" max="14" width="7.5546875" customWidth="1"/>
    <col min="15" max="15" width="7.77734375" customWidth="1"/>
    <col min="16" max="16" width="6.5546875" customWidth="1"/>
    <col min="17" max="17" width="8.21875" customWidth="1"/>
    <col min="18" max="18" width="8.5546875" customWidth="1"/>
    <col min="19" max="20" width="8.21875" customWidth="1"/>
    <col min="21" max="21" width="8.77734375" customWidth="1"/>
    <col min="22" max="22" width="8.44140625" customWidth="1"/>
    <col min="23" max="23" width="7.77734375" customWidth="1"/>
    <col min="24" max="24" width="8.44140625" customWidth="1"/>
    <col min="25" max="25" width="9" style="4"/>
  </cols>
  <sheetData>
    <row r="2" spans="1:32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</row>
    <row r="3" spans="1:32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</row>
    <row r="4" spans="1:32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</row>
    <row r="5" spans="1:32">
      <c r="B5" s="9"/>
      <c r="C5" s="9"/>
      <c r="D5" s="157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8"/>
      <c r="Z5" s="9"/>
      <c r="AA5" s="9"/>
      <c r="AB5" s="9"/>
      <c r="AC5" s="9"/>
      <c r="AD5" s="9"/>
      <c r="AE5" s="9"/>
      <c r="AF5" s="9"/>
    </row>
    <row r="6" spans="1:32" ht="18">
      <c r="A6" s="316" t="s">
        <v>144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</row>
    <row r="7" spans="1:32">
      <c r="A7" s="313" t="s">
        <v>140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</row>
    <row r="8" spans="1:32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32" s="1" customFormat="1" ht="28.5" customHeight="1">
      <c r="A9" s="317" t="s">
        <v>5</v>
      </c>
      <c r="B9" s="318"/>
      <c r="C9" s="159" t="s">
        <v>179</v>
      </c>
      <c r="D9" s="158" t="s">
        <v>7</v>
      </c>
      <c r="E9" s="158" t="s">
        <v>8</v>
      </c>
      <c r="F9" s="158" t="s">
        <v>133</v>
      </c>
      <c r="G9" s="158" t="s">
        <v>9</v>
      </c>
      <c r="H9" s="158" t="s">
        <v>133</v>
      </c>
      <c r="I9" s="158" t="s">
        <v>10</v>
      </c>
      <c r="J9" s="158" t="s">
        <v>133</v>
      </c>
      <c r="K9" s="158" t="s">
        <v>11</v>
      </c>
      <c r="L9" s="158" t="s">
        <v>12</v>
      </c>
      <c r="M9" s="158" t="s">
        <v>13</v>
      </c>
      <c r="N9" s="158" t="s">
        <v>14</v>
      </c>
      <c r="O9" s="158" t="s">
        <v>15</v>
      </c>
      <c r="P9" s="158" t="s">
        <v>16</v>
      </c>
      <c r="Q9" s="158" t="s">
        <v>194</v>
      </c>
      <c r="R9" s="158" t="s">
        <v>17</v>
      </c>
      <c r="S9" s="158" t="s">
        <v>18</v>
      </c>
      <c r="T9" s="158" t="s">
        <v>133</v>
      </c>
      <c r="U9" s="158" t="s">
        <v>147</v>
      </c>
      <c r="V9" s="158" t="s">
        <v>148</v>
      </c>
      <c r="W9" s="133" t="s">
        <v>149</v>
      </c>
      <c r="X9" s="133" t="s">
        <v>150</v>
      </c>
      <c r="Y9" s="177"/>
    </row>
    <row r="10" spans="1:32" s="2" customFormat="1">
      <c r="A10" s="160">
        <v>1</v>
      </c>
      <c r="B10" s="16" t="s">
        <v>26</v>
      </c>
      <c r="C10" s="161">
        <f>393.9+23.63</f>
        <v>417.53</v>
      </c>
      <c r="D10" s="18"/>
      <c r="E10" s="18"/>
      <c r="F10" s="25"/>
      <c r="G10" s="22"/>
      <c r="H10" s="22"/>
      <c r="I10" s="18"/>
      <c r="J10" s="25"/>
      <c r="K10" s="22"/>
      <c r="L10" s="22"/>
      <c r="M10" s="22"/>
      <c r="N10" s="18"/>
      <c r="O10" s="22"/>
      <c r="P10" s="22"/>
      <c r="Q10" s="22"/>
      <c r="R10" s="22"/>
      <c r="S10" s="18"/>
      <c r="T10" s="25"/>
      <c r="U10" s="46">
        <f t="shared" ref="U10:U14" si="0">C10+D10+E10+G10+I10+K10+L10+M10+N10+O10+P10+R10+S10</f>
        <v>417.53</v>
      </c>
      <c r="V10" s="22">
        <f t="shared" ref="V10:V14" si="1">U10/12</f>
        <v>34.794166666666698</v>
      </c>
      <c r="W10" s="22">
        <f t="shared" ref="W10:W14" si="2">D11+E11+G11+I11+K11+L11+M11+N11+O11+P11+R11+S11</f>
        <v>25.0518</v>
      </c>
      <c r="X10" s="22">
        <f t="shared" ref="X10:X14" si="3">U10+W10</f>
        <v>442.58179999999999</v>
      </c>
      <c r="Y10" s="178"/>
    </row>
    <row r="11" spans="1:32" s="2" customFormat="1">
      <c r="A11" s="162"/>
      <c r="B11" s="20"/>
      <c r="C11" s="163" t="s">
        <v>152</v>
      </c>
      <c r="D11" s="22">
        <f t="shared" ref="D11:D15" si="4">(C10+D10)*0.005</f>
        <v>2.08765</v>
      </c>
      <c r="E11" s="22">
        <f t="shared" ref="E11:E15" si="5">(C10+D10+E10)*0.005</f>
        <v>2.08765</v>
      </c>
      <c r="F11" s="22"/>
      <c r="G11" s="22">
        <f t="shared" ref="G11:G15" si="6">(+C10+D10+E10+G10)*0.005</f>
        <v>2.08765</v>
      </c>
      <c r="H11" s="22"/>
      <c r="I11" s="22">
        <f t="shared" ref="I11:I15" si="7">(C10+D10+E10+G10+I10)*0.005</f>
        <v>2.08765</v>
      </c>
      <c r="J11" s="22"/>
      <c r="K11" s="22">
        <f t="shared" ref="K11:K15" si="8">(C10+D10+E10+G10+I10+K10)*0.005</f>
        <v>2.08765</v>
      </c>
      <c r="L11" s="22">
        <f t="shared" ref="L11:L15" si="9">(C10+D10+E10+G10+I10+K10+L10)*0.005</f>
        <v>2.08765</v>
      </c>
      <c r="M11" s="22">
        <f t="shared" ref="M11:M15" si="10">(C10+D10+E10+G10+I10+K10+L10+M10)*0.005</f>
        <v>2.08765</v>
      </c>
      <c r="N11" s="22">
        <f t="shared" ref="N11:N15" si="11">(C10+D10+E10+G10+I10+K10+L10+M10+N10)*0.005</f>
        <v>2.08765</v>
      </c>
      <c r="O11" s="22">
        <f t="shared" ref="O11:O15" si="12">(C10+D10+E10+G10+I10+K10+L10+M10+N10+O10)*0.005</f>
        <v>2.08765</v>
      </c>
      <c r="P11" s="22">
        <f t="shared" ref="P11:P15" si="13">(C10+D10+E10+G10+I10+K10+L10+M10+N10+O10+P10)*0.005</f>
        <v>2.08765</v>
      </c>
      <c r="Q11" s="22"/>
      <c r="R11" s="22">
        <f t="shared" ref="R11:R15" si="14">(C10+D10+E10+G10+I10+K10+L10+M10+N10+O10+P10+R10)*0.005</f>
        <v>2.08765</v>
      </c>
      <c r="S11" s="22">
        <f t="shared" ref="S11:S15" si="15">(C10+D10+E10+G10+I10+K10+L10+M10+N10+O10+P10+R10+S10)*0.005</f>
        <v>2.08765</v>
      </c>
      <c r="T11" s="22"/>
      <c r="U11" s="46"/>
      <c r="V11" s="22"/>
      <c r="W11" s="22"/>
      <c r="X11" s="22"/>
      <c r="Y11" s="178"/>
    </row>
    <row r="12" spans="1:32">
      <c r="A12" s="162">
        <v>2</v>
      </c>
      <c r="B12" s="20" t="s">
        <v>27</v>
      </c>
      <c r="C12" s="161">
        <f>1199.36+71.96</f>
        <v>1271.32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46">
        <f t="shared" si="0"/>
        <v>1271.32</v>
      </c>
      <c r="V12" s="22">
        <f t="shared" si="1"/>
        <v>105.943333333333</v>
      </c>
      <c r="W12" s="22">
        <f t="shared" si="2"/>
        <v>76.279200000000003</v>
      </c>
      <c r="X12" s="22">
        <f t="shared" si="3"/>
        <v>1347.5992000000001</v>
      </c>
      <c r="Z12" s="2"/>
    </row>
    <row r="13" spans="1:32">
      <c r="A13" s="162"/>
      <c r="B13" s="20"/>
      <c r="C13" s="163" t="s">
        <v>152</v>
      </c>
      <c r="D13" s="22">
        <f t="shared" si="4"/>
        <v>6.3566000000000003</v>
      </c>
      <c r="E13" s="22">
        <f t="shared" si="5"/>
        <v>6.3566000000000003</v>
      </c>
      <c r="F13" s="22"/>
      <c r="G13" s="22">
        <f t="shared" si="6"/>
        <v>6.3566000000000003</v>
      </c>
      <c r="H13" s="22"/>
      <c r="I13" s="22">
        <f t="shared" si="7"/>
        <v>6.3566000000000003</v>
      </c>
      <c r="J13" s="22"/>
      <c r="K13" s="22">
        <f t="shared" si="8"/>
        <v>6.3566000000000003</v>
      </c>
      <c r="L13" s="22">
        <f t="shared" si="9"/>
        <v>6.3566000000000003</v>
      </c>
      <c r="M13" s="22">
        <f t="shared" si="10"/>
        <v>6.3566000000000003</v>
      </c>
      <c r="N13" s="22">
        <f t="shared" si="11"/>
        <v>6.3566000000000003</v>
      </c>
      <c r="O13" s="22">
        <f t="shared" si="12"/>
        <v>6.3566000000000003</v>
      </c>
      <c r="P13" s="22">
        <f t="shared" si="13"/>
        <v>6.3566000000000003</v>
      </c>
      <c r="Q13" s="22"/>
      <c r="R13" s="22">
        <f t="shared" si="14"/>
        <v>6.3566000000000003</v>
      </c>
      <c r="S13" s="22">
        <f t="shared" si="15"/>
        <v>6.3566000000000003</v>
      </c>
      <c r="T13" s="22"/>
      <c r="U13" s="46"/>
      <c r="V13" s="22"/>
      <c r="W13" s="22"/>
      <c r="X13" s="22"/>
      <c r="Z13" s="2"/>
    </row>
    <row r="14" spans="1:32">
      <c r="A14" s="162">
        <v>3</v>
      </c>
      <c r="B14" s="27" t="s">
        <v>30</v>
      </c>
      <c r="C14" s="161">
        <f>3776.1+226.57</f>
        <v>4002.67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32"/>
      <c r="S14" s="22"/>
      <c r="T14" s="22"/>
      <c r="U14" s="46">
        <f t="shared" si="0"/>
        <v>4002.67</v>
      </c>
      <c r="V14" s="22">
        <f t="shared" si="1"/>
        <v>333.555833333333</v>
      </c>
      <c r="W14" s="22">
        <f t="shared" si="2"/>
        <v>240.1602</v>
      </c>
      <c r="X14" s="22">
        <f t="shared" si="3"/>
        <v>4242.8302000000003</v>
      </c>
      <c r="Z14" s="2"/>
    </row>
    <row r="15" spans="1:32">
      <c r="A15" s="162"/>
      <c r="B15" s="27"/>
      <c r="C15" s="163" t="s">
        <v>152</v>
      </c>
      <c r="D15" s="22">
        <f t="shared" si="4"/>
        <v>20.013349999999999</v>
      </c>
      <c r="E15" s="22">
        <f t="shared" si="5"/>
        <v>20.013349999999999</v>
      </c>
      <c r="F15" s="22"/>
      <c r="G15" s="22">
        <f t="shared" si="6"/>
        <v>20.013349999999999</v>
      </c>
      <c r="H15" s="22"/>
      <c r="I15" s="22">
        <f t="shared" si="7"/>
        <v>20.013349999999999</v>
      </c>
      <c r="J15" s="22"/>
      <c r="K15" s="22">
        <f t="shared" si="8"/>
        <v>20.013349999999999</v>
      </c>
      <c r="L15" s="22">
        <f t="shared" si="9"/>
        <v>20.013349999999999</v>
      </c>
      <c r="M15" s="22">
        <f t="shared" si="10"/>
        <v>20.013349999999999</v>
      </c>
      <c r="N15" s="22">
        <f t="shared" si="11"/>
        <v>20.013349999999999</v>
      </c>
      <c r="O15" s="22">
        <f t="shared" si="12"/>
        <v>20.013349999999999</v>
      </c>
      <c r="P15" s="22">
        <f t="shared" si="13"/>
        <v>20.013349999999999</v>
      </c>
      <c r="Q15" s="22"/>
      <c r="R15" s="22">
        <f t="shared" si="14"/>
        <v>20.013349999999999</v>
      </c>
      <c r="S15" s="22">
        <f t="shared" si="15"/>
        <v>20.013349999999999</v>
      </c>
      <c r="T15" s="22"/>
      <c r="U15" s="46"/>
      <c r="V15" s="22"/>
      <c r="W15" s="22"/>
      <c r="X15" s="22"/>
      <c r="Z15" s="2"/>
    </row>
    <row r="16" spans="1:32">
      <c r="A16" s="162">
        <v>4</v>
      </c>
      <c r="B16" s="20" t="s">
        <v>32</v>
      </c>
      <c r="C16" s="161">
        <v>18054.71</v>
      </c>
      <c r="D16" s="32"/>
      <c r="E16" s="32"/>
      <c r="F16" s="22"/>
      <c r="G16" s="164"/>
      <c r="H16" s="22"/>
      <c r="I16" s="22">
        <v>0</v>
      </c>
      <c r="J16" s="22"/>
      <c r="K16" s="22">
        <v>0</v>
      </c>
      <c r="L16" s="164"/>
      <c r="M16" s="22">
        <v>0</v>
      </c>
      <c r="N16" s="22">
        <v>0</v>
      </c>
      <c r="O16" s="22">
        <v>0</v>
      </c>
      <c r="P16" s="22">
        <v>0</v>
      </c>
      <c r="Q16" s="22"/>
      <c r="R16" s="22">
        <v>0</v>
      </c>
      <c r="S16" s="22">
        <v>0</v>
      </c>
      <c r="T16" s="32"/>
      <c r="U16" s="46">
        <f>C16+D16+E16+G16+I16+K16+L16+M16+N16+O16+P16+R16+S16-T16</f>
        <v>18054.71</v>
      </c>
      <c r="V16" s="22">
        <f t="shared" ref="V16:V20" si="16">U16/12</f>
        <v>1504.5591666666701</v>
      </c>
      <c r="W16" s="22">
        <f t="shared" ref="W16:W20" si="17">D17+E17+G17+I17+K17+L17+M17+N17+O17+P17+R17+S17</f>
        <v>1083.2826</v>
      </c>
      <c r="X16" s="22">
        <f t="shared" ref="X16:X20" si="18">U16+W16</f>
        <v>19137.992600000001</v>
      </c>
      <c r="Z16" s="179"/>
      <c r="AA16" s="2"/>
    </row>
    <row r="17" spans="1:27">
      <c r="A17" s="162"/>
      <c r="B17" s="20"/>
      <c r="C17" s="163" t="s">
        <v>152</v>
      </c>
      <c r="D17" s="22">
        <f t="shared" ref="D17:D21" si="19">(C16+D16)*0.005</f>
        <v>90.27355</v>
      </c>
      <c r="E17" s="22">
        <f t="shared" ref="E17:E21" si="20">(C16+D16+E16)*0.005</f>
        <v>90.27355</v>
      </c>
      <c r="F17" s="22"/>
      <c r="G17" s="22">
        <f t="shared" ref="G17:G21" si="21">(+C16+D16+E16+G16)*0.005</f>
        <v>90.27355</v>
      </c>
      <c r="H17" s="22"/>
      <c r="I17" s="22">
        <f t="shared" ref="I17:I21" si="22">(C16+D16+E16+G16+I16)*0.005</f>
        <v>90.27355</v>
      </c>
      <c r="J17" s="22"/>
      <c r="K17" s="22">
        <f t="shared" ref="K17:K21" si="23">(C16+D16+E16+G16+I16+K16)*0.005</f>
        <v>90.27355</v>
      </c>
      <c r="L17" s="22">
        <f t="shared" ref="L17:L21" si="24">(C16+D16+E16+G16+I16+K16+L16)*0.005</f>
        <v>90.27355</v>
      </c>
      <c r="M17" s="22">
        <f t="shared" ref="M17:M21" si="25">(C16+D16+E16+G16+I16+K16+L16+M16)*0.005</f>
        <v>90.27355</v>
      </c>
      <c r="N17" s="22">
        <f t="shared" ref="N17:N21" si="26">(C16+D16+E16+G16+I16+K16+L16+M16+N16)*0.005</f>
        <v>90.27355</v>
      </c>
      <c r="O17" s="22">
        <f t="shared" ref="O17:O21" si="27">(C16+D16+E16+G16+I16+K16+L16+M16+N16+O16)*0.005</f>
        <v>90.27355</v>
      </c>
      <c r="P17" s="22">
        <f t="shared" ref="P17:P21" si="28">(C16+D16+E16+G16+I16+K16+L16+M16+N16+O16+P16)*0.005</f>
        <v>90.27355</v>
      </c>
      <c r="Q17" s="22"/>
      <c r="R17" s="22">
        <f t="shared" ref="R17:R21" si="29">(C16+D16+E16+G16+I16+K16+L16+M16+N16+O16+P16+R16)*0.005</f>
        <v>90.27355</v>
      </c>
      <c r="S17" s="22">
        <f t="shared" ref="S17:S21" si="30">(C16+D16+E16+G16+I16+K16+L16+M16+N16+O16+P16+R16+S16)*0.005</f>
        <v>90.27355</v>
      </c>
      <c r="T17" s="22"/>
      <c r="U17" s="46"/>
      <c r="V17" s="22"/>
      <c r="X17" s="22"/>
      <c r="Z17" s="2"/>
      <c r="AA17" s="2"/>
    </row>
    <row r="18" spans="1:27" s="2" customFormat="1">
      <c r="A18" s="162">
        <v>5</v>
      </c>
      <c r="B18" s="20" t="s">
        <v>184</v>
      </c>
      <c r="C18" s="161">
        <f>7511.12+450.67</f>
        <v>7961.79</v>
      </c>
      <c r="D18" s="25">
        <v>0</v>
      </c>
      <c r="E18" s="25"/>
      <c r="F18" s="25"/>
      <c r="G18" s="25">
        <v>0</v>
      </c>
      <c r="H18" s="25"/>
      <c r="I18" s="22">
        <v>0</v>
      </c>
      <c r="J18" s="22"/>
      <c r="K18" s="22"/>
      <c r="L18" s="25">
        <v>0</v>
      </c>
      <c r="M18" s="32"/>
      <c r="N18" s="22">
        <v>0</v>
      </c>
      <c r="O18" s="22"/>
      <c r="P18" s="25"/>
      <c r="Q18" s="25"/>
      <c r="R18" s="25">
        <v>0</v>
      </c>
      <c r="S18" s="25"/>
      <c r="T18" s="25"/>
      <c r="U18" s="46">
        <f>C18+D18+E18+G18+I18+K18+L18+M18+N18+O18+P18+R18+S18</f>
        <v>7961.79</v>
      </c>
      <c r="V18" s="22">
        <f t="shared" si="16"/>
        <v>663.48249999999996</v>
      </c>
      <c r="W18" s="22">
        <f t="shared" si="17"/>
        <v>477.70740000000001</v>
      </c>
      <c r="X18" s="22">
        <f t="shared" si="18"/>
        <v>8439.4974000000002</v>
      </c>
      <c r="Y18" s="178"/>
      <c r="Z18" s="179"/>
    </row>
    <row r="19" spans="1:27" s="2" customFormat="1">
      <c r="A19" s="162"/>
      <c r="B19" s="20"/>
      <c r="C19" s="163" t="s">
        <v>152</v>
      </c>
      <c r="D19" s="22">
        <f t="shared" si="19"/>
        <v>39.808950000000003</v>
      </c>
      <c r="E19" s="22">
        <f t="shared" si="20"/>
        <v>39.808950000000003</v>
      </c>
      <c r="F19" s="22"/>
      <c r="G19" s="22">
        <f t="shared" si="21"/>
        <v>39.808950000000003</v>
      </c>
      <c r="H19" s="22"/>
      <c r="I19" s="22">
        <f t="shared" si="22"/>
        <v>39.808950000000003</v>
      </c>
      <c r="J19" s="22"/>
      <c r="K19" s="22">
        <f t="shared" si="23"/>
        <v>39.808950000000003</v>
      </c>
      <c r="L19" s="22">
        <f t="shared" si="24"/>
        <v>39.808950000000003</v>
      </c>
      <c r="M19" s="22">
        <f t="shared" si="25"/>
        <v>39.808950000000003</v>
      </c>
      <c r="N19" s="22">
        <f t="shared" si="26"/>
        <v>39.808950000000003</v>
      </c>
      <c r="O19" s="22">
        <f t="shared" si="27"/>
        <v>39.808950000000003</v>
      </c>
      <c r="P19" s="22">
        <f t="shared" si="28"/>
        <v>39.808950000000003</v>
      </c>
      <c r="Q19" s="22"/>
      <c r="R19" s="22">
        <f t="shared" si="29"/>
        <v>39.808950000000003</v>
      </c>
      <c r="S19" s="22">
        <f t="shared" si="30"/>
        <v>39.808950000000003</v>
      </c>
      <c r="T19" s="22"/>
      <c r="U19" s="46"/>
      <c r="V19" s="22"/>
      <c r="W19" s="22"/>
      <c r="X19" s="22"/>
      <c r="Y19" s="178"/>
    </row>
    <row r="20" spans="1:27">
      <c r="A20" s="162">
        <v>6</v>
      </c>
      <c r="B20" s="20" t="s">
        <v>34</v>
      </c>
      <c r="C20" s="161"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173"/>
      <c r="V20" s="22">
        <f t="shared" si="16"/>
        <v>0</v>
      </c>
      <c r="W20" s="22">
        <f t="shared" si="17"/>
        <v>0</v>
      </c>
      <c r="X20" s="22">
        <f t="shared" si="18"/>
        <v>0</v>
      </c>
      <c r="Z20" s="2"/>
      <c r="AA20" s="2"/>
    </row>
    <row r="21" spans="1:27">
      <c r="A21" s="162"/>
      <c r="B21" s="20"/>
      <c r="C21" s="163" t="s">
        <v>152</v>
      </c>
      <c r="D21" s="22">
        <f t="shared" si="19"/>
        <v>0</v>
      </c>
      <c r="E21" s="22">
        <f t="shared" si="20"/>
        <v>0</v>
      </c>
      <c r="F21" s="22"/>
      <c r="G21" s="22">
        <f t="shared" si="21"/>
        <v>0</v>
      </c>
      <c r="H21" s="22"/>
      <c r="I21" s="22">
        <f t="shared" si="22"/>
        <v>0</v>
      </c>
      <c r="J21" s="22"/>
      <c r="K21" s="22">
        <f t="shared" si="23"/>
        <v>0</v>
      </c>
      <c r="L21" s="22">
        <f t="shared" si="24"/>
        <v>0</v>
      </c>
      <c r="M21" s="22">
        <f t="shared" si="25"/>
        <v>0</v>
      </c>
      <c r="N21" s="22">
        <f t="shared" si="26"/>
        <v>0</v>
      </c>
      <c r="O21" s="22">
        <f t="shared" si="27"/>
        <v>0</v>
      </c>
      <c r="P21" s="22">
        <f t="shared" si="28"/>
        <v>0</v>
      </c>
      <c r="Q21" s="22"/>
      <c r="R21" s="22">
        <f t="shared" si="29"/>
        <v>0</v>
      </c>
      <c r="S21" s="22">
        <f t="shared" si="30"/>
        <v>0</v>
      </c>
      <c r="T21" s="22"/>
      <c r="U21" s="173"/>
      <c r="V21" s="22"/>
      <c r="W21" s="22"/>
      <c r="X21" s="22"/>
      <c r="Z21" s="2"/>
      <c r="AA21" s="2"/>
    </row>
    <row r="22" spans="1:27">
      <c r="A22" s="162">
        <v>8</v>
      </c>
      <c r="B22" s="31" t="s">
        <v>37</v>
      </c>
      <c r="C22" s="161">
        <f>1036.83+62.21</f>
        <v>1099.04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46">
        <f t="shared" ref="U22:U26" si="31">C22+D22+E22+G22+I22+K22+L22+M22+N22+O22+P22+R22+S22</f>
        <v>1099.04</v>
      </c>
      <c r="V22" s="22">
        <f t="shared" ref="V22:V26" si="32">U22/12</f>
        <v>91.586666666666702</v>
      </c>
      <c r="W22" s="22">
        <f t="shared" ref="W22:W26" si="33">D23+E23+G23+I23+K23+L23+M23+N23+O23+P23+R23+S23</f>
        <v>65.942400000000006</v>
      </c>
      <c r="X22" s="22">
        <f t="shared" ref="X22:X26" si="34">U22+W22</f>
        <v>1164.9824000000001</v>
      </c>
      <c r="Z22" s="2"/>
      <c r="AA22" s="2"/>
    </row>
    <row r="23" spans="1:27">
      <c r="A23" s="162"/>
      <c r="B23" s="31"/>
      <c r="C23" s="163" t="s">
        <v>152</v>
      </c>
      <c r="D23" s="22">
        <f t="shared" ref="D23:D27" si="35">(C22+D22)*0.005</f>
        <v>5.4951999999999996</v>
      </c>
      <c r="E23" s="22">
        <f t="shared" ref="E23:E27" si="36">(C22+D22+E22)*0.005</f>
        <v>5.4951999999999996</v>
      </c>
      <c r="F23" s="22"/>
      <c r="G23" s="22">
        <f t="shared" ref="G23:G27" si="37">(+C22+D22+E22+G22)*0.005</f>
        <v>5.4951999999999996</v>
      </c>
      <c r="H23" s="22"/>
      <c r="I23" s="22">
        <f t="shared" ref="I23:I27" si="38">(C22+D22+E22+G22+I22)*0.005</f>
        <v>5.4951999999999996</v>
      </c>
      <c r="J23" s="22"/>
      <c r="K23" s="22">
        <f t="shared" ref="K23:K27" si="39">(C22+D22+E22+G22+I22+K22)*0.005</f>
        <v>5.4951999999999996</v>
      </c>
      <c r="L23" s="22">
        <f t="shared" ref="L23:L27" si="40">(C22+D22+E22+G22+I22+K22+L22)*0.005</f>
        <v>5.4951999999999996</v>
      </c>
      <c r="M23" s="22">
        <f t="shared" ref="M23:M27" si="41">(C22+D22+E22+G22+I22+K22+L22+M22)*0.005</f>
        <v>5.4951999999999996</v>
      </c>
      <c r="N23" s="22">
        <f t="shared" ref="N23:N27" si="42">(C22+D22+E22+G22+I22+K22+L22+M22+N22)*0.005</f>
        <v>5.4951999999999996</v>
      </c>
      <c r="O23" s="22">
        <f t="shared" ref="O23:O27" si="43">(C22+D22+E22+G22+I22+K22+L22+M22+N22+O22)*0.005</f>
        <v>5.4951999999999996</v>
      </c>
      <c r="P23" s="22">
        <f t="shared" ref="P23:P27" si="44">(C22+D22+E22+G22+I22+K22+L22+M22+N22+O22+P22)*0.005</f>
        <v>5.4951999999999996</v>
      </c>
      <c r="Q23" s="22"/>
      <c r="R23" s="22">
        <f t="shared" ref="R23:R27" si="45">(C22+D22+E22+G22+I22+K22+L22+M22+N22+O22+P22+R22)*0.005</f>
        <v>5.4951999999999996</v>
      </c>
      <c r="S23" s="22">
        <f t="shared" ref="S23:S27" si="46">(C22+D22+E22+G22+I22+K22+L22+M22+N22+O22+P22+R22+S22)*0.005</f>
        <v>5.4951999999999996</v>
      </c>
      <c r="T23" s="22"/>
      <c r="U23" s="46"/>
      <c r="V23" s="22"/>
      <c r="W23" s="22"/>
      <c r="X23" s="22"/>
      <c r="Z23" s="2"/>
      <c r="AA23" s="2"/>
    </row>
    <row r="24" spans="1:27">
      <c r="A24" s="162">
        <v>9</v>
      </c>
      <c r="B24" s="30" t="s">
        <v>38</v>
      </c>
      <c r="C24" s="161">
        <f>1106.42+66.39</f>
        <v>1172.81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46">
        <f t="shared" si="31"/>
        <v>1172.81</v>
      </c>
      <c r="V24" s="22">
        <f t="shared" si="32"/>
        <v>97.734166666666695</v>
      </c>
      <c r="W24" s="22">
        <f t="shared" si="33"/>
        <v>70.368600000000001</v>
      </c>
      <c r="X24" s="22">
        <f t="shared" si="34"/>
        <v>1243.1786</v>
      </c>
      <c r="Z24" s="2"/>
      <c r="AA24" s="2"/>
    </row>
    <row r="25" spans="1:27">
      <c r="A25" s="162"/>
      <c r="B25" s="30"/>
      <c r="C25" s="163" t="s">
        <v>152</v>
      </c>
      <c r="D25" s="22">
        <f t="shared" si="35"/>
        <v>5.8640499999999998</v>
      </c>
      <c r="E25" s="22">
        <f t="shared" si="36"/>
        <v>5.8640499999999998</v>
      </c>
      <c r="F25" s="22"/>
      <c r="G25" s="22">
        <f t="shared" si="37"/>
        <v>5.8640499999999998</v>
      </c>
      <c r="H25" s="22"/>
      <c r="I25" s="22">
        <f t="shared" si="38"/>
        <v>5.8640499999999998</v>
      </c>
      <c r="J25" s="22"/>
      <c r="K25" s="22">
        <f t="shared" si="39"/>
        <v>5.8640499999999998</v>
      </c>
      <c r="L25" s="22">
        <f t="shared" si="40"/>
        <v>5.8640499999999998</v>
      </c>
      <c r="M25" s="22">
        <f t="shared" si="41"/>
        <v>5.8640499999999998</v>
      </c>
      <c r="N25" s="22">
        <f t="shared" si="42"/>
        <v>5.8640499999999998</v>
      </c>
      <c r="O25" s="22">
        <f t="shared" si="43"/>
        <v>5.8640499999999998</v>
      </c>
      <c r="P25" s="22">
        <f t="shared" si="44"/>
        <v>5.8640499999999998</v>
      </c>
      <c r="Q25" s="22"/>
      <c r="R25" s="22">
        <f t="shared" si="45"/>
        <v>5.8640499999999998</v>
      </c>
      <c r="S25" s="22">
        <f t="shared" si="46"/>
        <v>5.8640499999999998</v>
      </c>
      <c r="T25" s="22"/>
      <c r="U25" s="46"/>
      <c r="V25" s="22"/>
      <c r="W25" s="22"/>
      <c r="X25" s="22"/>
      <c r="Z25" s="2"/>
      <c r="AA25" s="2"/>
    </row>
    <row r="26" spans="1:27">
      <c r="A26" s="162">
        <v>10</v>
      </c>
      <c r="B26" s="31" t="s">
        <v>44</v>
      </c>
      <c r="C26" s="161">
        <f>2880.06+172.8</f>
        <v>3052.86</v>
      </c>
      <c r="D26" s="22">
        <v>0</v>
      </c>
      <c r="E26" s="22"/>
      <c r="F26" s="22"/>
      <c r="G26" s="22">
        <v>0</v>
      </c>
      <c r="H26" s="22"/>
      <c r="I26" s="22"/>
      <c r="J26" s="22"/>
      <c r="K26" s="22"/>
      <c r="L26" s="22">
        <v>0</v>
      </c>
      <c r="M26" s="32"/>
      <c r="N26" s="22"/>
      <c r="O26" s="22"/>
      <c r="P26" s="22"/>
      <c r="Q26" s="22"/>
      <c r="R26" s="22"/>
      <c r="S26" s="22"/>
      <c r="T26" s="22"/>
      <c r="U26" s="46">
        <f t="shared" si="31"/>
        <v>3052.86</v>
      </c>
      <c r="V26" s="22">
        <f t="shared" si="32"/>
        <v>254.405</v>
      </c>
      <c r="W26" s="22">
        <f t="shared" si="33"/>
        <v>183.17160000000001</v>
      </c>
      <c r="X26" s="22">
        <f t="shared" si="34"/>
        <v>3236.0315999999998</v>
      </c>
      <c r="Z26" s="179"/>
      <c r="AA26" s="2"/>
    </row>
    <row r="27" spans="1:27">
      <c r="A27" s="162"/>
      <c r="B27" s="31"/>
      <c r="C27" s="163" t="s">
        <v>152</v>
      </c>
      <c r="D27" s="22">
        <f t="shared" si="35"/>
        <v>15.2643</v>
      </c>
      <c r="E27" s="22">
        <f t="shared" si="36"/>
        <v>15.2643</v>
      </c>
      <c r="F27" s="22"/>
      <c r="G27" s="22">
        <f t="shared" si="37"/>
        <v>15.2643</v>
      </c>
      <c r="H27" s="22"/>
      <c r="I27" s="22">
        <f t="shared" si="38"/>
        <v>15.2643</v>
      </c>
      <c r="J27" s="22"/>
      <c r="K27" s="22">
        <f t="shared" si="39"/>
        <v>15.2643</v>
      </c>
      <c r="L27" s="22">
        <f t="shared" si="40"/>
        <v>15.2643</v>
      </c>
      <c r="M27" s="22">
        <f t="shared" si="41"/>
        <v>15.2643</v>
      </c>
      <c r="N27" s="22">
        <f t="shared" si="42"/>
        <v>15.2643</v>
      </c>
      <c r="O27" s="22">
        <f t="shared" si="43"/>
        <v>15.2643</v>
      </c>
      <c r="P27" s="22">
        <f t="shared" si="44"/>
        <v>15.2643</v>
      </c>
      <c r="Q27" s="22"/>
      <c r="R27" s="22">
        <f t="shared" si="45"/>
        <v>15.2643</v>
      </c>
      <c r="S27" s="22">
        <f t="shared" si="46"/>
        <v>15.2643</v>
      </c>
      <c r="T27" s="22"/>
      <c r="U27" s="46"/>
      <c r="V27" s="22"/>
      <c r="W27" s="22"/>
      <c r="X27" s="22"/>
      <c r="Z27" s="2"/>
      <c r="AA27" s="2"/>
    </row>
    <row r="28" spans="1:27" s="2" customFormat="1">
      <c r="A28" s="162">
        <v>11</v>
      </c>
      <c r="B28" s="20" t="s">
        <v>52</v>
      </c>
      <c r="C28" s="161">
        <f>553.53+33.21</f>
        <v>586.74</v>
      </c>
      <c r="D28" s="25"/>
      <c r="E28" s="25"/>
      <c r="F28" s="25"/>
      <c r="G28" s="22"/>
      <c r="H28" s="22"/>
      <c r="I28" s="22"/>
      <c r="J28" s="22"/>
      <c r="K28" s="22"/>
      <c r="L28" s="22"/>
      <c r="M28" s="22">
        <v>0</v>
      </c>
      <c r="N28" s="22"/>
      <c r="O28" s="22"/>
      <c r="P28" s="22">
        <v>0</v>
      </c>
      <c r="Q28" s="22"/>
      <c r="R28" s="22"/>
      <c r="S28" s="22"/>
      <c r="T28" s="22"/>
      <c r="U28" s="46">
        <f t="shared" ref="U28:U32" si="47">C28+D28+E28+G28+I28+K28+L28+M28+N28+O28+P28+R28+S28</f>
        <v>586.74</v>
      </c>
      <c r="V28" s="22">
        <f t="shared" ref="V28:V32" si="48">U28/12</f>
        <v>48.895000000000003</v>
      </c>
      <c r="W28" s="22">
        <f t="shared" ref="W28:W32" si="49">D29+E29+G29+I29+K29+L29+M29+N29+O29+P29+R29+S29</f>
        <v>35.2044</v>
      </c>
      <c r="X28" s="22">
        <f t="shared" ref="X28:X32" si="50">U28+W28</f>
        <v>621.94439999999997</v>
      </c>
      <c r="Y28" s="178"/>
      <c r="Z28" s="179"/>
    </row>
    <row r="29" spans="1:27" s="2" customFormat="1">
      <c r="A29" s="162"/>
      <c r="B29" s="20"/>
      <c r="C29" s="163" t="s">
        <v>152</v>
      </c>
      <c r="D29" s="22">
        <f t="shared" ref="D29:D33" si="51">(C28+D28)*0.005</f>
        <v>2.9337</v>
      </c>
      <c r="E29" s="22">
        <f t="shared" ref="E29:E33" si="52">(C28+D28+E28)*0.005</f>
        <v>2.9337</v>
      </c>
      <c r="F29" s="22"/>
      <c r="G29" s="22">
        <f t="shared" ref="G29:G33" si="53">(+C28+D28+E28+G28)*0.005</f>
        <v>2.9337</v>
      </c>
      <c r="H29" s="22"/>
      <c r="I29" s="22">
        <f t="shared" ref="I29:I33" si="54">(C28+D28+E28+G28+I28)*0.005</f>
        <v>2.9337</v>
      </c>
      <c r="J29" s="22"/>
      <c r="K29" s="22">
        <f t="shared" ref="K29:K33" si="55">(C28+D28+E28+G28+I28+K28)*0.005</f>
        <v>2.9337</v>
      </c>
      <c r="L29" s="22">
        <f t="shared" ref="L29:L33" si="56">(C28+D28+E28+G28+I28+K28+L28)*0.005</f>
        <v>2.9337</v>
      </c>
      <c r="M29" s="22">
        <f t="shared" ref="M29:M33" si="57">(C28+D28+E28+G28+I28+K28+L28+M28)*0.005</f>
        <v>2.9337</v>
      </c>
      <c r="N29" s="22">
        <f t="shared" ref="N29:N33" si="58">(C28+D28+E28+G28+I28+K28+L28+M28+N28)*0.005</f>
        <v>2.9337</v>
      </c>
      <c r="O29" s="22">
        <f t="shared" ref="O29:O33" si="59">(C28+D28+E28+G28+I28+K28+L28+M28+N28+O28)*0.005</f>
        <v>2.9337</v>
      </c>
      <c r="P29" s="22">
        <f t="shared" ref="P29:P33" si="60">(C28+D28+E28+G28+I28+K28+L28+M28+N28+O28+P28)*0.005</f>
        <v>2.9337</v>
      </c>
      <c r="Q29" s="22"/>
      <c r="R29" s="22">
        <f t="shared" ref="R29:R33" si="61">(C28+D28+E28+G28+I28+K28+L28+M28+N28+O28+P28+R28)*0.005</f>
        <v>2.9337</v>
      </c>
      <c r="S29" s="22">
        <f t="shared" ref="S29:S33" si="62">(C28+D28+E28+G28+I28+K28+L28+M28+N28+O28+P28+R28+S28)*0.005</f>
        <v>2.9337</v>
      </c>
      <c r="T29" s="22"/>
      <c r="U29" s="46"/>
      <c r="V29" s="22"/>
      <c r="W29" s="22"/>
      <c r="X29" s="22"/>
      <c r="Y29" s="178"/>
    </row>
    <row r="30" spans="1:27">
      <c r="A30" s="162">
        <v>12</v>
      </c>
      <c r="B30" s="27" t="s">
        <v>57</v>
      </c>
      <c r="C30" s="161">
        <f>357.3+21.44</f>
        <v>378.74</v>
      </c>
      <c r="D30" s="22">
        <v>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46">
        <f t="shared" si="47"/>
        <v>378.74</v>
      </c>
      <c r="V30" s="22">
        <f t="shared" si="48"/>
        <v>31.561666666666699</v>
      </c>
      <c r="W30" s="22">
        <f t="shared" si="49"/>
        <v>22.724399999999999</v>
      </c>
      <c r="X30" s="22">
        <f t="shared" si="50"/>
        <v>401.46440000000001</v>
      </c>
      <c r="Z30" s="2"/>
      <c r="AA30" s="2"/>
    </row>
    <row r="31" spans="1:27" ht="12.75" customHeight="1">
      <c r="A31" s="162"/>
      <c r="B31" s="27"/>
      <c r="C31" s="163" t="s">
        <v>152</v>
      </c>
      <c r="D31" s="22">
        <f t="shared" si="51"/>
        <v>1.8936999999999999</v>
      </c>
      <c r="E31" s="22">
        <f t="shared" si="52"/>
        <v>1.8936999999999999</v>
      </c>
      <c r="F31" s="22"/>
      <c r="G31" s="22">
        <f t="shared" si="53"/>
        <v>1.8936999999999999</v>
      </c>
      <c r="H31" s="22"/>
      <c r="I31" s="22">
        <f t="shared" si="54"/>
        <v>1.8936999999999999</v>
      </c>
      <c r="J31" s="22"/>
      <c r="K31" s="22">
        <f t="shared" si="55"/>
        <v>1.8936999999999999</v>
      </c>
      <c r="L31" s="22">
        <f t="shared" si="56"/>
        <v>1.8936999999999999</v>
      </c>
      <c r="M31" s="22">
        <f t="shared" si="57"/>
        <v>1.8936999999999999</v>
      </c>
      <c r="N31" s="22">
        <f t="shared" si="58"/>
        <v>1.8936999999999999</v>
      </c>
      <c r="O31" s="22">
        <f t="shared" si="59"/>
        <v>1.8936999999999999</v>
      </c>
      <c r="P31" s="22">
        <f t="shared" si="60"/>
        <v>1.8936999999999999</v>
      </c>
      <c r="Q31" s="22"/>
      <c r="R31" s="22">
        <f t="shared" si="61"/>
        <v>1.8936999999999999</v>
      </c>
      <c r="S31" s="22">
        <f t="shared" si="62"/>
        <v>1.8936999999999999</v>
      </c>
      <c r="T31" s="22"/>
      <c r="U31" s="46"/>
      <c r="V31" s="22"/>
      <c r="W31" s="22"/>
      <c r="X31" s="22"/>
      <c r="Z31" s="2"/>
      <c r="AA31" s="2"/>
    </row>
    <row r="32" spans="1:27">
      <c r="A32" s="162">
        <v>13</v>
      </c>
      <c r="B32" s="20" t="s">
        <v>68</v>
      </c>
      <c r="C32" s="165">
        <f>512.66+30.76</f>
        <v>543.41999999999996</v>
      </c>
      <c r="D32" s="22">
        <v>0</v>
      </c>
      <c r="E32" s="22">
        <v>0</v>
      </c>
      <c r="F32" s="22"/>
      <c r="G32" s="22">
        <v>0</v>
      </c>
      <c r="H32" s="22"/>
      <c r="I32" s="22"/>
      <c r="J32" s="22"/>
      <c r="K32" s="22"/>
      <c r="L32" s="45"/>
      <c r="M32" s="45"/>
      <c r="N32" s="45"/>
      <c r="O32" s="45">
        <v>0</v>
      </c>
      <c r="P32" s="45"/>
      <c r="Q32" s="45"/>
      <c r="R32" s="45"/>
      <c r="S32" s="22"/>
      <c r="T32" s="22"/>
      <c r="U32" s="46">
        <f t="shared" si="47"/>
        <v>543.41999999999996</v>
      </c>
      <c r="V32" s="22">
        <f t="shared" si="48"/>
        <v>45.284999999999997</v>
      </c>
      <c r="W32" s="22">
        <f t="shared" si="49"/>
        <v>32.605200000000004</v>
      </c>
      <c r="X32" s="22">
        <f t="shared" si="50"/>
        <v>576.02520000000004</v>
      </c>
      <c r="Z32" s="179"/>
      <c r="AA32" s="2"/>
    </row>
    <row r="33" spans="1:27" ht="12.75" customHeight="1">
      <c r="A33" s="162"/>
      <c r="B33" s="20"/>
      <c r="C33" s="163" t="s">
        <v>152</v>
      </c>
      <c r="D33" s="22">
        <f t="shared" si="51"/>
        <v>2.7170999999999998</v>
      </c>
      <c r="E33" s="22">
        <f t="shared" si="52"/>
        <v>2.7170999999999998</v>
      </c>
      <c r="F33" s="22"/>
      <c r="G33" s="22">
        <f t="shared" si="53"/>
        <v>2.7170999999999998</v>
      </c>
      <c r="H33" s="22"/>
      <c r="I33" s="22">
        <f t="shared" si="54"/>
        <v>2.7170999999999998</v>
      </c>
      <c r="J33" s="22"/>
      <c r="K33" s="22">
        <f t="shared" si="55"/>
        <v>2.7170999999999998</v>
      </c>
      <c r="L33" s="22">
        <f t="shared" si="56"/>
        <v>2.7170999999999998</v>
      </c>
      <c r="M33" s="22">
        <f t="shared" si="57"/>
        <v>2.7170999999999998</v>
      </c>
      <c r="N33" s="22">
        <f t="shared" si="58"/>
        <v>2.7170999999999998</v>
      </c>
      <c r="O33" s="22">
        <f t="shared" si="59"/>
        <v>2.7170999999999998</v>
      </c>
      <c r="P33" s="22">
        <f t="shared" si="60"/>
        <v>2.7170999999999998</v>
      </c>
      <c r="Q33" s="22"/>
      <c r="R33" s="22">
        <f t="shared" si="61"/>
        <v>2.7170999999999998</v>
      </c>
      <c r="S33" s="22">
        <f t="shared" si="62"/>
        <v>2.7170999999999998</v>
      </c>
      <c r="T33" s="22"/>
      <c r="U33" s="46"/>
      <c r="V33" s="22"/>
      <c r="W33" s="22"/>
      <c r="X33" s="22"/>
      <c r="Z33" s="2"/>
      <c r="AA33" s="2"/>
    </row>
    <row r="34" spans="1:27">
      <c r="A34" s="162">
        <v>14</v>
      </c>
      <c r="B34" s="20" t="s">
        <v>69</v>
      </c>
      <c r="C34" s="165">
        <f>1247.46+73.25</f>
        <v>1320.71</v>
      </c>
      <c r="D34" s="22">
        <v>0</v>
      </c>
      <c r="E34" s="22">
        <v>0</v>
      </c>
      <c r="F34" s="22"/>
      <c r="G34" s="22">
        <v>0</v>
      </c>
      <c r="H34" s="22"/>
      <c r="I34" s="22"/>
      <c r="J34" s="22"/>
      <c r="K34" s="22"/>
      <c r="L34" s="45"/>
      <c r="M34" s="45"/>
      <c r="N34" s="45"/>
      <c r="O34" s="45">
        <v>0</v>
      </c>
      <c r="P34" s="45"/>
      <c r="Q34" s="45"/>
      <c r="R34" s="45"/>
      <c r="S34" s="22"/>
      <c r="T34" s="22"/>
      <c r="U34" s="46">
        <f t="shared" ref="U34:U38" si="63">C34+D34+E34+G34+I34+K34+L34+M34+N34+O34+P34+R34+S34</f>
        <v>1320.71</v>
      </c>
      <c r="V34" s="22">
        <f t="shared" ref="V34:V38" si="64">U34/12</f>
        <v>110.059166666667</v>
      </c>
      <c r="W34" s="22">
        <f t="shared" ref="W34:W38" si="65">D35+E35+G35+I35+K35+L35+M35+N35+O35+P35+R35+S35</f>
        <v>79.242599999999996</v>
      </c>
      <c r="X34" s="22">
        <f t="shared" ref="X34:X38" si="66">U34+W34</f>
        <v>1399.9526000000001</v>
      </c>
      <c r="Z34" s="179"/>
    </row>
    <row r="35" spans="1:27" ht="12.75" customHeight="1">
      <c r="A35" s="162"/>
      <c r="B35" s="20"/>
      <c r="C35" s="163" t="s">
        <v>152</v>
      </c>
      <c r="D35" s="22">
        <f t="shared" ref="D35:D39" si="67">(C34+D34)*0.005</f>
        <v>6.6035500000000003</v>
      </c>
      <c r="E35" s="22">
        <f t="shared" ref="E35:E39" si="68">(C34+D34+E34)*0.005</f>
        <v>6.6035500000000003</v>
      </c>
      <c r="F35" s="22"/>
      <c r="G35" s="22">
        <f t="shared" ref="G35:G39" si="69">(+C34+D34+E34+G34)*0.005</f>
        <v>6.6035500000000003</v>
      </c>
      <c r="H35" s="22"/>
      <c r="I35" s="22">
        <f t="shared" ref="I35:I39" si="70">(C34+D34+E34+G34+I34)*0.005</f>
        <v>6.6035500000000003</v>
      </c>
      <c r="J35" s="22"/>
      <c r="K35" s="22">
        <f t="shared" ref="K35:K39" si="71">(C34+D34+E34+G34+I34+K34)*0.005</f>
        <v>6.6035500000000003</v>
      </c>
      <c r="L35" s="22">
        <f t="shared" ref="L35:L39" si="72">(C34+D34+E34+G34+I34+K34+L34)*0.005</f>
        <v>6.6035500000000003</v>
      </c>
      <c r="M35" s="22">
        <f t="shared" ref="M35:M39" si="73">(C34+D34+E34+G34+I34+K34+L34+M34)*0.005</f>
        <v>6.6035500000000003</v>
      </c>
      <c r="N35" s="22">
        <f t="shared" ref="N35:N39" si="74">(C34+D34+E34+G34+I34+K34+L34+M34+N34)*0.005</f>
        <v>6.6035500000000003</v>
      </c>
      <c r="O35" s="22">
        <f t="shared" ref="O35:O39" si="75">(C34+D34+E34+G34+I34+K34+L34+M34+N34+O34)*0.005</f>
        <v>6.6035500000000003</v>
      </c>
      <c r="P35" s="22">
        <f t="shared" ref="P35:P39" si="76">(C34+D34+E34+G34+I34+K34+L34+M34+N34+O34+P34)*0.005</f>
        <v>6.6035500000000003</v>
      </c>
      <c r="Q35" s="22"/>
      <c r="R35" s="22">
        <f t="shared" ref="R35:R39" si="77">(C34+D34+E34+G34+I34+K34+L34+M34+N34+O34+P34+R34)*0.005</f>
        <v>6.6035500000000003</v>
      </c>
      <c r="S35" s="22">
        <f t="shared" ref="S35:S39" si="78">(C34+D34+E34+G34+I34+K34+L34+M34+N34+O34+P34+R34+S34)*0.005</f>
        <v>6.6035500000000003</v>
      </c>
      <c r="T35" s="22"/>
      <c r="U35" s="46"/>
      <c r="V35" s="22"/>
      <c r="W35" s="22"/>
      <c r="X35" s="22"/>
      <c r="Z35" s="2"/>
    </row>
    <row r="36" spans="1:27">
      <c r="A36" s="162">
        <v>15</v>
      </c>
      <c r="B36" s="20" t="s">
        <v>70</v>
      </c>
      <c r="C36" s="165">
        <f>757.7+45.46</f>
        <v>803.16</v>
      </c>
      <c r="D36" s="22">
        <v>0</v>
      </c>
      <c r="E36" s="22">
        <v>0</v>
      </c>
      <c r="F36" s="22"/>
      <c r="G36" s="22">
        <v>0</v>
      </c>
      <c r="H36" s="22"/>
      <c r="I36" s="22">
        <v>0</v>
      </c>
      <c r="J36" s="22"/>
      <c r="K36" s="22"/>
      <c r="L36" s="45"/>
      <c r="M36" s="45"/>
      <c r="N36" s="45"/>
      <c r="O36" s="45">
        <v>0</v>
      </c>
      <c r="P36" s="45"/>
      <c r="Q36" s="45"/>
      <c r="R36" s="45"/>
      <c r="S36" s="22"/>
      <c r="T36" s="22"/>
      <c r="U36" s="46">
        <f t="shared" si="63"/>
        <v>803.16</v>
      </c>
      <c r="V36" s="22">
        <f t="shared" si="64"/>
        <v>66.930000000000007</v>
      </c>
      <c r="W36" s="22">
        <f t="shared" si="65"/>
        <v>48.189599999999999</v>
      </c>
      <c r="X36" s="22">
        <f t="shared" si="66"/>
        <v>851.34960000000001</v>
      </c>
      <c r="Z36" s="179"/>
    </row>
    <row r="37" spans="1:27" ht="12.75" customHeight="1">
      <c r="A37" s="162"/>
      <c r="B37" s="20"/>
      <c r="C37" s="163" t="s">
        <v>152</v>
      </c>
      <c r="D37" s="22">
        <f t="shared" si="67"/>
        <v>4.0157999999999996</v>
      </c>
      <c r="E37" s="22">
        <f t="shared" si="68"/>
        <v>4.0157999999999996</v>
      </c>
      <c r="F37" s="22"/>
      <c r="G37" s="22">
        <f t="shared" si="69"/>
        <v>4.0157999999999996</v>
      </c>
      <c r="H37" s="22"/>
      <c r="I37" s="22">
        <f t="shared" si="70"/>
        <v>4.0157999999999996</v>
      </c>
      <c r="J37" s="22"/>
      <c r="K37" s="22">
        <f t="shared" si="71"/>
        <v>4.0157999999999996</v>
      </c>
      <c r="L37" s="22">
        <f t="shared" si="72"/>
        <v>4.0157999999999996</v>
      </c>
      <c r="M37" s="22">
        <f t="shared" si="73"/>
        <v>4.0157999999999996</v>
      </c>
      <c r="N37" s="22">
        <f t="shared" si="74"/>
        <v>4.0157999999999996</v>
      </c>
      <c r="O37" s="22">
        <f t="shared" si="75"/>
        <v>4.0157999999999996</v>
      </c>
      <c r="P37" s="22">
        <f t="shared" si="76"/>
        <v>4.0157999999999996</v>
      </c>
      <c r="Q37" s="22"/>
      <c r="R37" s="22">
        <f t="shared" si="77"/>
        <v>4.0157999999999996</v>
      </c>
      <c r="S37" s="22">
        <f t="shared" si="78"/>
        <v>4.0157999999999996</v>
      </c>
      <c r="T37" s="22"/>
      <c r="U37" s="46"/>
      <c r="V37" s="22"/>
      <c r="W37" s="22"/>
      <c r="X37" s="22"/>
      <c r="Z37" s="2"/>
    </row>
    <row r="38" spans="1:27" ht="12.75" customHeight="1">
      <c r="A38" s="162">
        <v>16</v>
      </c>
      <c r="B38" s="20" t="s">
        <v>71</v>
      </c>
      <c r="C38" s="165">
        <v>3393</v>
      </c>
      <c r="D38" s="22">
        <v>0</v>
      </c>
      <c r="E38" s="22">
        <v>0</v>
      </c>
      <c r="F38" s="22"/>
      <c r="G38" s="164"/>
      <c r="H38" s="22"/>
      <c r="I38" s="22">
        <v>0</v>
      </c>
      <c r="J38" s="22"/>
      <c r="K38" s="22">
        <v>0</v>
      </c>
      <c r="L38" s="71"/>
      <c r="M38" s="45"/>
      <c r="N38" s="45"/>
      <c r="O38" s="45">
        <v>0</v>
      </c>
      <c r="P38" s="45"/>
      <c r="Q38" s="45"/>
      <c r="R38" s="45"/>
      <c r="S38" s="22"/>
      <c r="T38" s="22"/>
      <c r="U38" s="46">
        <f t="shared" si="63"/>
        <v>3393</v>
      </c>
      <c r="V38" s="22">
        <f t="shared" si="64"/>
        <v>282.75</v>
      </c>
      <c r="W38" s="22">
        <f t="shared" si="65"/>
        <v>203.58</v>
      </c>
      <c r="X38" s="22">
        <f t="shared" si="66"/>
        <v>3596.58</v>
      </c>
      <c r="Z38" s="179"/>
    </row>
    <row r="39" spans="1:27" ht="12.75" customHeight="1">
      <c r="A39" s="166"/>
      <c r="B39" s="36"/>
      <c r="C39" s="167" t="s">
        <v>152</v>
      </c>
      <c r="D39" s="38">
        <f t="shared" si="67"/>
        <v>16.965</v>
      </c>
      <c r="E39" s="38">
        <f t="shared" si="68"/>
        <v>16.965</v>
      </c>
      <c r="F39" s="38"/>
      <c r="G39" s="38">
        <f t="shared" si="69"/>
        <v>16.965</v>
      </c>
      <c r="H39" s="38"/>
      <c r="I39" s="38">
        <f t="shared" si="70"/>
        <v>16.965</v>
      </c>
      <c r="J39" s="38"/>
      <c r="K39" s="38">
        <f t="shared" si="71"/>
        <v>16.965</v>
      </c>
      <c r="L39" s="38">
        <f t="shared" si="72"/>
        <v>16.965</v>
      </c>
      <c r="M39" s="38">
        <f t="shared" si="73"/>
        <v>16.965</v>
      </c>
      <c r="N39" s="38">
        <f t="shared" si="74"/>
        <v>16.965</v>
      </c>
      <c r="O39" s="38">
        <f t="shared" si="75"/>
        <v>16.965</v>
      </c>
      <c r="P39" s="38">
        <f t="shared" si="76"/>
        <v>16.965</v>
      </c>
      <c r="Q39" s="38"/>
      <c r="R39" s="38">
        <f t="shared" si="77"/>
        <v>16.965</v>
      </c>
      <c r="S39" s="38">
        <f t="shared" si="78"/>
        <v>16.965</v>
      </c>
      <c r="T39" s="38"/>
      <c r="U39" s="108"/>
      <c r="V39" s="38"/>
      <c r="W39" s="38"/>
      <c r="X39" s="38"/>
      <c r="Z39" s="2"/>
    </row>
    <row r="40" spans="1:27" ht="12.75" customHeight="1">
      <c r="A40" s="168"/>
      <c r="B40" s="16"/>
      <c r="C40" s="155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74"/>
      <c r="V40" s="169"/>
      <c r="W40" s="169"/>
      <c r="X40" s="175" t="s">
        <v>166</v>
      </c>
      <c r="Z40" s="2"/>
    </row>
    <row r="41" spans="1:27">
      <c r="A41" s="170"/>
      <c r="B41" s="36"/>
      <c r="C41" s="171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76"/>
      <c r="V41" s="148"/>
      <c r="W41" s="148"/>
      <c r="X41" s="148"/>
      <c r="Z41" s="2"/>
    </row>
    <row r="42" spans="1:27" ht="4.5" customHeight="1">
      <c r="A42" s="162"/>
      <c r="B42" s="20"/>
      <c r="C42" s="76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46"/>
      <c r="V42" s="22"/>
      <c r="W42" s="22"/>
      <c r="X42" s="22"/>
      <c r="Z42" s="2"/>
    </row>
    <row r="43" spans="1:27">
      <c r="A43" s="162">
        <v>17</v>
      </c>
      <c r="B43" s="20" t="s">
        <v>73</v>
      </c>
      <c r="C43" s="165">
        <f>304+17.54</f>
        <v>321.54000000000002</v>
      </c>
      <c r="D43" s="22"/>
      <c r="E43" s="22"/>
      <c r="F43" s="22"/>
      <c r="G43" s="22"/>
      <c r="H43" s="22"/>
      <c r="I43" s="22"/>
      <c r="J43" s="22"/>
      <c r="K43" s="22"/>
      <c r="L43" s="22">
        <v>0</v>
      </c>
      <c r="M43" s="22"/>
      <c r="N43" s="22"/>
      <c r="O43" s="22"/>
      <c r="P43" s="22"/>
      <c r="Q43" s="22"/>
      <c r="R43" s="22">
        <v>0</v>
      </c>
      <c r="S43" s="22"/>
      <c r="T43" s="22"/>
      <c r="U43" s="46">
        <f t="shared" ref="U43:U47" si="79">C43+D43+E43+G43+I43+K43+L43+M43+N43+O43+P43+R43+S43</f>
        <v>321.54000000000002</v>
      </c>
      <c r="V43" s="22">
        <f t="shared" ref="V43:V47" si="80">U43/12</f>
        <v>26.795000000000002</v>
      </c>
      <c r="W43" s="22">
        <f t="shared" ref="W43:W47" si="81">D44+E44+G44+I44+K44+L44+M44+N44+O44+P44+R44+S44</f>
        <v>19.292400000000001</v>
      </c>
      <c r="X43" s="22">
        <f t="shared" ref="X43:X47" si="82">U43+W43</f>
        <v>340.83240000000001</v>
      </c>
      <c r="Z43" s="179"/>
    </row>
    <row r="44" spans="1:27">
      <c r="A44" s="162"/>
      <c r="B44" s="20"/>
      <c r="C44" s="163" t="s">
        <v>152</v>
      </c>
      <c r="D44" s="22">
        <f t="shared" ref="D44:D48" si="83">(C43+D43)*0.005</f>
        <v>1.6076999999999999</v>
      </c>
      <c r="E44" s="22">
        <f t="shared" ref="E44:E48" si="84">(C43+D43+E43)*0.005</f>
        <v>1.6076999999999999</v>
      </c>
      <c r="F44" s="22"/>
      <c r="G44" s="22">
        <f t="shared" ref="G44:G48" si="85">(+C43+D43+E43+G43)*0.005</f>
        <v>1.6076999999999999</v>
      </c>
      <c r="H44" s="22"/>
      <c r="I44" s="22">
        <f t="shared" ref="I44:I48" si="86">(C43+D43+E43+G43+I43)*0.005</f>
        <v>1.6076999999999999</v>
      </c>
      <c r="J44" s="22"/>
      <c r="K44" s="22">
        <f t="shared" ref="K44:K48" si="87">(C43+D43+E43+G43+I43+K43)*0.005</f>
        <v>1.6076999999999999</v>
      </c>
      <c r="L44" s="22">
        <f t="shared" ref="L44:L48" si="88">(C43+D43+E43+G43+I43+K43+L43)*0.005</f>
        <v>1.6076999999999999</v>
      </c>
      <c r="M44" s="22">
        <f t="shared" ref="M44:M48" si="89">(C43+D43+E43+G43+I43+K43+L43+M43)*0.005</f>
        <v>1.6076999999999999</v>
      </c>
      <c r="N44" s="22">
        <f t="shared" ref="N44:N48" si="90">(C43+D43+E43+G43+I43+K43+L43+M43+N43)*0.005</f>
        <v>1.6076999999999999</v>
      </c>
      <c r="O44" s="22">
        <f t="shared" ref="O44:O48" si="91">(C43+D43+E43+G43+I43+K43+L43+M43+N43+O43)*0.005</f>
        <v>1.6076999999999999</v>
      </c>
      <c r="P44" s="22">
        <f t="shared" ref="P44:P48" si="92">(C43+D43+E43+G43+I43+K43+L43+M43+N43+O43+P43)*0.005</f>
        <v>1.6076999999999999</v>
      </c>
      <c r="Q44" s="22"/>
      <c r="R44" s="22">
        <f t="shared" ref="R44:R48" si="93">(C43+D43+E43+G43+I43+K43+L43+M43+N43+O43+P43+R43)*0.005</f>
        <v>1.6076999999999999</v>
      </c>
      <c r="S44" s="22">
        <f t="shared" ref="S44:S48" si="94">(C43+D43+E43+G43+I43+K43+L43+M43+N43+O43+P43+R43+S43)*0.005</f>
        <v>1.6076999999999999</v>
      </c>
      <c r="T44" s="22"/>
      <c r="U44" s="46"/>
      <c r="V44" s="22"/>
      <c r="W44" s="22"/>
      <c r="X44" s="22"/>
      <c r="Z44" s="2"/>
    </row>
    <row r="45" spans="1:27">
      <c r="A45" s="162">
        <v>18</v>
      </c>
      <c r="B45" s="20" t="s">
        <v>74</v>
      </c>
      <c r="C45" s="165">
        <v>2447.4299999999998</v>
      </c>
      <c r="D45" s="22"/>
      <c r="E45" s="22">
        <v>0</v>
      </c>
      <c r="F45" s="22"/>
      <c r="G45" s="22">
        <v>0</v>
      </c>
      <c r="H45" s="22"/>
      <c r="I45" s="22">
        <v>0</v>
      </c>
      <c r="J45" s="22"/>
      <c r="K45" s="22">
        <v>0</v>
      </c>
      <c r="L45" s="22">
        <v>0</v>
      </c>
      <c r="M45" s="32"/>
      <c r="N45" s="22"/>
      <c r="O45" s="22"/>
      <c r="P45" s="22"/>
      <c r="Q45" s="22"/>
      <c r="R45" s="22"/>
      <c r="S45" s="22"/>
      <c r="T45" s="22"/>
      <c r="U45" s="46">
        <f t="shared" si="79"/>
        <v>2447.4299999999998</v>
      </c>
      <c r="V45" s="22">
        <f t="shared" si="80"/>
        <v>203.95249999999999</v>
      </c>
      <c r="W45" s="22">
        <f t="shared" si="81"/>
        <v>146.8458</v>
      </c>
      <c r="X45" s="22">
        <f t="shared" si="82"/>
        <v>2594.2757999999999</v>
      </c>
      <c r="Z45" s="179"/>
    </row>
    <row r="46" spans="1:27">
      <c r="A46" s="162"/>
      <c r="B46" s="20"/>
      <c r="C46" s="163" t="s">
        <v>152</v>
      </c>
      <c r="D46" s="22">
        <f t="shared" si="83"/>
        <v>12.23715</v>
      </c>
      <c r="E46" s="22">
        <f t="shared" si="84"/>
        <v>12.23715</v>
      </c>
      <c r="F46" s="22"/>
      <c r="G46" s="22">
        <f t="shared" si="85"/>
        <v>12.23715</v>
      </c>
      <c r="H46" s="22"/>
      <c r="I46" s="22">
        <f t="shared" si="86"/>
        <v>12.23715</v>
      </c>
      <c r="J46" s="22"/>
      <c r="K46" s="22">
        <f t="shared" si="87"/>
        <v>12.23715</v>
      </c>
      <c r="L46" s="22">
        <f t="shared" si="88"/>
        <v>12.23715</v>
      </c>
      <c r="M46" s="22">
        <f t="shared" si="89"/>
        <v>12.23715</v>
      </c>
      <c r="N46" s="22">
        <f t="shared" si="90"/>
        <v>12.23715</v>
      </c>
      <c r="O46" s="22">
        <f t="shared" si="91"/>
        <v>12.23715</v>
      </c>
      <c r="P46" s="22">
        <f t="shared" si="92"/>
        <v>12.23715</v>
      </c>
      <c r="Q46" s="22"/>
      <c r="R46" s="22">
        <f t="shared" si="93"/>
        <v>12.23715</v>
      </c>
      <c r="S46" s="22">
        <f t="shared" si="94"/>
        <v>12.23715</v>
      </c>
      <c r="T46" s="22"/>
      <c r="U46" s="46"/>
      <c r="V46" s="22"/>
      <c r="W46" s="22"/>
      <c r="X46" s="22"/>
      <c r="Z46" s="2"/>
    </row>
    <row r="47" spans="1:27">
      <c r="A47" s="162">
        <v>19</v>
      </c>
      <c r="B47" s="20" t="s">
        <v>80</v>
      </c>
      <c r="C47" s="165">
        <f>58.71+3.52</f>
        <v>62.23</v>
      </c>
      <c r="D47" s="22"/>
      <c r="E47" s="22"/>
      <c r="F47" s="22"/>
      <c r="G47" s="22"/>
      <c r="H47" s="22"/>
      <c r="I47" s="22">
        <v>0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46">
        <f t="shared" si="79"/>
        <v>62.23</v>
      </c>
      <c r="V47" s="22">
        <f t="shared" si="80"/>
        <v>5.1858333333333304</v>
      </c>
      <c r="W47" s="22">
        <f t="shared" si="81"/>
        <v>3.7338</v>
      </c>
      <c r="X47" s="22">
        <f t="shared" si="82"/>
        <v>65.963800000000006</v>
      </c>
      <c r="Z47" s="179"/>
    </row>
    <row r="48" spans="1:27">
      <c r="A48" s="162"/>
      <c r="B48" s="20"/>
      <c r="C48" s="163" t="s">
        <v>152</v>
      </c>
      <c r="D48" s="22">
        <f t="shared" si="83"/>
        <v>0.31114999999999998</v>
      </c>
      <c r="E48" s="22">
        <f t="shared" si="84"/>
        <v>0.31114999999999998</v>
      </c>
      <c r="F48" s="22"/>
      <c r="G48" s="22">
        <f t="shared" si="85"/>
        <v>0.31114999999999998</v>
      </c>
      <c r="H48" s="22"/>
      <c r="I48" s="22">
        <f t="shared" si="86"/>
        <v>0.31114999999999998</v>
      </c>
      <c r="J48" s="22"/>
      <c r="K48" s="22">
        <f t="shared" si="87"/>
        <v>0.31114999999999998</v>
      </c>
      <c r="L48" s="22">
        <f t="shared" si="88"/>
        <v>0.31114999999999998</v>
      </c>
      <c r="M48" s="22">
        <f t="shared" si="89"/>
        <v>0.31114999999999998</v>
      </c>
      <c r="N48" s="22">
        <f t="shared" si="90"/>
        <v>0.31114999999999998</v>
      </c>
      <c r="O48" s="22">
        <f t="shared" si="91"/>
        <v>0.31114999999999998</v>
      </c>
      <c r="P48" s="22">
        <f t="shared" si="92"/>
        <v>0.31114999999999998</v>
      </c>
      <c r="Q48" s="22"/>
      <c r="R48" s="22">
        <f t="shared" si="93"/>
        <v>0.31114999999999998</v>
      </c>
      <c r="S48" s="22">
        <f t="shared" si="94"/>
        <v>0.31114999999999998</v>
      </c>
      <c r="T48" s="22"/>
      <c r="U48" s="46"/>
      <c r="V48" s="22"/>
      <c r="W48" s="22"/>
      <c r="X48" s="22"/>
      <c r="Z48" s="2"/>
    </row>
    <row r="49" spans="1:26">
      <c r="A49" s="162">
        <v>20</v>
      </c>
      <c r="B49" s="70" t="s">
        <v>82</v>
      </c>
      <c r="C49" s="165">
        <f>1830.59+109.84</f>
        <v>1940.43</v>
      </c>
      <c r="D49" s="22"/>
      <c r="E49" s="22"/>
      <c r="F49" s="22"/>
      <c r="G49" s="22">
        <v>0</v>
      </c>
      <c r="H49" s="22"/>
      <c r="I49" s="22">
        <v>0</v>
      </c>
      <c r="J49" s="22"/>
      <c r="K49" s="22">
        <v>0</v>
      </c>
      <c r="L49" s="22">
        <v>0</v>
      </c>
      <c r="M49" s="22">
        <v>0</v>
      </c>
      <c r="N49" s="22"/>
      <c r="O49" s="22"/>
      <c r="P49" s="22"/>
      <c r="Q49" s="22"/>
      <c r="R49" s="22"/>
      <c r="S49" s="22"/>
      <c r="T49" s="22"/>
      <c r="U49" s="46">
        <f t="shared" ref="U49:U53" si="95">C49+D49+E49+G49+I49+K49+L49+M49+N49+O49+P49+R49+S49</f>
        <v>1940.43</v>
      </c>
      <c r="V49" s="22">
        <f t="shared" ref="V49:V53" si="96">U49/12</f>
        <v>161.70249999999999</v>
      </c>
      <c r="W49" s="22">
        <f t="shared" ref="W49:W53" si="97">D50+E50+G50+I50+K50+L50+M50+N50+O50+P50+R50+S50</f>
        <v>116.4258</v>
      </c>
      <c r="X49" s="22">
        <f t="shared" ref="X49:X53" si="98">U49+W49</f>
        <v>2056.8557999999998</v>
      </c>
      <c r="Z49" s="179"/>
    </row>
    <row r="50" spans="1:26">
      <c r="A50" s="162"/>
      <c r="B50" s="70"/>
      <c r="C50" s="163" t="s">
        <v>152</v>
      </c>
      <c r="D50" s="22">
        <f t="shared" ref="D50:D54" si="99">(C49+D49)*0.005</f>
        <v>9.7021499999999996</v>
      </c>
      <c r="E50" s="22">
        <f t="shared" ref="E50:E54" si="100">(C49+D49+E49)*0.005</f>
        <v>9.7021499999999996</v>
      </c>
      <c r="F50" s="22"/>
      <c r="G50" s="22">
        <f t="shared" ref="G50:G54" si="101">(+C49+D49+E49+G49)*0.005</f>
        <v>9.7021499999999996</v>
      </c>
      <c r="H50" s="22"/>
      <c r="I50" s="22">
        <f t="shared" ref="I50:I54" si="102">(C49+D49+E49+G49+I49)*0.005</f>
        <v>9.7021499999999996</v>
      </c>
      <c r="J50" s="22"/>
      <c r="K50" s="22">
        <f t="shared" ref="K50:K54" si="103">(C49+D49+E49+G49+I49+K49)*0.005</f>
        <v>9.7021499999999996</v>
      </c>
      <c r="L50" s="22">
        <f t="shared" ref="L50:L54" si="104">(C49+D49+E49+G49+I49+K49+L49)*0.005</f>
        <v>9.7021499999999996</v>
      </c>
      <c r="M50" s="22">
        <f t="shared" ref="M50:M54" si="105">(C49+D49+E49+G49+I49+K49+L49+M49)*0.005</f>
        <v>9.7021499999999996</v>
      </c>
      <c r="N50" s="22">
        <f t="shared" ref="N50:N54" si="106">(C49+D49+E49+G49+I49+K49+L49+M49+N49)*0.005</f>
        <v>9.7021499999999996</v>
      </c>
      <c r="O50" s="22">
        <f t="shared" ref="O50:O54" si="107">(C49+D49+E49+G49+I49+K49+L49+M49+N49+O49)*0.005</f>
        <v>9.7021499999999996</v>
      </c>
      <c r="P50" s="22">
        <f t="shared" ref="P50:P54" si="108">(C49+D49+E49+G49+I49+K49+L49+M49+N49+O49+P49)*0.005</f>
        <v>9.7021499999999996</v>
      </c>
      <c r="Q50" s="22"/>
      <c r="R50" s="22">
        <f t="shared" ref="R50:R54" si="109">(C49+D49+E49+G49+I49+K49+L49+M49+N49+O49+P49+R49)*0.005</f>
        <v>9.7021499999999996</v>
      </c>
      <c r="S50" s="22">
        <f t="shared" ref="S50:S54" si="110">(C49+D49+E49+G49+I49+K49+L49+M49+N49+O49+P49+R49+S49)*0.005</f>
        <v>9.7021499999999996</v>
      </c>
      <c r="T50" s="22"/>
      <c r="U50" s="46"/>
      <c r="V50" s="22"/>
      <c r="W50" s="22"/>
      <c r="X50" s="22"/>
      <c r="Z50" s="2"/>
    </row>
    <row r="51" spans="1:26">
      <c r="A51" s="162">
        <v>21</v>
      </c>
      <c r="B51" s="70" t="s">
        <v>83</v>
      </c>
      <c r="C51" s="165">
        <f>252.43+15.15</f>
        <v>267.58</v>
      </c>
      <c r="D51" s="22"/>
      <c r="E51" s="22"/>
      <c r="F51" s="22"/>
      <c r="G51" s="22">
        <v>0</v>
      </c>
      <c r="H51" s="22"/>
      <c r="I51" s="22">
        <v>0</v>
      </c>
      <c r="J51" s="22"/>
      <c r="K51" s="22">
        <v>0</v>
      </c>
      <c r="L51" s="22">
        <v>0</v>
      </c>
      <c r="M51" s="22">
        <v>0</v>
      </c>
      <c r="N51" s="22"/>
      <c r="O51" s="22"/>
      <c r="P51" s="22"/>
      <c r="Q51" s="22"/>
      <c r="R51" s="22"/>
      <c r="S51" s="22"/>
      <c r="T51" s="22"/>
      <c r="U51" s="46">
        <f t="shared" si="95"/>
        <v>267.58</v>
      </c>
      <c r="V51" s="22">
        <f t="shared" si="96"/>
        <v>22.2983333333333</v>
      </c>
      <c r="W51" s="22">
        <f t="shared" si="97"/>
        <v>16.0548</v>
      </c>
      <c r="X51" s="22">
        <f t="shared" si="98"/>
        <v>283.63479999999998</v>
      </c>
      <c r="Z51" s="179"/>
    </row>
    <row r="52" spans="1:26">
      <c r="A52" s="162"/>
      <c r="B52" s="70"/>
      <c r="C52" s="163" t="s">
        <v>152</v>
      </c>
      <c r="D52" s="22">
        <f t="shared" si="99"/>
        <v>1.3379000000000001</v>
      </c>
      <c r="E52" s="22">
        <f t="shared" si="100"/>
        <v>1.3379000000000001</v>
      </c>
      <c r="F52" s="22"/>
      <c r="G52" s="22">
        <f t="shared" si="101"/>
        <v>1.3379000000000001</v>
      </c>
      <c r="H52" s="22"/>
      <c r="I52" s="22">
        <f t="shared" si="102"/>
        <v>1.3379000000000001</v>
      </c>
      <c r="J52" s="22"/>
      <c r="K52" s="22">
        <f t="shared" si="103"/>
        <v>1.3379000000000001</v>
      </c>
      <c r="L52" s="22">
        <f t="shared" si="104"/>
        <v>1.3379000000000001</v>
      </c>
      <c r="M52" s="22">
        <f t="shared" si="105"/>
        <v>1.3379000000000001</v>
      </c>
      <c r="N52" s="22">
        <f t="shared" si="106"/>
        <v>1.3379000000000001</v>
      </c>
      <c r="O52" s="22">
        <f t="shared" si="107"/>
        <v>1.3379000000000001</v>
      </c>
      <c r="P52" s="22">
        <f t="shared" si="108"/>
        <v>1.3379000000000001</v>
      </c>
      <c r="Q52" s="22"/>
      <c r="R52" s="22">
        <f t="shared" si="109"/>
        <v>1.3379000000000001</v>
      </c>
      <c r="S52" s="22">
        <f t="shared" si="110"/>
        <v>1.3379000000000001</v>
      </c>
      <c r="T52" s="22"/>
      <c r="U52" s="46"/>
      <c r="V52" s="22"/>
      <c r="W52" s="22"/>
      <c r="X52" s="22"/>
      <c r="Z52" s="2"/>
    </row>
    <row r="53" spans="1:26">
      <c r="A53" s="162">
        <v>22</v>
      </c>
      <c r="B53" s="70" t="s">
        <v>85</v>
      </c>
      <c r="C53" s="165">
        <f>347.75+20.87</f>
        <v>368.62</v>
      </c>
      <c r="D53" s="22"/>
      <c r="E53" s="22"/>
      <c r="F53" s="22"/>
      <c r="G53" s="22"/>
      <c r="H53" s="22"/>
      <c r="I53" s="22"/>
      <c r="J53" s="22"/>
      <c r="K53" s="22"/>
      <c r="L53" s="22">
        <v>0</v>
      </c>
      <c r="M53" s="22">
        <v>0</v>
      </c>
      <c r="N53" s="22"/>
      <c r="O53" s="22"/>
      <c r="P53" s="22"/>
      <c r="Q53" s="22"/>
      <c r="R53" s="22"/>
      <c r="S53" s="22"/>
      <c r="T53" s="22"/>
      <c r="U53" s="46">
        <f t="shared" si="95"/>
        <v>368.62</v>
      </c>
      <c r="V53" s="22">
        <f t="shared" si="96"/>
        <v>30.718333333333302</v>
      </c>
      <c r="W53" s="22">
        <f t="shared" si="97"/>
        <v>22.1172</v>
      </c>
      <c r="X53" s="22">
        <f t="shared" si="98"/>
        <v>390.73719999999997</v>
      </c>
      <c r="Z53" s="179"/>
    </row>
    <row r="54" spans="1:26">
      <c r="A54" s="162"/>
      <c r="B54" s="70"/>
      <c r="C54" s="163" t="s">
        <v>152</v>
      </c>
      <c r="D54" s="22">
        <f t="shared" si="99"/>
        <v>1.8431</v>
      </c>
      <c r="E54" s="22">
        <f t="shared" si="100"/>
        <v>1.8431</v>
      </c>
      <c r="F54" s="22"/>
      <c r="G54" s="22">
        <f t="shared" si="101"/>
        <v>1.8431</v>
      </c>
      <c r="H54" s="22"/>
      <c r="I54" s="22">
        <f t="shared" si="102"/>
        <v>1.8431</v>
      </c>
      <c r="J54" s="22"/>
      <c r="K54" s="22">
        <f t="shared" si="103"/>
        <v>1.8431</v>
      </c>
      <c r="L54" s="22">
        <f t="shared" si="104"/>
        <v>1.8431</v>
      </c>
      <c r="M54" s="22">
        <f t="shared" si="105"/>
        <v>1.8431</v>
      </c>
      <c r="N54" s="22">
        <f t="shared" si="106"/>
        <v>1.8431</v>
      </c>
      <c r="O54" s="22">
        <f t="shared" si="107"/>
        <v>1.8431</v>
      </c>
      <c r="P54" s="22">
        <f t="shared" si="108"/>
        <v>1.8431</v>
      </c>
      <c r="Q54" s="22"/>
      <c r="R54" s="22">
        <f t="shared" si="109"/>
        <v>1.8431</v>
      </c>
      <c r="S54" s="22">
        <f t="shared" si="110"/>
        <v>1.8431</v>
      </c>
      <c r="T54" s="22"/>
      <c r="U54" s="46"/>
      <c r="V54" s="22"/>
      <c r="W54" s="22"/>
      <c r="X54" s="22"/>
      <c r="Z54" s="2"/>
    </row>
    <row r="55" spans="1:26">
      <c r="A55" s="162">
        <v>23</v>
      </c>
      <c r="B55" s="70" t="str">
        <f>'[1]Subscribed&amp;Paid-up (2)'!$B$72</f>
        <v>Concepcion B. Cruz</v>
      </c>
      <c r="C55" s="165">
        <v>4942.33</v>
      </c>
      <c r="D55" s="22"/>
      <c r="E55" s="22"/>
      <c r="F55" s="32"/>
      <c r="G55" s="52"/>
      <c r="H55" s="22"/>
      <c r="I55" s="52"/>
      <c r="J55" s="172">
        <v>0</v>
      </c>
      <c r="K55" s="22">
        <v>0</v>
      </c>
      <c r="L55" s="22">
        <v>0</v>
      </c>
      <c r="M55" s="22">
        <v>0</v>
      </c>
      <c r="N55" s="22"/>
      <c r="O55" s="22"/>
      <c r="P55" s="22"/>
      <c r="Q55" s="32"/>
      <c r="R55" s="22"/>
      <c r="S55" s="32"/>
      <c r="T55" s="22"/>
      <c r="U55" s="46">
        <f>C55+D55+E55-F55+G55+H55+I55+J55+K55+L55+M55+N55+O55+P55-Q55+R55+S55+D56+E56+F56+G56+H56+I56+J56+K56+L56+M56+N56+O56+P56+R56+S56</f>
        <v>5238.8698000000004</v>
      </c>
      <c r="V55" s="22">
        <f t="shared" ref="V55:V59" si="111">U55/12</f>
        <v>436.57248333333399</v>
      </c>
      <c r="W55" s="22">
        <f t="shared" ref="W55:W59" si="112">D56+E56+G56+I56+K56+L56+M56+N56+O56+P56+R56+S56</f>
        <v>296.53980000000001</v>
      </c>
      <c r="X55" s="22">
        <f t="shared" ref="X55:X59" si="113">U55+W55</f>
        <v>5535.4096</v>
      </c>
      <c r="Z55" s="179"/>
    </row>
    <row r="56" spans="1:26">
      <c r="A56" s="162"/>
      <c r="B56" s="70"/>
      <c r="C56" s="163" t="s">
        <v>152</v>
      </c>
      <c r="D56" s="22">
        <f t="shared" ref="D56:D60" si="114">(C55+D55)*0.005</f>
        <v>24.711649999999999</v>
      </c>
      <c r="E56" s="22">
        <f t="shared" ref="E56:E60" si="115">(C55+D55+E55)*0.005</f>
        <v>24.711649999999999</v>
      </c>
      <c r="F56" s="22"/>
      <c r="G56" s="22">
        <f t="shared" ref="G56:G60" si="116">(+C55+D55+E55+G55)*0.005</f>
        <v>24.711649999999999</v>
      </c>
      <c r="H56" s="22"/>
      <c r="I56" s="22">
        <f t="shared" ref="I56:I60" si="117">(C55+D55+E55+G55+I55)*0.005</f>
        <v>24.711649999999999</v>
      </c>
      <c r="J56" s="22"/>
      <c r="K56" s="22">
        <f t="shared" ref="K56:K60" si="118">(C55+D55+E55+G55+I55+K55)*0.005</f>
        <v>24.711649999999999</v>
      </c>
      <c r="L56" s="22">
        <f t="shared" ref="L56:L60" si="119">(C55+D55+E55+G55+I55+K55+L55)*0.005</f>
        <v>24.711649999999999</v>
      </c>
      <c r="M56" s="22">
        <f t="shared" ref="M56:M60" si="120">(C55+D55+E55+G55+I55+K55+L55+M55)*0.005</f>
        <v>24.711649999999999</v>
      </c>
      <c r="N56" s="22">
        <f t="shared" ref="N56:N60" si="121">(C55+D55+E55+G55+I55+K55+L55+M55+N55)*0.005</f>
        <v>24.711649999999999</v>
      </c>
      <c r="O56" s="22">
        <f t="shared" ref="O56:O60" si="122">(C55+D55+E55+G55+I55+K55+L55+M55+N55+O55)*0.005</f>
        <v>24.711649999999999</v>
      </c>
      <c r="P56" s="22">
        <f t="shared" ref="P56:P60" si="123">(C55+D55+E55+G55+I55+K55+L55+M55+N55+O55+P55)*0.005</f>
        <v>24.711649999999999</v>
      </c>
      <c r="Q56" s="22"/>
      <c r="R56" s="22">
        <f t="shared" ref="R56:R60" si="124">(C55+D55+E55+G55+I55+K55+L55+M55+N55+O55+P55+R55)*0.005</f>
        <v>24.711649999999999</v>
      </c>
      <c r="S56" s="22">
        <f t="shared" ref="S56:S60" si="125">(C55+D55+E55+G55+I55+K55+L55+M55+N55+O55+P55+R55+S55)*0.005</f>
        <v>24.711649999999999</v>
      </c>
      <c r="T56" s="22"/>
      <c r="U56" s="46"/>
      <c r="V56" s="22"/>
      <c r="W56" s="22"/>
      <c r="X56" s="22"/>
      <c r="Z56" s="2"/>
    </row>
    <row r="57" spans="1:26">
      <c r="A57" s="162">
        <v>24</v>
      </c>
      <c r="B57" s="70" t="str">
        <f>'[1]Subscribed&amp;Paid-up (2)'!$B$73</f>
        <v>Leonardo B. Cruz</v>
      </c>
      <c r="C57" s="165">
        <v>1736.48</v>
      </c>
      <c r="D57" s="22"/>
      <c r="E57" s="22"/>
      <c r="F57" s="22"/>
      <c r="G57" s="22"/>
      <c r="H57" s="22"/>
      <c r="I57" s="22"/>
      <c r="J57" s="22"/>
      <c r="K57" s="22"/>
      <c r="L57" s="22">
        <v>0</v>
      </c>
      <c r="M57" s="22"/>
      <c r="N57" s="22"/>
      <c r="O57" s="22"/>
      <c r="P57" s="22"/>
      <c r="Q57" s="22"/>
      <c r="R57" s="22"/>
      <c r="S57" s="22"/>
      <c r="T57" s="22"/>
      <c r="U57" s="46">
        <f t="shared" ref="U57:U61" si="126">C57+D57+E57+G57+I57+K57+L57+M57+N57+O57+P57+R57+S57</f>
        <v>1736.48</v>
      </c>
      <c r="V57" s="22">
        <f t="shared" si="111"/>
        <v>144.70666666666699</v>
      </c>
      <c r="W57" s="22">
        <f t="shared" si="112"/>
        <v>104.1888</v>
      </c>
      <c r="X57" s="22">
        <f t="shared" si="113"/>
        <v>1840.6687999999999</v>
      </c>
      <c r="Z57" s="179"/>
    </row>
    <row r="58" spans="1:26">
      <c r="A58" s="162"/>
      <c r="B58" s="70"/>
      <c r="C58" s="163" t="s">
        <v>152</v>
      </c>
      <c r="D58" s="22">
        <f t="shared" si="114"/>
        <v>8.6823999999999995</v>
      </c>
      <c r="E58" s="22">
        <f t="shared" si="115"/>
        <v>8.6823999999999995</v>
      </c>
      <c r="F58" s="22"/>
      <c r="G58" s="22">
        <f t="shared" si="116"/>
        <v>8.6823999999999995</v>
      </c>
      <c r="H58" s="22"/>
      <c r="I58" s="22">
        <f t="shared" si="117"/>
        <v>8.6823999999999995</v>
      </c>
      <c r="J58" s="22"/>
      <c r="K58" s="22">
        <f t="shared" si="118"/>
        <v>8.6823999999999995</v>
      </c>
      <c r="L58" s="22">
        <f t="shared" si="119"/>
        <v>8.6823999999999995</v>
      </c>
      <c r="M58" s="22">
        <f t="shared" si="120"/>
        <v>8.6823999999999995</v>
      </c>
      <c r="N58" s="22">
        <f t="shared" si="121"/>
        <v>8.6823999999999995</v>
      </c>
      <c r="O58" s="22">
        <f t="shared" si="122"/>
        <v>8.6823999999999995</v>
      </c>
      <c r="P58" s="22">
        <f t="shared" si="123"/>
        <v>8.6823999999999995</v>
      </c>
      <c r="Q58" s="22"/>
      <c r="R58" s="22">
        <f t="shared" si="124"/>
        <v>8.6823999999999995</v>
      </c>
      <c r="S58" s="22">
        <f t="shared" si="125"/>
        <v>8.6823999999999995</v>
      </c>
      <c r="T58" s="22"/>
      <c r="U58" s="46"/>
      <c r="V58" s="22"/>
      <c r="W58" s="22"/>
      <c r="X58" s="22"/>
      <c r="Z58" s="2"/>
    </row>
    <row r="59" spans="1:26">
      <c r="A59" s="162">
        <v>25</v>
      </c>
      <c r="B59" s="70" t="str">
        <f>'[1]Subscribed&amp;Paid-up (2)'!$B$74</f>
        <v>Annalyn B. Cruz</v>
      </c>
      <c r="C59" s="165">
        <v>584.98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>
        <v>0</v>
      </c>
      <c r="S59" s="22"/>
      <c r="T59" s="22"/>
      <c r="U59" s="46">
        <f t="shared" si="126"/>
        <v>584.98</v>
      </c>
      <c r="V59" s="22">
        <f t="shared" si="111"/>
        <v>48.748333333333299</v>
      </c>
      <c r="W59" s="22">
        <f t="shared" si="112"/>
        <v>35.098799999999997</v>
      </c>
      <c r="X59" s="22">
        <f t="shared" si="113"/>
        <v>620.0788</v>
      </c>
      <c r="Z59" s="2"/>
    </row>
    <row r="60" spans="1:26">
      <c r="A60" s="162"/>
      <c r="B60" s="70"/>
      <c r="C60" s="163" t="s">
        <v>152</v>
      </c>
      <c r="D60" s="22">
        <f t="shared" si="114"/>
        <v>2.9249000000000001</v>
      </c>
      <c r="E60" s="22">
        <f t="shared" si="115"/>
        <v>2.9249000000000001</v>
      </c>
      <c r="F60" s="22"/>
      <c r="G60" s="22">
        <f t="shared" si="116"/>
        <v>2.9249000000000001</v>
      </c>
      <c r="H60" s="22"/>
      <c r="I60" s="22">
        <f t="shared" si="117"/>
        <v>2.9249000000000001</v>
      </c>
      <c r="J60" s="22"/>
      <c r="K60" s="22">
        <f t="shared" si="118"/>
        <v>2.9249000000000001</v>
      </c>
      <c r="L60" s="22">
        <f t="shared" si="119"/>
        <v>2.9249000000000001</v>
      </c>
      <c r="M60" s="22">
        <f t="shared" si="120"/>
        <v>2.9249000000000001</v>
      </c>
      <c r="N60" s="22">
        <f t="shared" si="121"/>
        <v>2.9249000000000001</v>
      </c>
      <c r="O60" s="22">
        <f t="shared" si="122"/>
        <v>2.9249000000000001</v>
      </c>
      <c r="P60" s="22">
        <f t="shared" si="123"/>
        <v>2.9249000000000001</v>
      </c>
      <c r="Q60" s="22"/>
      <c r="R60" s="22">
        <f t="shared" si="124"/>
        <v>2.9249000000000001</v>
      </c>
      <c r="S60" s="22">
        <f t="shared" si="125"/>
        <v>2.9249000000000001</v>
      </c>
      <c r="T60" s="22"/>
      <c r="U60" s="46"/>
      <c r="V60" s="22"/>
      <c r="W60" s="22"/>
      <c r="X60" s="22"/>
      <c r="Z60" s="2"/>
    </row>
    <row r="61" spans="1:26">
      <c r="A61" s="162">
        <v>26</v>
      </c>
      <c r="B61" s="70" t="str">
        <f>'[1]Subscribed&amp;Paid-up (2)'!$B$76</f>
        <v>Milben Rex P. Balao</v>
      </c>
      <c r="C61" s="165">
        <v>907.72</v>
      </c>
      <c r="D61" s="22"/>
      <c r="E61" s="22"/>
      <c r="F61" s="22"/>
      <c r="G61" s="22"/>
      <c r="H61" s="22"/>
      <c r="I61" s="22"/>
      <c r="J61" s="22"/>
      <c r="K61" s="22"/>
      <c r="L61" s="22"/>
      <c r="M61" s="22">
        <v>0</v>
      </c>
      <c r="N61" s="22"/>
      <c r="O61" s="22"/>
      <c r="P61" s="22"/>
      <c r="Q61" s="22"/>
      <c r="R61" s="22">
        <v>0</v>
      </c>
      <c r="S61" s="22"/>
      <c r="T61" s="22"/>
      <c r="U61" s="46">
        <f t="shared" si="126"/>
        <v>907.72</v>
      </c>
      <c r="V61" s="22">
        <f t="shared" ref="V61:V65" si="127">U61/12</f>
        <v>75.643333333333302</v>
      </c>
      <c r="W61" s="22">
        <f t="shared" ref="W61:W65" si="128">D62+E62+G62+I62+K62+L62+M62+N62+O62+P62+R62+S62</f>
        <v>54.463200000000001</v>
      </c>
      <c r="X61" s="22">
        <f t="shared" ref="X61:X65" si="129">U61+W61</f>
        <v>962.18320000000006</v>
      </c>
      <c r="Z61" s="179"/>
    </row>
    <row r="62" spans="1:26">
      <c r="A62" s="162"/>
      <c r="B62" s="70"/>
      <c r="C62" s="163" t="s">
        <v>152</v>
      </c>
      <c r="D62" s="22">
        <f t="shared" ref="D62:D66" si="130">(C61+D61)*0.005</f>
        <v>4.5385999999999997</v>
      </c>
      <c r="E62" s="22">
        <f t="shared" ref="E62:E66" si="131">(C61+D61+E61)*0.005</f>
        <v>4.5385999999999997</v>
      </c>
      <c r="F62" s="22"/>
      <c r="G62" s="22">
        <f t="shared" ref="G62:G66" si="132">(+C61+D61+E61+G61)*0.005</f>
        <v>4.5385999999999997</v>
      </c>
      <c r="H62" s="22"/>
      <c r="I62" s="22">
        <f t="shared" ref="I62:I66" si="133">(C61+D61+E61+G61+I61)*0.005</f>
        <v>4.5385999999999997</v>
      </c>
      <c r="J62" s="22"/>
      <c r="K62" s="22">
        <f t="shared" ref="K62:K66" si="134">(C61+D61+E61+G61+I61+K61)*0.005</f>
        <v>4.5385999999999997</v>
      </c>
      <c r="L62" s="22">
        <f t="shared" ref="L62:L66" si="135">(C61+D61+E61+G61+I61+K61+L61)*0.005</f>
        <v>4.5385999999999997</v>
      </c>
      <c r="M62" s="22">
        <f t="shared" ref="M62:M66" si="136">(C61+D61+E61+G61+I61+K61+L61+M61)*0.005</f>
        <v>4.5385999999999997</v>
      </c>
      <c r="N62" s="22">
        <f t="shared" ref="N62:N66" si="137">(C61+D61+E61+G61+I61+K61+L61+M61+N61)*0.005</f>
        <v>4.5385999999999997</v>
      </c>
      <c r="O62" s="22">
        <f t="shared" ref="O62:O66" si="138">(C61+D61+E61+G61+I61+K61+L61+M61+N61+O61)*0.005</f>
        <v>4.5385999999999997</v>
      </c>
      <c r="P62" s="22">
        <f t="shared" ref="P62:P66" si="139">(C61+D61+E61+G61+I61+K61+L61+M61+N61+O61+P61)*0.005</f>
        <v>4.5385999999999997</v>
      </c>
      <c r="Q62" s="22"/>
      <c r="R62" s="22">
        <f t="shared" ref="R62:R66" si="140">(C61+D61+E61+G61+I61+K61+L61+M61+N61+O61+P61+R61)*0.005</f>
        <v>4.5385999999999997</v>
      </c>
      <c r="S62" s="22">
        <f t="shared" ref="S62:S66" si="141">(C61+D61+E61+G61+I61+K61+L61+M61+N61+O61+P61+R61+S61)*0.005</f>
        <v>4.5385999999999997</v>
      </c>
      <c r="T62" s="22"/>
      <c r="U62" s="46"/>
      <c r="V62" s="22"/>
      <c r="W62" s="22"/>
      <c r="X62" s="22"/>
      <c r="Z62" s="2"/>
    </row>
    <row r="63" spans="1:26">
      <c r="A63" s="162">
        <v>27</v>
      </c>
      <c r="B63" s="70" t="s">
        <v>185</v>
      </c>
      <c r="C63" s="161">
        <f>7254.64+435.28</f>
        <v>7689.92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>
        <v>0</v>
      </c>
      <c r="P63" s="45"/>
      <c r="Q63" s="45"/>
      <c r="R63" s="45"/>
      <c r="S63" s="45">
        <v>0</v>
      </c>
      <c r="T63" s="45"/>
      <c r="U63" s="46">
        <f>C63+D63+E63+G63+I63+K63+L63+M63+N63+O63+P63+R63+S63</f>
        <v>7689.92</v>
      </c>
      <c r="V63" s="45">
        <f t="shared" si="127"/>
        <v>640.82666666666705</v>
      </c>
      <c r="W63" s="45">
        <f t="shared" si="128"/>
        <v>461.39519999999999</v>
      </c>
      <c r="X63" s="45">
        <f t="shared" si="129"/>
        <v>8151.3152</v>
      </c>
      <c r="Z63" s="179"/>
    </row>
    <row r="64" spans="1:26">
      <c r="A64" s="162"/>
      <c r="B64" s="70"/>
      <c r="C64" s="163" t="s">
        <v>152</v>
      </c>
      <c r="D64" s="22">
        <f t="shared" si="130"/>
        <v>38.449599999999997</v>
      </c>
      <c r="E64" s="22">
        <f t="shared" si="131"/>
        <v>38.449599999999997</v>
      </c>
      <c r="F64" s="22"/>
      <c r="G64" s="22">
        <f t="shared" si="132"/>
        <v>38.449599999999997</v>
      </c>
      <c r="H64" s="22"/>
      <c r="I64" s="22">
        <f t="shared" si="133"/>
        <v>38.449599999999997</v>
      </c>
      <c r="J64" s="22"/>
      <c r="K64" s="22">
        <f t="shared" si="134"/>
        <v>38.449599999999997</v>
      </c>
      <c r="L64" s="22">
        <f t="shared" si="135"/>
        <v>38.449599999999997</v>
      </c>
      <c r="M64" s="22">
        <f t="shared" si="136"/>
        <v>38.449599999999997</v>
      </c>
      <c r="N64" s="22">
        <f t="shared" si="137"/>
        <v>38.449599999999997</v>
      </c>
      <c r="O64" s="22">
        <f t="shared" si="138"/>
        <v>38.449599999999997</v>
      </c>
      <c r="P64" s="22">
        <f t="shared" si="139"/>
        <v>38.449599999999997</v>
      </c>
      <c r="Q64" s="22"/>
      <c r="R64" s="22">
        <f t="shared" si="140"/>
        <v>38.449599999999997</v>
      </c>
      <c r="S64" s="22">
        <f t="shared" si="141"/>
        <v>38.449599999999997</v>
      </c>
      <c r="T64" s="22"/>
      <c r="U64" s="46"/>
      <c r="V64" s="22"/>
      <c r="W64" s="22"/>
      <c r="X64" s="22"/>
      <c r="Z64" s="2"/>
    </row>
    <row r="65" spans="1:26">
      <c r="A65" s="162">
        <v>28</v>
      </c>
      <c r="B65" s="27" t="s">
        <v>186</v>
      </c>
      <c r="C65" s="161">
        <f>114.05+6.84</f>
        <v>120.89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0</v>
      </c>
      <c r="Q65" s="22"/>
      <c r="R65" s="22"/>
      <c r="S65" s="22"/>
      <c r="T65" s="22"/>
      <c r="U65" s="46">
        <f>C65+D65+E65+G65+I65+K65+L65+M65+N65+O65+P65+R65+S65</f>
        <v>120.89</v>
      </c>
      <c r="V65" s="22">
        <f t="shared" si="127"/>
        <v>10.0741666666667</v>
      </c>
      <c r="W65" s="22">
        <f t="shared" si="128"/>
        <v>7.2534000000000001</v>
      </c>
      <c r="X65" s="22">
        <f t="shared" si="129"/>
        <v>128.14340000000001</v>
      </c>
      <c r="Z65" s="179"/>
    </row>
    <row r="66" spans="1:26">
      <c r="A66" s="162"/>
      <c r="B66" s="27"/>
      <c r="C66" s="163" t="s">
        <v>152</v>
      </c>
      <c r="D66" s="22">
        <f t="shared" si="130"/>
        <v>0.60445000000000004</v>
      </c>
      <c r="E66" s="22">
        <f t="shared" si="131"/>
        <v>0.60445000000000004</v>
      </c>
      <c r="F66" s="22"/>
      <c r="G66" s="22">
        <f t="shared" si="132"/>
        <v>0.60445000000000004</v>
      </c>
      <c r="H66" s="22"/>
      <c r="I66" s="22">
        <f t="shared" si="133"/>
        <v>0.60445000000000004</v>
      </c>
      <c r="J66" s="22"/>
      <c r="K66" s="22">
        <f t="shared" si="134"/>
        <v>0.60445000000000004</v>
      </c>
      <c r="L66" s="22">
        <f t="shared" si="135"/>
        <v>0.60445000000000004</v>
      </c>
      <c r="M66" s="22">
        <f t="shared" si="136"/>
        <v>0.60445000000000004</v>
      </c>
      <c r="N66" s="22">
        <f t="shared" si="137"/>
        <v>0.60445000000000004</v>
      </c>
      <c r="O66" s="22">
        <f t="shared" si="138"/>
        <v>0.60445000000000004</v>
      </c>
      <c r="P66" s="22">
        <f t="shared" si="139"/>
        <v>0.60445000000000004</v>
      </c>
      <c r="Q66" s="22"/>
      <c r="R66" s="22">
        <f t="shared" si="140"/>
        <v>0.60445000000000004</v>
      </c>
      <c r="S66" s="22">
        <f t="shared" si="141"/>
        <v>0.60445000000000004</v>
      </c>
      <c r="T66" s="22"/>
      <c r="U66" s="46"/>
      <c r="V66" s="22"/>
      <c r="W66" s="22"/>
      <c r="X66" s="22"/>
      <c r="Z66" s="2"/>
    </row>
    <row r="67" spans="1:26" s="156" customFormat="1">
      <c r="A67" s="180">
        <v>29</v>
      </c>
      <c r="B67" s="181" t="s">
        <v>187</v>
      </c>
      <c r="C67" s="182">
        <v>10404.200000000001</v>
      </c>
      <c r="D67" s="183"/>
      <c r="E67" s="183"/>
      <c r="F67" s="184"/>
      <c r="G67" s="185"/>
      <c r="H67" s="186"/>
      <c r="I67" s="185"/>
      <c r="J67" s="185"/>
      <c r="K67" s="183"/>
      <c r="L67" s="185"/>
      <c r="M67" s="185"/>
      <c r="N67" s="185"/>
      <c r="O67" s="183"/>
      <c r="P67" s="185">
        <v>0</v>
      </c>
      <c r="Q67" s="185"/>
      <c r="R67" s="185"/>
      <c r="S67" s="185"/>
      <c r="T67" s="185"/>
      <c r="U67" s="193">
        <f>C67+D67+E67-F67+G67+I67-H67+K67+L67+M67+N67+O67+P67+R67+S67</f>
        <v>10404.200000000001</v>
      </c>
      <c r="V67" s="185">
        <f t="shared" ref="V67:V71" si="142">U67/12</f>
        <v>867.01666666666699</v>
      </c>
      <c r="W67" s="185">
        <f t="shared" ref="W67:W71" si="143">D68+E68+G68+I68+K68+L68+M68+N68+O68+P68+R68+S68</f>
        <v>624.25199999999995</v>
      </c>
      <c r="X67" s="185">
        <f t="shared" ref="X67:X71" si="144">U67+W67</f>
        <v>11028.451999999999</v>
      </c>
      <c r="Y67" s="197"/>
      <c r="Z67" s="198"/>
    </row>
    <row r="68" spans="1:26">
      <c r="A68" s="162"/>
      <c r="B68" s="20"/>
      <c r="C68" s="163" t="s">
        <v>152</v>
      </c>
      <c r="D68" s="22">
        <f t="shared" ref="D68:D72" si="145">(C67+D67)*0.005</f>
        <v>52.021000000000001</v>
      </c>
      <c r="E68" s="22">
        <f t="shared" ref="E68:E72" si="146">(C67+D67+E67)*0.005</f>
        <v>52.021000000000001</v>
      </c>
      <c r="F68" s="22"/>
      <c r="G68" s="22">
        <f t="shared" ref="G68:G72" si="147">(+C67+D67+E67+G67)*0.005</f>
        <v>52.021000000000001</v>
      </c>
      <c r="H68" s="22"/>
      <c r="I68" s="22">
        <f t="shared" ref="I68:I72" si="148">(C67+D67+E67+G67+I67)*0.005</f>
        <v>52.021000000000001</v>
      </c>
      <c r="J68" s="22"/>
      <c r="K68" s="22">
        <f t="shared" ref="K68:K72" si="149">(C67+D67+E67+G67+I67+K67)*0.005</f>
        <v>52.021000000000001</v>
      </c>
      <c r="L68" s="22">
        <f t="shared" ref="L68:L72" si="150">(C67+D67+E67+G67+I67+K67+L67)*0.005</f>
        <v>52.021000000000001</v>
      </c>
      <c r="M68" s="22">
        <f t="shared" ref="M68:M72" si="151">(C67+D67+E67+G67+I67+K67+L67+M67)*0.005</f>
        <v>52.021000000000001</v>
      </c>
      <c r="N68" s="22">
        <f t="shared" ref="N68:N72" si="152">(C67+D67+E67+G67+I67+K67+L67+M67+N67)*0.005</f>
        <v>52.021000000000001</v>
      </c>
      <c r="O68" s="22">
        <f t="shared" ref="O68:O72" si="153">(C67+D67+E67+G67+I67+K67+L67+M67+N67+O67)*0.005</f>
        <v>52.021000000000001</v>
      </c>
      <c r="P68" s="22">
        <f t="shared" ref="P68:P72" si="154">(C67+D67+E67+G67+I67+K67+L67+M67+N67+O67+P67)*0.005</f>
        <v>52.021000000000001</v>
      </c>
      <c r="Q68" s="22"/>
      <c r="R68" s="22">
        <f t="shared" ref="R68:R72" si="155">(C67+D67+E67+G67+I67+K67+L67+M67+N67+O67+P67+R67)*0.005</f>
        <v>52.021000000000001</v>
      </c>
      <c r="S68" s="22">
        <f t="shared" ref="S68:S72" si="156">(C67+D67+E67+G67+I67+K67+L67+M67+N67+O67+P67+R67+S67)*0.005</f>
        <v>52.021000000000001</v>
      </c>
      <c r="T68" s="22"/>
      <c r="U68" s="46"/>
      <c r="V68" s="22"/>
      <c r="W68" s="22"/>
      <c r="X68" s="22"/>
      <c r="Z68" s="2"/>
    </row>
    <row r="69" spans="1:26">
      <c r="A69" s="162">
        <v>30</v>
      </c>
      <c r="B69" s="20" t="s">
        <v>188</v>
      </c>
      <c r="C69" s="161">
        <f>411.24+24.67</f>
        <v>435.91</v>
      </c>
      <c r="D69" s="25"/>
      <c r="E69" s="25"/>
      <c r="F69" s="25"/>
      <c r="G69" s="22"/>
      <c r="H69" s="22"/>
      <c r="I69" s="22"/>
      <c r="J69" s="22"/>
      <c r="K69" s="25"/>
      <c r="L69" s="22"/>
      <c r="M69" s="22"/>
      <c r="N69" s="22"/>
      <c r="O69" s="25"/>
      <c r="P69" s="22">
        <v>0</v>
      </c>
      <c r="Q69" s="22"/>
      <c r="R69" s="22"/>
      <c r="S69" s="22"/>
      <c r="T69" s="22"/>
      <c r="U69" s="46">
        <f t="shared" ref="U69:U73" si="157">C69+D69+E69+G69+I69+K69+L69+M69+N69+O69+P69+R69+S69</f>
        <v>435.91</v>
      </c>
      <c r="V69" s="22">
        <f t="shared" si="142"/>
        <v>36.3258333333333</v>
      </c>
      <c r="W69" s="22">
        <f t="shared" si="143"/>
        <v>26.154599999999999</v>
      </c>
      <c r="X69" s="22">
        <f t="shared" si="144"/>
        <v>462.06459999999998</v>
      </c>
      <c r="Z69" s="2"/>
    </row>
    <row r="70" spans="1:26">
      <c r="A70" s="162"/>
      <c r="B70" s="20"/>
      <c r="C70" s="163" t="s">
        <v>152</v>
      </c>
      <c r="D70" s="22">
        <f t="shared" si="145"/>
        <v>2.1795499999999999</v>
      </c>
      <c r="E70" s="22">
        <f t="shared" si="146"/>
        <v>2.1795499999999999</v>
      </c>
      <c r="F70" s="22"/>
      <c r="G70" s="22">
        <f t="shared" si="147"/>
        <v>2.1795499999999999</v>
      </c>
      <c r="H70" s="22"/>
      <c r="I70" s="22">
        <f t="shared" si="148"/>
        <v>2.1795499999999999</v>
      </c>
      <c r="J70" s="22"/>
      <c r="K70" s="22">
        <f t="shared" si="149"/>
        <v>2.1795499999999999</v>
      </c>
      <c r="L70" s="22">
        <f t="shared" si="150"/>
        <v>2.1795499999999999</v>
      </c>
      <c r="M70" s="22">
        <f t="shared" si="151"/>
        <v>2.1795499999999999</v>
      </c>
      <c r="N70" s="22">
        <f t="shared" si="152"/>
        <v>2.1795499999999999</v>
      </c>
      <c r="O70" s="22">
        <f t="shared" si="153"/>
        <v>2.1795499999999999</v>
      </c>
      <c r="P70" s="22">
        <f t="shared" si="154"/>
        <v>2.1795499999999999</v>
      </c>
      <c r="Q70" s="22"/>
      <c r="R70" s="22">
        <f t="shared" si="155"/>
        <v>2.1795499999999999</v>
      </c>
      <c r="S70" s="22">
        <f t="shared" si="156"/>
        <v>2.1795499999999999</v>
      </c>
      <c r="T70" s="22"/>
      <c r="U70" s="46"/>
      <c r="V70" s="22"/>
      <c r="W70" s="22"/>
      <c r="X70" s="22"/>
      <c r="Z70" s="2"/>
    </row>
    <row r="71" spans="1:26">
      <c r="A71" s="162">
        <v>31</v>
      </c>
      <c r="B71" s="20" t="s">
        <v>189</v>
      </c>
      <c r="C71" s="161">
        <f>106.15+6.37</f>
        <v>112.52</v>
      </c>
      <c r="D71" s="25"/>
      <c r="E71" s="25"/>
      <c r="F71" s="25"/>
      <c r="G71" s="22"/>
      <c r="H71" s="22"/>
      <c r="I71" s="22"/>
      <c r="J71" s="22"/>
      <c r="K71" s="25"/>
      <c r="L71" s="22"/>
      <c r="M71" s="22"/>
      <c r="N71" s="22"/>
      <c r="O71" s="25"/>
      <c r="P71" s="22">
        <v>0</v>
      </c>
      <c r="Q71" s="22"/>
      <c r="R71" s="22"/>
      <c r="S71" s="22"/>
      <c r="T71" s="22"/>
      <c r="U71" s="46">
        <f t="shared" si="157"/>
        <v>112.52</v>
      </c>
      <c r="V71" s="22">
        <f t="shared" si="142"/>
        <v>9.3766666666666705</v>
      </c>
      <c r="W71" s="22">
        <f t="shared" si="143"/>
        <v>6.7511999999999999</v>
      </c>
      <c r="X71" s="22">
        <f t="shared" si="144"/>
        <v>119.27119999999999</v>
      </c>
      <c r="Z71" s="2"/>
    </row>
    <row r="72" spans="1:26">
      <c r="A72" s="162"/>
      <c r="B72" s="20"/>
      <c r="C72" s="163" t="s">
        <v>152</v>
      </c>
      <c r="D72" s="22">
        <f t="shared" si="145"/>
        <v>0.56259999999999999</v>
      </c>
      <c r="E72" s="22">
        <f t="shared" si="146"/>
        <v>0.56259999999999999</v>
      </c>
      <c r="F72" s="22"/>
      <c r="G72" s="22">
        <f t="shared" si="147"/>
        <v>0.56259999999999999</v>
      </c>
      <c r="H72" s="22"/>
      <c r="I72" s="22">
        <f t="shared" si="148"/>
        <v>0.56259999999999999</v>
      </c>
      <c r="J72" s="22"/>
      <c r="K72" s="22">
        <f t="shared" si="149"/>
        <v>0.56259999999999999</v>
      </c>
      <c r="L72" s="22">
        <f t="shared" si="150"/>
        <v>0.56259999999999999</v>
      </c>
      <c r="M72" s="22">
        <f t="shared" si="151"/>
        <v>0.56259999999999999</v>
      </c>
      <c r="N72" s="22">
        <f t="shared" si="152"/>
        <v>0.56259999999999999</v>
      </c>
      <c r="O72" s="22">
        <f t="shared" si="153"/>
        <v>0.56259999999999999</v>
      </c>
      <c r="P72" s="22">
        <f t="shared" si="154"/>
        <v>0.56259999999999999</v>
      </c>
      <c r="Q72" s="22"/>
      <c r="R72" s="22">
        <f t="shared" si="155"/>
        <v>0.56259999999999999</v>
      </c>
      <c r="S72" s="22">
        <f t="shared" si="156"/>
        <v>0.56259999999999999</v>
      </c>
      <c r="T72" s="22"/>
      <c r="U72" s="173"/>
      <c r="V72" s="22"/>
      <c r="W72" s="22"/>
      <c r="X72" s="22"/>
      <c r="Z72" s="2"/>
    </row>
    <row r="73" spans="1:26">
      <c r="A73" s="162">
        <v>32</v>
      </c>
      <c r="B73" s="20" t="s">
        <v>190</v>
      </c>
      <c r="C73" s="161">
        <v>2966.82</v>
      </c>
      <c r="D73" s="25"/>
      <c r="E73" s="25"/>
      <c r="F73" s="25"/>
      <c r="G73" s="22"/>
      <c r="H73" s="22"/>
      <c r="I73" s="22"/>
      <c r="J73" s="22"/>
      <c r="K73" s="25"/>
      <c r="L73" s="22"/>
      <c r="M73" s="22"/>
      <c r="N73" s="22"/>
      <c r="O73" s="25"/>
      <c r="P73" s="22">
        <v>0</v>
      </c>
      <c r="Q73" s="22"/>
      <c r="R73" s="22"/>
      <c r="S73" s="22"/>
      <c r="T73" s="22"/>
      <c r="U73" s="173">
        <f t="shared" si="157"/>
        <v>2966.82</v>
      </c>
      <c r="V73" s="22">
        <f t="shared" ref="V73:V77" si="158">U73/12</f>
        <v>247.23500000000001</v>
      </c>
      <c r="W73" s="22">
        <f t="shared" ref="W73:W77" si="159">D74+E74+G74+I74+K74+L74+M74+N74+O74+P74+R74+S74</f>
        <v>178.00919999999999</v>
      </c>
      <c r="X73" s="22">
        <f t="shared" ref="X73:X77" si="160">U73+W73</f>
        <v>3144.8292000000001</v>
      </c>
      <c r="Z73" s="2"/>
    </row>
    <row r="74" spans="1:26">
      <c r="A74" s="162"/>
      <c r="B74" s="20"/>
      <c r="C74" s="163" t="s">
        <v>152</v>
      </c>
      <c r="D74" s="22">
        <f t="shared" ref="D74:D78" si="161">(C73+D73)*0.005</f>
        <v>14.834099999999999</v>
      </c>
      <c r="E74" s="22">
        <f t="shared" ref="E74:E78" si="162">(C73+D73+E73)*0.005</f>
        <v>14.834099999999999</v>
      </c>
      <c r="F74" s="22"/>
      <c r="G74" s="22">
        <f t="shared" ref="G74:G78" si="163">(+C73+D73+E73+G73)*0.005</f>
        <v>14.834099999999999</v>
      </c>
      <c r="H74" s="22"/>
      <c r="I74" s="22">
        <f t="shared" ref="I74:I78" si="164">(C73+D73+E73+G73+I73)*0.005</f>
        <v>14.834099999999999</v>
      </c>
      <c r="J74" s="22"/>
      <c r="K74" s="22">
        <f t="shared" ref="K74:K78" si="165">(C73+D73+E73+G73+I73+K73)*0.005</f>
        <v>14.834099999999999</v>
      </c>
      <c r="L74" s="22">
        <f t="shared" ref="L74:L78" si="166">(C73+D73+E73+G73+I73+K73+L73)*0.005</f>
        <v>14.834099999999999</v>
      </c>
      <c r="M74" s="22">
        <f t="shared" ref="M74:M78" si="167">(C73+D73+E73+G73+I73+K73+L73+M73)*0.005</f>
        <v>14.834099999999999</v>
      </c>
      <c r="N74" s="22">
        <f t="shared" ref="N74:N78" si="168">(C73+D73+E73+G73+I73+K73+L73+M73+N73)*0.005</f>
        <v>14.834099999999999</v>
      </c>
      <c r="O74" s="22">
        <f t="shared" ref="O74:O78" si="169">(C73+D73+E73+G73+I73+K73+L73+M73+N73+O73)*0.005</f>
        <v>14.834099999999999</v>
      </c>
      <c r="P74" s="22">
        <f t="shared" ref="P74:P78" si="170">(C73+D73+E73+G73+I73+K73+L73+M73+N73+O73+P73)*0.005</f>
        <v>14.834099999999999</v>
      </c>
      <c r="Q74" s="22"/>
      <c r="R74" s="22">
        <f t="shared" ref="R74:R78" si="171">(C73+D73+E73+G73+I73+K73+L73+M73+N73+O73+P73+R73)*0.005</f>
        <v>14.834099999999999</v>
      </c>
      <c r="S74" s="22">
        <f t="shared" ref="S74:S78" si="172">(C73+D73+E73+G73+I73+K73+L73+M73+N73+O73+P73+R73+S73)*0.005</f>
        <v>14.834099999999999</v>
      </c>
      <c r="T74" s="22"/>
      <c r="U74" s="173"/>
      <c r="V74" s="22"/>
      <c r="W74" s="22"/>
      <c r="X74" s="22"/>
      <c r="Z74" s="2"/>
    </row>
    <row r="75" spans="1:26">
      <c r="A75" s="187">
        <v>33</v>
      </c>
      <c r="B75" s="20" t="s">
        <v>191</v>
      </c>
      <c r="C75" s="161">
        <v>977.82</v>
      </c>
      <c r="D75" s="25"/>
      <c r="E75" s="25"/>
      <c r="F75" s="25"/>
      <c r="G75" s="22"/>
      <c r="H75" s="22"/>
      <c r="I75" s="22"/>
      <c r="J75" s="22"/>
      <c r="K75" s="25"/>
      <c r="L75" s="22"/>
      <c r="M75" s="22">
        <v>0</v>
      </c>
      <c r="N75" s="22">
        <v>0</v>
      </c>
      <c r="O75" s="25"/>
      <c r="P75" s="22">
        <v>0</v>
      </c>
      <c r="Q75" s="22"/>
      <c r="R75" s="22"/>
      <c r="S75" s="22"/>
      <c r="T75" s="22"/>
      <c r="U75" s="173">
        <f t="shared" ref="U75:U79" si="173">C75+D75+E75+G75+I75+K75+L75+M75+N75+O75+P75+R75+S75</f>
        <v>977.82</v>
      </c>
      <c r="V75" s="22">
        <f t="shared" si="158"/>
        <v>81.484999999999999</v>
      </c>
      <c r="W75" s="22">
        <f t="shared" si="159"/>
        <v>58.669199999999996</v>
      </c>
      <c r="X75" s="22">
        <f t="shared" si="160"/>
        <v>1036.4892</v>
      </c>
      <c r="Z75" s="2"/>
    </row>
    <row r="76" spans="1:26" ht="16.5" customHeight="1">
      <c r="A76" s="162"/>
      <c r="B76" s="20"/>
      <c r="C76" s="163" t="s">
        <v>152</v>
      </c>
      <c r="D76" s="22">
        <f t="shared" si="161"/>
        <v>4.8891</v>
      </c>
      <c r="E76" s="22">
        <f t="shared" si="162"/>
        <v>4.8891</v>
      </c>
      <c r="F76" s="22"/>
      <c r="G76" s="22">
        <f t="shared" si="163"/>
        <v>4.8891</v>
      </c>
      <c r="H76" s="22"/>
      <c r="I76" s="22">
        <f t="shared" si="164"/>
        <v>4.8891</v>
      </c>
      <c r="J76" s="22"/>
      <c r="K76" s="22">
        <f t="shared" si="165"/>
        <v>4.8891</v>
      </c>
      <c r="L76" s="22">
        <f t="shared" si="166"/>
        <v>4.8891</v>
      </c>
      <c r="M76" s="22">
        <f t="shared" si="167"/>
        <v>4.8891</v>
      </c>
      <c r="N76" s="22">
        <f t="shared" si="168"/>
        <v>4.8891</v>
      </c>
      <c r="O76" s="22">
        <f t="shared" si="169"/>
        <v>4.8891</v>
      </c>
      <c r="P76" s="22">
        <f t="shared" si="170"/>
        <v>4.8891</v>
      </c>
      <c r="Q76" s="22"/>
      <c r="R76" s="22">
        <f t="shared" si="171"/>
        <v>4.8891</v>
      </c>
      <c r="S76" s="22">
        <f t="shared" si="172"/>
        <v>4.8891</v>
      </c>
      <c r="T76" s="22"/>
      <c r="U76" s="173"/>
      <c r="V76" s="77"/>
      <c r="W76" s="77"/>
      <c r="X76" s="77"/>
    </row>
    <row r="77" spans="1:26">
      <c r="A77" s="187">
        <v>34</v>
      </c>
      <c r="B77" s="20" t="s">
        <v>192</v>
      </c>
      <c r="C77" s="161">
        <v>1729.49</v>
      </c>
      <c r="D77" s="25"/>
      <c r="E77" s="25"/>
      <c r="F77" s="25"/>
      <c r="G77" s="22"/>
      <c r="H77" s="22"/>
      <c r="I77" s="22"/>
      <c r="J77" s="22"/>
      <c r="K77" s="25"/>
      <c r="L77" s="22"/>
      <c r="M77" s="22"/>
      <c r="N77" s="22"/>
      <c r="O77" s="25"/>
      <c r="P77" s="22">
        <v>0</v>
      </c>
      <c r="Q77" s="22"/>
      <c r="R77" s="22"/>
      <c r="S77" s="22"/>
      <c r="T77" s="22"/>
      <c r="U77" s="173">
        <f t="shared" si="173"/>
        <v>1729.49</v>
      </c>
      <c r="V77" s="22">
        <f t="shared" si="158"/>
        <v>144.12416666666701</v>
      </c>
      <c r="W77" s="22">
        <f t="shared" si="159"/>
        <v>103.7694</v>
      </c>
      <c r="X77" s="22">
        <f t="shared" si="160"/>
        <v>1833.2593999999999</v>
      </c>
      <c r="Z77" s="2"/>
    </row>
    <row r="78" spans="1:26" ht="15" customHeight="1">
      <c r="A78" s="162"/>
      <c r="B78" s="20"/>
      <c r="C78" s="163" t="s">
        <v>152</v>
      </c>
      <c r="D78" s="22">
        <f t="shared" si="161"/>
        <v>8.6474499999999992</v>
      </c>
      <c r="E78" s="22">
        <f t="shared" si="162"/>
        <v>8.6474499999999992</v>
      </c>
      <c r="F78" s="22"/>
      <c r="G78" s="22">
        <f t="shared" si="163"/>
        <v>8.6474499999999992</v>
      </c>
      <c r="H78" s="22"/>
      <c r="I78" s="22">
        <f t="shared" si="164"/>
        <v>8.6474499999999992</v>
      </c>
      <c r="J78" s="22"/>
      <c r="K78" s="22">
        <f t="shared" si="165"/>
        <v>8.6474499999999992</v>
      </c>
      <c r="L78" s="22">
        <f t="shared" si="166"/>
        <v>8.6474499999999992</v>
      </c>
      <c r="M78" s="22">
        <f t="shared" si="167"/>
        <v>8.6474499999999992</v>
      </c>
      <c r="N78" s="22">
        <f t="shared" si="168"/>
        <v>8.6474499999999992</v>
      </c>
      <c r="O78" s="22">
        <f t="shared" si="169"/>
        <v>8.6474499999999992</v>
      </c>
      <c r="P78" s="22">
        <f t="shared" si="170"/>
        <v>8.6474499999999992</v>
      </c>
      <c r="Q78" s="22"/>
      <c r="R78" s="22">
        <f t="shared" si="171"/>
        <v>8.6474499999999992</v>
      </c>
      <c r="S78" s="22">
        <f t="shared" si="172"/>
        <v>8.6474499999999992</v>
      </c>
      <c r="T78" s="22"/>
      <c r="U78" s="173"/>
      <c r="V78" s="77"/>
      <c r="W78" s="77"/>
      <c r="X78" s="77"/>
    </row>
    <row r="79" spans="1:26">
      <c r="A79" s="187">
        <v>35</v>
      </c>
      <c r="B79" s="20" t="s">
        <v>193</v>
      </c>
      <c r="C79" s="161">
        <v>3912.53</v>
      </c>
      <c r="D79" s="25"/>
      <c r="E79" s="25"/>
      <c r="F79" s="25"/>
      <c r="G79" s="22"/>
      <c r="H79" s="22"/>
      <c r="I79" s="22"/>
      <c r="J79" s="22"/>
      <c r="K79" s="25"/>
      <c r="L79" s="22"/>
      <c r="M79" s="22"/>
      <c r="N79" s="22"/>
      <c r="O79" s="25"/>
      <c r="P79" s="22">
        <v>0</v>
      </c>
      <c r="Q79" s="22"/>
      <c r="R79" s="32"/>
      <c r="S79" s="22"/>
      <c r="T79" s="22"/>
      <c r="U79" s="173">
        <f t="shared" si="173"/>
        <v>3912.53</v>
      </c>
      <c r="V79" s="22">
        <f t="shared" ref="V79:V83" si="174">U79/12</f>
        <v>326.04416666666702</v>
      </c>
      <c r="W79" s="22">
        <f t="shared" ref="W79:W83" si="175">D80+E80+G80+I80+K80+L80+M80+N80+O80+P80+R80+S80</f>
        <v>234.7518</v>
      </c>
      <c r="X79" s="22">
        <f t="shared" ref="X79:X83" si="176">U79+W79</f>
        <v>4147.2817999999997</v>
      </c>
      <c r="Z79" s="2"/>
    </row>
    <row r="80" spans="1:26" ht="15" customHeight="1">
      <c r="A80" s="162"/>
      <c r="B80" s="20"/>
      <c r="C80" s="163" t="s">
        <v>152</v>
      </c>
      <c r="D80" s="22">
        <f t="shared" ref="D80:D84" si="177">(C79+D79)*0.005</f>
        <v>19.562650000000001</v>
      </c>
      <c r="E80" s="22">
        <f t="shared" ref="E80:E84" si="178">(C79+D79+E79)*0.005</f>
        <v>19.562650000000001</v>
      </c>
      <c r="F80" s="22"/>
      <c r="G80" s="22">
        <f t="shared" ref="G80:G84" si="179">(+C79+D79+E79+G79)*0.005</f>
        <v>19.562650000000001</v>
      </c>
      <c r="H80" s="22"/>
      <c r="I80" s="22">
        <f t="shared" ref="I80:I84" si="180">(C79+D79+E79+G79+I79)*0.005</f>
        <v>19.562650000000001</v>
      </c>
      <c r="J80" s="22"/>
      <c r="K80" s="22">
        <f t="shared" ref="K80:K84" si="181">(C79+D79+E79+G79+I79+K79)*0.005</f>
        <v>19.562650000000001</v>
      </c>
      <c r="L80" s="22">
        <f t="shared" ref="L80:L84" si="182">(C79+D79+E79+G79+I79+K79+L79)*0.005</f>
        <v>19.562650000000001</v>
      </c>
      <c r="M80" s="22">
        <f t="shared" ref="M80:M84" si="183">(C79+D79+E79+G79+I79+K79+L79+M79)*0.005</f>
        <v>19.562650000000001</v>
      </c>
      <c r="N80" s="22">
        <f t="shared" ref="N80:N84" si="184">(C79+D79+E79+G79+I79+K79+L79+M79+N79)*0.005</f>
        <v>19.562650000000001</v>
      </c>
      <c r="O80" s="22">
        <f t="shared" ref="O80:O84" si="185">(C79+D79+E79+G79+I79+K79+L79+M79+N79+O79)*0.005</f>
        <v>19.562650000000001</v>
      </c>
      <c r="P80" s="22">
        <f t="shared" ref="P80:P84" si="186">(C79+D79+E79+G79+I79+K79+L79+M79+N79+O79+P79)*0.005</f>
        <v>19.562650000000001</v>
      </c>
      <c r="Q80" s="22"/>
      <c r="R80" s="22">
        <f t="shared" ref="R80:R84" si="187">(C79+D79+E79+G79+I79+K79+L79+M79+N79+O79+P79+R79)*0.005</f>
        <v>19.562650000000001</v>
      </c>
      <c r="S80" s="22">
        <f t="shared" ref="S80:S84" si="188">(C79+D79+E79+G79+I79+K79+L79+M79+N79+O79+P79+R79+S79)*0.005</f>
        <v>19.562650000000001</v>
      </c>
      <c r="T80" s="22"/>
      <c r="U80" s="173"/>
      <c r="V80" s="88"/>
      <c r="W80" s="88"/>
      <c r="X80" s="88"/>
    </row>
    <row r="81" spans="1:26">
      <c r="A81" s="187">
        <v>36</v>
      </c>
      <c r="B81" s="20" t="s">
        <v>195</v>
      </c>
      <c r="C81" s="161">
        <v>1174.1600000000001</v>
      </c>
      <c r="D81" s="25"/>
      <c r="E81" s="25"/>
      <c r="F81" s="25"/>
      <c r="G81" s="22"/>
      <c r="H81" s="22"/>
      <c r="I81" s="32"/>
      <c r="J81" s="22"/>
      <c r="K81" s="25"/>
      <c r="L81" s="22"/>
      <c r="M81" s="22"/>
      <c r="N81" s="22"/>
      <c r="O81" s="25"/>
      <c r="P81" s="22">
        <v>0</v>
      </c>
      <c r="Q81" s="22"/>
      <c r="R81" s="22">
        <v>0</v>
      </c>
      <c r="S81" s="22"/>
      <c r="T81" s="22"/>
      <c r="U81" s="173">
        <f t="shared" ref="U81:U85" si="189">C81+D81+E81+G81+I81+K81+L81+M81+N81+O81+P81+R81+S81</f>
        <v>1174.1600000000001</v>
      </c>
      <c r="V81" s="22">
        <f t="shared" si="174"/>
        <v>97.846666666666707</v>
      </c>
      <c r="W81" s="22">
        <f t="shared" si="175"/>
        <v>70.449600000000004</v>
      </c>
      <c r="X81" s="22">
        <f t="shared" si="176"/>
        <v>1244.6096</v>
      </c>
      <c r="Z81" s="2"/>
    </row>
    <row r="82" spans="1:26" ht="15" customHeight="1">
      <c r="A82" s="162"/>
      <c r="B82" s="20"/>
      <c r="C82" s="163" t="s">
        <v>152</v>
      </c>
      <c r="D82" s="22">
        <f t="shared" si="177"/>
        <v>5.8708</v>
      </c>
      <c r="E82" s="22">
        <f t="shared" si="178"/>
        <v>5.8708</v>
      </c>
      <c r="F82" s="22"/>
      <c r="G82" s="22">
        <f t="shared" si="179"/>
        <v>5.8708</v>
      </c>
      <c r="H82" s="22"/>
      <c r="I82" s="22">
        <f t="shared" si="180"/>
        <v>5.8708</v>
      </c>
      <c r="J82" s="22"/>
      <c r="K82" s="22">
        <f t="shared" si="181"/>
        <v>5.8708</v>
      </c>
      <c r="L82" s="22">
        <f t="shared" si="182"/>
        <v>5.8708</v>
      </c>
      <c r="M82" s="22">
        <f t="shared" si="183"/>
        <v>5.8708</v>
      </c>
      <c r="N82" s="22">
        <f t="shared" si="184"/>
        <v>5.8708</v>
      </c>
      <c r="O82" s="22">
        <f t="shared" si="185"/>
        <v>5.8708</v>
      </c>
      <c r="P82" s="22">
        <f t="shared" si="186"/>
        <v>5.8708</v>
      </c>
      <c r="Q82" s="22"/>
      <c r="R82" s="22">
        <f t="shared" si="187"/>
        <v>5.8708</v>
      </c>
      <c r="S82" s="22">
        <f t="shared" si="188"/>
        <v>5.8708</v>
      </c>
      <c r="T82" s="22"/>
      <c r="U82" s="173"/>
      <c r="V82" s="88"/>
      <c r="W82" s="88"/>
      <c r="X82" s="88"/>
    </row>
    <row r="83" spans="1:26" ht="16.95" customHeight="1">
      <c r="A83" s="187">
        <v>37</v>
      </c>
      <c r="B83" s="20" t="s">
        <v>196</v>
      </c>
      <c r="C83" s="161">
        <v>4440.1499999999996</v>
      </c>
      <c r="D83" s="188"/>
      <c r="E83" s="188"/>
      <c r="F83" s="25"/>
      <c r="G83" s="22"/>
      <c r="H83" s="22"/>
      <c r="I83" s="164"/>
      <c r="J83" s="22"/>
      <c r="K83" s="25"/>
      <c r="L83" s="164"/>
      <c r="M83" s="22"/>
      <c r="N83" s="22"/>
      <c r="O83" s="25"/>
      <c r="P83" s="22">
        <v>0</v>
      </c>
      <c r="Q83" s="22"/>
      <c r="R83" s="22">
        <v>0</v>
      </c>
      <c r="S83" s="32"/>
      <c r="T83" s="22"/>
      <c r="U83" s="173">
        <f t="shared" si="189"/>
        <v>4440.1499999999996</v>
      </c>
      <c r="V83" s="22">
        <f t="shared" si="174"/>
        <v>370.01249999999999</v>
      </c>
      <c r="W83" s="22">
        <f t="shared" si="175"/>
        <v>266.40899999999999</v>
      </c>
      <c r="X83" s="22">
        <f t="shared" si="176"/>
        <v>4706.5590000000002</v>
      </c>
      <c r="Z83" s="2"/>
    </row>
    <row r="84" spans="1:26" ht="15" customHeight="1">
      <c r="A84" s="162"/>
      <c r="B84" s="20"/>
      <c r="C84" s="163" t="s">
        <v>152</v>
      </c>
      <c r="D84" s="22">
        <f t="shared" si="177"/>
        <v>22.200749999999999</v>
      </c>
      <c r="E84" s="22">
        <f t="shared" si="178"/>
        <v>22.200749999999999</v>
      </c>
      <c r="F84" s="22"/>
      <c r="G84" s="22">
        <f t="shared" si="179"/>
        <v>22.200749999999999</v>
      </c>
      <c r="H84" s="22"/>
      <c r="I84" s="22">
        <f t="shared" si="180"/>
        <v>22.200749999999999</v>
      </c>
      <c r="J84" s="22"/>
      <c r="K84" s="22">
        <f t="shared" si="181"/>
        <v>22.200749999999999</v>
      </c>
      <c r="L84" s="22">
        <f t="shared" si="182"/>
        <v>22.200749999999999</v>
      </c>
      <c r="M84" s="22">
        <f t="shared" si="183"/>
        <v>22.200749999999999</v>
      </c>
      <c r="N84" s="22">
        <f t="shared" si="184"/>
        <v>22.200749999999999</v>
      </c>
      <c r="O84" s="22">
        <f t="shared" si="185"/>
        <v>22.200749999999999</v>
      </c>
      <c r="P84" s="22">
        <f t="shared" si="186"/>
        <v>22.200749999999999</v>
      </c>
      <c r="Q84" s="22"/>
      <c r="R84" s="22">
        <f t="shared" si="187"/>
        <v>22.200749999999999</v>
      </c>
      <c r="S84" s="22">
        <f t="shared" si="188"/>
        <v>22.200749999999999</v>
      </c>
      <c r="T84" s="22"/>
      <c r="U84" s="173"/>
      <c r="V84" s="88"/>
      <c r="W84" s="88"/>
      <c r="X84" s="88"/>
    </row>
    <row r="85" spans="1:26" ht="15" customHeight="1">
      <c r="A85" s="162">
        <v>38</v>
      </c>
      <c r="B85" s="20" t="s">
        <v>197</v>
      </c>
      <c r="C85" s="161">
        <f>40+1.2</f>
        <v>41.2</v>
      </c>
      <c r="D85" s="188"/>
      <c r="E85" s="188"/>
      <c r="F85" s="25"/>
      <c r="G85" s="22"/>
      <c r="H85" s="22"/>
      <c r="I85" s="22"/>
      <c r="J85" s="22"/>
      <c r="K85" s="25"/>
      <c r="L85" s="32"/>
      <c r="M85" s="22"/>
      <c r="N85" s="22"/>
      <c r="O85" s="25"/>
      <c r="P85" s="22">
        <v>0</v>
      </c>
      <c r="Q85" s="22"/>
      <c r="R85" s="22">
        <v>0</v>
      </c>
      <c r="S85" s="32"/>
      <c r="T85" s="22"/>
      <c r="U85" s="173">
        <f t="shared" si="189"/>
        <v>41.2</v>
      </c>
      <c r="V85" s="22">
        <f t="shared" ref="V85:V89" si="190">U85/12</f>
        <v>3.43333333333333</v>
      </c>
      <c r="W85" s="22">
        <f t="shared" ref="W85:W89" si="191">D86+E86+G86+I86+K86+L86+M86+N86+O86+P86+R86+S86</f>
        <v>2.472</v>
      </c>
      <c r="X85" s="22">
        <f t="shared" ref="X85:X89" si="192">U85+W85</f>
        <v>43.671999999999997</v>
      </c>
    </row>
    <row r="86" spans="1:26" ht="15" customHeight="1">
      <c r="A86" s="162"/>
      <c r="B86" s="20"/>
      <c r="C86" s="163" t="s">
        <v>152</v>
      </c>
      <c r="D86" s="22">
        <f t="shared" ref="D86:D90" si="193">(C85+D85)*0.005</f>
        <v>0.20599999999999999</v>
      </c>
      <c r="E86" s="22">
        <f t="shared" ref="E86:E90" si="194">(C85+D85+E85)*0.005</f>
        <v>0.20599999999999999</v>
      </c>
      <c r="F86" s="22"/>
      <c r="G86" s="22">
        <f t="shared" ref="G86:G90" si="195">(+C85+D85+E85+G85)*0.005</f>
        <v>0.20599999999999999</v>
      </c>
      <c r="H86" s="22"/>
      <c r="I86" s="22">
        <f t="shared" ref="I86:I90" si="196">(C85+D85+E85+G85+I85)*0.005</f>
        <v>0.20599999999999999</v>
      </c>
      <c r="J86" s="22"/>
      <c r="K86" s="22">
        <f t="shared" ref="K86:K90" si="197">(C85+D85+E85+G85+I85+K85)*0.005</f>
        <v>0.20599999999999999</v>
      </c>
      <c r="L86" s="22">
        <f t="shared" ref="L86:L90" si="198">(C85+D85+E85+G85+I85+K85+L85)*0.005</f>
        <v>0.20599999999999999</v>
      </c>
      <c r="M86" s="22">
        <f t="shared" ref="M86:M90" si="199">(C85+D85+E85+G85+I85+K85+L85+M85)*0.005</f>
        <v>0.20599999999999999</v>
      </c>
      <c r="N86" s="22">
        <f t="shared" ref="N86:N90" si="200">(C85+D85+E85+G85+I85+K85+L85+M85+N85)*0.005</f>
        <v>0.20599999999999999</v>
      </c>
      <c r="O86" s="22">
        <f t="shared" ref="O86:O90" si="201">(C85+D85+E85+G85+I85+K85+L85+M85+N85+O85)*0.005</f>
        <v>0.20599999999999999</v>
      </c>
      <c r="P86" s="22">
        <f t="shared" ref="P86:P90" si="202">(C85+D85+E85+G85+I85+K85+L85+M85+N85+O85+P85)*0.005</f>
        <v>0.20599999999999999</v>
      </c>
      <c r="Q86" s="22"/>
      <c r="R86" s="22">
        <f t="shared" ref="R86:R90" si="203">(C85+D85+E85+G85+I85+K85+L85+M85+N85+O85+P85+R85)*0.005</f>
        <v>0.20599999999999999</v>
      </c>
      <c r="S86" s="22">
        <f t="shared" ref="S86:S90" si="204">(C85+D85+E85+G85+I85+K85+L85+M85+N85+O85+P85+R85+S85)*0.005</f>
        <v>0.20599999999999999</v>
      </c>
      <c r="T86" s="22"/>
      <c r="U86" s="173"/>
      <c r="V86" s="88"/>
      <c r="W86" s="88"/>
      <c r="X86" s="88"/>
    </row>
    <row r="87" spans="1:26" ht="17.55" customHeight="1">
      <c r="A87" s="162">
        <v>39</v>
      </c>
      <c r="B87" s="20" t="s">
        <v>198</v>
      </c>
      <c r="C87" s="161">
        <f>150+3.75</f>
        <v>153.75</v>
      </c>
      <c r="D87" s="188"/>
      <c r="E87" s="188"/>
      <c r="F87" s="25"/>
      <c r="G87" s="22"/>
      <c r="H87" s="22"/>
      <c r="I87" s="22"/>
      <c r="J87" s="22"/>
      <c r="K87" s="25"/>
      <c r="L87" s="32"/>
      <c r="M87" s="22"/>
      <c r="N87" s="22"/>
      <c r="O87" s="25"/>
      <c r="P87" s="22">
        <v>0</v>
      </c>
      <c r="Q87" s="22"/>
      <c r="R87" s="22">
        <v>0</v>
      </c>
      <c r="S87" s="32"/>
      <c r="T87" s="22"/>
      <c r="U87" s="173">
        <f>C87+D87+E87+G87+I87+K87+L87+M87+N87+O87+P87+R87+S87</f>
        <v>153.75</v>
      </c>
      <c r="V87" s="22">
        <f t="shared" si="190"/>
        <v>12.8125</v>
      </c>
      <c r="W87" s="22">
        <f t="shared" si="191"/>
        <v>9.2249999999999996</v>
      </c>
      <c r="X87" s="22">
        <f t="shared" si="192"/>
        <v>162.97499999999999</v>
      </c>
    </row>
    <row r="88" spans="1:26" ht="17.55" customHeight="1">
      <c r="A88" s="162"/>
      <c r="B88" s="20"/>
      <c r="C88" s="163" t="s">
        <v>152</v>
      </c>
      <c r="D88" s="22">
        <f t="shared" si="193"/>
        <v>0.76875000000000004</v>
      </c>
      <c r="E88" s="22">
        <f t="shared" si="194"/>
        <v>0.76875000000000004</v>
      </c>
      <c r="F88" s="22"/>
      <c r="G88" s="22">
        <f t="shared" si="195"/>
        <v>0.76875000000000004</v>
      </c>
      <c r="H88" s="22"/>
      <c r="I88" s="22">
        <f t="shared" si="196"/>
        <v>0.76875000000000004</v>
      </c>
      <c r="J88" s="22"/>
      <c r="K88" s="22">
        <f t="shared" si="197"/>
        <v>0.76875000000000004</v>
      </c>
      <c r="L88" s="22">
        <f t="shared" si="198"/>
        <v>0.76875000000000004</v>
      </c>
      <c r="M88" s="22">
        <f t="shared" si="199"/>
        <v>0.76875000000000004</v>
      </c>
      <c r="N88" s="22">
        <f t="shared" si="200"/>
        <v>0.76875000000000004</v>
      </c>
      <c r="O88" s="22">
        <f t="shared" si="201"/>
        <v>0.76875000000000004</v>
      </c>
      <c r="P88" s="22">
        <f t="shared" si="202"/>
        <v>0.76875000000000004</v>
      </c>
      <c r="Q88" s="22"/>
      <c r="R88" s="22">
        <f t="shared" si="203"/>
        <v>0.76875000000000004</v>
      </c>
      <c r="S88" s="22">
        <f t="shared" si="204"/>
        <v>0.76875000000000004</v>
      </c>
      <c r="T88" s="22"/>
      <c r="U88" s="173"/>
      <c r="V88" s="88"/>
      <c r="W88" s="88"/>
      <c r="X88" s="88"/>
    </row>
    <row r="89" spans="1:26" ht="17.55" customHeight="1">
      <c r="A89" s="162"/>
      <c r="B89" s="20" t="s">
        <v>134</v>
      </c>
      <c r="C89" s="161"/>
      <c r="D89" s="188"/>
      <c r="E89" s="188"/>
      <c r="F89" s="25"/>
      <c r="G89" s="22"/>
      <c r="H89" s="22"/>
      <c r="I89" s="22"/>
      <c r="J89" s="22"/>
      <c r="K89" s="25"/>
      <c r="L89" s="32"/>
      <c r="M89" s="22"/>
      <c r="N89" s="22"/>
      <c r="O89" s="25"/>
      <c r="P89" s="22">
        <v>0</v>
      </c>
      <c r="Q89" s="22"/>
      <c r="R89" s="22">
        <v>0</v>
      </c>
      <c r="S89" s="164">
        <v>500</v>
      </c>
      <c r="T89" s="22"/>
      <c r="U89" s="173">
        <f>C89+D89+E89+G89+I89+K89+L89+M89+N89+O89+P89+R89+S89</f>
        <v>500</v>
      </c>
      <c r="V89" s="22">
        <f t="shared" si="190"/>
        <v>41.6666666666667</v>
      </c>
      <c r="W89" s="22">
        <f t="shared" si="191"/>
        <v>2.5</v>
      </c>
      <c r="X89" s="22">
        <f t="shared" si="192"/>
        <v>502.5</v>
      </c>
    </row>
    <row r="90" spans="1:26" ht="17.55" customHeight="1">
      <c r="A90" s="162"/>
      <c r="B90" s="20"/>
      <c r="C90" s="163" t="s">
        <v>152</v>
      </c>
      <c r="D90" s="22">
        <f t="shared" si="193"/>
        <v>0</v>
      </c>
      <c r="E90" s="22">
        <f t="shared" si="194"/>
        <v>0</v>
      </c>
      <c r="F90" s="22"/>
      <c r="G90" s="22">
        <f t="shared" si="195"/>
        <v>0</v>
      </c>
      <c r="H90" s="22"/>
      <c r="I90" s="22">
        <f t="shared" si="196"/>
        <v>0</v>
      </c>
      <c r="J90" s="22"/>
      <c r="K90" s="22">
        <f t="shared" si="197"/>
        <v>0</v>
      </c>
      <c r="L90" s="22">
        <f t="shared" si="198"/>
        <v>0</v>
      </c>
      <c r="M90" s="22">
        <f t="shared" si="199"/>
        <v>0</v>
      </c>
      <c r="N90" s="22">
        <f t="shared" si="200"/>
        <v>0</v>
      </c>
      <c r="O90" s="22">
        <f t="shared" si="201"/>
        <v>0</v>
      </c>
      <c r="P90" s="22">
        <f t="shared" si="202"/>
        <v>0</v>
      </c>
      <c r="Q90" s="22"/>
      <c r="R90" s="22">
        <f t="shared" si="203"/>
        <v>0</v>
      </c>
      <c r="S90" s="22">
        <f t="shared" si="204"/>
        <v>2.5</v>
      </c>
      <c r="T90" s="22"/>
      <c r="U90" s="173"/>
      <c r="V90" s="88"/>
      <c r="W90" s="88"/>
      <c r="X90" s="88"/>
    </row>
    <row r="91" spans="1:26" ht="17.55" customHeight="1">
      <c r="A91" s="162"/>
      <c r="B91" s="20"/>
      <c r="C91" s="163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173"/>
      <c r="V91" s="88"/>
      <c r="W91" s="88"/>
      <c r="X91" s="88"/>
    </row>
    <row r="92" spans="1:26">
      <c r="A92" s="189"/>
      <c r="B92" s="190" t="s">
        <v>120</v>
      </c>
      <c r="C92" s="191">
        <f>SUM(C10:C79)</f>
        <v>85987.94</v>
      </c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1">
        <f t="shared" ref="U92:X92" si="205">SUM(U10:U79)</f>
        <v>86284.479800000001</v>
      </c>
      <c r="V92" s="194">
        <f t="shared" si="205"/>
        <v>7190.3733166666698</v>
      </c>
      <c r="W92" s="195">
        <f t="shared" si="205"/>
        <v>5159.2763999999997</v>
      </c>
      <c r="X92" s="196">
        <f t="shared" si="205"/>
        <v>91443.756200000003</v>
      </c>
    </row>
    <row r="94" spans="1:26">
      <c r="A94" t="s">
        <v>121</v>
      </c>
      <c r="E94" t="s">
        <v>122</v>
      </c>
      <c r="N94" t="s">
        <v>123</v>
      </c>
      <c r="U94" t="s">
        <v>124</v>
      </c>
    </row>
    <row r="97" spans="1:32">
      <c r="B97" s="107" t="s">
        <v>142</v>
      </c>
      <c r="G97" s="107" t="s">
        <v>143</v>
      </c>
      <c r="H97" s="107"/>
      <c r="O97" s="308" t="s">
        <v>127</v>
      </c>
      <c r="P97" s="308"/>
      <c r="Q97" s="308"/>
      <c r="R97" s="308"/>
      <c r="V97" s="308" t="s">
        <v>199</v>
      </c>
      <c r="W97" s="308"/>
      <c r="X97" s="308"/>
    </row>
    <row r="98" spans="1:32">
      <c r="B98" t="s">
        <v>169</v>
      </c>
      <c r="G98" s="311" t="s">
        <v>129</v>
      </c>
      <c r="H98" s="311"/>
      <c r="I98" s="311"/>
      <c r="J98" s="311"/>
      <c r="K98" s="311"/>
      <c r="O98" s="311" t="s">
        <v>200</v>
      </c>
      <c r="P98" s="311"/>
      <c r="Q98" s="311"/>
      <c r="R98" s="311"/>
      <c r="V98" s="313" t="s">
        <v>131</v>
      </c>
      <c r="W98" s="313"/>
      <c r="X98" s="313"/>
    </row>
    <row r="101" spans="1:32">
      <c r="X101" s="3" t="s">
        <v>171</v>
      </c>
    </row>
    <row r="105" spans="1:32">
      <c r="U105" t="s">
        <v>172</v>
      </c>
      <c r="V105">
        <f>18</f>
        <v>18</v>
      </c>
      <c r="W105" s="314">
        <f>X10+X14+X16+X18+X20+X22+X24+X26+X28+X30+X32+X34+X38+X43+X45+X53+X65+X36+X55+X57+X59+X61</f>
        <v>57766.74</v>
      </c>
      <c r="X105" s="314"/>
    </row>
    <row r="106" spans="1:32" s="4" customForma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 s="102" t="s">
        <v>173</v>
      </c>
      <c r="V106" s="102">
        <v>11</v>
      </c>
      <c r="W106" s="306">
        <f>X12+X47+X49+X51+X55+X57+X59+X61+X63+X67</f>
        <v>31892.161199999999</v>
      </c>
      <c r="X106" s="306"/>
      <c r="Z106"/>
      <c r="AA106"/>
      <c r="AB106"/>
      <c r="AC106"/>
      <c r="AD106"/>
      <c r="AE106"/>
      <c r="AF106"/>
    </row>
    <row r="107" spans="1:32" s="4" customForma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>
        <f>V105+V106</f>
        <v>29</v>
      </c>
      <c r="W107" s="307">
        <f>W105+W106</f>
        <v>89658.901199999993</v>
      </c>
      <c r="X107" s="307"/>
      <c r="Z107"/>
      <c r="AA107"/>
      <c r="AB107"/>
      <c r="AC107"/>
      <c r="AD107"/>
      <c r="AE107"/>
      <c r="AF107"/>
    </row>
    <row r="111" spans="1:32" s="4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 t="s">
        <v>174</v>
      </c>
      <c r="Z111"/>
      <c r="AA111"/>
      <c r="AB111"/>
      <c r="AC111"/>
      <c r="AD111"/>
      <c r="AE111"/>
      <c r="AF111"/>
    </row>
    <row r="113" spans="1:32" s="4" customForma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 s="50"/>
      <c r="V113"/>
      <c r="W113"/>
      <c r="X113"/>
      <c r="Z113"/>
      <c r="AA113"/>
      <c r="AB113"/>
      <c r="AC113"/>
      <c r="AD113"/>
      <c r="AE113"/>
      <c r="AF113"/>
    </row>
  </sheetData>
  <mergeCells count="14">
    <mergeCell ref="W105:X105"/>
    <mergeCell ref="W106:X106"/>
    <mergeCell ref="W107:X107"/>
    <mergeCell ref="A9:B9"/>
    <mergeCell ref="O97:R97"/>
    <mergeCell ref="V97:X97"/>
    <mergeCell ref="G98:K98"/>
    <mergeCell ref="O98:R98"/>
    <mergeCell ref="V98:X98"/>
    <mergeCell ref="A2:X2"/>
    <mergeCell ref="A3:X3"/>
    <mergeCell ref="A4:X4"/>
    <mergeCell ref="A6:X6"/>
    <mergeCell ref="A7:X7"/>
  </mergeCells>
  <pageMargins left="0.25" right="0.25" top="0.25" bottom="0.25" header="0.3" footer="0.3"/>
  <pageSetup paperSize="5"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D92D-0BFA-4CE7-915D-7B2A527B8F94}">
  <dimension ref="B2:AB133"/>
  <sheetViews>
    <sheetView topLeftCell="B104" zoomScale="112" zoomScaleNormal="112" workbookViewId="0">
      <selection activeCell="D12" sqref="D12"/>
    </sheetView>
  </sheetViews>
  <sheetFormatPr defaultColWidth="9" defaultRowHeight="14.4"/>
  <cols>
    <col min="1" max="1" width="12.33203125" customWidth="1"/>
    <col min="2" max="2" width="3.5546875" customWidth="1"/>
    <col min="3" max="3" width="20.33203125" customWidth="1"/>
    <col min="4" max="4" width="10.5546875" customWidth="1"/>
    <col min="5" max="5" width="7.77734375" customWidth="1"/>
    <col min="6" max="6" width="7.5546875" customWidth="1"/>
    <col min="7" max="7" width="7.44140625" customWidth="1"/>
    <col min="8" max="9" width="7.77734375" customWidth="1"/>
    <col min="10" max="10" width="8" customWidth="1"/>
    <col min="11" max="12" width="7.5546875" customWidth="1"/>
    <col min="13" max="13" width="7.77734375" customWidth="1"/>
    <col min="14" max="14" width="6.5546875" customWidth="1"/>
    <col min="15" max="15" width="6.6640625" customWidth="1"/>
    <col min="16" max="16" width="7.21875" customWidth="1"/>
    <col min="17" max="17" width="8.109375" customWidth="1"/>
    <col min="18" max="18" width="7.33203125" customWidth="1"/>
    <col min="19" max="19" width="7.77734375" customWidth="1"/>
    <col min="20" max="20" width="8.44140625" customWidth="1"/>
    <col min="21" max="21" width="9" style="4"/>
    <col min="22" max="22" width="9" style="220"/>
  </cols>
  <sheetData>
    <row r="2" spans="2:28">
      <c r="B2" s="308" t="s">
        <v>0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</row>
    <row r="3" spans="2:28">
      <c r="B3" s="315" t="s">
        <v>1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</row>
    <row r="4" spans="2:28">
      <c r="B4" s="313" t="s">
        <v>2</v>
      </c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</row>
    <row r="5" spans="2:28">
      <c r="C5" s="9"/>
      <c r="D5" s="9"/>
      <c r="E5" s="157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8"/>
      <c r="V5" s="229"/>
      <c r="W5" s="9"/>
      <c r="X5" s="9"/>
      <c r="Y5" s="9"/>
      <c r="Z5" s="9"/>
      <c r="AA5" s="9"/>
      <c r="AB5" s="9"/>
    </row>
    <row r="6" spans="2:28" ht="18">
      <c r="B6" s="316" t="s">
        <v>144</v>
      </c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</row>
    <row r="7" spans="2:28">
      <c r="B7" s="313" t="s">
        <v>224</v>
      </c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</row>
    <row r="8" spans="2:28" ht="7.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2:28" s="1" customFormat="1" ht="28.5" customHeight="1">
      <c r="B9" s="317" t="s">
        <v>5</v>
      </c>
      <c r="C9" s="318"/>
      <c r="D9" s="159" t="s">
        <v>233</v>
      </c>
      <c r="E9" s="158" t="s">
        <v>7</v>
      </c>
      <c r="F9" s="158" t="s">
        <v>8</v>
      </c>
      <c r="G9" s="158" t="s">
        <v>9</v>
      </c>
      <c r="H9" s="158" t="s">
        <v>10</v>
      </c>
      <c r="I9" s="158" t="s">
        <v>11</v>
      </c>
      <c r="J9" s="158" t="s">
        <v>12</v>
      </c>
      <c r="K9" s="158" t="s">
        <v>13</v>
      </c>
      <c r="L9" s="158" t="s">
        <v>14</v>
      </c>
      <c r="M9" s="158" t="s">
        <v>15</v>
      </c>
      <c r="N9" s="158" t="s">
        <v>16</v>
      </c>
      <c r="O9" s="158" t="s">
        <v>17</v>
      </c>
      <c r="P9" s="158" t="s">
        <v>18</v>
      </c>
      <c r="Q9" s="158" t="s">
        <v>147</v>
      </c>
      <c r="R9" s="158" t="s">
        <v>148</v>
      </c>
      <c r="S9" s="133" t="s">
        <v>149</v>
      </c>
      <c r="T9" s="133" t="s">
        <v>150</v>
      </c>
      <c r="U9" s="177"/>
      <c r="V9" s="286"/>
    </row>
    <row r="10" spans="2:28" s="2" customFormat="1">
      <c r="B10" s="199">
        <v>1</v>
      </c>
      <c r="C10" s="16" t="s">
        <v>26</v>
      </c>
      <c r="D10" s="161">
        <v>469.15</v>
      </c>
      <c r="E10" s="18"/>
      <c r="F10" s="18"/>
      <c r="G10" s="22"/>
      <c r="H10" s="18"/>
      <c r="I10" s="22"/>
      <c r="J10" s="22"/>
      <c r="K10" s="22"/>
      <c r="L10" s="18"/>
      <c r="M10" s="22"/>
      <c r="N10" s="22"/>
      <c r="O10" s="22"/>
      <c r="P10" s="18"/>
      <c r="Q10" s="46">
        <f>D10+E10+F10+G10+H10+I10+J10+K10+L10+M10+N10+O10+P10</f>
        <v>469.15</v>
      </c>
      <c r="R10" s="22">
        <f>Q10/12</f>
        <v>39.095833333333331</v>
      </c>
      <c r="S10" s="22">
        <f>E11+F11+G11+H11+I11+J11+K11+L11+M11+N11+O11+P11</f>
        <v>28.14899999999999</v>
      </c>
      <c r="T10" s="268">
        <f>Q10+S10</f>
        <v>497.29899999999998</v>
      </c>
      <c r="U10" s="178"/>
      <c r="V10" s="229"/>
    </row>
    <row r="11" spans="2:28" s="2" customFormat="1">
      <c r="B11" s="162"/>
      <c r="C11" s="20"/>
      <c r="D11" s="163" t="s">
        <v>152</v>
      </c>
      <c r="E11" s="22">
        <f>(D10+E10)*0.005</f>
        <v>2.3457499999999998</v>
      </c>
      <c r="F11" s="22">
        <f t="shared" ref="F11:F15" si="0">(D10+E10+F10)*0.005</f>
        <v>2.3457499999999998</v>
      </c>
      <c r="G11" s="22">
        <f>(+D10+E10+F10+G10)*0.005</f>
        <v>2.3457499999999998</v>
      </c>
      <c r="H11" s="22">
        <f>(D10+E10+F10+G10+H10)*0.005</f>
        <v>2.3457499999999998</v>
      </c>
      <c r="I11" s="22">
        <f>(D10+E10+F10+G10+H10+I10)*0.005</f>
        <v>2.3457499999999998</v>
      </c>
      <c r="J11" s="22">
        <f>(D10+E10+F10+G10+H10+I10+J10)*0.005</f>
        <v>2.3457499999999998</v>
      </c>
      <c r="K11" s="22">
        <f>(D10+E10+F10+G10+H10+I10+J10+K10)*0.005</f>
        <v>2.3457499999999998</v>
      </c>
      <c r="L11" s="22">
        <f>(D10+E10+F10+G10+H10+I10+J10+K10+L10)*0.005</f>
        <v>2.3457499999999998</v>
      </c>
      <c r="M11" s="22">
        <f>(D10+E10+F10+G10+H10+I10+J10+K10+L10+M10)*0.005</f>
        <v>2.3457499999999998</v>
      </c>
      <c r="N11" s="22">
        <f>(D10+E10+F10+G10+H10+I10+J10+K10+L10+M10+N10)*0.005</f>
        <v>2.3457499999999998</v>
      </c>
      <c r="O11" s="22">
        <f>(D10+E10+F10+G10+H10+I10+J10+K10+L10+M10+N10+O10)*0.005</f>
        <v>2.3457499999999998</v>
      </c>
      <c r="P11" s="22">
        <f>(D10+E10+F10+G10+H10+I10+J10+K10+L10+M10+N10+O10+P10)*0.005</f>
        <v>2.3457499999999998</v>
      </c>
      <c r="Q11" s="46"/>
      <c r="R11" s="22"/>
      <c r="S11" s="22"/>
      <c r="T11" s="22"/>
      <c r="U11" s="178"/>
      <c r="V11" s="229"/>
    </row>
    <row r="12" spans="2:28">
      <c r="B12" s="162">
        <v>2</v>
      </c>
      <c r="C12" s="20" t="s">
        <v>27</v>
      </c>
      <c r="D12" s="161">
        <v>1428.46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46">
        <f>D12+E12+F12+G12+H12+I12+J12+K12+L12+M12+N12+O12+P12</f>
        <v>1428.46</v>
      </c>
      <c r="R12" s="22">
        <f>Q12/12</f>
        <v>119.03833333333334</v>
      </c>
      <c r="S12" s="22">
        <f>E13+F13+G13+H13+I13+J13+K13+L13+M13+N13+O13+P13</f>
        <v>85.707600000000014</v>
      </c>
      <c r="T12" s="268">
        <f t="shared" ref="T12" si="1">Q12+S12</f>
        <v>1514.1676</v>
      </c>
      <c r="V12" s="229"/>
    </row>
    <row r="13" spans="2:28">
      <c r="B13" s="162"/>
      <c r="C13" s="20"/>
      <c r="D13" s="163" t="s">
        <v>152</v>
      </c>
      <c r="E13" s="22">
        <f t="shared" ref="E13:E15" si="2">(D12+E12)*0.005</f>
        <v>7.1423000000000005</v>
      </c>
      <c r="F13" s="22">
        <f t="shared" si="0"/>
        <v>7.1423000000000005</v>
      </c>
      <c r="G13" s="22">
        <f>(+D12+E12+F12+G12)*0.005</f>
        <v>7.1423000000000005</v>
      </c>
      <c r="H13" s="22">
        <f>(D12+E12+F12+G12+H12)*0.005</f>
        <v>7.1423000000000005</v>
      </c>
      <c r="I13" s="22">
        <f>(D12+E12+F12+G12+H12+I12)*0.005</f>
        <v>7.1423000000000005</v>
      </c>
      <c r="J13" s="22">
        <f>(D12+E12+F12+G12+H12+I12+J12)*0.005</f>
        <v>7.1423000000000005</v>
      </c>
      <c r="K13" s="22">
        <f>(D12+E12+F12+G12+H12+I12+J12+K12)*0.005</f>
        <v>7.1423000000000005</v>
      </c>
      <c r="L13" s="22">
        <f>(D12+E12+F12+G12+H12+I12+J12+K12+L12)*0.005</f>
        <v>7.1423000000000005</v>
      </c>
      <c r="M13" s="22">
        <f>(D12+E12+F12+G12+H12+I12+J12+K12+L12+M12)*0.005</f>
        <v>7.1423000000000005</v>
      </c>
      <c r="N13" s="22">
        <f>(D12+E12+F12+G12+H12+I12+J12+K12+L12+M12+N12)*0.005</f>
        <v>7.1423000000000005</v>
      </c>
      <c r="O13" s="22">
        <f>(D12+E12+F12+G12+H12+I12+J12+K12+L12+M12+N12+O12)*0.005</f>
        <v>7.1423000000000005</v>
      </c>
      <c r="P13" s="22">
        <f>(D12+E12+F12+G12+H12+I12+J12+K12+L12+M12+N12+O12+P12)*0.005</f>
        <v>7.1423000000000005</v>
      </c>
      <c r="Q13" s="46"/>
      <c r="R13" s="22"/>
      <c r="S13" s="22"/>
      <c r="T13" s="22"/>
      <c r="V13" s="229"/>
    </row>
    <row r="14" spans="2:28">
      <c r="B14" s="202">
        <v>3</v>
      </c>
      <c r="C14" s="27" t="s">
        <v>30</v>
      </c>
      <c r="D14" s="161">
        <v>4497.3999999999996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32"/>
      <c r="P14" s="22"/>
      <c r="Q14" s="46">
        <f>D14+E14+F14+G14+H14+I14+J14+K14+L14+M14+N14+O14+P14</f>
        <v>4497.3999999999996</v>
      </c>
      <c r="R14" s="22">
        <f>Q14/12</f>
        <v>374.7833333333333</v>
      </c>
      <c r="S14" s="22">
        <f>E15+F15+G15+H15+I15+J15+K15+L15+M15+N15+O15+P15</f>
        <v>269.84399999999999</v>
      </c>
      <c r="T14" s="268">
        <f>Q14+S14</f>
        <v>4767.2439999999997</v>
      </c>
      <c r="V14" s="229"/>
    </row>
    <row r="15" spans="2:28">
      <c r="B15" s="162"/>
      <c r="C15" s="27"/>
      <c r="D15" s="163" t="s">
        <v>152</v>
      </c>
      <c r="E15" s="22">
        <f t="shared" si="2"/>
        <v>22.486999999999998</v>
      </c>
      <c r="F15" s="22">
        <f t="shared" si="0"/>
        <v>22.486999999999998</v>
      </c>
      <c r="G15" s="22">
        <f>(+D14+E14+F14+G14)*0.005</f>
        <v>22.486999999999998</v>
      </c>
      <c r="H15" s="22">
        <f>(D14+E14+F14+G14+H14)*0.005</f>
        <v>22.486999999999998</v>
      </c>
      <c r="I15" s="22">
        <f>(D14+E14+F14+G14+H14+I14)*0.005</f>
        <v>22.486999999999998</v>
      </c>
      <c r="J15" s="22">
        <f>(D14+E14+F14+G14+H14+I14+J14)*0.005</f>
        <v>22.486999999999998</v>
      </c>
      <c r="K15" s="22">
        <f>(D14+E14+F14+G14+H14+I14+J14+K14)*0.005</f>
        <v>22.486999999999998</v>
      </c>
      <c r="L15" s="22">
        <f>(D14+E14+F14+G14+H14+I14+J14+K14+L14)*0.005</f>
        <v>22.486999999999998</v>
      </c>
      <c r="M15" s="22">
        <f>(D14+E14+F14+G14+H14+I14+J14+K14+L14+M14)*0.005</f>
        <v>22.486999999999998</v>
      </c>
      <c r="N15" s="22">
        <f>(D14+E14+F14+G14+H14+I14+J14+K14+L14+M14+N14)*0.005</f>
        <v>22.486999999999998</v>
      </c>
      <c r="O15" s="22">
        <f>(D14+E14+F14+G14+H14+I14+J14+K14+L14+M14+N14+O14)*0.005</f>
        <v>22.486999999999998</v>
      </c>
      <c r="P15" s="22">
        <f>(D14+E14+F14+G14+H14+I14+J14+K14+L14+M14+N14+O14+P14)*0.005</f>
        <v>22.486999999999998</v>
      </c>
      <c r="Q15" s="46"/>
      <c r="R15" s="22"/>
      <c r="S15" s="22"/>
      <c r="T15" s="22"/>
      <c r="V15" s="229"/>
    </row>
    <row r="16" spans="2:28">
      <c r="B16" s="202">
        <v>4</v>
      </c>
      <c r="C16" s="20" t="s">
        <v>32</v>
      </c>
      <c r="D16" s="161">
        <f>20286.27</f>
        <v>20286.27</v>
      </c>
      <c r="E16" s="32"/>
      <c r="F16" s="32"/>
      <c r="G16" s="164"/>
      <c r="H16" s="22">
        <v>0</v>
      </c>
      <c r="I16" s="22">
        <v>0</v>
      </c>
      <c r="J16" s="164"/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f>6000+(12*500)</f>
        <v>12000</v>
      </c>
      <c r="Q16" s="46">
        <f>D16+E16+F16+G16+H16+I16+J16+K16+L16+M16+N16+O16+P16</f>
        <v>32286.27</v>
      </c>
      <c r="R16" s="22">
        <f>Q16/12</f>
        <v>2690.5225</v>
      </c>
      <c r="S16" s="22">
        <f>E17+F17+G17+H17+I17+J17+K17+L17+M17+N17+O17+P17</f>
        <v>1277.1762000000003</v>
      </c>
      <c r="T16" s="268">
        <f t="shared" ref="T16:T18" si="3">Q16+S16</f>
        <v>33563.446199999998</v>
      </c>
      <c r="V16" s="287"/>
      <c r="W16" s="2"/>
    </row>
    <row r="17" spans="2:23">
      <c r="B17" s="162"/>
      <c r="C17" s="20"/>
      <c r="D17" s="163" t="s">
        <v>152</v>
      </c>
      <c r="E17" s="22">
        <f t="shared" ref="E17:E19" si="4">(D16+E16)*0.005</f>
        <v>101.43135000000001</v>
      </c>
      <c r="F17" s="22">
        <f t="shared" ref="F17:F19" si="5">(D16+E16+F16)*0.005</f>
        <v>101.43135000000001</v>
      </c>
      <c r="G17" s="22">
        <f>(+D16+E16+F16+G16)*0.005</f>
        <v>101.43135000000001</v>
      </c>
      <c r="H17" s="22">
        <f>(D16+E16+F16+G16+H16)*0.005</f>
        <v>101.43135000000001</v>
      </c>
      <c r="I17" s="22">
        <f>(D16+E16+F16+G16+H16+I16)*0.005</f>
        <v>101.43135000000001</v>
      </c>
      <c r="J17" s="22">
        <f>(D16+E16+F16+G16+H16+I16+J16)*0.005</f>
        <v>101.43135000000001</v>
      </c>
      <c r="K17" s="22">
        <f>(D16+E16+F16+G16+H16+I16+J16+K16)*0.005</f>
        <v>101.43135000000001</v>
      </c>
      <c r="L17" s="22">
        <f>(D16+E16+F16+G16+H16+I16+J16+K16+L16)*0.005</f>
        <v>101.43135000000001</v>
      </c>
      <c r="M17" s="22">
        <f>(D16+E16+F16+G16+H16+I16+J16+K16+L16+M16)*0.005</f>
        <v>101.43135000000001</v>
      </c>
      <c r="N17" s="22">
        <f>(D16+E16+F16+G16+H16+I16+J16+K16+L16+M16+N16)*0.005</f>
        <v>101.43135000000001</v>
      </c>
      <c r="O17" s="22">
        <f>(D16+E16+F16+G16+H16+I16+J16+K16+L16+M16+N16+O16)*0.005</f>
        <v>101.43135000000001</v>
      </c>
      <c r="P17" s="22">
        <f>(D16+E16+F16+G16+H16+I16+J16+K16+L16+M16+N16+O16+P16)*0.005</f>
        <v>161.43135000000001</v>
      </c>
      <c r="Q17" s="46"/>
      <c r="R17" s="22"/>
      <c r="T17" s="22"/>
      <c r="V17" s="229"/>
      <c r="W17" s="2"/>
    </row>
    <row r="18" spans="2:23" s="2" customFormat="1">
      <c r="B18" s="202">
        <v>5</v>
      </c>
      <c r="C18" s="20" t="s">
        <v>184</v>
      </c>
      <c r="D18" s="161">
        <v>8945.8700000000008</v>
      </c>
      <c r="E18" s="25">
        <v>0</v>
      </c>
      <c r="F18" s="25"/>
      <c r="G18" s="25">
        <v>0</v>
      </c>
      <c r="H18" s="22">
        <v>0</v>
      </c>
      <c r="I18" s="22"/>
      <c r="J18" s="25">
        <v>0</v>
      </c>
      <c r="K18" s="32"/>
      <c r="L18" s="22">
        <v>0</v>
      </c>
      <c r="M18" s="22"/>
      <c r="N18" s="25"/>
      <c r="O18" s="25">
        <v>0</v>
      </c>
      <c r="P18" s="25">
        <v>3900</v>
      </c>
      <c r="Q18" s="46">
        <f>D18+E18+F18+G18+H18+I18+J18+K18+L18+M18+N18+O18+P18</f>
        <v>12845.87</v>
      </c>
      <c r="R18" s="22">
        <f t="shared" ref="R18" si="6">Q18/12</f>
        <v>1070.4891666666667</v>
      </c>
      <c r="S18" s="22">
        <f>E19+F19+G19+H19+I19+J19+K19+L19+M19+N19+O19+P19</f>
        <v>556.25220000000013</v>
      </c>
      <c r="T18" s="268">
        <f t="shared" si="3"/>
        <v>13402.122200000002</v>
      </c>
      <c r="U18" s="178"/>
      <c r="V18" s="287"/>
    </row>
    <row r="19" spans="2:23" s="2" customFormat="1">
      <c r="B19" s="162"/>
      <c r="C19" s="20"/>
      <c r="D19" s="163" t="s">
        <v>152</v>
      </c>
      <c r="E19" s="22">
        <f t="shared" si="4"/>
        <v>44.729350000000004</v>
      </c>
      <c r="F19" s="22">
        <f t="shared" si="5"/>
        <v>44.729350000000004</v>
      </c>
      <c r="G19" s="22">
        <f>(+D18+E18+F18+G18)*0.005</f>
        <v>44.729350000000004</v>
      </c>
      <c r="H19" s="22">
        <f>(D18+E18+F18+G18+H18)*0.005</f>
        <v>44.729350000000004</v>
      </c>
      <c r="I19" s="22">
        <f>(D18+E18+F18+G18+H18+I18)*0.005</f>
        <v>44.729350000000004</v>
      </c>
      <c r="J19" s="22">
        <f>(D18+E18+F18+G18+H18+I18+J18)*0.005</f>
        <v>44.729350000000004</v>
      </c>
      <c r="K19" s="22">
        <f>(D18+E18+F18+G18+H18+I18+J18+K18)*0.005</f>
        <v>44.729350000000004</v>
      </c>
      <c r="L19" s="22">
        <f>(D18+E18+F18+G18+H18+I18+J18+K18+L18)*0.005</f>
        <v>44.729350000000004</v>
      </c>
      <c r="M19" s="22">
        <f>(D18+E18+F18+G18+H18+I18+J18+K18+L18+M18)*0.005</f>
        <v>44.729350000000004</v>
      </c>
      <c r="N19" s="22">
        <f>(D18+E18+F18+G18+H18+I18+J18+K18+L18+M18+N18)*0.005</f>
        <v>44.729350000000004</v>
      </c>
      <c r="O19" s="22">
        <f>(D18+E18+F18+G18+H18+I18+J18+K18+L18+M18+N18+O18)*0.005</f>
        <v>44.729350000000004</v>
      </c>
      <c r="P19" s="22">
        <f>(D18+E18+F18+G18+H18+I18+J18+K18+L18+M18+N18+O18+P18)*0.005</f>
        <v>64.229350000000011</v>
      </c>
      <c r="Q19" s="46"/>
      <c r="R19" s="22"/>
      <c r="S19" s="22"/>
      <c r="T19" s="22"/>
      <c r="U19" s="178"/>
      <c r="V19" s="229"/>
    </row>
    <row r="20" spans="2:23">
      <c r="B20" s="202">
        <v>6</v>
      </c>
      <c r="C20" s="247" t="s">
        <v>37</v>
      </c>
      <c r="D20" s="161">
        <v>1234.8800000000001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46">
        <f>D20+E20+F20+G20+H20+I20+J20+K20+L20+M20+N20+O20+P20</f>
        <v>1234.8800000000001</v>
      </c>
      <c r="R20" s="22">
        <f t="shared" ref="R20:R24" si="7">Q20/12</f>
        <v>102.90666666666668</v>
      </c>
      <c r="S20" s="22">
        <f>E21+F21+G21+H21+I21+J21+K21+L21+M21+N21+O21+P21</f>
        <v>74.092799999999997</v>
      </c>
      <c r="T20" s="268">
        <f t="shared" ref="T20:T24" si="8">Q20+S20</f>
        <v>1308.9728</v>
      </c>
      <c r="V20" s="229"/>
      <c r="W20" s="2"/>
    </row>
    <row r="21" spans="2:23">
      <c r="B21" s="162"/>
      <c r="C21" s="31"/>
      <c r="D21" s="163" t="s">
        <v>152</v>
      </c>
      <c r="E21" s="22">
        <f t="shared" ref="E21:E25" si="9">(D20+E20)*0.005</f>
        <v>6.1744000000000003</v>
      </c>
      <c r="F21" s="22">
        <f t="shared" ref="F21:F25" si="10">(D20+E20+F20)*0.005</f>
        <v>6.1744000000000003</v>
      </c>
      <c r="G21" s="22">
        <f>(+D20+E20+F20+G20)*0.005</f>
        <v>6.1744000000000003</v>
      </c>
      <c r="H21" s="22">
        <f>(D20+E20+F20+G20+H20)*0.005</f>
        <v>6.1744000000000003</v>
      </c>
      <c r="I21" s="22">
        <f>(D20+E20+F20+G20+H20+I20)*0.005</f>
        <v>6.1744000000000003</v>
      </c>
      <c r="J21" s="22">
        <f>(D20+E20+F20+G20+H20+I20+J20)*0.005</f>
        <v>6.1744000000000003</v>
      </c>
      <c r="K21" s="22">
        <f>(D20+E20+F20+G20+H20+I20+J20+K20)*0.005</f>
        <v>6.1744000000000003</v>
      </c>
      <c r="L21" s="22">
        <f>(D20+E20+F20+G20+H20+I20+J20+K20+L20)*0.005</f>
        <v>6.1744000000000003</v>
      </c>
      <c r="M21" s="22">
        <f>(D20+E20+F20+G20+H20+I20+J20+K20+L20+M20)*0.005</f>
        <v>6.1744000000000003</v>
      </c>
      <c r="N21" s="22">
        <f>(D20+E20+F20+G20+H20+I20+J20+K20+L20+M20+N20)*0.005</f>
        <v>6.1744000000000003</v>
      </c>
      <c r="O21" s="22">
        <f>(D20+E20+F20+G20+H20+I20+J20+K20+L20+M20+N20+O20)*0.005</f>
        <v>6.1744000000000003</v>
      </c>
      <c r="P21" s="22">
        <f>(D20+E20+F20+G20+H20+I20+J20+K20+L20+M20+N20+O20+P20)*0.005</f>
        <v>6.1744000000000003</v>
      </c>
      <c r="Q21" s="46"/>
      <c r="R21" s="22"/>
      <c r="S21" s="22"/>
      <c r="T21" s="22"/>
      <c r="V21" s="229"/>
      <c r="W21" s="2"/>
    </row>
    <row r="22" spans="2:23">
      <c r="B22" s="202">
        <v>7</v>
      </c>
      <c r="C22" s="269" t="s">
        <v>38</v>
      </c>
      <c r="D22" s="161">
        <v>1317.77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46">
        <f>D22+E22+F22+G22+H22+I22+J22+K22+L22+M22+N22+O22+P22</f>
        <v>1317.77</v>
      </c>
      <c r="R22" s="22">
        <f t="shared" si="7"/>
        <v>109.81416666666667</v>
      </c>
      <c r="S22" s="22">
        <f>E23+F23+G23+H23+I23+J23+K23+L23+M23+N23+O23+P23</f>
        <v>79.066199999999981</v>
      </c>
      <c r="T22" s="268">
        <f t="shared" si="8"/>
        <v>1396.8362</v>
      </c>
      <c r="V22" s="229"/>
      <c r="W22" s="2"/>
    </row>
    <row r="23" spans="2:23">
      <c r="B23" s="162"/>
      <c r="C23" s="30"/>
      <c r="D23" s="163" t="s">
        <v>152</v>
      </c>
      <c r="E23" s="22">
        <f t="shared" si="9"/>
        <v>6.5888499999999999</v>
      </c>
      <c r="F23" s="22">
        <f t="shared" si="10"/>
        <v>6.5888499999999999</v>
      </c>
      <c r="G23" s="22">
        <f>(+D22+E22+F22+G22)*0.005</f>
        <v>6.5888499999999999</v>
      </c>
      <c r="H23" s="22">
        <f>(D22+E22+F22+G22+H22)*0.005</f>
        <v>6.5888499999999999</v>
      </c>
      <c r="I23" s="22">
        <f>(D22+E22+F22+G22+H22+I22)*0.005</f>
        <v>6.5888499999999999</v>
      </c>
      <c r="J23" s="22">
        <f>(D22+E22+F22+G22+H22+I22+J22)*0.005</f>
        <v>6.5888499999999999</v>
      </c>
      <c r="K23" s="22">
        <f>(D22+E22+F22+G22+H22+I22+J22+K22)*0.005</f>
        <v>6.5888499999999999</v>
      </c>
      <c r="L23" s="22">
        <f>(D22+E22+F22+G22+H22+I22+J22+K22+L22)*0.005</f>
        <v>6.5888499999999999</v>
      </c>
      <c r="M23" s="22">
        <f>(D22+E22+F22+G22+H22+I22+J22+K22+L22+M22)*0.005</f>
        <v>6.5888499999999999</v>
      </c>
      <c r="N23" s="22">
        <f>(D22+E22+F22+G22+H22+I22+J22+K22+L22+M22+N22)*0.005</f>
        <v>6.5888499999999999</v>
      </c>
      <c r="O23" s="22">
        <f>(D22+E22+F22+G22+H22+I22+J22+K22+L22+M22+N22+O22)*0.005</f>
        <v>6.5888499999999999</v>
      </c>
      <c r="P23" s="22">
        <f>(D22+E22+F22+G22+H22+I22+J22+K22+L22+M22+N22+O22+P22)*0.005</f>
        <v>6.5888499999999999</v>
      </c>
      <c r="Q23" s="46"/>
      <c r="R23" s="22"/>
      <c r="S23" s="22"/>
      <c r="T23" s="22"/>
      <c r="V23" s="229"/>
      <c r="W23" s="2"/>
    </row>
    <row r="24" spans="2:23">
      <c r="B24" s="202">
        <v>8</v>
      </c>
      <c r="C24" s="269" t="s">
        <v>44</v>
      </c>
      <c r="D24" s="161">
        <f>3430.19</f>
        <v>3430.19</v>
      </c>
      <c r="E24" s="22">
        <v>0</v>
      </c>
      <c r="F24" s="22"/>
      <c r="G24" s="22">
        <v>0</v>
      </c>
      <c r="H24" s="22"/>
      <c r="I24" s="22"/>
      <c r="J24" s="22">
        <v>0</v>
      </c>
      <c r="K24" s="32"/>
      <c r="L24" s="22"/>
      <c r="M24" s="22"/>
      <c r="N24" s="22"/>
      <c r="O24" s="22"/>
      <c r="P24" s="22">
        <f>3000+1500</f>
        <v>4500</v>
      </c>
      <c r="Q24" s="46">
        <f>D24+E24+F24+G24+H24+I24+J24+K24+L24+M24+N24+O24+P24</f>
        <v>7930.1900000000005</v>
      </c>
      <c r="R24" s="22">
        <f t="shared" si="7"/>
        <v>660.84916666666675</v>
      </c>
      <c r="S24" s="22">
        <f>E25+F25+G25+H25+I25+J25+K25+L25+M25+N25+O25+P25</f>
        <v>228.31139999999996</v>
      </c>
      <c r="T24" s="268">
        <f t="shared" si="8"/>
        <v>8158.5014000000001</v>
      </c>
      <c r="V24" s="287"/>
      <c r="W24" s="2"/>
    </row>
    <row r="25" spans="2:23">
      <c r="B25" s="162"/>
      <c r="C25" s="31"/>
      <c r="D25" s="163" t="s">
        <v>152</v>
      </c>
      <c r="E25" s="22">
        <f t="shared" si="9"/>
        <v>17.150950000000002</v>
      </c>
      <c r="F25" s="22">
        <f t="shared" si="10"/>
        <v>17.150950000000002</v>
      </c>
      <c r="G25" s="22">
        <f>(+D24+E24+F24+G24)*0.005</f>
        <v>17.150950000000002</v>
      </c>
      <c r="H25" s="22">
        <f>(D24+E24+F24+G24+H24)*0.005</f>
        <v>17.150950000000002</v>
      </c>
      <c r="I25" s="22">
        <f>(D24+E24+F24+G24+H24+I24)*0.005</f>
        <v>17.150950000000002</v>
      </c>
      <c r="J25" s="22">
        <f>(D24+E24+F24+G24+H24+I24+J24)*0.005</f>
        <v>17.150950000000002</v>
      </c>
      <c r="K25" s="22">
        <f>(D24+E24+F24+G24+H24+I24+J24+K24)*0.005</f>
        <v>17.150950000000002</v>
      </c>
      <c r="L25" s="22">
        <f>(D24+E24+F24+G24+H24+I24+J24+K24+L24)*0.005</f>
        <v>17.150950000000002</v>
      </c>
      <c r="M25" s="22">
        <f>(D24+E24+F24+G24+H24+I24+J24+K24+L24+M24)*0.005</f>
        <v>17.150950000000002</v>
      </c>
      <c r="N25" s="22">
        <f>(D24+E24+F24+G24+H24+I24+J24+K24+L24+M24+N24)*0.005</f>
        <v>17.150950000000002</v>
      </c>
      <c r="O25" s="22">
        <f>(D24+E24+F24+G24+H24+I24+J24+K24+L24+M24+N24+O24)*0.005</f>
        <v>17.150950000000002</v>
      </c>
      <c r="P25" s="22">
        <f>(D24+E24+F24+G24+H24+I24+J24+K24+L24+M24+N24+O24+P24)*0.005</f>
        <v>39.650950000000002</v>
      </c>
      <c r="Q25" s="46"/>
      <c r="R25" s="22"/>
      <c r="S25" s="22"/>
      <c r="T25" s="22"/>
      <c r="V25" s="229"/>
      <c r="W25" s="2"/>
    </row>
    <row r="26" spans="2:23" s="2" customFormat="1">
      <c r="B26" s="202">
        <v>9</v>
      </c>
      <c r="C26" s="20" t="s">
        <v>52</v>
      </c>
      <c r="D26" s="161">
        <v>659.26</v>
      </c>
      <c r="E26" s="25"/>
      <c r="F26" s="25"/>
      <c r="G26" s="22"/>
      <c r="H26" s="22"/>
      <c r="I26" s="22"/>
      <c r="J26" s="22"/>
      <c r="K26" s="22">
        <v>0</v>
      </c>
      <c r="L26" s="22"/>
      <c r="M26" s="22"/>
      <c r="N26" s="22">
        <v>0</v>
      </c>
      <c r="O26" s="22"/>
      <c r="P26" s="22"/>
      <c r="Q26" s="46">
        <f>D26+E26+F26+G26+H26+I26+J26+K26+L26+M26+N26+O26+P26</f>
        <v>659.26</v>
      </c>
      <c r="R26" s="22">
        <f t="shared" ref="R26:R28" si="11">Q26/12</f>
        <v>54.938333333333333</v>
      </c>
      <c r="S26" s="22">
        <f>E27+F27+G27+H27+I27+J27+K27+L27+M27+N27+O27+P27</f>
        <v>39.555599999999998</v>
      </c>
      <c r="T26" s="268">
        <f t="shared" ref="T26:T28" si="12">Q26+S26</f>
        <v>698.81560000000002</v>
      </c>
      <c r="U26" s="178"/>
      <c r="V26" s="287"/>
    </row>
    <row r="27" spans="2:23" s="2" customFormat="1">
      <c r="B27" s="162"/>
      <c r="C27" s="20"/>
      <c r="D27" s="163" t="s">
        <v>152</v>
      </c>
      <c r="E27" s="22">
        <f t="shared" ref="E27:E29" si="13">(D26+E26)*0.005</f>
        <v>3.2963</v>
      </c>
      <c r="F27" s="22">
        <f t="shared" ref="F27:F29" si="14">(D26+E26+F26)*0.005</f>
        <v>3.2963</v>
      </c>
      <c r="G27" s="22">
        <f>(+D26+E26+F26+G26)*0.005</f>
        <v>3.2963</v>
      </c>
      <c r="H27" s="22">
        <f>(D26+E26+F26+G26+H26)*0.005</f>
        <v>3.2963</v>
      </c>
      <c r="I27" s="22">
        <f>(D26+E26+F26+G26+H26+I26)*0.005</f>
        <v>3.2963</v>
      </c>
      <c r="J27" s="22">
        <f>(D26+E26+F26+G26+H26+I26+J26)*0.005</f>
        <v>3.2963</v>
      </c>
      <c r="K27" s="22">
        <f>(D26+E26+F26+G26+H26+I26+J26+K26)*0.005</f>
        <v>3.2963</v>
      </c>
      <c r="L27" s="22">
        <f>(D26+E26+F26+G26+H26+I26+J26+K26+L26)*0.005</f>
        <v>3.2963</v>
      </c>
      <c r="M27" s="22">
        <f>(D26+E26+F26+G26+H26+I26+J26+K26+L26+M26)*0.005</f>
        <v>3.2963</v>
      </c>
      <c r="N27" s="22">
        <f>(D26+E26+F26+G26+H26+I26+J26+K26+L26+M26+N26)*0.005</f>
        <v>3.2963</v>
      </c>
      <c r="O27" s="22">
        <f>(D26+E26+F26+G26+H26+I26+J26+K26+L26+M26+N26+O26)*0.005</f>
        <v>3.2963</v>
      </c>
      <c r="P27" s="22">
        <f>(D26+E26+F26+G26+H26+I26+J26+K26+L26+M26+N26+O26+P26)*0.005</f>
        <v>3.2963</v>
      </c>
      <c r="Q27" s="46"/>
      <c r="R27" s="22"/>
      <c r="S27" s="22"/>
      <c r="T27" s="22"/>
      <c r="U27" s="178"/>
      <c r="V27" s="229"/>
    </row>
    <row r="28" spans="2:23">
      <c r="B28" s="202">
        <v>10</v>
      </c>
      <c r="C28" s="27" t="s">
        <v>57</v>
      </c>
      <c r="D28" s="161">
        <v>425.55</v>
      </c>
      <c r="E28" s="22">
        <v>0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46">
        <f>D28+E28+F28+G28+H28+I28+J28+K28+L28+M28+N28+O28+P28</f>
        <v>425.55</v>
      </c>
      <c r="R28" s="22">
        <f t="shared" si="11"/>
        <v>35.462499999999999</v>
      </c>
      <c r="S28" s="22">
        <f>E29+F29+G29+H29+I29+J29+K29+L29+M29+N29+O29+P29</f>
        <v>25.532999999999998</v>
      </c>
      <c r="T28" s="268">
        <f t="shared" si="12"/>
        <v>451.08300000000003</v>
      </c>
      <c r="V28" s="229"/>
      <c r="W28" s="2"/>
    </row>
    <row r="29" spans="2:23" ht="12.75" customHeight="1">
      <c r="B29" s="162"/>
      <c r="C29" s="27"/>
      <c r="D29" s="163" t="s">
        <v>152</v>
      </c>
      <c r="E29" s="22">
        <f t="shared" si="13"/>
        <v>2.1277500000000003</v>
      </c>
      <c r="F29" s="22">
        <f t="shared" si="14"/>
        <v>2.1277500000000003</v>
      </c>
      <c r="G29" s="22">
        <f>(+D28+E28+F28+G28)*0.005</f>
        <v>2.1277500000000003</v>
      </c>
      <c r="H29" s="22">
        <f>(D28+E28+F28+G28+H28)*0.005</f>
        <v>2.1277500000000003</v>
      </c>
      <c r="I29" s="22">
        <f>(D28+E28+F28+G28+H28+I28)*0.005</f>
        <v>2.1277500000000003</v>
      </c>
      <c r="J29" s="22">
        <f>(D28+E28+F28+G28+H28+I28+J28)*0.005</f>
        <v>2.1277500000000003</v>
      </c>
      <c r="K29" s="22">
        <f>(D28+E28+F28+G28+H28+I28+J28+K28)*0.005</f>
        <v>2.1277500000000003</v>
      </c>
      <c r="L29" s="22">
        <f>(D28+E28+F28+G28+H28+I28+J28+K28+L28)*0.005</f>
        <v>2.1277500000000003</v>
      </c>
      <c r="M29" s="22">
        <f>(D28+E28+F28+G28+H28+I28+J28+K28+L28+M28)*0.005</f>
        <v>2.1277500000000003</v>
      </c>
      <c r="N29" s="22">
        <f>(D28+E28+F28+G28+H28+I28+J28+K28+L28+M28+N28)*0.005</f>
        <v>2.1277500000000003</v>
      </c>
      <c r="O29" s="22">
        <f>(D28+E28+F28+G28+H28+I28+J28+K28+L28+M28+N28+O28)*0.005</f>
        <v>2.1277500000000003</v>
      </c>
      <c r="P29" s="22">
        <f>(D28+E28+F28+G28+H28+I28+J28+K28+L28+M28+N28+O28+P28)*0.005</f>
        <v>2.1277500000000003</v>
      </c>
      <c r="Q29" s="46"/>
      <c r="R29" s="22"/>
      <c r="S29" s="22"/>
      <c r="T29" s="22"/>
      <c r="V29" s="229"/>
      <c r="W29" s="2"/>
    </row>
    <row r="30" spans="2:23">
      <c r="B30" s="202">
        <v>11</v>
      </c>
      <c r="C30" s="20" t="s">
        <v>70</v>
      </c>
      <c r="D30" s="270">
        <v>902.43</v>
      </c>
      <c r="E30" s="22">
        <v>0</v>
      </c>
      <c r="F30" s="22">
        <v>0</v>
      </c>
      <c r="G30" s="22">
        <v>0</v>
      </c>
      <c r="H30" s="22">
        <v>0</v>
      </c>
      <c r="I30" s="22"/>
      <c r="J30" s="45"/>
      <c r="K30" s="45"/>
      <c r="L30" s="45"/>
      <c r="M30" s="45">
        <v>0</v>
      </c>
      <c r="N30" s="45"/>
      <c r="O30" s="45"/>
      <c r="P30" s="22"/>
      <c r="Q30" s="46">
        <f>D30+E30+F30+G30+H30+I30+J30+K30+L30+M30+N30+O30+P30</f>
        <v>902.43</v>
      </c>
      <c r="R30" s="22">
        <f t="shared" ref="R30:R32" si="15">Q30/12</f>
        <v>75.202500000000001</v>
      </c>
      <c r="S30" s="22">
        <f>E31+F31+G31+H31+I31+J31+K31+L31+M31+N31+O31+P31</f>
        <v>54.145799999999987</v>
      </c>
      <c r="T30" s="268">
        <f t="shared" ref="T30:T32" si="16">Q30+S30</f>
        <v>956.57579999999996</v>
      </c>
      <c r="V30" s="287"/>
    </row>
    <row r="31" spans="2:23" ht="12.75" customHeight="1">
      <c r="B31" s="162"/>
      <c r="C31" s="20"/>
      <c r="D31" s="163" t="s">
        <v>152</v>
      </c>
      <c r="E31" s="22">
        <f t="shared" ref="E31:E33" si="17">(D30+E30)*0.005</f>
        <v>4.5121500000000001</v>
      </c>
      <c r="F31" s="22">
        <f t="shared" ref="F31:F33" si="18">(D30+E30+F30)*0.005</f>
        <v>4.5121500000000001</v>
      </c>
      <c r="G31" s="22">
        <f>(+D30+E30+F30+G30)*0.005</f>
        <v>4.5121500000000001</v>
      </c>
      <c r="H31" s="22">
        <f>(D30+E30+F30+G30+H30)*0.005</f>
        <v>4.5121500000000001</v>
      </c>
      <c r="I31" s="22">
        <f>(D30+E30+F30+G30+H30+I30)*0.005</f>
        <v>4.5121500000000001</v>
      </c>
      <c r="J31" s="22">
        <f>(D30+E30+F30+G30+H30+I30+J30)*0.005</f>
        <v>4.5121500000000001</v>
      </c>
      <c r="K31" s="22">
        <f>(D30+E30+F30+G30+H30+I30+J30+K30)*0.005</f>
        <v>4.5121500000000001</v>
      </c>
      <c r="L31" s="22">
        <f>(D30+E30+F30+G30+H30+I30+J30+K30+L30)*0.005</f>
        <v>4.5121500000000001</v>
      </c>
      <c r="M31" s="22">
        <f>(D30+E30+F30+G30+H30+I30+J30+K30+L30+M30)*0.005</f>
        <v>4.5121500000000001</v>
      </c>
      <c r="N31" s="22">
        <f>(D30+E30+F30+G30+H30+I30+J30+K30+L30+M30+N30)*0.005</f>
        <v>4.5121500000000001</v>
      </c>
      <c r="O31" s="22">
        <f>(D30+E30+F30+G30+H30+I30+J30+K30+L30+M30+N30+O30)*0.005</f>
        <v>4.5121500000000001</v>
      </c>
      <c r="P31" s="22">
        <f>(D30+E30+F30+G30+H30+I30+J30+K30+L30+M30+N30+O30+P30)*0.005</f>
        <v>4.5121500000000001</v>
      </c>
      <c r="Q31" s="46"/>
      <c r="R31" s="22"/>
      <c r="S31" s="22"/>
      <c r="T31" s="22"/>
      <c r="V31" s="229"/>
    </row>
    <row r="32" spans="2:23" ht="12.75" customHeight="1">
      <c r="B32" s="202">
        <v>12</v>
      </c>
      <c r="C32" s="20" t="s">
        <v>71</v>
      </c>
      <c r="D32" s="270">
        <v>3812.37</v>
      </c>
      <c r="E32" s="22">
        <v>0</v>
      </c>
      <c r="F32" s="22">
        <v>0</v>
      </c>
      <c r="G32" s="164"/>
      <c r="H32" s="22">
        <v>0</v>
      </c>
      <c r="I32" s="22">
        <v>0</v>
      </c>
      <c r="J32" s="71"/>
      <c r="K32" s="45"/>
      <c r="L32" s="45"/>
      <c r="M32" s="45">
        <v>0</v>
      </c>
      <c r="N32" s="45"/>
      <c r="O32" s="45"/>
      <c r="P32" s="22"/>
      <c r="Q32" s="46">
        <f>D32+E32+F32+G32+H32+I32+J32+K32+L32+M32+N32+O32+P32</f>
        <v>3812.37</v>
      </c>
      <c r="R32" s="22">
        <f t="shared" si="15"/>
        <v>317.69749999999999</v>
      </c>
      <c r="S32" s="22">
        <f>E33+F33+G33+H33+I33+J33+K33+L33+M33+N33+O33+P33</f>
        <v>228.74219999999994</v>
      </c>
      <c r="T32" s="268">
        <f t="shared" si="16"/>
        <v>4041.1122</v>
      </c>
      <c r="V32" s="287"/>
    </row>
    <row r="33" spans="2:22" ht="12.75" customHeight="1">
      <c r="B33" s="162"/>
      <c r="C33" s="20"/>
      <c r="D33" s="163" t="s">
        <v>152</v>
      </c>
      <c r="E33" s="22">
        <f t="shared" si="17"/>
        <v>19.06185</v>
      </c>
      <c r="F33" s="22">
        <f t="shared" si="18"/>
        <v>19.06185</v>
      </c>
      <c r="G33" s="22">
        <f>(+D32+E32+F32+G32)*0.005</f>
        <v>19.06185</v>
      </c>
      <c r="H33" s="22">
        <f>(D32+E32+F32+G32+H32)*0.005</f>
        <v>19.06185</v>
      </c>
      <c r="I33" s="22">
        <f>(D32+E32+F32+G32+H32+I32)*0.005</f>
        <v>19.06185</v>
      </c>
      <c r="J33" s="22">
        <f>(D32+E32+F32+G32+H32+I32+J32)*0.005</f>
        <v>19.06185</v>
      </c>
      <c r="K33" s="22">
        <f>(D32+E32+F32+G32+H32+I32+J32+K32)*0.005</f>
        <v>19.06185</v>
      </c>
      <c r="L33" s="22">
        <f>(D32+E32+F32+G32+H32+I32+J32+K32+L32)*0.005</f>
        <v>19.06185</v>
      </c>
      <c r="M33" s="22">
        <f>(D32+E32+F32+G32+H32+I32+J32+K32+L32+M32)*0.005</f>
        <v>19.06185</v>
      </c>
      <c r="N33" s="22">
        <f>(D32+E32+F32+G32+H32+I32+J32+K32+L32+M32+N32)*0.005</f>
        <v>19.06185</v>
      </c>
      <c r="O33" s="22">
        <f>(D32+E32+F32+G32+H32+I32+J32+K32+L32+M32+N32+O32)*0.005</f>
        <v>19.06185</v>
      </c>
      <c r="P33" s="22">
        <f>(D32+E32+F32+G32+H32+I32+J32+K32+L32+M32+N32+O32+P32)*0.005</f>
        <v>19.06185</v>
      </c>
      <c r="Q33" s="46"/>
      <c r="R33" s="22"/>
      <c r="S33" s="22"/>
      <c r="T33" s="22"/>
      <c r="V33" s="229"/>
    </row>
    <row r="34" spans="2:22" ht="4.5" customHeight="1">
      <c r="B34" s="162"/>
      <c r="C34" s="20"/>
      <c r="D34" s="76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46"/>
      <c r="R34" s="22"/>
      <c r="S34" s="22"/>
      <c r="T34" s="22"/>
      <c r="V34" s="229"/>
    </row>
    <row r="35" spans="2:22">
      <c r="B35" s="202">
        <v>13</v>
      </c>
      <c r="C35" s="20" t="s">
        <v>73</v>
      </c>
      <c r="D35" s="270">
        <v>361.28</v>
      </c>
      <c r="E35" s="22"/>
      <c r="F35" s="22"/>
      <c r="G35" s="22"/>
      <c r="H35" s="22"/>
      <c r="I35" s="22"/>
      <c r="J35" s="22">
        <v>0</v>
      </c>
      <c r="K35" s="22"/>
      <c r="L35" s="22"/>
      <c r="M35" s="22"/>
      <c r="N35" s="22"/>
      <c r="O35" s="22">
        <v>0</v>
      </c>
      <c r="P35" s="22"/>
      <c r="Q35" s="46">
        <f>D35+E35+F35+G35+H35+I35+J35+K35+L35+M35+N35+O35+P35</f>
        <v>361.28</v>
      </c>
      <c r="R35" s="22">
        <f t="shared" ref="R35:R43" si="19">Q35/12</f>
        <v>30.106666666666666</v>
      </c>
      <c r="S35" s="22">
        <f>E36+F36+G36+H36+I36+J36+K36+L36+M36+N36+O36+P36</f>
        <v>21.6768</v>
      </c>
      <c r="T35" s="268">
        <f t="shared" ref="T35:T43" si="20">Q35+S35</f>
        <v>382.95679999999999</v>
      </c>
      <c r="V35" s="287"/>
    </row>
    <row r="36" spans="2:22">
      <c r="B36" s="162"/>
      <c r="C36" s="20"/>
      <c r="D36" s="163" t="s">
        <v>152</v>
      </c>
      <c r="E36" s="22">
        <f t="shared" ref="E36:E44" si="21">(D35+E35)*0.005</f>
        <v>1.8064</v>
      </c>
      <c r="F36" s="22">
        <f t="shared" ref="F36:F44" si="22">(D35+E35+F35)*0.005</f>
        <v>1.8064</v>
      </c>
      <c r="G36" s="22">
        <f>(+D35+E35+F35+G35)*0.005</f>
        <v>1.8064</v>
      </c>
      <c r="H36" s="22">
        <f>(D35+E35+F35+G35+H35)*0.005</f>
        <v>1.8064</v>
      </c>
      <c r="I36" s="22">
        <f>(D35+E35+F35+G35+H35+I35)*0.005</f>
        <v>1.8064</v>
      </c>
      <c r="J36" s="22">
        <f>(D35+E35+F35+G35+H35+I35+J35)*0.005</f>
        <v>1.8064</v>
      </c>
      <c r="K36" s="22">
        <f>(D35+E35+F35+G35+H35+I35+J35+K35)*0.005</f>
        <v>1.8064</v>
      </c>
      <c r="L36" s="22">
        <f>(D35+E35+F35+G35+H35+I35+J35+K35+L35)*0.005</f>
        <v>1.8064</v>
      </c>
      <c r="M36" s="22">
        <f>(D35+E35+F35+G35+H35+I35+J35+K35+L35+M35)*0.005</f>
        <v>1.8064</v>
      </c>
      <c r="N36" s="22">
        <f>(D35+E35+F35+G35+H35+I35+J35+K35+L35+M35+N35)*0.005</f>
        <v>1.8064</v>
      </c>
      <c r="O36" s="22">
        <f>(D35+E35+F35+G35+H35+I35+J35+K35+L35+M35+N35+O35)*0.005</f>
        <v>1.8064</v>
      </c>
      <c r="P36" s="22">
        <f>(D35+E35+F35+G35+H35+I35+J35+K35+L35+M35+N35+O35+P35)*0.005</f>
        <v>1.8064</v>
      </c>
      <c r="Q36" s="46"/>
      <c r="R36" s="22"/>
      <c r="S36" s="22"/>
      <c r="T36" s="22"/>
      <c r="V36" s="229"/>
    </row>
    <row r="37" spans="2:22">
      <c r="B37" s="202">
        <v>14</v>
      </c>
      <c r="C37" s="20" t="s">
        <v>74</v>
      </c>
      <c r="D37" s="270">
        <v>2594.2800000000002</v>
      </c>
      <c r="E37" s="22"/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32"/>
      <c r="L37" s="22"/>
      <c r="M37" s="22"/>
      <c r="N37" s="22"/>
      <c r="O37" s="22"/>
      <c r="P37" s="22">
        <f>3400+500</f>
        <v>3900</v>
      </c>
      <c r="Q37" s="46">
        <f>D37+E37+F37+G37+H37+I37+J37+K37+L37+M37+N37+O37+P37</f>
        <v>6494.2800000000007</v>
      </c>
      <c r="R37" s="22">
        <f t="shared" si="19"/>
        <v>541.19000000000005</v>
      </c>
      <c r="S37" s="22">
        <f>E38+F38+G38+H38+I38+J38+K38+L38+M38+N38+O38+P38</f>
        <v>175.15679999999998</v>
      </c>
      <c r="T37" s="268">
        <f t="shared" si="20"/>
        <v>6669.4368000000004</v>
      </c>
      <c r="V37" s="287"/>
    </row>
    <row r="38" spans="2:22">
      <c r="B38" s="162"/>
      <c r="C38" s="20"/>
      <c r="D38" s="163" t="s">
        <v>152</v>
      </c>
      <c r="E38" s="22">
        <f t="shared" si="21"/>
        <v>12.971400000000001</v>
      </c>
      <c r="F38" s="22">
        <f t="shared" si="22"/>
        <v>12.971400000000001</v>
      </c>
      <c r="G38" s="22">
        <f>(+D37+E37+F37+G37)*0.005</f>
        <v>12.971400000000001</v>
      </c>
      <c r="H38" s="22">
        <f>(D37+E37+F37+G37+H37)*0.005</f>
        <v>12.971400000000001</v>
      </c>
      <c r="I38" s="22">
        <f>(D37+E37+F37+G37+H37+I37)*0.005</f>
        <v>12.971400000000001</v>
      </c>
      <c r="J38" s="22">
        <f>(D37+E37+F37+G37+H37+I37+J37)*0.005</f>
        <v>12.971400000000001</v>
      </c>
      <c r="K38" s="22">
        <f>(D37+E37+F37+G37+H37+I37+J37+K37)*0.005</f>
        <v>12.971400000000001</v>
      </c>
      <c r="L38" s="22">
        <f>(D37+E37+F37+G37+H37+I37+J37+K37+L37)*0.005</f>
        <v>12.971400000000001</v>
      </c>
      <c r="M38" s="22">
        <f>(D37+E37+F37+G37+H37+I37+J37+K37+L37+M37)*0.005</f>
        <v>12.971400000000001</v>
      </c>
      <c r="N38" s="22">
        <f>(D37+E37+F37+G37+H37+I37+J37+K37+L37+M37+N37)*0.005</f>
        <v>12.971400000000001</v>
      </c>
      <c r="O38" s="22">
        <f>(D37+E37+F37+G37+H37+I37+J37+K37+L37+M37+N37+O37)*0.005</f>
        <v>12.971400000000001</v>
      </c>
      <c r="P38" s="22">
        <f>(D37+E37+F37+G37+H37+I37+J37+K37+L37+M37+N37+O37+P37)*0.005</f>
        <v>32.471400000000003</v>
      </c>
      <c r="Q38" s="46"/>
      <c r="R38" s="22"/>
      <c r="S38" s="22"/>
      <c r="T38" s="22"/>
      <c r="V38" s="229"/>
    </row>
    <row r="39" spans="2:22">
      <c r="B39" s="166"/>
      <c r="C39" s="36"/>
      <c r="D39" s="167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108"/>
      <c r="R39" s="38"/>
      <c r="S39" s="38"/>
      <c r="T39" s="38"/>
      <c r="V39" s="229"/>
    </row>
    <row r="40" spans="2:22">
      <c r="B40" s="168"/>
      <c r="C40" s="16"/>
      <c r="D40" s="281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74"/>
      <c r="R40" s="169"/>
      <c r="S40" s="169"/>
      <c r="T40" s="283" t="s">
        <v>245</v>
      </c>
      <c r="V40" s="229"/>
    </row>
    <row r="41" spans="2:22">
      <c r="B41" s="170"/>
      <c r="C41" s="36"/>
      <c r="D41" s="282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76"/>
      <c r="R41" s="148"/>
      <c r="S41" s="148"/>
      <c r="T41" s="148"/>
      <c r="V41" s="229"/>
    </row>
    <row r="42" spans="2:22" ht="4.2" customHeight="1">
      <c r="B42" s="162"/>
      <c r="C42" s="20"/>
      <c r="D42" s="163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46"/>
      <c r="R42" s="22"/>
      <c r="S42" s="22"/>
      <c r="T42" s="22"/>
      <c r="V42" s="229"/>
    </row>
    <row r="43" spans="2:22">
      <c r="B43" s="162">
        <v>15</v>
      </c>
      <c r="C43" s="20" t="s">
        <v>80</v>
      </c>
      <c r="D43" s="270">
        <v>69.930000000000007</v>
      </c>
      <c r="E43" s="22"/>
      <c r="F43" s="22"/>
      <c r="G43" s="22"/>
      <c r="H43" s="22">
        <v>0</v>
      </c>
      <c r="I43" s="22"/>
      <c r="J43" s="22"/>
      <c r="K43" s="22"/>
      <c r="L43" s="22"/>
      <c r="M43" s="22"/>
      <c r="N43" s="22"/>
      <c r="O43" s="22"/>
      <c r="P43" s="22"/>
      <c r="Q43" s="46">
        <v>69.930000000000007</v>
      </c>
      <c r="R43" s="22">
        <f t="shared" si="19"/>
        <v>5.8275000000000006</v>
      </c>
      <c r="S43" s="22">
        <f>E44+F44+G44+H44+I44+J44+K44+L44+M44+N44+O44+P44</f>
        <v>4.1958000000000002</v>
      </c>
      <c r="T43" s="268">
        <f t="shared" si="20"/>
        <v>74.125800000000012</v>
      </c>
      <c r="V43" s="287"/>
    </row>
    <row r="44" spans="2:22">
      <c r="B44" s="162"/>
      <c r="C44" s="20"/>
      <c r="D44" s="163" t="s">
        <v>152</v>
      </c>
      <c r="E44" s="22">
        <f t="shared" si="21"/>
        <v>0.34965000000000002</v>
      </c>
      <c r="F44" s="22">
        <f t="shared" si="22"/>
        <v>0.34965000000000002</v>
      </c>
      <c r="G44" s="22">
        <f>(+D43+E43+F43+G43)*0.005</f>
        <v>0.34965000000000002</v>
      </c>
      <c r="H44" s="22">
        <f>(D43+E43+F43+G43+H43)*0.005</f>
        <v>0.34965000000000002</v>
      </c>
      <c r="I44" s="22">
        <f>(D43+E43+F43+G43+H43+I43)*0.005</f>
        <v>0.34965000000000002</v>
      </c>
      <c r="J44" s="22">
        <f>(D43+E43+F43+G43+H43+I43+J43)*0.005</f>
        <v>0.34965000000000002</v>
      </c>
      <c r="K44" s="22">
        <f>(D43+E43+F43+G43+H43+I43+J43+K43)*0.005</f>
        <v>0.34965000000000002</v>
      </c>
      <c r="L44" s="22">
        <f>(D43+E43+F43+G43+H43+I43+J43+K43+L43)*0.005</f>
        <v>0.34965000000000002</v>
      </c>
      <c r="M44" s="22">
        <f>(D43+E43+F43+G43+H43+I43+J43+K43+L43+M43)*0.005</f>
        <v>0.34965000000000002</v>
      </c>
      <c r="N44" s="22">
        <f>(D43+E43+F43+G43+H43+I43+J43+K43+L43+M43+N43)*0.005</f>
        <v>0.34965000000000002</v>
      </c>
      <c r="O44" s="22">
        <f>(D43+E43+F43+G43+H43+I43+J43+K43+L43+M43+N43+O43)*0.005</f>
        <v>0.34965000000000002</v>
      </c>
      <c r="P44" s="22">
        <f>(D43+E43+F43+G43+H43+I43+J43+K43+L43+M43+N43+O43+P43)*0.005</f>
        <v>0.34965000000000002</v>
      </c>
      <c r="Q44" s="46"/>
      <c r="R44" s="22"/>
      <c r="S44" s="22"/>
      <c r="T44" s="22"/>
      <c r="V44" s="229"/>
    </row>
    <row r="45" spans="2:22">
      <c r="B45" s="162">
        <v>16</v>
      </c>
      <c r="C45" s="70" t="s">
        <v>85</v>
      </c>
      <c r="D45" s="270">
        <v>414.17</v>
      </c>
      <c r="E45" s="22"/>
      <c r="F45" s="22"/>
      <c r="G45" s="22"/>
      <c r="H45" s="22"/>
      <c r="I45" s="22"/>
      <c r="J45" s="22">
        <v>0</v>
      </c>
      <c r="K45" s="22">
        <v>0</v>
      </c>
      <c r="L45" s="22"/>
      <c r="M45" s="22"/>
      <c r="N45" s="22"/>
      <c r="O45" s="22"/>
      <c r="P45" s="22"/>
      <c r="Q45" s="46">
        <f>D45+E45+F45+G45+H45+I45+J45+K45+L45+M45+N45+O45+P45</f>
        <v>414.17</v>
      </c>
      <c r="R45" s="22">
        <f t="shared" ref="R45" si="23">Q45/12</f>
        <v>34.514166666666668</v>
      </c>
      <c r="S45" s="22">
        <f>E46+F46+G46+H46+I46+J46+K46+L46+M46+N46+O46+P46</f>
        <v>24.850200000000001</v>
      </c>
      <c r="T45" s="268">
        <f t="shared" ref="T45" si="24">Q45+S45</f>
        <v>439.02020000000005</v>
      </c>
      <c r="V45" s="287"/>
    </row>
    <row r="46" spans="2:22">
      <c r="B46" s="162"/>
      <c r="C46" s="70"/>
      <c r="D46" s="163" t="s">
        <v>152</v>
      </c>
      <c r="E46" s="22">
        <f t="shared" ref="E46" si="25">(D45+E45)*0.005</f>
        <v>2.0708500000000001</v>
      </c>
      <c r="F46" s="22">
        <f t="shared" ref="F46" si="26">(D45+E45+F45)*0.005</f>
        <v>2.0708500000000001</v>
      </c>
      <c r="G46" s="22">
        <f>(+D45+E45+F45+G45)*0.005</f>
        <v>2.0708500000000001</v>
      </c>
      <c r="H46" s="22">
        <f>(D45+E45+F45+G45+H45)*0.005</f>
        <v>2.0708500000000001</v>
      </c>
      <c r="I46" s="22">
        <f>(D45+E45+F45+G45+H45+I45)*0.005</f>
        <v>2.0708500000000001</v>
      </c>
      <c r="J46" s="22">
        <f>(D45+E45+F45+G45+H45+I45+J45)*0.005</f>
        <v>2.0708500000000001</v>
      </c>
      <c r="K46" s="22">
        <f>(D45+E45+F45+G45+H45+I45+J45+K45)*0.005</f>
        <v>2.0708500000000001</v>
      </c>
      <c r="L46" s="22">
        <f>(D45+E45+F45+G45+H45+I45+J45+K45+L45)*0.005</f>
        <v>2.0708500000000001</v>
      </c>
      <c r="M46" s="22">
        <f>(D45+E45+F45+G45+H45+I45+J45+K45+L45+M45)*0.005</f>
        <v>2.0708500000000001</v>
      </c>
      <c r="N46" s="22">
        <f>(D45+E45+F45+G45+H45+I45+J45+K45+L45+M45+N45)*0.005</f>
        <v>2.0708500000000001</v>
      </c>
      <c r="O46" s="22">
        <f>(D45+E45+F45+G45+H45+I45+J45+K45+L45+M45+N45+O45)*0.005</f>
        <v>2.0708500000000001</v>
      </c>
      <c r="P46" s="22">
        <f>(D45+E45+F45+G45+H45+I45+J45+K45+L45+M45+N45+O45+P45)*0.005</f>
        <v>2.0708500000000001</v>
      </c>
      <c r="Q46" s="46"/>
      <c r="R46" s="22"/>
      <c r="S46" s="22"/>
      <c r="T46" s="22"/>
      <c r="V46" s="229"/>
    </row>
    <row r="47" spans="2:22">
      <c r="B47" s="202">
        <v>17</v>
      </c>
      <c r="C47" s="70" t="str">
        <f>'[1]Subscribed&amp;Paid-up (2)'!$B$72</f>
        <v>Concepcion B. Cruz</v>
      </c>
      <c r="D47" s="270">
        <v>5535.41</v>
      </c>
      <c r="E47" s="22"/>
      <c r="F47" s="22"/>
      <c r="G47" s="52"/>
      <c r="H47" s="52"/>
      <c r="I47" s="22">
        <v>0</v>
      </c>
      <c r="J47" s="22">
        <v>0</v>
      </c>
      <c r="K47" s="22">
        <v>0</v>
      </c>
      <c r="L47" s="22"/>
      <c r="M47" s="22"/>
      <c r="N47" s="22"/>
      <c r="O47" s="22"/>
      <c r="P47" s="32"/>
      <c r="Q47" s="46">
        <f>D47+E47+F47+G47+H47+I47+J47+K47+L47+M47+N47+O47+P47</f>
        <v>5535.41</v>
      </c>
      <c r="R47" s="22">
        <f t="shared" ref="R47:R51" si="27">Q47/12</f>
        <v>461.28416666666664</v>
      </c>
      <c r="S47" s="22">
        <f>E48+F48+G48+H48+I48+J48+K48+L48+M48+N48+O48+P48</f>
        <v>332.12460000000004</v>
      </c>
      <c r="T47" s="268">
        <f t="shared" ref="T47:T51" si="28">Q47+S47</f>
        <v>5867.5346</v>
      </c>
      <c r="V47" s="287"/>
    </row>
    <row r="48" spans="2:22">
      <c r="B48" s="162"/>
      <c r="C48" s="70"/>
      <c r="D48" s="163" t="s">
        <v>152</v>
      </c>
      <c r="E48" s="22">
        <f t="shared" ref="E48:E52" si="29">(D47+E47)*0.005</f>
        <v>27.677050000000001</v>
      </c>
      <c r="F48" s="22">
        <f t="shared" ref="F48:F52" si="30">(D47+E47+F47)*0.005</f>
        <v>27.677050000000001</v>
      </c>
      <c r="G48" s="22">
        <f>(+D47+E47+F47+G47)*0.005</f>
        <v>27.677050000000001</v>
      </c>
      <c r="H48" s="22">
        <f>(D47+E47+F47+G47+H47)*0.005</f>
        <v>27.677050000000001</v>
      </c>
      <c r="I48" s="22">
        <f>(D47+E47+F47+G47+H47+I47)*0.005</f>
        <v>27.677050000000001</v>
      </c>
      <c r="J48" s="22">
        <f>(D47+E47+F47+G47+H47+I47+J47)*0.005</f>
        <v>27.677050000000001</v>
      </c>
      <c r="K48" s="22">
        <f>(D47+E47+F47+G47+H47+I47+J47+K47)*0.005</f>
        <v>27.677050000000001</v>
      </c>
      <c r="L48" s="22">
        <f>(D47+E47+F47+G47+H47+I47+J47+K47+L47)*0.005</f>
        <v>27.677050000000001</v>
      </c>
      <c r="M48" s="22">
        <f>(D47+E47+F47+G47+H47+I47+J47+K47+L47+M47)*0.005</f>
        <v>27.677050000000001</v>
      </c>
      <c r="N48" s="22">
        <f>(D47+E47+F47+G47+H47+I47+J47+K47+L47+M47+N47)*0.005</f>
        <v>27.677050000000001</v>
      </c>
      <c r="O48" s="22">
        <f>(D47+E47+F47+G47+H47+I47+J47+K47+L47+M47+N47+O47)*0.005</f>
        <v>27.677050000000001</v>
      </c>
      <c r="P48" s="22">
        <f>(D47+E47+F47+G47+H47+I47+J47+K47+L47+M47+N47+O47+P47)*0.005</f>
        <v>27.677050000000001</v>
      </c>
      <c r="Q48" s="46"/>
      <c r="R48" s="22"/>
      <c r="S48" s="22"/>
      <c r="T48" s="22"/>
      <c r="V48" s="229"/>
    </row>
    <row r="49" spans="2:22">
      <c r="B49" s="202">
        <v>18</v>
      </c>
      <c r="C49" s="70" t="str">
        <f>'[1]Subscribed&amp;Paid-up (2)'!$B$73</f>
        <v>Leonardo B. Cruz</v>
      </c>
      <c r="D49" s="270">
        <v>1840.67</v>
      </c>
      <c r="E49" s="22"/>
      <c r="F49" s="22"/>
      <c r="G49" s="22"/>
      <c r="H49" s="22"/>
      <c r="I49" s="22"/>
      <c r="J49" s="22">
        <v>0</v>
      </c>
      <c r="K49" s="22"/>
      <c r="L49" s="22"/>
      <c r="M49" s="22"/>
      <c r="N49" s="22"/>
      <c r="O49" s="22"/>
      <c r="P49" s="22"/>
      <c r="Q49" s="46">
        <f>D49+E49+F49+G49+H49+I49+J49+K49+L49+M49+N49+O49+P49</f>
        <v>1840.67</v>
      </c>
      <c r="R49" s="22">
        <f t="shared" si="27"/>
        <v>153.38916666666668</v>
      </c>
      <c r="S49" s="22">
        <f>E50+F50+G50+H50+I50+J50+K50+L50+M50+N50+O50+P50</f>
        <v>110.4402</v>
      </c>
      <c r="T49" s="268">
        <f t="shared" si="28"/>
        <v>1951.1102000000001</v>
      </c>
      <c r="V49" s="287"/>
    </row>
    <row r="50" spans="2:22">
      <c r="B50" s="162"/>
      <c r="C50" s="70"/>
      <c r="D50" s="163" t="s">
        <v>152</v>
      </c>
      <c r="E50" s="22">
        <f t="shared" si="29"/>
        <v>9.2033500000000004</v>
      </c>
      <c r="F50" s="22">
        <f t="shared" si="30"/>
        <v>9.2033500000000004</v>
      </c>
      <c r="G50" s="22">
        <f>(+D49+E49+F49+G49)*0.005</f>
        <v>9.2033500000000004</v>
      </c>
      <c r="H50" s="22">
        <f>(D49+E49+F49+G49+H49)*0.005</f>
        <v>9.2033500000000004</v>
      </c>
      <c r="I50" s="22">
        <f>(D49+E49+F49+G49+H49+I49)*0.005</f>
        <v>9.2033500000000004</v>
      </c>
      <c r="J50" s="22">
        <f>(D49+E49+F49+G49+H49+I49+J49)*0.005</f>
        <v>9.2033500000000004</v>
      </c>
      <c r="K50" s="22">
        <f>(D49+E49+F49+G49+H49+I49+J49+K49)*0.005</f>
        <v>9.2033500000000004</v>
      </c>
      <c r="L50" s="22">
        <f>(D49+E49+F49+G49+H49+I49+J49+K49+L49)*0.005</f>
        <v>9.2033500000000004</v>
      </c>
      <c r="M50" s="22">
        <f>(D49+E49+F49+G49+H49+I49+J49+K49+L49+M49)*0.005</f>
        <v>9.2033500000000004</v>
      </c>
      <c r="N50" s="22">
        <f>(D49+E49+F49+G49+H49+I49+J49+K49+L49+M49+N49)*0.005</f>
        <v>9.2033500000000004</v>
      </c>
      <c r="O50" s="22">
        <f>(D49+E49+F49+G49+H49+I49+J49+K49+L49+M49+N49+O49)*0.005</f>
        <v>9.2033500000000004</v>
      </c>
      <c r="P50" s="22">
        <f>(D49+E49+F49+G49+H49+I49+J49+K49+L49+M49+N49+O49+P49)*0.005</f>
        <v>9.2033500000000004</v>
      </c>
      <c r="Q50" s="46"/>
      <c r="R50" s="22"/>
      <c r="S50" s="22"/>
      <c r="T50" s="22"/>
      <c r="V50" s="229"/>
    </row>
    <row r="51" spans="2:22">
      <c r="B51" s="202">
        <v>19</v>
      </c>
      <c r="C51" s="70" t="str">
        <f>'[1]Subscribed&amp;Paid-up (2)'!$B$74</f>
        <v>Annalyn B. Cruz</v>
      </c>
      <c r="D51" s="270">
        <v>620.08000000000004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>
        <v>0</v>
      </c>
      <c r="P51" s="22"/>
      <c r="Q51" s="46">
        <f>D51+E51+F51+G51+H51+I51+J51+K51+L51+M51+N51+O51+P51</f>
        <v>620.08000000000004</v>
      </c>
      <c r="R51" s="22">
        <f t="shared" si="27"/>
        <v>51.673333333333339</v>
      </c>
      <c r="S51" s="22">
        <f>E52+F52+G52+H52+I52+J52+K52+L52+M52+N52+O52+P52</f>
        <v>37.204800000000006</v>
      </c>
      <c r="T51" s="268">
        <f t="shared" si="28"/>
        <v>657.28480000000002</v>
      </c>
      <c r="V51" s="229"/>
    </row>
    <row r="52" spans="2:22">
      <c r="B52" s="162"/>
      <c r="C52" s="70"/>
      <c r="D52" s="163" t="s">
        <v>152</v>
      </c>
      <c r="E52" s="22">
        <f t="shared" si="29"/>
        <v>3.1004000000000005</v>
      </c>
      <c r="F52" s="22">
        <f t="shared" si="30"/>
        <v>3.1004000000000005</v>
      </c>
      <c r="G52" s="22">
        <f>(+D51+E51+F51+G51)*0.005</f>
        <v>3.1004000000000005</v>
      </c>
      <c r="H52" s="22">
        <f>(D51+E51+F51+G51+H51)*0.005</f>
        <v>3.1004000000000005</v>
      </c>
      <c r="I52" s="22">
        <f>(D51+E51+F51+G51+H51+I51)*0.005</f>
        <v>3.1004000000000005</v>
      </c>
      <c r="J52" s="22">
        <f>(D51+E51+F51+G51+H51+I51+J51)*0.005</f>
        <v>3.1004000000000005</v>
      </c>
      <c r="K52" s="22">
        <f>(D51+E51+F51+G51+H51+I51+J51+K51)*0.005</f>
        <v>3.1004000000000005</v>
      </c>
      <c r="L52" s="22">
        <f>(D51+E51+F51+G51+H51+I51+J51+K51+L51)*0.005</f>
        <v>3.1004000000000005</v>
      </c>
      <c r="M52" s="22">
        <f>(D51+E51+F51+G51+H51+I51+J51+K51+L51+M51)*0.005</f>
        <v>3.1004000000000005</v>
      </c>
      <c r="N52" s="22">
        <f>(D51+E51+F51+G51+H51+I51+J51+K51+L51+M51+N51)*0.005</f>
        <v>3.1004000000000005</v>
      </c>
      <c r="O52" s="22">
        <f>(D51+E51+F51+G51+H51+I51+J51+K51+L51+M51+N51+O51)*0.005</f>
        <v>3.1004000000000005</v>
      </c>
      <c r="P52" s="22">
        <f>(D51+E51+F51+G51+H51+I51+J51+K51+L51+M51+N51+O51+P51)*0.005</f>
        <v>3.1004000000000005</v>
      </c>
      <c r="Q52" s="46"/>
      <c r="R52" s="22"/>
      <c r="S52" s="22"/>
      <c r="T52" s="22"/>
      <c r="V52" s="229"/>
    </row>
    <row r="53" spans="2:22">
      <c r="B53" s="202">
        <v>20</v>
      </c>
      <c r="C53" s="70" t="str">
        <f>'[1]Subscribed&amp;Paid-up (2)'!$B$76</f>
        <v>Milben Rex P. Balao</v>
      </c>
      <c r="D53" s="270">
        <v>962.18</v>
      </c>
      <c r="E53" s="22"/>
      <c r="F53" s="22"/>
      <c r="G53" s="22"/>
      <c r="H53" s="22"/>
      <c r="I53" s="22"/>
      <c r="J53" s="22"/>
      <c r="K53" s="22">
        <v>0</v>
      </c>
      <c r="L53" s="22"/>
      <c r="M53" s="22"/>
      <c r="N53" s="22"/>
      <c r="O53" s="22">
        <v>0</v>
      </c>
      <c r="P53" s="22"/>
      <c r="Q53" s="46">
        <f>D53+E53+F53+G53+H53+I53+J53+K53+L53+M53+N53+O53+P53</f>
        <v>962.18</v>
      </c>
      <c r="R53" s="22">
        <f t="shared" ref="R53:R57" si="31">Q53/12</f>
        <v>80.181666666666658</v>
      </c>
      <c r="S53" s="22">
        <f>E54+F54+G54+H54+I54+J54+K54+L54+M54+N54+O54+P54</f>
        <v>57.730800000000016</v>
      </c>
      <c r="T53" s="268">
        <f t="shared" ref="T53:T57" si="32">Q53+S53</f>
        <v>1019.9108</v>
      </c>
      <c r="V53" s="287"/>
    </row>
    <row r="54" spans="2:22">
      <c r="B54" s="162"/>
      <c r="C54" s="70"/>
      <c r="D54" s="163" t="s">
        <v>152</v>
      </c>
      <c r="E54" s="22">
        <f t="shared" ref="E54:E58" si="33">(D53+E53)*0.005</f>
        <v>4.8109000000000002</v>
      </c>
      <c r="F54" s="22">
        <f t="shared" ref="F54:F58" si="34">(D53+E53+F53)*0.005</f>
        <v>4.8109000000000002</v>
      </c>
      <c r="G54" s="22">
        <f>(+D53+E53+F53+G53)*0.005</f>
        <v>4.8109000000000002</v>
      </c>
      <c r="H54" s="22">
        <f>(D53+E53+F53+G53+H53)*0.005</f>
        <v>4.8109000000000002</v>
      </c>
      <c r="I54" s="22">
        <f>(D53+E53+F53+G53+H53+I53)*0.005</f>
        <v>4.8109000000000002</v>
      </c>
      <c r="J54" s="22">
        <f>(D53+E53+F53+G53+H53+I53+J53)*0.005</f>
        <v>4.8109000000000002</v>
      </c>
      <c r="K54" s="22">
        <f>(D53+E53+F53+G53+H53+I53+J53+K53)*0.005</f>
        <v>4.8109000000000002</v>
      </c>
      <c r="L54" s="22">
        <f>(D53+E53+F53+G53+H53+I53+J53+K53+L53)*0.005</f>
        <v>4.8109000000000002</v>
      </c>
      <c r="M54" s="22">
        <f>(D53+E53+F53+G53+H53+I53+J53+K53+L53+M53)*0.005</f>
        <v>4.8109000000000002</v>
      </c>
      <c r="N54" s="22">
        <f>(D53+E53+F53+G53+H53+I53+J53+K53+L53+M53+N53)*0.005</f>
        <v>4.8109000000000002</v>
      </c>
      <c r="O54" s="22">
        <f>(D53+E53+F53+G53+H53+I53+J53+K53+L53+M53+N53+O53)*0.005</f>
        <v>4.8109000000000002</v>
      </c>
      <c r="P54" s="22">
        <f>(D53+E53+F53+G53+H53+I53+J53+K53+L53+M53+N53+O53+P53)*0.005</f>
        <v>4.8109000000000002</v>
      </c>
      <c r="Q54" s="46"/>
      <c r="R54" s="22"/>
      <c r="S54" s="22"/>
      <c r="T54" s="22"/>
      <c r="V54" s="229"/>
    </row>
    <row r="55" spans="2:22">
      <c r="B55" s="162">
        <v>21</v>
      </c>
      <c r="C55" s="70" t="s">
        <v>185</v>
      </c>
      <c r="D55" s="161">
        <v>8151.32</v>
      </c>
      <c r="E55" s="45"/>
      <c r="F55" s="45"/>
      <c r="G55" s="45"/>
      <c r="H55" s="45"/>
      <c r="I55" s="45"/>
      <c r="J55" s="45"/>
      <c r="K55" s="45"/>
      <c r="L55" s="45"/>
      <c r="M55" s="45">
        <v>0</v>
      </c>
      <c r="N55" s="45"/>
      <c r="O55" s="45"/>
      <c r="P55" s="45">
        <v>0</v>
      </c>
      <c r="Q55" s="46">
        <f>D55+E55+F55+G55+H55+I55+J55+K55+L55+M55+N55+O55+P55</f>
        <v>8151.32</v>
      </c>
      <c r="R55" s="45">
        <f t="shared" si="31"/>
        <v>679.27666666666664</v>
      </c>
      <c r="S55" s="45">
        <f>E56+F56+G56+H56+I56+J56+K56+L56+M56+N56+O56+P56</f>
        <v>489.07919999999996</v>
      </c>
      <c r="T55" s="272">
        <f t="shared" si="32"/>
        <v>8640.3991999999998</v>
      </c>
      <c r="V55" s="287"/>
    </row>
    <row r="56" spans="2:22">
      <c r="B56" s="162"/>
      <c r="C56" s="70"/>
      <c r="D56" s="163" t="s">
        <v>152</v>
      </c>
      <c r="E56" s="22">
        <f t="shared" si="33"/>
        <v>40.756599999999999</v>
      </c>
      <c r="F56" s="22">
        <f t="shared" si="34"/>
        <v>40.756599999999999</v>
      </c>
      <c r="G56" s="22">
        <f>(+D55+E55+F55+G55)*0.005</f>
        <v>40.756599999999999</v>
      </c>
      <c r="H56" s="22">
        <f>(D55+E55+F55+G55+H55)*0.005</f>
        <v>40.756599999999999</v>
      </c>
      <c r="I56" s="22">
        <f>(D55+E55+F55+G55+H55+I55)*0.005</f>
        <v>40.756599999999999</v>
      </c>
      <c r="J56" s="22">
        <f>(D55+E55+F55+G55+H55+I55+J55)*0.005</f>
        <v>40.756599999999999</v>
      </c>
      <c r="K56" s="22">
        <f>(D55+E55+F55+G55+H55+I55+J55+K55)*0.005</f>
        <v>40.756599999999999</v>
      </c>
      <c r="L56" s="22">
        <f>(D55+E55+F55+G55+H55+I55+J55+K55+L55)*0.005</f>
        <v>40.756599999999999</v>
      </c>
      <c r="M56" s="22">
        <f>(D55+E55+F55+G55+H55+I55+J55+K55+L55+M55)*0.005</f>
        <v>40.756599999999999</v>
      </c>
      <c r="N56" s="22">
        <f>(D55+E55+F55+G55+H55+I55+J55+K55+L55+M55+N55)*0.005</f>
        <v>40.756599999999999</v>
      </c>
      <c r="O56" s="22">
        <f>(D55+E55+F55+G55+H55+I55+J55+K55+L55+M55+N55+O55)*0.005</f>
        <v>40.756599999999999</v>
      </c>
      <c r="P56" s="22">
        <f>(D55+E55+F55+G55+H55+I55+J55+K55+L55+M55+N55+O55+P55)*0.005</f>
        <v>40.756599999999999</v>
      </c>
      <c r="Q56" s="46"/>
      <c r="R56" s="22"/>
      <c r="S56" s="22"/>
      <c r="T56" s="22"/>
      <c r="V56" s="229"/>
    </row>
    <row r="57" spans="2:22">
      <c r="B57" s="162">
        <v>22</v>
      </c>
      <c r="C57" s="27" t="s">
        <v>186</v>
      </c>
      <c r="D57" s="161">
        <v>135.84</v>
      </c>
      <c r="E57" s="22"/>
      <c r="F57" s="22"/>
      <c r="G57" s="22"/>
      <c r="H57" s="22"/>
      <c r="I57" s="22"/>
      <c r="J57" s="22"/>
      <c r="K57" s="22"/>
      <c r="L57" s="22"/>
      <c r="M57" s="22"/>
      <c r="N57" s="22">
        <v>0</v>
      </c>
      <c r="O57" s="22"/>
      <c r="P57" s="22"/>
      <c r="Q57" s="46">
        <f>D57+E57+F57+G57+H57+I57+J57+K57+L57+M57+N57+O57+P57</f>
        <v>135.84</v>
      </c>
      <c r="R57" s="22">
        <f t="shared" si="31"/>
        <v>11.32</v>
      </c>
      <c r="S57" s="22">
        <f>E58+F58+G58+H58+I58+J58+K58+L58+M58+N58+O58+P58</f>
        <v>8.1503999999999994</v>
      </c>
      <c r="T57" s="268">
        <f t="shared" si="32"/>
        <v>143.99039999999999</v>
      </c>
      <c r="V57" s="287"/>
    </row>
    <row r="58" spans="2:22">
      <c r="B58" s="162"/>
      <c r="C58" s="27"/>
      <c r="D58" s="163" t="s">
        <v>152</v>
      </c>
      <c r="E58" s="22">
        <f t="shared" si="33"/>
        <v>0.67920000000000003</v>
      </c>
      <c r="F58" s="22">
        <f t="shared" si="34"/>
        <v>0.67920000000000003</v>
      </c>
      <c r="G58" s="22">
        <f>(+D57+E57+F57+G57)*0.005</f>
        <v>0.67920000000000003</v>
      </c>
      <c r="H58" s="22">
        <f>(D57+E57+F57+G57+H57)*0.005</f>
        <v>0.67920000000000003</v>
      </c>
      <c r="I58" s="22">
        <f>(D57+E57+F57+G57+H57+I57)*0.005</f>
        <v>0.67920000000000003</v>
      </c>
      <c r="J58" s="22">
        <f>(D57+E57+F57+G57+H57+I57+J57)*0.005</f>
        <v>0.67920000000000003</v>
      </c>
      <c r="K58" s="22">
        <f>(D57+E57+F57+G57+H57+I57+J57+K57)*0.005</f>
        <v>0.67920000000000003</v>
      </c>
      <c r="L58" s="22">
        <f>(D57+E57+F57+G57+H57+I57+J57+K57+L57)*0.005</f>
        <v>0.67920000000000003</v>
      </c>
      <c r="M58" s="22">
        <f>(D57+E57+F57+G57+H57+I57+J57+K57+L57+M57)*0.005</f>
        <v>0.67920000000000003</v>
      </c>
      <c r="N58" s="22">
        <f>(D57+E57+F57+G57+H57+I57+J57+K57+L57+M57+N57)*0.005</f>
        <v>0.67920000000000003</v>
      </c>
      <c r="O58" s="22">
        <f>(D57+E57+F57+G57+H57+I57+J57+K57+L57+M57+N57+O57)*0.005</f>
        <v>0.67920000000000003</v>
      </c>
      <c r="P58" s="22">
        <f>(D57+E57+F57+G57+H57+I57+J57+K57+L57+M57+N57+O57+P57)*0.005</f>
        <v>0.67920000000000003</v>
      </c>
      <c r="Q58" s="46"/>
      <c r="R58" s="22"/>
      <c r="S58" s="22"/>
      <c r="T58" s="22"/>
      <c r="V58" s="229"/>
    </row>
    <row r="59" spans="2:22">
      <c r="B59" s="202">
        <v>23</v>
      </c>
      <c r="C59" s="20" t="s">
        <v>187</v>
      </c>
      <c r="D59" s="161">
        <v>11028.45</v>
      </c>
      <c r="E59" s="26"/>
      <c r="F59" s="26"/>
      <c r="G59" s="45"/>
      <c r="H59" s="45"/>
      <c r="I59" s="26"/>
      <c r="J59" s="45"/>
      <c r="K59" s="45"/>
      <c r="L59" s="45"/>
      <c r="M59" s="26"/>
      <c r="N59" s="45">
        <v>0</v>
      </c>
      <c r="O59" s="45"/>
      <c r="P59" s="45"/>
      <c r="Q59" s="46">
        <f>D59+E59+F59+G59+H59+I59+J59+K59+L59+M59+N59+O59+P59</f>
        <v>11028.45</v>
      </c>
      <c r="R59" s="45">
        <f t="shared" ref="R59:R63" si="35">Q59/12</f>
        <v>919.03750000000002</v>
      </c>
      <c r="S59" s="45">
        <f>E60+F60+G60+H60+I60+J60+K60+L60+M60+N60+O60+P60</f>
        <v>661.70699999999999</v>
      </c>
      <c r="T59" s="272">
        <f t="shared" ref="T59:T63" si="36">Q59+S59</f>
        <v>11690.157000000001</v>
      </c>
      <c r="V59" s="287"/>
    </row>
    <row r="60" spans="2:22">
      <c r="B60" s="162"/>
      <c r="C60" s="20"/>
      <c r="D60" s="163" t="s">
        <v>152</v>
      </c>
      <c r="E60" s="22">
        <f t="shared" ref="E60:E64" si="37">(D59+E59)*0.005</f>
        <v>55.142250000000004</v>
      </c>
      <c r="F60" s="22">
        <f t="shared" ref="F60:F64" si="38">(D59+E59+F59)*0.005</f>
        <v>55.142250000000004</v>
      </c>
      <c r="G60" s="22">
        <f>(+D59+E59+F59+G59)*0.005</f>
        <v>55.142250000000004</v>
      </c>
      <c r="H60" s="22">
        <f>(D59+E59+F59+G59+H59)*0.005</f>
        <v>55.142250000000004</v>
      </c>
      <c r="I60" s="22">
        <f>(D59+E59+F59+G59+H59+I59)*0.005</f>
        <v>55.142250000000004</v>
      </c>
      <c r="J60" s="22">
        <f>(D59+E59+F59+G59+H59+I59+J59)*0.005</f>
        <v>55.142250000000004</v>
      </c>
      <c r="K60" s="22">
        <f>(D59+E59+F59+G59+H59+I59+J59+K59)*0.005</f>
        <v>55.142250000000004</v>
      </c>
      <c r="L60" s="22">
        <f>(D59+E59+F59+G59+H59+I59+J59+K59+L59)*0.005</f>
        <v>55.142250000000004</v>
      </c>
      <c r="M60" s="22">
        <f>(D59+E59+F59+G59+H59+I59+J59+K59+L59+M59)*0.005</f>
        <v>55.142250000000004</v>
      </c>
      <c r="N60" s="22">
        <f>(D59+E59+F59+G59+H59+I59+J59+K59+L59+M59+N59)*0.005</f>
        <v>55.142250000000004</v>
      </c>
      <c r="O60" s="22">
        <f>(D59+E59+F59+G59+H59+I59+J59+K59+L59+M59+N59+O59)*0.005</f>
        <v>55.142250000000004</v>
      </c>
      <c r="P60" s="22">
        <f>(D59+E59+F59+G59+H59+I59+J59+K59+L59+M59+N59+O59+P59)*0.005</f>
        <v>55.142250000000004</v>
      </c>
      <c r="Q60" s="46"/>
      <c r="R60" s="22"/>
      <c r="S60" s="22"/>
      <c r="T60" s="22"/>
      <c r="V60" s="229"/>
    </row>
    <row r="61" spans="2:22">
      <c r="B61" s="202">
        <v>24</v>
      </c>
      <c r="C61" s="246" t="s">
        <v>234</v>
      </c>
      <c r="D61" s="161">
        <v>489.79</v>
      </c>
      <c r="E61" s="25"/>
      <c r="F61" s="25"/>
      <c r="G61" s="22"/>
      <c r="H61" s="22"/>
      <c r="I61" s="25"/>
      <c r="J61" s="22"/>
      <c r="K61" s="22"/>
      <c r="L61" s="22"/>
      <c r="M61" s="25"/>
      <c r="N61" s="22">
        <v>0</v>
      </c>
      <c r="O61" s="22"/>
      <c r="P61" s="22"/>
      <c r="Q61" s="46">
        <f>D61+E61+F61+G61+H61+I61+J61+K61+L61+M61+N61+O61+P61</f>
        <v>489.79</v>
      </c>
      <c r="R61" s="22">
        <f t="shared" si="35"/>
        <v>40.815833333333337</v>
      </c>
      <c r="S61" s="22">
        <f>E62+F62+G62+H62+I62+J62+K62+L62+M62+N62+O62+P62</f>
        <v>29.3874</v>
      </c>
      <c r="T61" s="268">
        <f t="shared" si="36"/>
        <v>519.17740000000003</v>
      </c>
      <c r="V61" s="229"/>
    </row>
    <row r="62" spans="2:22">
      <c r="B62" s="162"/>
      <c r="C62" s="20"/>
      <c r="D62" s="163" t="s">
        <v>152</v>
      </c>
      <c r="E62" s="22">
        <f t="shared" si="37"/>
        <v>2.44895</v>
      </c>
      <c r="F62" s="22">
        <f t="shared" si="38"/>
        <v>2.44895</v>
      </c>
      <c r="G62" s="22">
        <f>(+D61+E61+F61+G61)*0.005</f>
        <v>2.44895</v>
      </c>
      <c r="H62" s="22">
        <f>(D61+E61+F61+G61+H61)*0.005</f>
        <v>2.44895</v>
      </c>
      <c r="I62" s="22">
        <f>(D61+E61+F61+G61+H61+I61)*0.005</f>
        <v>2.44895</v>
      </c>
      <c r="J62" s="22">
        <f>(D61+E61+F61+G61+H61+I61+J61)*0.005</f>
        <v>2.44895</v>
      </c>
      <c r="K62" s="22">
        <f>(D61+E61+F61+G61+H61+I61+J61+K61)*0.005</f>
        <v>2.44895</v>
      </c>
      <c r="L62" s="22">
        <f>(D61+E61+F61+G61+H61+I61+J61+K61+L61)*0.005</f>
        <v>2.44895</v>
      </c>
      <c r="M62" s="22">
        <f>(D61+E61+F61+G61+H61+I61+J61+K61+L61+M61)*0.005</f>
        <v>2.44895</v>
      </c>
      <c r="N62" s="22">
        <f>(D61+E61+F61+G61+H61+I61+J61+K61+L61+M61+N61)*0.005</f>
        <v>2.44895</v>
      </c>
      <c r="O62" s="22">
        <f>(D61+E61+F61+G61+H61+I61+J61+K61+L61+M61+N61+O61)*0.005</f>
        <v>2.44895</v>
      </c>
      <c r="P62" s="22">
        <f>(D61+E61+F61+G61+H61+I61+J61+K61+L61+M61+N61+O61+P61)*0.005</f>
        <v>2.44895</v>
      </c>
      <c r="Q62" s="46"/>
      <c r="R62" s="22"/>
      <c r="S62" s="22"/>
      <c r="T62" s="22"/>
      <c r="V62" s="229"/>
    </row>
    <row r="63" spans="2:22">
      <c r="B63" s="202">
        <v>25</v>
      </c>
      <c r="C63" s="20" t="s">
        <v>189</v>
      </c>
      <c r="D63" s="161">
        <v>126.43</v>
      </c>
      <c r="E63" s="25"/>
      <c r="F63" s="25"/>
      <c r="G63" s="22"/>
      <c r="H63" s="22"/>
      <c r="I63" s="25"/>
      <c r="J63" s="22"/>
      <c r="K63" s="22"/>
      <c r="L63" s="22"/>
      <c r="M63" s="25"/>
      <c r="N63" s="22">
        <v>0</v>
      </c>
      <c r="O63" s="22"/>
      <c r="P63" s="22"/>
      <c r="Q63" s="46">
        <f>D63+E63+F63+G63+H63+I63+J63+K63+L63+M63+N63+O63+P63</f>
        <v>126.43</v>
      </c>
      <c r="R63" s="22">
        <f t="shared" si="35"/>
        <v>10.535833333333334</v>
      </c>
      <c r="S63" s="22">
        <f>E64+F64+G64+H64+I64+J64+K64+L64+M64+N64+O64+P64</f>
        <v>7.5858000000000017</v>
      </c>
      <c r="T63" s="268">
        <f t="shared" si="36"/>
        <v>134.01580000000001</v>
      </c>
      <c r="V63" s="229"/>
    </row>
    <row r="64" spans="2:22">
      <c r="B64" s="162"/>
      <c r="C64" s="20"/>
      <c r="D64" s="163" t="s">
        <v>152</v>
      </c>
      <c r="E64" s="22">
        <f t="shared" si="37"/>
        <v>0.6321500000000001</v>
      </c>
      <c r="F64" s="22">
        <f t="shared" si="38"/>
        <v>0.6321500000000001</v>
      </c>
      <c r="G64" s="22">
        <f>(+D63+E63+F63+G63)*0.005</f>
        <v>0.6321500000000001</v>
      </c>
      <c r="H64" s="22">
        <f>(D63+E63+F63+G63+H63)*0.005</f>
        <v>0.6321500000000001</v>
      </c>
      <c r="I64" s="22">
        <f>(D63+E63+F63+G63+H63+I63)*0.005</f>
        <v>0.6321500000000001</v>
      </c>
      <c r="J64" s="22">
        <f>(D63+E63+F63+G63+H63+I63+J63)*0.005</f>
        <v>0.6321500000000001</v>
      </c>
      <c r="K64" s="22">
        <f>(D63+E63+F63+G63+H63+I63+J63+K63)*0.005</f>
        <v>0.6321500000000001</v>
      </c>
      <c r="L64" s="22">
        <f>(D63+E63+F63+G63+H63+I63+J63+K63+L63)*0.005</f>
        <v>0.6321500000000001</v>
      </c>
      <c r="M64" s="22">
        <f>(D63+E63+F63+G63+H63+I63+J63+K63+L63+M63)*0.005</f>
        <v>0.6321500000000001</v>
      </c>
      <c r="N64" s="22">
        <f>(D63+E63+F63+G63+H63+I63+J63+K63+L63+M63+N63)*0.005</f>
        <v>0.6321500000000001</v>
      </c>
      <c r="O64" s="22">
        <f>(D63+E63+F63+G63+H63+I63+J63+K63+L63+M63+N63+O63)*0.005</f>
        <v>0.6321500000000001</v>
      </c>
      <c r="P64" s="22">
        <f>(D63+E63+F63+G63+H63+I63+J63+K63+L63+M63+N63+O63+P63)*0.005</f>
        <v>0.6321500000000001</v>
      </c>
      <c r="Q64" s="173"/>
      <c r="R64" s="22"/>
      <c r="S64" s="22"/>
      <c r="T64" s="22"/>
      <c r="V64" s="229"/>
    </row>
    <row r="65" spans="2:22">
      <c r="B65" s="162">
        <v>26</v>
      </c>
      <c r="C65" s="20" t="s">
        <v>190</v>
      </c>
      <c r="D65" s="161">
        <v>3144.83</v>
      </c>
      <c r="E65" s="25"/>
      <c r="F65" s="25"/>
      <c r="G65" s="22"/>
      <c r="H65" s="22"/>
      <c r="I65" s="25"/>
      <c r="J65" s="22"/>
      <c r="K65" s="22"/>
      <c r="L65" s="22"/>
      <c r="M65" s="25"/>
      <c r="N65" s="22">
        <v>0</v>
      </c>
      <c r="O65" s="22"/>
      <c r="P65" s="22"/>
      <c r="Q65" s="173">
        <f>D65+E65+F65+G65+H65+I65+J65+K65+L65+M65+N65+O65+P65</f>
        <v>3144.83</v>
      </c>
      <c r="R65" s="22">
        <f t="shared" ref="R65:R69" si="39">Q65/12</f>
        <v>262.06916666666666</v>
      </c>
      <c r="S65" s="22">
        <f>E66+F66+G66+H66+I66+J66+K66+L66+M66+N66+O66+P66</f>
        <v>188.68980000000002</v>
      </c>
      <c r="T65" s="268">
        <f t="shared" ref="T65:T69" si="40">Q65+S65</f>
        <v>3333.5198</v>
      </c>
      <c r="V65" s="229"/>
    </row>
    <row r="66" spans="2:22">
      <c r="B66" s="162"/>
      <c r="C66" s="20"/>
      <c r="D66" s="163" t="s">
        <v>152</v>
      </c>
      <c r="E66" s="22">
        <f t="shared" ref="E66:E70" si="41">(D65+E65)*0.005</f>
        <v>15.72415</v>
      </c>
      <c r="F66" s="22">
        <f t="shared" ref="F66:F70" si="42">(D65+E65+F65)*0.005</f>
        <v>15.72415</v>
      </c>
      <c r="G66" s="22">
        <f>(+D65+E65+F65+G65)*0.005</f>
        <v>15.72415</v>
      </c>
      <c r="H66" s="22">
        <f>(D65+E65+F65+G65+H65)*0.005</f>
        <v>15.72415</v>
      </c>
      <c r="I66" s="22">
        <f>(D65+E65+F65+G65+H65+I65)*0.005</f>
        <v>15.72415</v>
      </c>
      <c r="J66" s="22">
        <f>(D65+E65+F65+G65+H65+I65+J65)*0.005</f>
        <v>15.72415</v>
      </c>
      <c r="K66" s="22">
        <f>(D65+E65+F65+G65+H65+I65+J65+K65)*0.005</f>
        <v>15.72415</v>
      </c>
      <c r="L66" s="22">
        <f>(D65+E65+F65+G65+H65+I65+J65+K65+L65)*0.005</f>
        <v>15.72415</v>
      </c>
      <c r="M66" s="22">
        <f>(D65+E65+F65+G65+H65+I65+J65+K65+L65+M65)*0.005</f>
        <v>15.72415</v>
      </c>
      <c r="N66" s="22">
        <f>(D65+E65+F65+G65+H65+I65+J65+K65+L65+M65+N65)*0.005</f>
        <v>15.72415</v>
      </c>
      <c r="O66" s="22">
        <f>(D65+E65+F65+G65+H65+I65+J65+K65+L65+M65+N65+O65)*0.005</f>
        <v>15.72415</v>
      </c>
      <c r="P66" s="22">
        <f>(D65+E65+F65+G65+H65+I65+J65+K65+L65+M65+N65+O65+P65)*0.005</f>
        <v>15.72415</v>
      </c>
      <c r="Q66" s="173"/>
      <c r="R66" s="22"/>
      <c r="S66" s="22"/>
      <c r="T66" s="22"/>
      <c r="V66" s="229"/>
    </row>
    <row r="67" spans="2:22">
      <c r="B67" s="162">
        <v>27</v>
      </c>
      <c r="C67" s="20" t="s">
        <v>191</v>
      </c>
      <c r="D67" s="161">
        <v>1036.49</v>
      </c>
      <c r="E67" s="25"/>
      <c r="F67" s="25"/>
      <c r="G67" s="22"/>
      <c r="H67" s="22"/>
      <c r="I67" s="25"/>
      <c r="J67" s="22"/>
      <c r="K67" s="22">
        <v>0</v>
      </c>
      <c r="L67" s="22">
        <v>0</v>
      </c>
      <c r="M67" s="25"/>
      <c r="N67" s="22">
        <v>0</v>
      </c>
      <c r="O67" s="22"/>
      <c r="P67" s="22"/>
      <c r="Q67" s="173">
        <f>D67+E67+F67+G67+H67+I67+J67+K67+L67+M67+N67+O67+P67</f>
        <v>1036.49</v>
      </c>
      <c r="R67" s="22">
        <f t="shared" si="39"/>
        <v>86.374166666666667</v>
      </c>
      <c r="S67" s="22">
        <f>E68+F68+G68+H68+I68+J68+K68+L68+M68+N68+O68+P68</f>
        <v>62.189400000000013</v>
      </c>
      <c r="T67" s="268">
        <f t="shared" si="40"/>
        <v>1098.6794</v>
      </c>
      <c r="V67" s="229"/>
    </row>
    <row r="68" spans="2:22" ht="16.5" customHeight="1">
      <c r="B68" s="162"/>
      <c r="C68" s="20"/>
      <c r="D68" s="163" t="s">
        <v>152</v>
      </c>
      <c r="E68" s="22">
        <f t="shared" si="41"/>
        <v>5.1824500000000002</v>
      </c>
      <c r="F68" s="22">
        <f t="shared" si="42"/>
        <v>5.1824500000000002</v>
      </c>
      <c r="G68" s="22">
        <f>(+D67+E67+F67+G67)*0.005</f>
        <v>5.1824500000000002</v>
      </c>
      <c r="H68" s="22">
        <f>(D67+E67+F67+G67+H67)*0.005</f>
        <v>5.1824500000000002</v>
      </c>
      <c r="I68" s="22">
        <f>(D67+E67+F67+G67+H67+I67)*0.005</f>
        <v>5.1824500000000002</v>
      </c>
      <c r="J68" s="22">
        <f>(D67+E67+F67+G67+H67+I67+J67)*0.005</f>
        <v>5.1824500000000002</v>
      </c>
      <c r="K68" s="22">
        <f>(D67+E67+F67+G67+H67+I67+J67+K67)*0.005</f>
        <v>5.1824500000000002</v>
      </c>
      <c r="L68" s="22">
        <f>(D67+E67+F67+G67+H67+I67+J67+K67+L67)*0.005</f>
        <v>5.1824500000000002</v>
      </c>
      <c r="M68" s="22">
        <f>(D67+E67+F67+G67+H67+I67+J67+K67+L67+M67)*0.005</f>
        <v>5.1824500000000002</v>
      </c>
      <c r="N68" s="22">
        <f>(D67+E67+F67+G67+H67+I67+J67+K67+L67+M67+N67)*0.005</f>
        <v>5.1824500000000002</v>
      </c>
      <c r="O68" s="22">
        <f>(D67+E67+F67+G67+H67+I67+J67+K67+L67+M67+N67+O67)*0.005</f>
        <v>5.1824500000000002</v>
      </c>
      <c r="P68" s="22">
        <f>(D67+E67+F67+G67+H67+I67+J67+K67+L67+M67+N67+O67+P67)*0.005</f>
        <v>5.1824500000000002</v>
      </c>
      <c r="Q68" s="173"/>
      <c r="R68" s="77"/>
      <c r="S68" s="77"/>
      <c r="T68" s="77"/>
    </row>
    <row r="69" spans="2:22">
      <c r="B69" s="162">
        <v>28</v>
      </c>
      <c r="C69" s="20" t="s">
        <v>192</v>
      </c>
      <c r="D69" s="161">
        <v>1833.26</v>
      </c>
      <c r="E69" s="25"/>
      <c r="F69" s="25"/>
      <c r="G69" s="22"/>
      <c r="H69" s="22"/>
      <c r="I69" s="25"/>
      <c r="J69" s="22"/>
      <c r="K69" s="22"/>
      <c r="L69" s="22"/>
      <c r="M69" s="25"/>
      <c r="N69" s="22">
        <v>0</v>
      </c>
      <c r="O69" s="22"/>
      <c r="P69" s="22"/>
      <c r="Q69" s="173">
        <f>D69+E69+F69+G69+H69+I69+J69+K69+L69+M69+N69+O69+P69</f>
        <v>1833.26</v>
      </c>
      <c r="R69" s="22">
        <f t="shared" si="39"/>
        <v>152.77166666666668</v>
      </c>
      <c r="S69" s="22">
        <f>E70+F70+G70+H70+I70+J70+K70+L70+M70+N70+O70+P70</f>
        <v>109.99560000000002</v>
      </c>
      <c r="T69" s="268">
        <f t="shared" si="40"/>
        <v>1943.2556</v>
      </c>
      <c r="V69" s="229"/>
    </row>
    <row r="70" spans="2:22" ht="15" customHeight="1">
      <c r="B70" s="162"/>
      <c r="C70" s="20"/>
      <c r="D70" s="163" t="s">
        <v>152</v>
      </c>
      <c r="E70" s="22">
        <f t="shared" si="41"/>
        <v>9.1662999999999997</v>
      </c>
      <c r="F70" s="22">
        <f t="shared" si="42"/>
        <v>9.1662999999999997</v>
      </c>
      <c r="G70" s="22">
        <f>(+D69+E69+F69+G69)*0.005</f>
        <v>9.1662999999999997</v>
      </c>
      <c r="H70" s="22">
        <f>(D69+E69+F69+G69+H69)*0.005</f>
        <v>9.1662999999999997</v>
      </c>
      <c r="I70" s="22">
        <f>(D69+E69+F69+G69+H69+I69)*0.005</f>
        <v>9.1662999999999997</v>
      </c>
      <c r="J70" s="22">
        <f>(D69+E69+F69+G69+H69+I69+J69)*0.005</f>
        <v>9.1662999999999997</v>
      </c>
      <c r="K70" s="22">
        <f>(D69+E69+F69+G69+H69+I69+J69+K69)*0.005</f>
        <v>9.1662999999999997</v>
      </c>
      <c r="L70" s="22">
        <f>(D69+E69+F69+G69+H69+I69+J69+K69+L69)*0.005</f>
        <v>9.1662999999999997</v>
      </c>
      <c r="M70" s="22">
        <f>(D69+E69+F69+G69+H69+I69+J69+K69+L69+M69)*0.005</f>
        <v>9.1662999999999997</v>
      </c>
      <c r="N70" s="22">
        <f>(D69+E69+F69+G69+H69+I69+J69+K69+L69+M69+N69)*0.005</f>
        <v>9.1662999999999997</v>
      </c>
      <c r="O70" s="22">
        <f>(D69+E69+F69+G69+H69+I69+J69+K69+L69+M69+N69+O69)*0.005</f>
        <v>9.1662999999999997</v>
      </c>
      <c r="P70" s="22">
        <f>(D69+E69+F69+G69+H69+I69+J69+K69+L69+M69+N69+O69+P69)*0.005</f>
        <v>9.1662999999999997</v>
      </c>
      <c r="Q70" s="173"/>
      <c r="R70" s="77"/>
      <c r="S70" s="77"/>
      <c r="T70" s="77"/>
    </row>
    <row r="71" spans="2:22">
      <c r="B71" s="202">
        <v>29</v>
      </c>
      <c r="C71" s="20" t="s">
        <v>193</v>
      </c>
      <c r="D71" s="161">
        <v>4147.28</v>
      </c>
      <c r="E71" s="25"/>
      <c r="F71" s="25"/>
      <c r="G71" s="22"/>
      <c r="H71" s="22"/>
      <c r="I71" s="25"/>
      <c r="J71" s="22"/>
      <c r="K71" s="22"/>
      <c r="L71" s="22"/>
      <c r="M71" s="25"/>
      <c r="N71" s="22">
        <v>0</v>
      </c>
      <c r="O71" s="32"/>
      <c r="P71" s="22"/>
      <c r="Q71" s="173">
        <f>D71+E71+F71+G71+H71+I71+J71+K71+L71+M71+N71+O71+P71</f>
        <v>4147.28</v>
      </c>
      <c r="R71" s="22">
        <f t="shared" ref="R71:R75" si="43">Q71/12</f>
        <v>345.60666666666663</v>
      </c>
      <c r="S71" s="22">
        <f>E72+F72+G72+H72+I72+J72+K72+L72+M72+N72+O72+P72</f>
        <v>248.83680000000001</v>
      </c>
      <c r="T71" s="268">
        <f t="shared" ref="T71:T75" si="44">Q71+S71</f>
        <v>4396.1167999999998</v>
      </c>
      <c r="V71" s="229"/>
    </row>
    <row r="72" spans="2:22" ht="15" customHeight="1">
      <c r="B72" s="162"/>
      <c r="C72" s="20"/>
      <c r="D72" s="163" t="s">
        <v>152</v>
      </c>
      <c r="E72" s="22">
        <f t="shared" ref="E72:E76" si="45">(D71+E71)*0.005</f>
        <v>20.7364</v>
      </c>
      <c r="F72" s="22">
        <f t="shared" ref="F72:F76" si="46">(D71+E71+F71)*0.005</f>
        <v>20.7364</v>
      </c>
      <c r="G72" s="22">
        <f>(+D71+E71+F71+G71)*0.005</f>
        <v>20.7364</v>
      </c>
      <c r="H72" s="22">
        <f>(D71+E71+F71+G71+H71)*0.005</f>
        <v>20.7364</v>
      </c>
      <c r="I72" s="22">
        <f>(D71+E71+F71+G71+H71+I71)*0.005</f>
        <v>20.7364</v>
      </c>
      <c r="J72" s="22">
        <f>(D71+E71+F71+G71+H71+I71+J71)*0.005</f>
        <v>20.7364</v>
      </c>
      <c r="K72" s="22">
        <f>(D71+E71+F71+G71+H71+I71+J71+K71)*0.005</f>
        <v>20.7364</v>
      </c>
      <c r="L72" s="22">
        <f>(D71+E71+F71+G71+H71+I71+J71+K71+L71)*0.005</f>
        <v>20.7364</v>
      </c>
      <c r="M72" s="22">
        <f>(D71+E71+F71+G71+H71+I71+J71+K71+L71+M71)*0.005</f>
        <v>20.7364</v>
      </c>
      <c r="N72" s="22">
        <f>(D71+E71+F71+G71+H71+I71+J71+K71+L71+M71+N71)*0.005</f>
        <v>20.7364</v>
      </c>
      <c r="O72" s="22">
        <f>(D71+E71+F71+G71+H71+I71+J71+K71+L71+M71+N71+O71)*0.005</f>
        <v>20.7364</v>
      </c>
      <c r="P72" s="22">
        <f>(D71+E71+F71+G71+H71+I71+J71+K71+L71+M71+N71+O71+P71)*0.005</f>
        <v>20.7364</v>
      </c>
      <c r="Q72" s="173"/>
      <c r="R72" s="77"/>
      <c r="S72" s="77"/>
      <c r="T72" s="77"/>
    </row>
    <row r="73" spans="2:22">
      <c r="B73" s="202">
        <v>30</v>
      </c>
      <c r="C73" s="271" t="s">
        <v>235</v>
      </c>
      <c r="D73" s="161">
        <v>1244.6099999999999</v>
      </c>
      <c r="E73" s="25"/>
      <c r="F73" s="25"/>
      <c r="G73" s="22"/>
      <c r="H73" s="32"/>
      <c r="I73" s="25"/>
      <c r="J73" s="22"/>
      <c r="K73" s="22"/>
      <c r="L73" s="22"/>
      <c r="M73" s="25"/>
      <c r="N73" s="22">
        <v>0</v>
      </c>
      <c r="O73" s="22">
        <v>0</v>
      </c>
      <c r="P73" s="22"/>
      <c r="Q73" s="173">
        <f>D73+E73+F73+G73+H73+I73+J73+K73+L73+M73+N73+O73+P73</f>
        <v>1244.6099999999999</v>
      </c>
      <c r="R73" s="22">
        <f t="shared" si="43"/>
        <v>103.71749999999999</v>
      </c>
      <c r="S73" s="22">
        <f>E74+F74+G74+H74+I74+J74+K74+L74+M74+N74+O74+P74</f>
        <v>74.676599999999993</v>
      </c>
      <c r="T73" s="274">
        <f t="shared" si="44"/>
        <v>1319.2865999999999</v>
      </c>
      <c r="V73" s="229"/>
    </row>
    <row r="74" spans="2:22" ht="15" customHeight="1">
      <c r="B74" s="162"/>
      <c r="C74" s="20"/>
      <c r="D74" s="163" t="s">
        <v>152</v>
      </c>
      <c r="E74" s="22">
        <f t="shared" si="45"/>
        <v>6.2230499999999997</v>
      </c>
      <c r="F74" s="22">
        <f t="shared" si="46"/>
        <v>6.2230499999999997</v>
      </c>
      <c r="G74" s="22">
        <f>(+D73+E73+F73+G73)*0.005</f>
        <v>6.2230499999999997</v>
      </c>
      <c r="H74" s="22">
        <f>(D73+E73+F73+G73+H73)*0.005</f>
        <v>6.2230499999999997</v>
      </c>
      <c r="I74" s="22">
        <f>(D73+E73+F73+G73+H73+I73)*0.005</f>
        <v>6.2230499999999997</v>
      </c>
      <c r="J74" s="22">
        <f>(D73+E73+F73+G73+H73+I73+J73)*0.005</f>
        <v>6.2230499999999997</v>
      </c>
      <c r="K74" s="22">
        <f>(D73+E73+F73+G73+H73+I73+J73+K73)*0.005</f>
        <v>6.2230499999999997</v>
      </c>
      <c r="L74" s="22">
        <f>(D73+E73+F73+G73+H73+I73+J73+K73+L73)*0.005</f>
        <v>6.2230499999999997</v>
      </c>
      <c r="M74" s="22">
        <f>(D73+E73+F73+G73+H73+I73+J73+K73+L73+M73)*0.005</f>
        <v>6.2230499999999997</v>
      </c>
      <c r="N74" s="22">
        <f>(D73+E73+F73+G73+H73+I73+J73+K73+L73+M73+N73)*0.005</f>
        <v>6.2230499999999997</v>
      </c>
      <c r="O74" s="22">
        <f>(D73+E73+F73+G73+H73+I73+J73+K73+L73+M73+N73+O73)*0.005</f>
        <v>6.2230499999999997</v>
      </c>
      <c r="P74" s="22">
        <f>(D73+E73+F73+G73+H73+I73+J73+K73+L73+M73+N73+O73+P73)*0.005</f>
        <v>6.2230499999999997</v>
      </c>
      <c r="Q74" s="173"/>
      <c r="R74" s="77"/>
      <c r="S74" s="77"/>
      <c r="T74" s="77"/>
    </row>
    <row r="75" spans="2:22" ht="16.95" customHeight="1">
      <c r="B75" s="202">
        <v>31</v>
      </c>
      <c r="C75" s="271" t="s">
        <v>236</v>
      </c>
      <c r="D75" s="161">
        <v>4706.5600000000004</v>
      </c>
      <c r="E75" s="188"/>
      <c r="F75" s="188"/>
      <c r="G75" s="22"/>
      <c r="H75" s="164"/>
      <c r="I75" s="25"/>
      <c r="J75" s="164"/>
      <c r="K75" s="22"/>
      <c r="L75" s="22"/>
      <c r="M75" s="25"/>
      <c r="N75" s="22">
        <v>0</v>
      </c>
      <c r="O75" s="22">
        <v>0</v>
      </c>
      <c r="P75" s="273">
        <v>1000</v>
      </c>
      <c r="Q75" s="173">
        <f>D75+E75+F75+G75+H75+I75+J75+K75+L75+M75+N75+O75+P75</f>
        <v>5706.56</v>
      </c>
      <c r="R75" s="22">
        <f t="shared" si="43"/>
        <v>475.54666666666668</v>
      </c>
      <c r="S75" s="22">
        <f>E76+F76+G76+H76+I76+J76+K76+L76+M76+N76+O76+P76</f>
        <v>287.39360000000005</v>
      </c>
      <c r="T75" s="268">
        <f t="shared" si="44"/>
        <v>5993.9536000000007</v>
      </c>
      <c r="V75" s="229"/>
    </row>
    <row r="76" spans="2:22" ht="15" customHeight="1">
      <c r="B76" s="162"/>
      <c r="C76" s="20"/>
      <c r="D76" s="163" t="s">
        <v>152</v>
      </c>
      <c r="E76" s="22">
        <f t="shared" si="45"/>
        <v>23.532800000000002</v>
      </c>
      <c r="F76" s="22">
        <f t="shared" si="46"/>
        <v>23.532800000000002</v>
      </c>
      <c r="G76" s="22">
        <f>(+D75+E75+F75+G75)*0.005</f>
        <v>23.532800000000002</v>
      </c>
      <c r="H76" s="22">
        <f>(D75+E75+F75+G75+H75)*0.005</f>
        <v>23.532800000000002</v>
      </c>
      <c r="I76" s="22">
        <f>(D75+E75+F75+G75+H75+I75)*0.005</f>
        <v>23.532800000000002</v>
      </c>
      <c r="J76" s="22">
        <f>(D75+E75+F75+G75+H75+I75+J75)*0.005</f>
        <v>23.532800000000002</v>
      </c>
      <c r="K76" s="22">
        <f>(D75+E75+F75+G75+H75+I75+J75+K75)*0.005</f>
        <v>23.532800000000002</v>
      </c>
      <c r="L76" s="22">
        <f>(D75+E75+F75+G75+H75+I75+J75+K75+L75)*0.005</f>
        <v>23.532800000000002</v>
      </c>
      <c r="M76" s="22">
        <f>(D75+E75+F75+G75+H75+I75+J75+K75+L75+M75)*0.005</f>
        <v>23.532800000000002</v>
      </c>
      <c r="N76" s="22">
        <f>(D75+E75+F75+G75+H75+I75+J75+K75+L75+M75+N75)*0.005</f>
        <v>23.532800000000002</v>
      </c>
      <c r="O76" s="22">
        <f>(D75+E75+F75+G75+H75+I75+J75+K75+L75+M75+N75+O75)*0.005</f>
        <v>23.532800000000002</v>
      </c>
      <c r="P76" s="22">
        <f>(D75+E75+F75+G75+H75+I75+J75+K75+L75+M75+N75+O75+P75)*0.005</f>
        <v>28.532800000000002</v>
      </c>
      <c r="Q76" s="173"/>
      <c r="R76" s="77"/>
      <c r="S76" s="77"/>
      <c r="T76" s="77"/>
    </row>
    <row r="77" spans="2:22" ht="15" customHeight="1">
      <c r="B77" s="162">
        <v>32</v>
      </c>
      <c r="C77" s="20" t="s">
        <v>197</v>
      </c>
      <c r="D77" s="161">
        <v>46.29</v>
      </c>
      <c r="E77" s="188"/>
      <c r="F77" s="188"/>
      <c r="G77" s="22"/>
      <c r="H77" s="22"/>
      <c r="I77" s="25"/>
      <c r="J77" s="32"/>
      <c r="K77" s="22"/>
      <c r="L77" s="22"/>
      <c r="M77" s="25"/>
      <c r="N77" s="22">
        <v>0</v>
      </c>
      <c r="O77" s="22">
        <v>0</v>
      </c>
      <c r="P77" s="32"/>
      <c r="Q77" s="173">
        <f>D77+E77+F77+G77+H77+I77+J77+K77+L77+M77+N77+O77+P77</f>
        <v>46.29</v>
      </c>
      <c r="R77" s="22">
        <f t="shared" ref="R77:R83" si="47">Q77/12</f>
        <v>3.8574999999999999</v>
      </c>
      <c r="S77" s="22">
        <f>E78+F78+G78+H78+I78+J78+K78+L78+M78+N78+O78+P78</f>
        <v>2.7774000000000001</v>
      </c>
      <c r="T77" s="268">
        <f t="shared" ref="T77:T83" si="48">Q77+S77</f>
        <v>49.067399999999999</v>
      </c>
    </row>
    <row r="78" spans="2:22" ht="15" customHeight="1">
      <c r="B78" s="162"/>
      <c r="C78" s="20"/>
      <c r="D78" s="163" t="s">
        <v>152</v>
      </c>
      <c r="E78" s="22">
        <f t="shared" ref="E78:E84" si="49">(D77+E77)*0.005</f>
        <v>0.23144999999999999</v>
      </c>
      <c r="F78" s="22">
        <f t="shared" ref="F78:F84" si="50">(D77+E77+F77)*0.005</f>
        <v>0.23144999999999999</v>
      </c>
      <c r="G78" s="22">
        <f>(+D77+E77+F77+G77)*0.005</f>
        <v>0.23144999999999999</v>
      </c>
      <c r="H78" s="22">
        <f>(D77+E77+F77+G77+H77)*0.005</f>
        <v>0.23144999999999999</v>
      </c>
      <c r="I78" s="22">
        <f>(D77+E77+F77+G77+H77+I77)*0.005</f>
        <v>0.23144999999999999</v>
      </c>
      <c r="J78" s="22">
        <f>(D77+E77+F77+G77+H77+I77+J77)*0.005</f>
        <v>0.23144999999999999</v>
      </c>
      <c r="K78" s="22">
        <f>(D77+E77+F77+G77+H77+I77+J77+K77)*0.005</f>
        <v>0.23144999999999999</v>
      </c>
      <c r="L78" s="22">
        <f>(D77+E77+F77+G77+H77+I77+J77+K77+L77)*0.005</f>
        <v>0.23144999999999999</v>
      </c>
      <c r="M78" s="22">
        <f>(D77+E77+F77+G77+H77+I77+J77+K77+L77+M77)*0.005</f>
        <v>0.23144999999999999</v>
      </c>
      <c r="N78" s="22">
        <f>(D77+E77+F77+G77+H77+I77+J77+K77+L77+M77+N77)*0.005</f>
        <v>0.23144999999999999</v>
      </c>
      <c r="O78" s="22">
        <f>(D77+E77+F77+G77+H77+I77+J77+K77+L77+M77+N77+O77)*0.005</f>
        <v>0.23144999999999999</v>
      </c>
      <c r="P78" s="22">
        <f>(D77+E77+F77+G77+H77+I77+J77+K77+L77+M77+N77+O77+P77)*0.005</f>
        <v>0.23144999999999999</v>
      </c>
      <c r="Q78" s="173"/>
      <c r="R78" s="77"/>
      <c r="S78" s="77"/>
      <c r="T78" s="77"/>
    </row>
    <row r="79" spans="2:22" ht="15" customHeight="1">
      <c r="B79" s="168"/>
      <c r="C79" s="16"/>
      <c r="D79" s="281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205"/>
      <c r="R79" s="175"/>
      <c r="S79" s="175"/>
      <c r="T79" s="283" t="s">
        <v>246</v>
      </c>
    </row>
    <row r="80" spans="2:22" ht="15" customHeight="1">
      <c r="B80" s="170"/>
      <c r="C80" s="36"/>
      <c r="D80" s="282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206"/>
      <c r="R80" s="212"/>
      <c r="S80" s="212"/>
      <c r="T80" s="212"/>
    </row>
    <row r="81" spans="2:22" ht="17.55" customHeight="1">
      <c r="B81" s="202">
        <v>33</v>
      </c>
      <c r="C81" s="271" t="s">
        <v>238</v>
      </c>
      <c r="D81" s="161">
        <v>172.76</v>
      </c>
      <c r="E81" s="188"/>
      <c r="F81" s="188"/>
      <c r="G81" s="22"/>
      <c r="H81" s="22"/>
      <c r="I81" s="25"/>
      <c r="J81" s="32"/>
      <c r="K81" s="22"/>
      <c r="L81" s="22"/>
      <c r="M81" s="25"/>
      <c r="N81" s="22">
        <v>0</v>
      </c>
      <c r="O81" s="22">
        <v>0</v>
      </c>
      <c r="P81" s="32"/>
      <c r="Q81" s="173">
        <f>D81+E81+F81+G81+H81+I81+J81+K81+L81+M81+N81+O81+P81</f>
        <v>172.76</v>
      </c>
      <c r="R81" s="22">
        <f t="shared" si="47"/>
        <v>14.396666666666667</v>
      </c>
      <c r="S81" s="22">
        <f>E82+F82+G82+H82+I82+J82+K82+L82+M82+N82+O82+P82</f>
        <v>10.365600000000001</v>
      </c>
      <c r="T81" s="268">
        <f t="shared" si="48"/>
        <v>183.12559999999999</v>
      </c>
    </row>
    <row r="82" spans="2:22" ht="17.55" customHeight="1">
      <c r="B82" s="162"/>
      <c r="C82" s="20"/>
      <c r="D82" s="163" t="s">
        <v>152</v>
      </c>
      <c r="E82" s="22">
        <f t="shared" si="49"/>
        <v>0.86380000000000001</v>
      </c>
      <c r="F82" s="22">
        <f t="shared" si="50"/>
        <v>0.86380000000000001</v>
      </c>
      <c r="G82" s="22">
        <f>(+D81+E81+F81+G81)*0.005</f>
        <v>0.86380000000000001</v>
      </c>
      <c r="H82" s="22">
        <f>(D81+E81+F81+G81+H81)*0.005</f>
        <v>0.86380000000000001</v>
      </c>
      <c r="I82" s="22">
        <f>(D81+E81+F81+G81+H81+I81)*0.005</f>
        <v>0.86380000000000001</v>
      </c>
      <c r="J82" s="22">
        <f>(D81+E81+F81+G81+H81+I81+J81)*0.005</f>
        <v>0.86380000000000001</v>
      </c>
      <c r="K82" s="22">
        <f>(D81+E81+F81+G81+H81+I81+J81+K81)*0.005</f>
        <v>0.86380000000000001</v>
      </c>
      <c r="L82" s="22">
        <f>(D81+E81+F81+G81+H81+I81+J81+K81+L81)*0.005</f>
        <v>0.86380000000000001</v>
      </c>
      <c r="M82" s="22">
        <f>(D81+E81+F81+G81+H81+I81+J81+K81+L81+M81)*0.005</f>
        <v>0.86380000000000001</v>
      </c>
      <c r="N82" s="22">
        <f>(D81+E81+F81+G81+H81+I81+J81+K81+L81+M81+N81)*0.005</f>
        <v>0.86380000000000001</v>
      </c>
      <c r="O82" s="22">
        <f>(D81+E81+F81+G81+H81+I81+J81+K81+L81+M81+N81+O81)*0.005</f>
        <v>0.86380000000000001</v>
      </c>
      <c r="P82" s="22">
        <f>(D81+E81+F81+G81+H81+I81+J81+K81+L81+M81+N81+O81+P81)*0.005</f>
        <v>0.86380000000000001</v>
      </c>
      <c r="Q82" s="173"/>
      <c r="R82" s="77"/>
      <c r="S82" s="77"/>
      <c r="T82" s="77"/>
    </row>
    <row r="83" spans="2:22" ht="17.55" customHeight="1">
      <c r="B83" s="202">
        <v>34</v>
      </c>
      <c r="C83" s="20" t="s">
        <v>134</v>
      </c>
      <c r="D83" s="161">
        <f>502.5</f>
        <v>502.5</v>
      </c>
      <c r="E83" s="188"/>
      <c r="F83" s="188"/>
      <c r="G83" s="22"/>
      <c r="H83" s="22"/>
      <c r="I83" s="25"/>
      <c r="J83" s="32"/>
      <c r="K83" s="22"/>
      <c r="L83" s="22"/>
      <c r="M83" s="25"/>
      <c r="N83" s="22">
        <v>0</v>
      </c>
      <c r="O83" s="22">
        <v>0</v>
      </c>
      <c r="P83" s="273">
        <v>0</v>
      </c>
      <c r="Q83" s="173">
        <f>D83+E83+F83+G83+H83+I83+J83+K83+L83+M83+N83+O83+P83</f>
        <v>502.5</v>
      </c>
      <c r="R83" s="22">
        <f t="shared" si="47"/>
        <v>41.875</v>
      </c>
      <c r="S83" s="22">
        <f>E84+F84+G84+H84+I84+J84+K84+L84+M84+N84+O84+P84</f>
        <v>30.149999999999995</v>
      </c>
      <c r="T83" s="268">
        <f t="shared" si="48"/>
        <v>532.65</v>
      </c>
    </row>
    <row r="84" spans="2:22" ht="13.2" customHeight="1">
      <c r="B84" s="162"/>
      <c r="C84" s="20"/>
      <c r="D84" s="163" t="s">
        <v>152</v>
      </c>
      <c r="E84" s="22">
        <f t="shared" si="49"/>
        <v>2.5125000000000002</v>
      </c>
      <c r="F84" s="22">
        <f t="shared" si="50"/>
        <v>2.5125000000000002</v>
      </c>
      <c r="G84" s="22">
        <f>(+D83+E83+F83+G83)*0.005</f>
        <v>2.5125000000000002</v>
      </c>
      <c r="H84" s="22">
        <f>(D83+E83+F83+G83+H83)*0.005</f>
        <v>2.5125000000000002</v>
      </c>
      <c r="I84" s="22">
        <f>(D83+E83+F83+G83+H83+I83)*0.005</f>
        <v>2.5125000000000002</v>
      </c>
      <c r="J84" s="22">
        <f>(D83+E83+F83+G83+H83+I83+J83)*0.005</f>
        <v>2.5125000000000002</v>
      </c>
      <c r="K84" s="22">
        <f>(D83+E83+F83+G83+H83+I83+J83+K83)*0.005</f>
        <v>2.5125000000000002</v>
      </c>
      <c r="L84" s="22">
        <f>(D83+E83+F83+G83+H83+I83+J83+K83+L83)*0.005</f>
        <v>2.5125000000000002</v>
      </c>
      <c r="M84" s="22">
        <f>(D83+E83+F83+G83+H83+I83+J83+K83+L83+M83)*0.005</f>
        <v>2.5125000000000002</v>
      </c>
      <c r="N84" s="22">
        <f>(D83+E83+F83+G83+H83+I83+J83+K83+L83+M83+N83)*0.005</f>
        <v>2.5125000000000002</v>
      </c>
      <c r="O84" s="22">
        <f>(D83+E83+F83+G83+H83+I83+J83+K83+L83+M83+N83+O83)*0.005</f>
        <v>2.5125000000000002</v>
      </c>
      <c r="P84" s="22">
        <f>(D83+E83+F83+G83+H83+I83+J83+K83+L83+M83+N83+O83+P83)*0.005</f>
        <v>2.5125000000000002</v>
      </c>
      <c r="Q84" s="173"/>
      <c r="R84" s="77"/>
      <c r="S84" s="77"/>
      <c r="T84" s="77"/>
    </row>
    <row r="85" spans="2:22" ht="13.2" customHeight="1">
      <c r="B85" s="162">
        <v>35</v>
      </c>
      <c r="C85" s="246" t="str">
        <f>KIDDY2024!B14</f>
        <v>Demian Sabin C.  Jumao-as</v>
      </c>
      <c r="D85" s="161">
        <f>KIDDY2024!S14</f>
        <v>8785.1103999999996</v>
      </c>
      <c r="E85" s="188"/>
      <c r="F85" s="188"/>
      <c r="G85" s="22"/>
      <c r="H85" s="22"/>
      <c r="I85" s="25"/>
      <c r="J85" s="32"/>
      <c r="K85" s="22"/>
      <c r="L85" s="22"/>
      <c r="M85" s="25"/>
      <c r="N85" s="22">
        <v>0</v>
      </c>
      <c r="O85" s="22">
        <v>0</v>
      </c>
      <c r="P85" s="273">
        <v>0</v>
      </c>
      <c r="Q85" s="173">
        <f>D85+E85+F85+G85+H85+I85+J85+K85+L85+M85+N85+O85+P85</f>
        <v>8785.1103999999996</v>
      </c>
      <c r="R85" s="22">
        <f t="shared" ref="R85" si="51">Q85/12</f>
        <v>732.09253333333334</v>
      </c>
      <c r="S85" s="22">
        <f>E86+F86+G86+H86+I86+J86+K86+L86+M86+N86+O86+P86</f>
        <v>527.1066239999999</v>
      </c>
      <c r="T85" s="268">
        <f t="shared" ref="T85" si="52">Q85+S85</f>
        <v>9312.2170239999996</v>
      </c>
      <c r="V85" s="239">
        <f>Q85</f>
        <v>8785.1103999999996</v>
      </c>
    </row>
    <row r="86" spans="2:22" ht="13.2" customHeight="1">
      <c r="B86" s="162"/>
      <c r="C86" s="20"/>
      <c r="D86" s="163" t="s">
        <v>152</v>
      </c>
      <c r="E86" s="22">
        <f t="shared" ref="E86" si="53">(D85+E85)*0.005</f>
        <v>43.925551999999996</v>
      </c>
      <c r="F86" s="22">
        <f t="shared" ref="F86" si="54">(D85+E85+F85)*0.005</f>
        <v>43.925551999999996</v>
      </c>
      <c r="G86" s="22">
        <f>(+D85+E85+F85+G85)*0.005</f>
        <v>43.925551999999996</v>
      </c>
      <c r="H86" s="22">
        <f>(D85+E85+F85+G85+H85)*0.005</f>
        <v>43.925551999999996</v>
      </c>
      <c r="I86" s="22">
        <f>(D85+E85+F85+G85+H85+I85)*0.005</f>
        <v>43.925551999999996</v>
      </c>
      <c r="J86" s="22">
        <f>(D85+E85+F85+G85+H85+I85+J85)*0.005</f>
        <v>43.925551999999996</v>
      </c>
      <c r="K86" s="22">
        <f>(D85+E85+F85+G85+H85+I85+J85+K85)*0.005</f>
        <v>43.925551999999996</v>
      </c>
      <c r="L86" s="22">
        <f>(D85+E85+F85+G85+H85+I85+J85+K85+L85)*0.005</f>
        <v>43.925551999999996</v>
      </c>
      <c r="M86" s="22">
        <f>(D85+E85+F85+G85+H85+I85+J85+K85+L85+M85)*0.005</f>
        <v>43.925551999999996</v>
      </c>
      <c r="N86" s="22">
        <f>(D85+E85+F85+G85+H85+I85+J85+K85+L85+M85+N85)*0.005</f>
        <v>43.925551999999996</v>
      </c>
      <c r="O86" s="22">
        <f>(D85+E85+F85+G85+H85+I85+J85+K85+L85+M85+N85+O85)*0.005</f>
        <v>43.925551999999996</v>
      </c>
      <c r="P86" s="22">
        <f>(D85+E85+F85+G85+H85+I85+J85+K85+L85+M85+N85+O85+P85)*0.005</f>
        <v>43.925551999999996</v>
      </c>
      <c r="Q86" s="173"/>
      <c r="R86" s="77"/>
      <c r="S86" s="77"/>
      <c r="T86" s="77"/>
    </row>
    <row r="87" spans="2:22" ht="13.2" customHeight="1">
      <c r="B87" s="162">
        <v>36</v>
      </c>
      <c r="C87" s="246" t="str">
        <f>KIDDY2024!B16</f>
        <v>Izy Kaizer J.  Balao</v>
      </c>
      <c r="D87" s="161">
        <f>KIDDY2024!S16</f>
        <v>5976.7392</v>
      </c>
      <c r="E87" s="188"/>
      <c r="F87" s="188"/>
      <c r="G87" s="22"/>
      <c r="H87" s="22"/>
      <c r="I87" s="25"/>
      <c r="J87" s="32"/>
      <c r="K87" s="22"/>
      <c r="L87" s="22"/>
      <c r="M87" s="25"/>
      <c r="N87" s="22">
        <v>0</v>
      </c>
      <c r="O87" s="22">
        <v>0</v>
      </c>
      <c r="P87" s="273">
        <v>0</v>
      </c>
      <c r="Q87" s="173">
        <f>D87+E87+F87+G87+H87+I87+J87+K87+L87+M87+N87+O87+P87</f>
        <v>5976.7392</v>
      </c>
      <c r="R87" s="22">
        <f t="shared" ref="R87" si="55">Q87/12</f>
        <v>498.0616</v>
      </c>
      <c r="S87" s="22">
        <f>E88+F88+G88+H88+I88+J88+K88+L88+M88+N88+O88+P88</f>
        <v>358.60435199999989</v>
      </c>
      <c r="T87" s="268">
        <f t="shared" ref="T87" si="56">Q87+S87</f>
        <v>6335.3435520000003</v>
      </c>
      <c r="V87" s="239">
        <f>Q87</f>
        <v>5976.7392</v>
      </c>
    </row>
    <row r="88" spans="2:22" ht="13.2" customHeight="1">
      <c r="B88" s="162"/>
      <c r="C88" s="20"/>
      <c r="D88" s="163" t="s">
        <v>152</v>
      </c>
      <c r="E88" s="22">
        <f t="shared" ref="E88" si="57">(D87+E87)*0.005</f>
        <v>29.883696</v>
      </c>
      <c r="F88" s="22">
        <f t="shared" ref="F88" si="58">(D87+E87+F87)*0.005</f>
        <v>29.883696</v>
      </c>
      <c r="G88" s="22">
        <f>(+D87+E87+F87+G87)*0.005</f>
        <v>29.883696</v>
      </c>
      <c r="H88" s="22">
        <f>(D87+E87+F87+G87+H87)*0.005</f>
        <v>29.883696</v>
      </c>
      <c r="I88" s="22">
        <f>(D87+E87+F87+G87+H87+I87)*0.005</f>
        <v>29.883696</v>
      </c>
      <c r="J88" s="22">
        <f>(D87+E87+F87+G87+H87+I87+J87)*0.005</f>
        <v>29.883696</v>
      </c>
      <c r="K88" s="22">
        <f>(D87+E87+F87+G87+H87+I87+J87+K87)*0.005</f>
        <v>29.883696</v>
      </c>
      <c r="L88" s="22">
        <f>(D87+E87+F87+G87+H87+I87+J87+K87+L87)*0.005</f>
        <v>29.883696</v>
      </c>
      <c r="M88" s="22">
        <f>(D87+E87+F87+G87+H87+I87+J87+K87+L87+M87)*0.005</f>
        <v>29.883696</v>
      </c>
      <c r="N88" s="22">
        <f>(D87+E87+F87+G87+H87+I87+J87+K87+L87+M87+N87)*0.005</f>
        <v>29.883696</v>
      </c>
      <c r="O88" s="22">
        <f>(D87+E87+F87+G87+H87+I87+J87+K87+L87+M87+N87+O87)*0.005</f>
        <v>29.883696</v>
      </c>
      <c r="P88" s="22">
        <f>(D87+E87+F87+G87+H87+I87+J87+K87+L87+M87+N87+O87+P87)*0.005</f>
        <v>29.883696</v>
      </c>
      <c r="Q88" s="173"/>
      <c r="R88" s="77"/>
      <c r="S88" s="77"/>
      <c r="T88" s="77"/>
    </row>
    <row r="89" spans="2:22" ht="13.2" customHeight="1">
      <c r="B89" s="162">
        <v>37</v>
      </c>
      <c r="C89" s="246" t="str">
        <f>KIDDY2024!B18</f>
        <v>Alec Finlay J.  Balao</v>
      </c>
      <c r="D89" s="161">
        <f>KIDDY2024!S18</f>
        <v>5701.5255999999999</v>
      </c>
      <c r="E89" s="188"/>
      <c r="F89" s="188"/>
      <c r="G89" s="22"/>
      <c r="H89" s="22"/>
      <c r="I89" s="25"/>
      <c r="J89" s="32"/>
      <c r="K89" s="22"/>
      <c r="L89" s="22"/>
      <c r="M89" s="25"/>
      <c r="N89" s="22">
        <v>0</v>
      </c>
      <c r="O89" s="22">
        <v>0</v>
      </c>
      <c r="P89" s="273">
        <v>0</v>
      </c>
      <c r="Q89" s="173">
        <f>D89+E89+F89+G89+H89+I89+J89+K89+L89+M89+N89+O89+P89</f>
        <v>5701.5255999999999</v>
      </c>
      <c r="R89" s="22">
        <f t="shared" ref="R89" si="59">Q89/12</f>
        <v>475.12713333333335</v>
      </c>
      <c r="S89" s="22">
        <f>E90+F90+G90+H90+I90+J90+K90+L90+M90+N90+O90+P90</f>
        <v>342.09153600000008</v>
      </c>
      <c r="T89" s="268">
        <f t="shared" ref="T89" si="60">Q89+S89</f>
        <v>6043.6171359999998</v>
      </c>
      <c r="V89" s="239">
        <f>Q89</f>
        <v>5701.5255999999999</v>
      </c>
    </row>
    <row r="90" spans="2:22" ht="13.2" customHeight="1">
      <c r="B90" s="162"/>
      <c r="C90" s="20"/>
      <c r="D90" s="163" t="s">
        <v>152</v>
      </c>
      <c r="E90" s="22">
        <f t="shared" ref="E90" si="61">(D89+E89)*0.005</f>
        <v>28.507628</v>
      </c>
      <c r="F90" s="22">
        <f t="shared" ref="F90" si="62">(D89+E89+F89)*0.005</f>
        <v>28.507628</v>
      </c>
      <c r="G90" s="22">
        <f>(+D89+E89+F89+G89)*0.005</f>
        <v>28.507628</v>
      </c>
      <c r="H90" s="22">
        <f>(D89+E89+F89+G89+H89)*0.005</f>
        <v>28.507628</v>
      </c>
      <c r="I90" s="22">
        <f>(D89+E89+F89+G89+H89+I89)*0.005</f>
        <v>28.507628</v>
      </c>
      <c r="J90" s="22">
        <f>(D89+E89+F89+G89+H89+I89+J89)*0.005</f>
        <v>28.507628</v>
      </c>
      <c r="K90" s="22">
        <f>(D89+E89+F89+G89+H89+I89+J89+K89)*0.005</f>
        <v>28.507628</v>
      </c>
      <c r="L90" s="22">
        <f>(D89+E89+F89+G89+H89+I89+J89+K89+L89)*0.005</f>
        <v>28.507628</v>
      </c>
      <c r="M90" s="22">
        <f>(D89+E89+F89+G89+H89+I89+J89+K89+L89+M89)*0.005</f>
        <v>28.507628</v>
      </c>
      <c r="N90" s="22">
        <f>(D89+E89+F89+G89+H89+I89+J89+K89+L89+M89+N89)*0.005</f>
        <v>28.507628</v>
      </c>
      <c r="O90" s="22">
        <f>(D89+E89+F89+G89+H89+I89+J89+K89+L89+M89+N89+O89)*0.005</f>
        <v>28.507628</v>
      </c>
      <c r="P90" s="22">
        <f>(D89+E89+F89+G89+H89+I89+J89+K89+L89+M89+N89+O89+P89)*0.005</f>
        <v>28.507628</v>
      </c>
      <c r="Q90" s="173"/>
      <c r="R90" s="77"/>
      <c r="S90" s="77"/>
      <c r="T90" s="77"/>
    </row>
    <row r="91" spans="2:22" ht="13.2" customHeight="1">
      <c r="B91" s="162">
        <v>38</v>
      </c>
      <c r="C91" s="246" t="str">
        <f>KIDDY2024!B26</f>
        <v>Casy Marie D.  Cruz</v>
      </c>
      <c r="D91" s="161">
        <f>KIDDY2024!S26</f>
        <v>841.69299999999998</v>
      </c>
      <c r="E91" s="188"/>
      <c r="F91" s="188"/>
      <c r="G91" s="22"/>
      <c r="H91" s="22"/>
      <c r="I91" s="25"/>
      <c r="J91" s="32"/>
      <c r="K91" s="22"/>
      <c r="L91" s="22"/>
      <c r="M91" s="25"/>
      <c r="N91" s="22">
        <v>0</v>
      </c>
      <c r="O91" s="22">
        <v>0</v>
      </c>
      <c r="P91" s="273">
        <v>0</v>
      </c>
      <c r="Q91" s="173">
        <f>D91+E91+F91+G91+H91+I91+J91+K91+L91+M91+N91+O91+P91</f>
        <v>841.69299999999998</v>
      </c>
      <c r="R91" s="22">
        <f t="shared" ref="R91" si="63">Q91/12</f>
        <v>70.141083333333327</v>
      </c>
      <c r="S91" s="22">
        <f>E92+F92+G92+H92+I92+J92+K92+L92+M92+N92+O92+P92</f>
        <v>50.501580000000018</v>
      </c>
      <c r="T91" s="268">
        <f t="shared" ref="T91" si="64">Q91+S91</f>
        <v>892.19457999999997</v>
      </c>
      <c r="V91" s="239">
        <f>Q91</f>
        <v>841.69299999999998</v>
      </c>
    </row>
    <row r="92" spans="2:22" ht="13.2" customHeight="1">
      <c r="B92" s="162"/>
      <c r="C92" s="20"/>
      <c r="D92" s="163" t="s">
        <v>152</v>
      </c>
      <c r="E92" s="22">
        <f t="shared" ref="E92" si="65">(D91+E91)*0.005</f>
        <v>4.2084650000000003</v>
      </c>
      <c r="F92" s="22">
        <f t="shared" ref="F92" si="66">(D91+E91+F91)*0.005</f>
        <v>4.2084650000000003</v>
      </c>
      <c r="G92" s="22">
        <f>(+D91+E91+F91+G91)*0.005</f>
        <v>4.2084650000000003</v>
      </c>
      <c r="H92" s="22">
        <f>(D91+E91+F91+G91+H91)*0.005</f>
        <v>4.2084650000000003</v>
      </c>
      <c r="I92" s="22">
        <f>(D91+E91+F91+G91+H91+I91)*0.005</f>
        <v>4.2084650000000003</v>
      </c>
      <c r="J92" s="22">
        <f>(D91+E91+F91+G91+H91+I91+J91)*0.005</f>
        <v>4.2084650000000003</v>
      </c>
      <c r="K92" s="22">
        <f>(D91+E91+F91+G91+H91+I91+J91+K91)*0.005</f>
        <v>4.2084650000000003</v>
      </c>
      <c r="L92" s="22">
        <f>(D91+E91+F91+G91+H91+I91+J91+K91+L91)*0.005</f>
        <v>4.2084650000000003</v>
      </c>
      <c r="M92" s="22">
        <f>(D91+E91+F91+G91+H91+I91+J91+K91+L91+M91)*0.005</f>
        <v>4.2084650000000003</v>
      </c>
      <c r="N92" s="22">
        <f>(D91+E91+F91+G91+H91+I91+J91+K91+L91+M91+N91)*0.005</f>
        <v>4.2084650000000003</v>
      </c>
      <c r="O92" s="22">
        <f>(D91+E91+F91+G91+H91+I91+J91+K91+L91+M91+N91+O91)*0.005</f>
        <v>4.2084650000000003</v>
      </c>
      <c r="P92" s="22">
        <f>(D91+E91+F91+G91+H91+I91+J91+K91+L91+M91+N91+O91+P91)*0.005</f>
        <v>4.2084650000000003</v>
      </c>
      <c r="Q92" s="173"/>
      <c r="R92" s="77"/>
      <c r="S92" s="77"/>
      <c r="T92" s="77"/>
    </row>
    <row r="93" spans="2:22" ht="13.2" customHeight="1">
      <c r="B93" s="162">
        <v>39</v>
      </c>
      <c r="C93" s="246" t="str">
        <f>KIDDY2024!B32</f>
        <v>Serg Mateo M.  Villamor</v>
      </c>
      <c r="D93" s="161">
        <f>KIDDY2024!S32</f>
        <v>1363.3026500000001</v>
      </c>
      <c r="E93" s="188"/>
      <c r="F93" s="188"/>
      <c r="G93" s="22"/>
      <c r="H93" s="22"/>
      <c r="I93" s="25"/>
      <c r="J93" s="32"/>
      <c r="K93" s="22"/>
      <c r="L93" s="22"/>
      <c r="M93" s="25"/>
      <c r="N93" s="22">
        <v>0</v>
      </c>
      <c r="O93" s="22">
        <v>0</v>
      </c>
      <c r="P93" s="273">
        <v>0</v>
      </c>
      <c r="Q93" s="173">
        <f>D93+E93+F93+G93+H93+I93+J93+K93+L93+M93+N93+O93+P93</f>
        <v>1363.3026500000001</v>
      </c>
      <c r="R93" s="22">
        <f t="shared" ref="R93" si="67">Q93/12</f>
        <v>113.60855416666668</v>
      </c>
      <c r="S93" s="22">
        <f>E94+F94+G94+H94+I94+J94+K94+L94+M94+N94+O94+P94</f>
        <v>81.798159000000012</v>
      </c>
      <c r="T93" s="268">
        <f t="shared" ref="T93" si="68">Q93+S93</f>
        <v>1445.100809</v>
      </c>
      <c r="V93" s="239">
        <f>Q93</f>
        <v>1363.3026500000001</v>
      </c>
    </row>
    <row r="94" spans="2:22" ht="13.2" customHeight="1">
      <c r="B94" s="162"/>
      <c r="C94" s="20"/>
      <c r="D94" s="163" t="s">
        <v>152</v>
      </c>
      <c r="E94" s="22">
        <f t="shared" ref="E94" si="69">(D93+E93)*0.005</f>
        <v>6.8165132500000007</v>
      </c>
      <c r="F94" s="22">
        <f t="shared" ref="F94" si="70">(D93+E93+F93)*0.005</f>
        <v>6.8165132500000007</v>
      </c>
      <c r="G94" s="22">
        <f>(+D93+E93+F93+G93)*0.005</f>
        <v>6.8165132500000007</v>
      </c>
      <c r="H94" s="22">
        <f>(D93+E93+F93+G93+H93)*0.005</f>
        <v>6.8165132500000007</v>
      </c>
      <c r="I94" s="22">
        <f>(D93+E93+F93+G93+H93+I93)*0.005</f>
        <v>6.8165132500000007</v>
      </c>
      <c r="J94" s="22">
        <f>(D93+E93+F93+G93+H93+I93+J93)*0.005</f>
        <v>6.8165132500000007</v>
      </c>
      <c r="K94" s="22">
        <f>(D93+E93+F93+G93+H93+I93+J93+K93)*0.005</f>
        <v>6.8165132500000007</v>
      </c>
      <c r="L94" s="22">
        <f>(D93+E93+F93+G93+H93+I93+J93+K93+L93)*0.005</f>
        <v>6.8165132500000007</v>
      </c>
      <c r="M94" s="22">
        <f>(D93+E93+F93+G93+H93+I93+J93+K93+L93+M93)*0.005</f>
        <v>6.8165132500000007</v>
      </c>
      <c r="N94" s="22">
        <f>(D93+E93+F93+G93+H93+I93+J93+K93+L93+M93+N93)*0.005</f>
        <v>6.8165132500000007</v>
      </c>
      <c r="O94" s="22">
        <f>(D93+E93+F93+G93+H93+I93+J93+K93+L93+M93+N93+O93)*0.005</f>
        <v>6.8165132500000007</v>
      </c>
      <c r="P94" s="22">
        <f>(D93+E93+F93+G93+H93+I93+J93+K93+L93+M93+N93+O93+P93)*0.005</f>
        <v>6.8165132500000007</v>
      </c>
      <c r="Q94" s="173"/>
      <c r="R94" s="77"/>
      <c r="S94" s="77"/>
      <c r="T94" s="77"/>
    </row>
    <row r="95" spans="2:22" ht="13.2" customHeight="1">
      <c r="B95" s="162">
        <v>40</v>
      </c>
      <c r="C95" s="246" t="str">
        <f>KIDDY2024!B36</f>
        <v>Yvo Rafiel  Samson</v>
      </c>
      <c r="D95" s="161">
        <f>KIDDY2024!S36</f>
        <v>2550.4659999999999</v>
      </c>
      <c r="E95" s="188"/>
      <c r="F95" s="188"/>
      <c r="G95" s="22"/>
      <c r="H95" s="22"/>
      <c r="I95" s="25"/>
      <c r="J95" s="32"/>
      <c r="K95" s="22"/>
      <c r="L95" s="22"/>
      <c r="M95" s="25"/>
      <c r="N95" s="22">
        <v>0</v>
      </c>
      <c r="O95" s="22">
        <v>0</v>
      </c>
      <c r="P95" s="273">
        <v>0</v>
      </c>
      <c r="Q95" s="173">
        <f>D95+E95+F95+G95+H95+I95+J95+K95+L95+M95+N95+O95+P95</f>
        <v>2550.4659999999999</v>
      </c>
      <c r="R95" s="22">
        <f t="shared" ref="R95" si="71">Q95/12</f>
        <v>212.53883333333332</v>
      </c>
      <c r="S95" s="22">
        <f>E96+F96+G96+H96+I96+J96+K96+L96+M96+N96+O96+P96</f>
        <v>153.02796000000001</v>
      </c>
      <c r="T95" s="268">
        <f t="shared" ref="T95" si="72">Q95+S95</f>
        <v>2703.4939599999998</v>
      </c>
      <c r="V95" s="239">
        <f>Q95</f>
        <v>2550.4659999999999</v>
      </c>
    </row>
    <row r="96" spans="2:22" ht="13.2" customHeight="1">
      <c r="B96" s="162"/>
      <c r="C96" s="20"/>
      <c r="D96" s="163" t="s">
        <v>152</v>
      </c>
      <c r="E96" s="22">
        <f t="shared" ref="E96" si="73">(D95+E95)*0.005</f>
        <v>12.752330000000001</v>
      </c>
      <c r="F96" s="22">
        <f t="shared" ref="F96" si="74">(D95+E95+F95)*0.005</f>
        <v>12.752330000000001</v>
      </c>
      <c r="G96" s="22">
        <f>(+D95+E95+F95+G95)*0.005</f>
        <v>12.752330000000001</v>
      </c>
      <c r="H96" s="22">
        <f>(D95+E95+F95+G95+H95)*0.005</f>
        <v>12.752330000000001</v>
      </c>
      <c r="I96" s="22">
        <f>(D95+E95+F95+G95+H95+I95)*0.005</f>
        <v>12.752330000000001</v>
      </c>
      <c r="J96" s="22">
        <f>(D95+E95+F95+G95+H95+I95+J95)*0.005</f>
        <v>12.752330000000001</v>
      </c>
      <c r="K96" s="22">
        <f>(D95+E95+F95+G95+H95+I95+J95+K95)*0.005</f>
        <v>12.752330000000001</v>
      </c>
      <c r="L96" s="22">
        <f>(D95+E95+F95+G95+H95+I95+J95+K95+L95)*0.005</f>
        <v>12.752330000000001</v>
      </c>
      <c r="M96" s="22">
        <f>(D95+E95+F95+G95+H95+I95+J95+K95+L95+M95)*0.005</f>
        <v>12.752330000000001</v>
      </c>
      <c r="N96" s="22">
        <f>(D95+E95+F95+G95+H95+I95+J95+K95+L95+M95+N95)*0.005</f>
        <v>12.752330000000001</v>
      </c>
      <c r="O96" s="22">
        <f>(D95+E95+F95+G95+H95+I95+J95+K95+L95+M95+N95+O95)*0.005</f>
        <v>12.752330000000001</v>
      </c>
      <c r="P96" s="22">
        <f>(D95+E95+F95+G95+H95+I95+J95+K95+L95+M95+N95+O95+P95)*0.005</f>
        <v>12.752330000000001</v>
      </c>
      <c r="Q96" s="173"/>
      <c r="R96" s="77"/>
      <c r="S96" s="77"/>
      <c r="T96" s="77"/>
    </row>
    <row r="97" spans="2:22" ht="13.2" customHeight="1">
      <c r="B97" s="162">
        <v>41</v>
      </c>
      <c r="C97" s="246" t="str">
        <f>KIDDY2024!B34</f>
        <v>Rica M.  Cruz</v>
      </c>
      <c r="D97" s="161">
        <f>KIDDY2024!S34</f>
        <v>200</v>
      </c>
      <c r="E97" s="188"/>
      <c r="F97" s="188"/>
      <c r="G97" s="22"/>
      <c r="H97" s="22"/>
      <c r="I97" s="25"/>
      <c r="J97" s="32"/>
      <c r="K97" s="22"/>
      <c r="L97" s="22"/>
      <c r="M97" s="25"/>
      <c r="N97" s="22">
        <v>0</v>
      </c>
      <c r="O97" s="22">
        <v>0</v>
      </c>
      <c r="P97" s="273">
        <v>0</v>
      </c>
      <c r="Q97" s="173">
        <f>D97+E97+F97+G97+H97+I97+J97+K97+L97+M97+N97+O97+P97</f>
        <v>200</v>
      </c>
      <c r="R97" s="22">
        <f t="shared" ref="R97" si="75">Q97/12</f>
        <v>16.666666666666668</v>
      </c>
      <c r="S97" s="22">
        <f>E98+F98+G98+H98+I98+J98+K98+L98+M98+N98+O98+P98</f>
        <v>12</v>
      </c>
      <c r="T97" s="268">
        <f t="shared" ref="T97" si="76">Q97+S97</f>
        <v>212</v>
      </c>
      <c r="V97" s="239">
        <f>Q97</f>
        <v>200</v>
      </c>
    </row>
    <row r="98" spans="2:22" ht="13.2" customHeight="1">
      <c r="B98" s="162"/>
      <c r="C98" s="20"/>
      <c r="D98" s="163" t="s">
        <v>152</v>
      </c>
      <c r="E98" s="22">
        <f t="shared" ref="E98" si="77">(D97+E97)*0.005</f>
        <v>1</v>
      </c>
      <c r="F98" s="22">
        <f t="shared" ref="F98" si="78">(D97+E97+F97)*0.005</f>
        <v>1</v>
      </c>
      <c r="G98" s="22">
        <f>(+D97+E97+F97+G97)*0.005</f>
        <v>1</v>
      </c>
      <c r="H98" s="22">
        <f>(D97+E97+F97+G97+H97)*0.005</f>
        <v>1</v>
      </c>
      <c r="I98" s="22">
        <f>(D97+E97+F97+G97+H97+I97)*0.005</f>
        <v>1</v>
      </c>
      <c r="J98" s="22">
        <f>(D97+E97+F97+G97+H97+I97+J97)*0.005</f>
        <v>1</v>
      </c>
      <c r="K98" s="22">
        <f>(D97+E97+F97+G97+H97+I97+J97+K97)*0.005</f>
        <v>1</v>
      </c>
      <c r="L98" s="22">
        <f>(D97+E97+F97+G97+H97+I97+J97+K97+L97)*0.005</f>
        <v>1</v>
      </c>
      <c r="M98" s="22">
        <f>(D97+E97+F97+G97+H97+I97+J97+K97+L97+M97)*0.005</f>
        <v>1</v>
      </c>
      <c r="N98" s="22">
        <f>(D97+E97+F97+G97+H97+I97+J97+K97+L97+M97+N97)*0.005</f>
        <v>1</v>
      </c>
      <c r="O98" s="22">
        <f>(D97+E97+F97+G97+H97+I97+J97+K97+L97+M97+N97+O97)*0.005</f>
        <v>1</v>
      </c>
      <c r="P98" s="22">
        <f>(D97+E97+F97+G97+H97+I97+J97+K97+L97+M97+N97+O97+P97)*0.005</f>
        <v>1</v>
      </c>
      <c r="Q98" s="173"/>
      <c r="R98" s="77"/>
      <c r="S98" s="77"/>
      <c r="T98" s="77"/>
    </row>
    <row r="99" spans="2:22" ht="13.2" customHeight="1">
      <c r="B99" s="162">
        <v>42</v>
      </c>
      <c r="C99" s="246" t="str">
        <f>KIDDY2024!B20</f>
        <v>Georgette Ann  Cabahug</v>
      </c>
      <c r="D99" s="161">
        <f>KIDDY2024!S20</f>
        <v>50</v>
      </c>
      <c r="E99" s="188"/>
      <c r="F99" s="188"/>
      <c r="G99" s="22"/>
      <c r="H99" s="22"/>
      <c r="I99" s="25"/>
      <c r="J99" s="32"/>
      <c r="K99" s="22"/>
      <c r="L99" s="22"/>
      <c r="M99" s="25"/>
      <c r="N99" s="22">
        <v>0</v>
      </c>
      <c r="O99" s="22">
        <v>0</v>
      </c>
      <c r="P99" s="273">
        <v>0</v>
      </c>
      <c r="Q99" s="173">
        <f>D99+E99+F99+G99+H99+I99+J99+K99+L99+M99+N99+O99+P99</f>
        <v>50</v>
      </c>
      <c r="R99" s="22">
        <f t="shared" ref="R99" si="79">Q99/12</f>
        <v>4.166666666666667</v>
      </c>
      <c r="S99" s="22">
        <f>E100+F100+G100+H100+I100+J100+K100+L100+M100+N100+O100+P100</f>
        <v>3</v>
      </c>
      <c r="T99" s="268">
        <f t="shared" ref="T99" si="80">Q99+S99</f>
        <v>53</v>
      </c>
      <c r="V99" s="239">
        <f>Q99</f>
        <v>50</v>
      </c>
    </row>
    <row r="100" spans="2:22" ht="13.2" customHeight="1">
      <c r="B100" s="162"/>
      <c r="C100" s="20"/>
      <c r="D100" s="163" t="s">
        <v>152</v>
      </c>
      <c r="E100" s="22">
        <f t="shared" ref="E100" si="81">(D99+E99)*0.005</f>
        <v>0.25</v>
      </c>
      <c r="F100" s="22">
        <f t="shared" ref="F100" si="82">(D99+E99+F99)*0.005</f>
        <v>0.25</v>
      </c>
      <c r="G100" s="22">
        <f>(+D99+E99+F99+G99)*0.005</f>
        <v>0.25</v>
      </c>
      <c r="H100" s="22">
        <f>(D99+E99+F99+G99+H99)*0.005</f>
        <v>0.25</v>
      </c>
      <c r="I100" s="22">
        <f>(D99+E99+F99+G99+H99+I99)*0.005</f>
        <v>0.25</v>
      </c>
      <c r="J100" s="22">
        <f>(D99+E99+F99+G99+H99+I99+J99)*0.005</f>
        <v>0.25</v>
      </c>
      <c r="K100" s="22">
        <f>(D99+E99+F99+G99+H99+I99+J99+K99)*0.005</f>
        <v>0.25</v>
      </c>
      <c r="L100" s="22">
        <f>(D99+E99+F99+G99+H99+I99+J99+K99+L99)*0.005</f>
        <v>0.25</v>
      </c>
      <c r="M100" s="22">
        <f>(D99+E99+F99+G99+H99+I99+J99+K99+L99+M99)*0.005</f>
        <v>0.25</v>
      </c>
      <c r="N100" s="22">
        <f>(D99+E99+F99+G99+H99+I99+J99+K99+L99+M99+N99)*0.005</f>
        <v>0.25</v>
      </c>
      <c r="O100" s="22">
        <f>(D99+E99+F99+G99+H99+I99+J99+K99+L99+M99+N99+O99)*0.005</f>
        <v>0.25</v>
      </c>
      <c r="P100" s="22">
        <f>(D99+E99+F99+G99+H99+I99+J99+K99+L99+M99+N99+O99+P99)*0.005</f>
        <v>0.25</v>
      </c>
      <c r="Q100" s="173"/>
      <c r="R100" s="77"/>
      <c r="S100" s="77"/>
      <c r="T100" s="77"/>
    </row>
    <row r="101" spans="2:22" ht="13.2" customHeight="1">
      <c r="B101" s="162">
        <v>43</v>
      </c>
      <c r="C101" s="246" t="str">
        <f>KIDDY2024!B22</f>
        <v>Luna Mikaela C.  Apay</v>
      </c>
      <c r="D101" s="161">
        <f>KIDDY2024!S22</f>
        <v>50</v>
      </c>
      <c r="E101" s="188"/>
      <c r="F101" s="188"/>
      <c r="G101" s="22"/>
      <c r="H101" s="22"/>
      <c r="I101" s="25"/>
      <c r="J101" s="32"/>
      <c r="K101" s="22"/>
      <c r="L101" s="22"/>
      <c r="M101" s="25"/>
      <c r="N101" s="22">
        <v>0</v>
      </c>
      <c r="O101" s="22">
        <v>0</v>
      </c>
      <c r="P101" s="273">
        <v>0</v>
      </c>
      <c r="Q101" s="173">
        <f>D101+E101+F101+G101+H101+I101+J101+K101+L101+M101+N101+O101+P101</f>
        <v>50</v>
      </c>
      <c r="R101" s="22">
        <f t="shared" ref="R101" si="83">Q101/12</f>
        <v>4.166666666666667</v>
      </c>
      <c r="S101" s="22">
        <f>E102+F102+G102+H102+I102+J102+K102+L102+M102+N102+O102+P102</f>
        <v>3</v>
      </c>
      <c r="T101" s="268">
        <f t="shared" ref="T101" si="84">Q101+S101</f>
        <v>53</v>
      </c>
      <c r="V101" s="239">
        <f>Q101</f>
        <v>50</v>
      </c>
    </row>
    <row r="102" spans="2:22" ht="13.2" customHeight="1">
      <c r="B102" s="162"/>
      <c r="C102" s="20"/>
      <c r="D102" s="163" t="s">
        <v>152</v>
      </c>
      <c r="E102" s="22">
        <f t="shared" ref="E102" si="85">(D101+E101)*0.005</f>
        <v>0.25</v>
      </c>
      <c r="F102" s="22">
        <f t="shared" ref="F102" si="86">(D101+E101+F101)*0.005</f>
        <v>0.25</v>
      </c>
      <c r="G102" s="22">
        <f>(+D101+E101+F101+G101)*0.005</f>
        <v>0.25</v>
      </c>
      <c r="H102" s="22">
        <f>(D101+E101+F101+G101+H101)*0.005</f>
        <v>0.25</v>
      </c>
      <c r="I102" s="22">
        <f>(D101+E101+F101+G101+H101+I101)*0.005</f>
        <v>0.25</v>
      </c>
      <c r="J102" s="22">
        <f>(D101+E101+F101+G101+H101+I101+J101)*0.005</f>
        <v>0.25</v>
      </c>
      <c r="K102" s="22">
        <f>(D101+E101+F101+G101+H101+I101+J101+K101)*0.005</f>
        <v>0.25</v>
      </c>
      <c r="L102" s="22">
        <f>(D101+E101+F101+G101+H101+I101+J101+K101+L101)*0.005</f>
        <v>0.25</v>
      </c>
      <c r="M102" s="22">
        <f>(D101+E101+F101+G101+H101+I101+J101+K101+L101+M101)*0.005</f>
        <v>0.25</v>
      </c>
      <c r="N102" s="22">
        <f>(D101+E101+F101+G101+H101+I101+J101+K101+L101+M101+N101)*0.005</f>
        <v>0.25</v>
      </c>
      <c r="O102" s="22">
        <f>(D101+E101+F101+G101+H101+I101+J101+K101+L101+M101+N101+O101)*0.005</f>
        <v>0.25</v>
      </c>
      <c r="P102" s="22">
        <f>(D101+E101+F101+G101+H101+I101+J101+K101+L101+M101+N101+O101+P101)*0.005</f>
        <v>0.25</v>
      </c>
      <c r="Q102" s="173"/>
      <c r="R102" s="77"/>
      <c r="S102" s="77"/>
      <c r="T102" s="77"/>
    </row>
    <row r="103" spans="2:22" ht="13.2" customHeight="1">
      <c r="B103" s="162">
        <v>44</v>
      </c>
      <c r="C103" s="246" t="str">
        <f>KIDDY2024!B24</f>
        <v>Mikko Angelo C.  Apay</v>
      </c>
      <c r="D103" s="161">
        <f>KIDDY2024!S24</f>
        <v>50</v>
      </c>
      <c r="E103" s="188"/>
      <c r="F103" s="188"/>
      <c r="G103" s="22"/>
      <c r="H103" s="22"/>
      <c r="I103" s="25"/>
      <c r="J103" s="32"/>
      <c r="K103" s="22"/>
      <c r="L103" s="22"/>
      <c r="M103" s="25"/>
      <c r="N103" s="22">
        <v>0</v>
      </c>
      <c r="O103" s="22">
        <v>0</v>
      </c>
      <c r="P103" s="273">
        <v>0</v>
      </c>
      <c r="Q103" s="173">
        <f>D103+E103+F103+G103+H103+I103+J103+K103+L103+M103+N103+O103+P103</f>
        <v>50</v>
      </c>
      <c r="R103" s="22">
        <f t="shared" ref="R103" si="87">Q103/12</f>
        <v>4.166666666666667</v>
      </c>
      <c r="S103" s="22">
        <f>E104+F104+G104+H104+I104+J104+K104+L104+M104+N104+O104+P104</f>
        <v>3</v>
      </c>
      <c r="T103" s="268">
        <f t="shared" ref="T103" si="88">Q103+S103</f>
        <v>53</v>
      </c>
      <c r="V103" s="239">
        <f>Q103</f>
        <v>50</v>
      </c>
    </row>
    <row r="104" spans="2:22" ht="13.2" customHeight="1">
      <c r="B104" s="162"/>
      <c r="C104" s="20"/>
      <c r="D104" s="163" t="s">
        <v>152</v>
      </c>
      <c r="E104" s="22">
        <f t="shared" ref="E104" si="89">(D103+E103)*0.005</f>
        <v>0.25</v>
      </c>
      <c r="F104" s="22">
        <f t="shared" ref="F104" si="90">(D103+E103+F103)*0.005</f>
        <v>0.25</v>
      </c>
      <c r="G104" s="22">
        <f>(+D103+E103+F103+G103)*0.005</f>
        <v>0.25</v>
      </c>
      <c r="H104" s="22">
        <f>(D103+E103+F103+G103+H103)*0.005</f>
        <v>0.25</v>
      </c>
      <c r="I104" s="22">
        <f>(D103+E103+F103+G103+H103+I103)*0.005</f>
        <v>0.25</v>
      </c>
      <c r="J104" s="22">
        <f>(D103+E103+F103+G103+H103+I103+J103)*0.005</f>
        <v>0.25</v>
      </c>
      <c r="K104" s="22">
        <f>(D103+E103+F103+G103+H103+I103+J103+K103)*0.005</f>
        <v>0.25</v>
      </c>
      <c r="L104" s="22">
        <f>(D103+E103+F103+G103+H103+I103+J103+K103+L103)*0.005</f>
        <v>0.25</v>
      </c>
      <c r="M104" s="22">
        <f>(D103+E103+F103+G103+H103+I103+J103+K103+L103+M103)*0.005</f>
        <v>0.25</v>
      </c>
      <c r="N104" s="22">
        <f>(D103+E103+F103+G103+H103+I103+J103+K103+L103+M103+N103)*0.005</f>
        <v>0.25</v>
      </c>
      <c r="O104" s="22">
        <f>(D103+E103+F103+G103+H103+I103+J103+K103+L103+M103+N103+O103)*0.005</f>
        <v>0.25</v>
      </c>
      <c r="P104" s="22">
        <f>(D103+E103+F103+G103+H103+I103+J103+K103+L103+M103+N103+O103+P103)*0.005</f>
        <v>0.25</v>
      </c>
      <c r="Q104" s="173"/>
      <c r="R104" s="77"/>
      <c r="S104" s="77"/>
      <c r="T104" s="77"/>
    </row>
    <row r="105" spans="2:22" ht="13.2" customHeight="1">
      <c r="B105" s="162">
        <v>46</v>
      </c>
      <c r="C105" s="246" t="str">
        <f>KIDDY2024!B28</f>
        <v>Marissa  alvarado</v>
      </c>
      <c r="D105" s="161">
        <f>KIDDY2024!S28</f>
        <v>50</v>
      </c>
      <c r="E105" s="188"/>
      <c r="F105" s="188"/>
      <c r="G105" s="22"/>
      <c r="H105" s="22"/>
      <c r="I105" s="25"/>
      <c r="J105" s="32"/>
      <c r="K105" s="22"/>
      <c r="L105" s="22"/>
      <c r="M105" s="25"/>
      <c r="N105" s="22">
        <v>0</v>
      </c>
      <c r="O105" s="22">
        <v>0</v>
      </c>
      <c r="P105" s="273">
        <v>0</v>
      </c>
      <c r="Q105" s="173">
        <f>D105+E105+F105+G105+H105+I105+J105+K105+L105+M105+N105+O105+P105</f>
        <v>50</v>
      </c>
      <c r="R105" s="22">
        <f t="shared" ref="R105" si="91">Q105/12</f>
        <v>4.166666666666667</v>
      </c>
      <c r="S105" s="22">
        <f>E106+F106+G106+H106+I106+J106+K106+L106+M106+N106+O106+P106</f>
        <v>3</v>
      </c>
      <c r="T105" s="268">
        <f t="shared" ref="T105" si="92">Q105+S105</f>
        <v>53</v>
      </c>
      <c r="V105" s="239">
        <f>Q105</f>
        <v>50</v>
      </c>
    </row>
    <row r="106" spans="2:22" ht="13.2" customHeight="1">
      <c r="B106" s="162"/>
      <c r="C106" s="20"/>
      <c r="D106" s="163" t="s">
        <v>152</v>
      </c>
      <c r="E106" s="22">
        <f t="shared" ref="E106" si="93">(D105+E105)*0.005</f>
        <v>0.25</v>
      </c>
      <c r="F106" s="22">
        <f t="shared" ref="F106" si="94">(D105+E105+F105)*0.005</f>
        <v>0.25</v>
      </c>
      <c r="G106" s="22">
        <f>(+D105+E105+F105+G105)*0.005</f>
        <v>0.25</v>
      </c>
      <c r="H106" s="22">
        <f>(D105+E105+F105+G105+H105)*0.005</f>
        <v>0.25</v>
      </c>
      <c r="I106" s="22">
        <f>(D105+E105+F105+G105+H105+I105)*0.005</f>
        <v>0.25</v>
      </c>
      <c r="J106" s="22">
        <f>(D105+E105+F105+G105+H105+I105+J105)*0.005</f>
        <v>0.25</v>
      </c>
      <c r="K106" s="22">
        <f>(D105+E105+F105+G105+H105+I105+J105+K105)*0.005</f>
        <v>0.25</v>
      </c>
      <c r="L106" s="22">
        <f>(D105+E105+F105+G105+H105+I105+J105+K105+L105)*0.005</f>
        <v>0.25</v>
      </c>
      <c r="M106" s="22">
        <f>(D105+E105+F105+G105+H105+I105+J105+K105+L105+M105)*0.005</f>
        <v>0.25</v>
      </c>
      <c r="N106" s="22">
        <f>(D105+E105+F105+G105+H105+I105+J105+K105+L105+M105+N105)*0.005</f>
        <v>0.25</v>
      </c>
      <c r="O106" s="22">
        <f>(D105+E105+F105+G105+H105+I105+J105+K105+L105+M105+N105+O105)*0.005</f>
        <v>0.25</v>
      </c>
      <c r="P106" s="22">
        <f>(D105+E105+F105+G105+H105+I105+J105+K105+L105+M105+N105+O105+P105)*0.005</f>
        <v>0.25</v>
      </c>
      <c r="Q106" s="173"/>
      <c r="R106" s="77"/>
      <c r="S106" s="77"/>
      <c r="T106" s="77"/>
    </row>
    <row r="107" spans="2:22" ht="13.2" customHeight="1">
      <c r="B107" s="162">
        <v>47</v>
      </c>
      <c r="C107" s="246" t="str">
        <f>KIDDY2024!B30</f>
        <v>Krissel  Alvarado</v>
      </c>
      <c r="D107" s="161">
        <f>KIDDY2024!S30</f>
        <v>50</v>
      </c>
      <c r="E107" s="188"/>
      <c r="F107" s="188"/>
      <c r="G107" s="22"/>
      <c r="H107" s="22"/>
      <c r="I107" s="25"/>
      <c r="J107" s="32"/>
      <c r="K107" s="22"/>
      <c r="L107" s="22"/>
      <c r="M107" s="25"/>
      <c r="N107" s="22">
        <v>0</v>
      </c>
      <c r="O107" s="22">
        <v>0</v>
      </c>
      <c r="P107" s="273">
        <v>0</v>
      </c>
      <c r="Q107" s="173">
        <f>D107+E107+F107+G107+H107+I107+J107+K107+L107+M107+N107+O107+P107</f>
        <v>50</v>
      </c>
      <c r="R107" s="22">
        <f t="shared" ref="R107" si="95">Q107/12</f>
        <v>4.166666666666667</v>
      </c>
      <c r="S107" s="22">
        <f>E108+F108+G108+H108+I108+J108+K108+L108+M108+N108+O108+P108</f>
        <v>3</v>
      </c>
      <c r="T107" s="268">
        <f t="shared" ref="T107" si="96">Q107+S107</f>
        <v>53</v>
      </c>
      <c r="V107" s="239">
        <f>Q107</f>
        <v>50</v>
      </c>
    </row>
    <row r="108" spans="2:22" ht="13.2" customHeight="1">
      <c r="B108" s="162"/>
      <c r="C108" s="20"/>
      <c r="D108" s="163" t="s">
        <v>152</v>
      </c>
      <c r="E108" s="22">
        <f t="shared" ref="E108" si="97">(D107+E107)*0.005</f>
        <v>0.25</v>
      </c>
      <c r="F108" s="22">
        <f t="shared" ref="F108" si="98">(D107+E107+F107)*0.005</f>
        <v>0.25</v>
      </c>
      <c r="G108" s="22">
        <f>(+D107+E107+F107+G107)*0.005</f>
        <v>0.25</v>
      </c>
      <c r="H108" s="22">
        <f>(D107+E107+F107+G107+H107)*0.005</f>
        <v>0.25</v>
      </c>
      <c r="I108" s="22">
        <f>(D107+E107+F107+G107+H107+I107)*0.005</f>
        <v>0.25</v>
      </c>
      <c r="J108" s="22">
        <f>(D107+E107+F107+G107+H107+I107+J107)*0.005</f>
        <v>0.25</v>
      </c>
      <c r="K108" s="22">
        <f>(D107+E107+F107+G107+H107+I107+J107+K107)*0.005</f>
        <v>0.25</v>
      </c>
      <c r="L108" s="22">
        <f>(D107+E107+F107+G107+H107+I107+J107+K107+L107)*0.005</f>
        <v>0.25</v>
      </c>
      <c r="M108" s="22">
        <f>(D107+E107+F107+G107+H107+I107+J107+K107+L107+M107)*0.005</f>
        <v>0.25</v>
      </c>
      <c r="N108" s="22">
        <f>(D107+E107+F107+G107+H107+I107+J107+K107+L107+M107+N107)*0.005</f>
        <v>0.25</v>
      </c>
      <c r="O108" s="22">
        <f>(D107+E107+F107+G107+H107+I107+J107+K107+L107+M107+N107+O107)*0.005</f>
        <v>0.25</v>
      </c>
      <c r="P108" s="22">
        <f>(D107+E107+F107+G107+H107+I107+J107+K107+L107+M107+N107+O107+P107)*0.005</f>
        <v>0.25</v>
      </c>
      <c r="Q108" s="173"/>
      <c r="R108" s="77"/>
      <c r="S108" s="77"/>
      <c r="T108" s="77"/>
    </row>
    <row r="109" spans="2:22" ht="4.8" customHeight="1">
      <c r="B109" s="162"/>
      <c r="C109" s="20"/>
      <c r="D109" s="163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173"/>
      <c r="R109" s="88"/>
      <c r="S109" s="88"/>
      <c r="T109" s="88"/>
    </row>
    <row r="110" spans="2:22">
      <c r="B110" s="189"/>
      <c r="C110" s="190" t="s">
        <v>120</v>
      </c>
      <c r="D110" s="191">
        <f>SUM(D10:D107)</f>
        <v>122242.84684999996</v>
      </c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1">
        <f>SUM(Q10:Q107)</f>
        <v>147542.84684999994</v>
      </c>
      <c r="R110" s="194">
        <f>SUM(R10:R107)</f>
        <v>12295.237237500001</v>
      </c>
      <c r="S110" s="195">
        <f>SUM(S10:S107)</f>
        <v>7461.0708110000014</v>
      </c>
      <c r="T110" s="196">
        <f>SUM(T10:T107)</f>
        <v>155003.91766099998</v>
      </c>
      <c r="V110" s="191">
        <f>SUM(V10:V107)</f>
        <v>25668.83685</v>
      </c>
    </row>
    <row r="112" spans="2:22">
      <c r="L112" t="s">
        <v>123</v>
      </c>
      <c r="Q112" t="s">
        <v>124</v>
      </c>
    </row>
    <row r="115" spans="2:28">
      <c r="C115" s="107"/>
      <c r="G115" s="107"/>
      <c r="M115" s="308" t="s">
        <v>127</v>
      </c>
      <c r="N115" s="308"/>
      <c r="O115" s="308"/>
      <c r="R115" s="309" t="s">
        <v>237</v>
      </c>
      <c r="S115" s="308"/>
      <c r="T115" s="308"/>
    </row>
    <row r="116" spans="2:28">
      <c r="C116" s="275"/>
      <c r="G116" s="310"/>
      <c r="H116" s="311"/>
      <c r="I116" s="311"/>
      <c r="M116" s="312" t="s">
        <v>130</v>
      </c>
      <c r="N116" s="313"/>
      <c r="O116" s="313"/>
      <c r="R116" s="313" t="s">
        <v>131</v>
      </c>
      <c r="S116" s="313"/>
      <c r="T116" s="313"/>
    </row>
    <row r="120" spans="2:28">
      <c r="T120" s="284" t="s">
        <v>247</v>
      </c>
    </row>
    <row r="125" spans="2:28">
      <c r="Q125" t="s">
        <v>172</v>
      </c>
      <c r="R125">
        <v>25</v>
      </c>
      <c r="S125" s="314">
        <f>T10+T14+T16+T18+T20+T22+T24+T26+T28+T30+T32+T35+T37+T47+T49+T51+T53+T59+T61+T63+T71+T73+T75+T81+T83</f>
        <v>110558.72519999999</v>
      </c>
      <c r="T125" s="314"/>
    </row>
    <row r="126" spans="2:28" s="4" customFormat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 s="102" t="s">
        <v>173</v>
      </c>
      <c r="R126" s="102">
        <v>22</v>
      </c>
      <c r="S126" s="306">
        <f>T12+T43+T45+T55+T57+T65+T67+T69+T77+T85+T87+T89+T91+T93+T95+T97+T99+T101+T103+T105+T107</f>
        <v>44445.192461000006</v>
      </c>
      <c r="T126" s="306"/>
      <c r="V126" s="220"/>
      <c r="W126"/>
      <c r="X126"/>
      <c r="Y126"/>
      <c r="Z126"/>
      <c r="AA126"/>
      <c r="AB126"/>
    </row>
    <row r="127" spans="2:28" s="4" customFormat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>
        <f>R125+R126</f>
        <v>47</v>
      </c>
      <c r="S127" s="307">
        <f>S125+S126</f>
        <v>155003.91766099998</v>
      </c>
      <c r="T127" s="307"/>
      <c r="V127" s="220"/>
      <c r="W127"/>
      <c r="X127"/>
      <c r="Y127"/>
      <c r="Z127"/>
      <c r="AA127"/>
      <c r="AB127"/>
    </row>
    <row r="131" spans="2:28" s="4" customFormat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 t="s">
        <v>174</v>
      </c>
      <c r="V131" s="220"/>
      <c r="W131"/>
      <c r="X131"/>
      <c r="Y131"/>
      <c r="Z131"/>
      <c r="AA131"/>
      <c r="AB131"/>
    </row>
    <row r="133" spans="2:28" s="4" customFormat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 s="50"/>
      <c r="R133"/>
      <c r="S133"/>
      <c r="T133"/>
      <c r="V133" s="220"/>
      <c r="W133"/>
      <c r="X133"/>
      <c r="Y133"/>
      <c r="Z133"/>
      <c r="AA133"/>
      <c r="AB133"/>
    </row>
  </sheetData>
  <mergeCells count="14">
    <mergeCell ref="B9:C9"/>
    <mergeCell ref="B2:T2"/>
    <mergeCell ref="B3:T3"/>
    <mergeCell ref="B4:T4"/>
    <mergeCell ref="B6:T6"/>
    <mergeCell ref="B7:T7"/>
    <mergeCell ref="S126:T126"/>
    <mergeCell ref="S127:T127"/>
    <mergeCell ref="M115:O115"/>
    <mergeCell ref="R115:T115"/>
    <mergeCell ref="G116:I116"/>
    <mergeCell ref="M116:O116"/>
    <mergeCell ref="R116:T116"/>
    <mergeCell ref="S125:T125"/>
  </mergeCells>
  <pageMargins left="0.25" right="0.25" top="0.25" bottom="0.25" header="0.3" footer="0.3"/>
  <pageSetup paperSize="5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6AE7-834B-464E-BDAC-6F8A60707D0F}">
  <dimension ref="B2:AB133"/>
  <sheetViews>
    <sheetView topLeftCell="B87" zoomScale="112" zoomScaleNormal="112" workbookViewId="0">
      <selection activeCell="M127" sqref="M127"/>
    </sheetView>
  </sheetViews>
  <sheetFormatPr defaultColWidth="9" defaultRowHeight="14.4"/>
  <cols>
    <col min="1" max="1" width="12.33203125" customWidth="1"/>
    <col min="2" max="2" width="3.5546875" customWidth="1"/>
    <col min="3" max="3" width="20.33203125" customWidth="1"/>
    <col min="4" max="4" width="10.5546875" customWidth="1"/>
    <col min="5" max="5" width="7.77734375" customWidth="1"/>
    <col min="6" max="6" width="7.5546875" customWidth="1"/>
    <col min="7" max="7" width="7.44140625" customWidth="1"/>
    <col min="8" max="9" width="7.77734375" customWidth="1"/>
    <col min="10" max="10" width="8" customWidth="1"/>
    <col min="11" max="12" width="7.5546875" customWidth="1"/>
    <col min="13" max="13" width="7.77734375" customWidth="1"/>
    <col min="14" max="14" width="6.5546875" customWidth="1"/>
    <col min="15" max="15" width="6.6640625" customWidth="1"/>
    <col min="16" max="16" width="7.21875" customWidth="1"/>
    <col min="17" max="17" width="8.109375" customWidth="1"/>
    <col min="18" max="18" width="7.33203125" customWidth="1"/>
    <col min="19" max="19" width="7.77734375" customWidth="1"/>
    <col min="20" max="20" width="8.44140625" customWidth="1"/>
    <col min="21" max="21" width="9" style="4"/>
    <col min="22" max="22" width="9" style="220"/>
  </cols>
  <sheetData>
    <row r="2" spans="2:28">
      <c r="B2" s="308" t="s">
        <v>0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</row>
    <row r="3" spans="2:28">
      <c r="B3" s="315" t="s">
        <v>1</v>
      </c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</row>
    <row r="4" spans="2:28">
      <c r="B4" s="313" t="s">
        <v>2</v>
      </c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</row>
    <row r="5" spans="2:28">
      <c r="C5" s="9"/>
      <c r="D5" s="9"/>
      <c r="E5" s="157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8"/>
      <c r="V5" s="229"/>
      <c r="W5" s="9"/>
      <c r="X5" s="9"/>
      <c r="Y5" s="9"/>
      <c r="Z5" s="9"/>
      <c r="AA5" s="9"/>
      <c r="AB5" s="9"/>
    </row>
    <row r="6" spans="2:28" ht="18">
      <c r="B6" s="316" t="s">
        <v>144</v>
      </c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</row>
    <row r="7" spans="2:28">
      <c r="B7" s="313" t="s">
        <v>224</v>
      </c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</row>
    <row r="8" spans="2:28" ht="7.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2:28" s="1" customFormat="1" ht="28.5" customHeight="1">
      <c r="B9" s="317" t="s">
        <v>5</v>
      </c>
      <c r="C9" s="318"/>
      <c r="D9" s="159" t="s">
        <v>233</v>
      </c>
      <c r="E9" s="158" t="s">
        <v>7</v>
      </c>
      <c r="F9" s="158" t="s">
        <v>8</v>
      </c>
      <c r="G9" s="158" t="s">
        <v>9</v>
      </c>
      <c r="H9" s="158" t="s">
        <v>10</v>
      </c>
      <c r="I9" s="158" t="s">
        <v>11</v>
      </c>
      <c r="J9" s="158" t="s">
        <v>12</v>
      </c>
      <c r="K9" s="158" t="s">
        <v>13</v>
      </c>
      <c r="L9" s="158" t="s">
        <v>14</v>
      </c>
      <c r="M9" s="158" t="s">
        <v>15</v>
      </c>
      <c r="N9" s="158" t="s">
        <v>16</v>
      </c>
      <c r="O9" s="158" t="s">
        <v>17</v>
      </c>
      <c r="P9" s="158" t="s">
        <v>18</v>
      </c>
      <c r="Q9" s="158" t="s">
        <v>147</v>
      </c>
      <c r="R9" s="158" t="s">
        <v>148</v>
      </c>
      <c r="S9" s="133" t="s">
        <v>149</v>
      </c>
      <c r="T9" s="133" t="s">
        <v>150</v>
      </c>
      <c r="U9" s="177"/>
      <c r="V9" s="286"/>
    </row>
    <row r="10" spans="2:28" s="2" customFormat="1">
      <c r="B10" s="199">
        <v>1</v>
      </c>
      <c r="C10" s="16" t="s">
        <v>26</v>
      </c>
      <c r="D10" s="161">
        <v>469.15</v>
      </c>
      <c r="E10" s="18"/>
      <c r="F10" s="18"/>
      <c r="G10" s="22"/>
      <c r="H10" s="18"/>
      <c r="I10" s="22"/>
      <c r="J10" s="22"/>
      <c r="K10" s="22"/>
      <c r="L10" s="18"/>
      <c r="M10" s="22"/>
      <c r="N10" s="22"/>
      <c r="O10" s="22"/>
      <c r="P10" s="18"/>
      <c r="Q10" s="46">
        <f>D10+E10+F10+G10+H10+I10+J10+K10+L10+M10+N10+O10+P10</f>
        <v>469.15</v>
      </c>
      <c r="R10" s="22">
        <f>Q10/12</f>
        <v>39.095833333333331</v>
      </c>
      <c r="S10" s="22">
        <f>E11+F11+G11+H11+I11+J11+K11+L11+M11+N11+O11+P11</f>
        <v>28.14899999999999</v>
      </c>
      <c r="T10" s="268">
        <f>Q10+S10</f>
        <v>497.29899999999998</v>
      </c>
      <c r="U10" s="178"/>
      <c r="V10" s="229"/>
    </row>
    <row r="11" spans="2:28" s="2" customFormat="1">
      <c r="B11" s="162"/>
      <c r="C11" s="20"/>
      <c r="D11" s="163" t="s">
        <v>152</v>
      </c>
      <c r="E11" s="22">
        <f>(D10+E10)*0.005</f>
        <v>2.3457499999999998</v>
      </c>
      <c r="F11" s="22">
        <f t="shared" ref="F11:F15" si="0">(D10+E10+F10)*0.005</f>
        <v>2.3457499999999998</v>
      </c>
      <c r="G11" s="22">
        <f>(+D10+E10+F10+G10)*0.005</f>
        <v>2.3457499999999998</v>
      </c>
      <c r="H11" s="22">
        <f>(D10+E10+F10+G10+H10)*0.005</f>
        <v>2.3457499999999998</v>
      </c>
      <c r="I11" s="22">
        <f>(D10+E10+F10+G10+H10+I10)*0.005</f>
        <v>2.3457499999999998</v>
      </c>
      <c r="J11" s="22">
        <f>(D10+E10+F10+G10+H10+I10+J10)*0.005</f>
        <v>2.3457499999999998</v>
      </c>
      <c r="K11" s="22">
        <f>(D10+E10+F10+G10+H10+I10+J10+K10)*0.005</f>
        <v>2.3457499999999998</v>
      </c>
      <c r="L11" s="22">
        <f>(D10+E10+F10+G10+H10+I10+J10+K10+L10)*0.005</f>
        <v>2.3457499999999998</v>
      </c>
      <c r="M11" s="22">
        <f>(D10+E10+F10+G10+H10+I10+J10+K10+L10+M10)*0.005</f>
        <v>2.3457499999999998</v>
      </c>
      <c r="N11" s="22">
        <f>(D10+E10+F10+G10+H10+I10+J10+K10+L10+M10+N10)*0.005</f>
        <v>2.3457499999999998</v>
      </c>
      <c r="O11" s="22">
        <f>(D10+E10+F10+G10+H10+I10+J10+K10+L10+M10+N10+O10)*0.005</f>
        <v>2.3457499999999998</v>
      </c>
      <c r="P11" s="22">
        <f>(D10+E10+F10+G10+H10+I10+J10+K10+L10+M10+N10+O10+P10)*0.005</f>
        <v>2.3457499999999998</v>
      </c>
      <c r="Q11" s="46"/>
      <c r="R11" s="22"/>
      <c r="S11" s="22"/>
      <c r="T11" s="22"/>
      <c r="U11" s="178"/>
      <c r="V11" s="229"/>
    </row>
    <row r="12" spans="2:28">
      <c r="B12" s="162">
        <v>2</v>
      </c>
      <c r="C12" s="20" t="s">
        <v>27</v>
      </c>
      <c r="D12" s="161">
        <v>1428.46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46">
        <f>D12+E12+F12+G12+H12+I12+J12+K12+L12+M12+N12+O12+P12</f>
        <v>1428.46</v>
      </c>
      <c r="R12" s="22">
        <f>Q12/12</f>
        <v>119.03833333333334</v>
      </c>
      <c r="S12" s="22">
        <f>E13+F13+G13+H13+I13+J13+K13+L13+M13+N13+O13+P13</f>
        <v>85.707600000000014</v>
      </c>
      <c r="T12" s="268">
        <f t="shared" ref="T12" si="1">Q12+S12</f>
        <v>1514.1676</v>
      </c>
      <c r="V12" s="229"/>
    </row>
    <row r="13" spans="2:28">
      <c r="B13" s="162"/>
      <c r="C13" s="20"/>
      <c r="D13" s="163" t="s">
        <v>152</v>
      </c>
      <c r="E13" s="22">
        <f t="shared" ref="E13:E15" si="2">(D12+E12)*0.005</f>
        <v>7.1423000000000005</v>
      </c>
      <c r="F13" s="22">
        <f t="shared" si="0"/>
        <v>7.1423000000000005</v>
      </c>
      <c r="G13" s="22">
        <f>(+D12+E12+F12+G12)*0.005</f>
        <v>7.1423000000000005</v>
      </c>
      <c r="H13" s="22">
        <f>(D12+E12+F12+G12+H12)*0.005</f>
        <v>7.1423000000000005</v>
      </c>
      <c r="I13" s="22">
        <f>(D12+E12+F12+G12+H12+I12)*0.005</f>
        <v>7.1423000000000005</v>
      </c>
      <c r="J13" s="22">
        <f>(D12+E12+F12+G12+H12+I12+J12)*0.005</f>
        <v>7.1423000000000005</v>
      </c>
      <c r="K13" s="22">
        <f>(D12+E12+F12+G12+H12+I12+J12+K12)*0.005</f>
        <v>7.1423000000000005</v>
      </c>
      <c r="L13" s="22">
        <f>(D12+E12+F12+G12+H12+I12+J12+K12+L12)*0.005</f>
        <v>7.1423000000000005</v>
      </c>
      <c r="M13" s="22">
        <f>(D12+E12+F12+G12+H12+I12+J12+K12+L12+M12)*0.005</f>
        <v>7.1423000000000005</v>
      </c>
      <c r="N13" s="22">
        <f>(D12+E12+F12+G12+H12+I12+J12+K12+L12+M12+N12)*0.005</f>
        <v>7.1423000000000005</v>
      </c>
      <c r="O13" s="22">
        <f>(D12+E12+F12+G12+H12+I12+J12+K12+L12+M12+N12+O12)*0.005</f>
        <v>7.1423000000000005</v>
      </c>
      <c r="P13" s="22">
        <f>(D12+E12+F12+G12+H12+I12+J12+K12+L12+M12+N12+O12+P12)*0.005</f>
        <v>7.1423000000000005</v>
      </c>
      <c r="Q13" s="46"/>
      <c r="R13" s="22"/>
      <c r="S13" s="22"/>
      <c r="T13" s="22"/>
      <c r="V13" s="229"/>
    </row>
    <row r="14" spans="2:28">
      <c r="B14" s="202">
        <v>3</v>
      </c>
      <c r="C14" s="27" t="s">
        <v>30</v>
      </c>
      <c r="D14" s="161">
        <v>4497.3999999999996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32"/>
      <c r="P14" s="22"/>
      <c r="Q14" s="46">
        <f>D14+E14+F14+G14+H14+I14+J14+K14+L14+M14+N14+O14+P14</f>
        <v>4497.3999999999996</v>
      </c>
      <c r="R14" s="22">
        <f>Q14/12</f>
        <v>374.7833333333333</v>
      </c>
      <c r="S14" s="22">
        <f>E15+F15+G15+H15+I15+J15+K15+L15+M15+N15+O15+P15</f>
        <v>269.84399999999999</v>
      </c>
      <c r="T14" s="268">
        <f>Q14+S14</f>
        <v>4767.2439999999997</v>
      </c>
      <c r="V14" s="229"/>
    </row>
    <row r="15" spans="2:28">
      <c r="B15" s="162"/>
      <c r="C15" s="27"/>
      <c r="D15" s="163" t="s">
        <v>152</v>
      </c>
      <c r="E15" s="22">
        <f t="shared" si="2"/>
        <v>22.486999999999998</v>
      </c>
      <c r="F15" s="22">
        <f t="shared" si="0"/>
        <v>22.486999999999998</v>
      </c>
      <c r="G15" s="22">
        <f>(+D14+E14+F14+G14)*0.005</f>
        <v>22.486999999999998</v>
      </c>
      <c r="H15" s="22">
        <f>(D14+E14+F14+G14+H14)*0.005</f>
        <v>22.486999999999998</v>
      </c>
      <c r="I15" s="22">
        <f>(D14+E14+F14+G14+H14+I14)*0.005</f>
        <v>22.486999999999998</v>
      </c>
      <c r="J15" s="22">
        <f>(D14+E14+F14+G14+H14+I14+J14)*0.005</f>
        <v>22.486999999999998</v>
      </c>
      <c r="K15" s="22">
        <f>(D14+E14+F14+G14+H14+I14+J14+K14)*0.005</f>
        <v>22.486999999999998</v>
      </c>
      <c r="L15" s="22">
        <f>(D14+E14+F14+G14+H14+I14+J14+K14+L14)*0.005</f>
        <v>22.486999999999998</v>
      </c>
      <c r="M15" s="22">
        <f>(D14+E14+F14+G14+H14+I14+J14+K14+L14+M14)*0.005</f>
        <v>22.486999999999998</v>
      </c>
      <c r="N15" s="22">
        <f>(D14+E14+F14+G14+H14+I14+J14+K14+L14+M14+N14)*0.005</f>
        <v>22.486999999999998</v>
      </c>
      <c r="O15" s="22">
        <f>(D14+E14+F14+G14+H14+I14+J14+K14+L14+M14+N14+O14)*0.005</f>
        <v>22.486999999999998</v>
      </c>
      <c r="P15" s="22">
        <f>(D14+E14+F14+G14+H14+I14+J14+K14+L14+M14+N14+O14+P14)*0.005</f>
        <v>22.486999999999998</v>
      </c>
      <c r="Q15" s="46"/>
      <c r="R15" s="22"/>
      <c r="S15" s="22"/>
      <c r="T15" s="22"/>
      <c r="V15" s="229"/>
    </row>
    <row r="16" spans="2:28">
      <c r="B16" s="202">
        <v>4</v>
      </c>
      <c r="C16" s="20" t="s">
        <v>32</v>
      </c>
      <c r="D16" s="161">
        <f>20286.27</f>
        <v>20286.27</v>
      </c>
      <c r="E16" s="32"/>
      <c r="F16" s="32"/>
      <c r="G16" s="164"/>
      <c r="H16" s="22">
        <v>0</v>
      </c>
      <c r="I16" s="22">
        <v>0</v>
      </c>
      <c r="J16" s="164"/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f>6000+(12*500)</f>
        <v>12000</v>
      </c>
      <c r="Q16" s="46">
        <f>D16+E16+F16+G16+H16+I16+J16+K16+L16+M16+N16+O16+P16</f>
        <v>32286.27</v>
      </c>
      <c r="R16" s="22">
        <f>Q16/12</f>
        <v>2690.5225</v>
      </c>
      <c r="S16" s="22">
        <f>E17+F17+G17+H17+I17+J17+K17+L17+M17+N17+O17+P17</f>
        <v>1277.1762000000003</v>
      </c>
      <c r="T16" s="268">
        <f t="shared" ref="T16:T18" si="3">Q16+S16</f>
        <v>33563.446199999998</v>
      </c>
      <c r="V16" s="287"/>
      <c r="W16" s="2"/>
    </row>
    <row r="17" spans="2:23">
      <c r="B17" s="162"/>
      <c r="C17" s="20"/>
      <c r="D17" s="163" t="s">
        <v>152</v>
      </c>
      <c r="E17" s="22">
        <f t="shared" ref="E17:E19" si="4">(D16+E16)*0.005</f>
        <v>101.43135000000001</v>
      </c>
      <c r="F17" s="22">
        <f t="shared" ref="F17:F19" si="5">(D16+E16+F16)*0.005</f>
        <v>101.43135000000001</v>
      </c>
      <c r="G17" s="22">
        <f>(+D16+E16+F16+G16)*0.005</f>
        <v>101.43135000000001</v>
      </c>
      <c r="H17" s="22">
        <f>(D16+E16+F16+G16+H16)*0.005</f>
        <v>101.43135000000001</v>
      </c>
      <c r="I17" s="22">
        <f>(D16+E16+F16+G16+H16+I16)*0.005</f>
        <v>101.43135000000001</v>
      </c>
      <c r="J17" s="22">
        <f>(D16+E16+F16+G16+H16+I16+J16)*0.005</f>
        <v>101.43135000000001</v>
      </c>
      <c r="K17" s="22">
        <f>(D16+E16+F16+G16+H16+I16+J16+K16)*0.005</f>
        <v>101.43135000000001</v>
      </c>
      <c r="L17" s="22">
        <f>(D16+E16+F16+G16+H16+I16+J16+K16+L16)*0.005</f>
        <v>101.43135000000001</v>
      </c>
      <c r="M17" s="22">
        <f>(D16+E16+F16+G16+H16+I16+J16+K16+L16+M16)*0.005</f>
        <v>101.43135000000001</v>
      </c>
      <c r="N17" s="22">
        <f>(D16+E16+F16+G16+H16+I16+J16+K16+L16+M16+N16)*0.005</f>
        <v>101.43135000000001</v>
      </c>
      <c r="O17" s="22">
        <f>(D16+E16+F16+G16+H16+I16+J16+K16+L16+M16+N16+O16)*0.005</f>
        <v>101.43135000000001</v>
      </c>
      <c r="P17" s="22">
        <f>(D16+E16+F16+G16+H16+I16+J16+K16+L16+M16+N16+O16+P16)*0.005</f>
        <v>161.43135000000001</v>
      </c>
      <c r="Q17" s="46"/>
      <c r="R17" s="22"/>
      <c r="T17" s="22"/>
      <c r="V17" s="229"/>
      <c r="W17" s="2"/>
    </row>
    <row r="18" spans="2:23" s="2" customFormat="1">
      <c r="B18" s="202">
        <v>5</v>
      </c>
      <c r="C18" s="20" t="s">
        <v>184</v>
      </c>
      <c r="D18" s="161">
        <v>8945.8700000000008</v>
      </c>
      <c r="E18" s="25">
        <v>0</v>
      </c>
      <c r="F18" s="25"/>
      <c r="G18" s="25">
        <v>0</v>
      </c>
      <c r="H18" s="22">
        <v>0</v>
      </c>
      <c r="I18" s="22"/>
      <c r="J18" s="25">
        <v>0</v>
      </c>
      <c r="K18" s="32"/>
      <c r="L18" s="22">
        <v>0</v>
      </c>
      <c r="M18" s="22"/>
      <c r="N18" s="25"/>
      <c r="O18" s="25">
        <v>0</v>
      </c>
      <c r="P18" s="25">
        <v>3900</v>
      </c>
      <c r="Q18" s="46">
        <f>D18+E18+F18+G18+H18+I18+J18+K18+L18+M18+N18+O18+P18</f>
        <v>12845.87</v>
      </c>
      <c r="R18" s="22">
        <f t="shared" ref="R18" si="6">Q18/12</f>
        <v>1070.4891666666667</v>
      </c>
      <c r="S18" s="22">
        <f>E19+F19+G19+H19+I19+J19+K19+L19+M19+N19+O19+P19</f>
        <v>556.25220000000013</v>
      </c>
      <c r="T18" s="268">
        <f t="shared" si="3"/>
        <v>13402.122200000002</v>
      </c>
      <c r="U18" s="178"/>
      <c r="V18" s="287"/>
    </row>
    <row r="19" spans="2:23" s="2" customFormat="1">
      <c r="B19" s="162"/>
      <c r="C19" s="20"/>
      <c r="D19" s="163" t="s">
        <v>152</v>
      </c>
      <c r="E19" s="22">
        <f t="shared" si="4"/>
        <v>44.729350000000004</v>
      </c>
      <c r="F19" s="22">
        <f t="shared" si="5"/>
        <v>44.729350000000004</v>
      </c>
      <c r="G19" s="22">
        <f>(+D18+E18+F18+G18)*0.005</f>
        <v>44.729350000000004</v>
      </c>
      <c r="H19" s="22">
        <f>(D18+E18+F18+G18+H18)*0.005</f>
        <v>44.729350000000004</v>
      </c>
      <c r="I19" s="22">
        <f>(D18+E18+F18+G18+H18+I18)*0.005</f>
        <v>44.729350000000004</v>
      </c>
      <c r="J19" s="22">
        <f>(D18+E18+F18+G18+H18+I18+J18)*0.005</f>
        <v>44.729350000000004</v>
      </c>
      <c r="K19" s="22">
        <f>(D18+E18+F18+G18+H18+I18+J18+K18)*0.005</f>
        <v>44.729350000000004</v>
      </c>
      <c r="L19" s="22">
        <f>(D18+E18+F18+G18+H18+I18+J18+K18+L18)*0.005</f>
        <v>44.729350000000004</v>
      </c>
      <c r="M19" s="22">
        <f>(D18+E18+F18+G18+H18+I18+J18+K18+L18+M18)*0.005</f>
        <v>44.729350000000004</v>
      </c>
      <c r="N19" s="22">
        <f>(D18+E18+F18+G18+H18+I18+J18+K18+L18+M18+N18)*0.005</f>
        <v>44.729350000000004</v>
      </c>
      <c r="O19" s="22">
        <f>(D18+E18+F18+G18+H18+I18+J18+K18+L18+M18+N18+O18)*0.005</f>
        <v>44.729350000000004</v>
      </c>
      <c r="P19" s="22">
        <f>(D18+E18+F18+G18+H18+I18+J18+K18+L18+M18+N18+O18+P18)*0.005</f>
        <v>64.229350000000011</v>
      </c>
      <c r="Q19" s="46"/>
      <c r="R19" s="22"/>
      <c r="S19" s="22"/>
      <c r="T19" s="22"/>
      <c r="U19" s="178"/>
      <c r="V19" s="229"/>
    </row>
    <row r="20" spans="2:23">
      <c r="B20" s="202">
        <v>6</v>
      </c>
      <c r="C20" s="247" t="s">
        <v>37</v>
      </c>
      <c r="D20" s="161">
        <v>1234.8800000000001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46">
        <f>D20+E20+F20+G20+H20+I20+J20+K20+L20+M20+N20+O20+P20</f>
        <v>1234.8800000000001</v>
      </c>
      <c r="R20" s="22">
        <f t="shared" ref="R20:R24" si="7">Q20/12</f>
        <v>102.90666666666668</v>
      </c>
      <c r="S20" s="22">
        <f>E21+F21+G21+H21+I21+J21+K21+L21+M21+N21+O21+P21</f>
        <v>74.092799999999997</v>
      </c>
      <c r="T20" s="268">
        <f t="shared" ref="T20:T24" si="8">Q20+S20</f>
        <v>1308.9728</v>
      </c>
      <c r="V20" s="229"/>
      <c r="W20" s="2"/>
    </row>
    <row r="21" spans="2:23">
      <c r="B21" s="162"/>
      <c r="C21" s="31"/>
      <c r="D21" s="163" t="s">
        <v>152</v>
      </c>
      <c r="E21" s="22">
        <f t="shared" ref="E21:E25" si="9">(D20+E20)*0.005</f>
        <v>6.1744000000000003</v>
      </c>
      <c r="F21" s="22">
        <f t="shared" ref="F21:F25" si="10">(D20+E20+F20)*0.005</f>
        <v>6.1744000000000003</v>
      </c>
      <c r="G21" s="22">
        <f>(+D20+E20+F20+G20)*0.005</f>
        <v>6.1744000000000003</v>
      </c>
      <c r="H21" s="22">
        <f>(D20+E20+F20+G20+H20)*0.005</f>
        <v>6.1744000000000003</v>
      </c>
      <c r="I21" s="22">
        <f>(D20+E20+F20+G20+H20+I20)*0.005</f>
        <v>6.1744000000000003</v>
      </c>
      <c r="J21" s="22">
        <f>(D20+E20+F20+G20+H20+I20+J20)*0.005</f>
        <v>6.1744000000000003</v>
      </c>
      <c r="K21" s="22">
        <f>(D20+E20+F20+G20+H20+I20+J20+K20)*0.005</f>
        <v>6.1744000000000003</v>
      </c>
      <c r="L21" s="22">
        <f>(D20+E20+F20+G20+H20+I20+J20+K20+L20)*0.005</f>
        <v>6.1744000000000003</v>
      </c>
      <c r="M21" s="22">
        <f>(D20+E20+F20+G20+H20+I20+J20+K20+L20+M20)*0.005</f>
        <v>6.1744000000000003</v>
      </c>
      <c r="N21" s="22">
        <f>(D20+E20+F20+G20+H20+I20+J20+K20+L20+M20+N20)*0.005</f>
        <v>6.1744000000000003</v>
      </c>
      <c r="O21" s="22">
        <f>(D20+E20+F20+G20+H20+I20+J20+K20+L20+M20+N20+O20)*0.005</f>
        <v>6.1744000000000003</v>
      </c>
      <c r="P21" s="22">
        <f>(D20+E20+F20+G20+H20+I20+J20+K20+L20+M20+N20+O20+P20)*0.005</f>
        <v>6.1744000000000003</v>
      </c>
      <c r="Q21" s="46"/>
      <c r="R21" s="22"/>
      <c r="S21" s="22"/>
      <c r="T21" s="22"/>
      <c r="V21" s="229"/>
      <c r="W21" s="2"/>
    </row>
    <row r="22" spans="2:23">
      <c r="B22" s="202">
        <v>7</v>
      </c>
      <c r="C22" s="269" t="s">
        <v>38</v>
      </c>
      <c r="D22" s="161">
        <v>1317.77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46">
        <f>D22+E22+F22+G22+H22+I22+J22+K22+L22+M22+N22+O22+P22</f>
        <v>1317.77</v>
      </c>
      <c r="R22" s="22">
        <f t="shared" si="7"/>
        <v>109.81416666666667</v>
      </c>
      <c r="S22" s="22">
        <f>E23+F23+G23+H23+I23+J23+K23+L23+M23+N23+O23+P23</f>
        <v>79.066199999999981</v>
      </c>
      <c r="T22" s="268">
        <f t="shared" si="8"/>
        <v>1396.8362</v>
      </c>
      <c r="V22" s="229"/>
      <c r="W22" s="2"/>
    </row>
    <row r="23" spans="2:23">
      <c r="B23" s="162"/>
      <c r="C23" s="30"/>
      <c r="D23" s="163" t="s">
        <v>152</v>
      </c>
      <c r="E23" s="22">
        <f t="shared" si="9"/>
        <v>6.5888499999999999</v>
      </c>
      <c r="F23" s="22">
        <f t="shared" si="10"/>
        <v>6.5888499999999999</v>
      </c>
      <c r="G23" s="22">
        <f>(+D22+E22+F22+G22)*0.005</f>
        <v>6.5888499999999999</v>
      </c>
      <c r="H23" s="22">
        <f>(D22+E22+F22+G22+H22)*0.005</f>
        <v>6.5888499999999999</v>
      </c>
      <c r="I23" s="22">
        <f>(D22+E22+F22+G22+H22+I22)*0.005</f>
        <v>6.5888499999999999</v>
      </c>
      <c r="J23" s="22">
        <f>(D22+E22+F22+G22+H22+I22+J22)*0.005</f>
        <v>6.5888499999999999</v>
      </c>
      <c r="K23" s="22">
        <f>(D22+E22+F22+G22+H22+I22+J22+K22)*0.005</f>
        <v>6.5888499999999999</v>
      </c>
      <c r="L23" s="22">
        <f>(D22+E22+F22+G22+H22+I22+J22+K22+L22)*0.005</f>
        <v>6.5888499999999999</v>
      </c>
      <c r="M23" s="22">
        <f>(D22+E22+F22+G22+H22+I22+J22+K22+L22+M22)*0.005</f>
        <v>6.5888499999999999</v>
      </c>
      <c r="N23" s="22">
        <f>(D22+E22+F22+G22+H22+I22+J22+K22+L22+M22+N22)*0.005</f>
        <v>6.5888499999999999</v>
      </c>
      <c r="O23" s="22">
        <f>(D22+E22+F22+G22+H22+I22+J22+K22+L22+M22+N22+O22)*0.005</f>
        <v>6.5888499999999999</v>
      </c>
      <c r="P23" s="22">
        <f>(D22+E22+F22+G22+H22+I22+J22+K22+L22+M22+N22+O22+P22)*0.005</f>
        <v>6.5888499999999999</v>
      </c>
      <c r="Q23" s="46"/>
      <c r="R23" s="22"/>
      <c r="S23" s="22"/>
      <c r="T23" s="22"/>
      <c r="V23" s="229"/>
      <c r="W23" s="2"/>
    </row>
    <row r="24" spans="2:23">
      <c r="B24" s="202">
        <v>8</v>
      </c>
      <c r="C24" s="269" t="s">
        <v>44</v>
      </c>
      <c r="D24" s="161">
        <f>3430.19</f>
        <v>3430.19</v>
      </c>
      <c r="E24" s="22">
        <v>0</v>
      </c>
      <c r="F24" s="22"/>
      <c r="G24" s="22">
        <v>0</v>
      </c>
      <c r="H24" s="22"/>
      <c r="I24" s="22"/>
      <c r="J24" s="22">
        <v>0</v>
      </c>
      <c r="K24" s="32"/>
      <c r="L24" s="22"/>
      <c r="M24" s="22"/>
      <c r="N24" s="22"/>
      <c r="O24" s="22"/>
      <c r="P24" s="22">
        <f>3000+1500</f>
        <v>4500</v>
      </c>
      <c r="Q24" s="46">
        <f>D24+E24+F24+G24+H24+I24+J24+K24+L24+M24+N24+O24+P24</f>
        <v>7930.1900000000005</v>
      </c>
      <c r="R24" s="22">
        <f t="shared" si="7"/>
        <v>660.84916666666675</v>
      </c>
      <c r="S24" s="22">
        <f>E25+F25+G25+H25+I25+J25+K25+L25+M25+N25+O25+P25</f>
        <v>228.31139999999996</v>
      </c>
      <c r="T24" s="268">
        <f t="shared" si="8"/>
        <v>8158.5014000000001</v>
      </c>
      <c r="V24" s="287"/>
      <c r="W24" s="2"/>
    </row>
    <row r="25" spans="2:23">
      <c r="B25" s="162"/>
      <c r="C25" s="31"/>
      <c r="D25" s="163" t="s">
        <v>152</v>
      </c>
      <c r="E25" s="22">
        <f t="shared" si="9"/>
        <v>17.150950000000002</v>
      </c>
      <c r="F25" s="22">
        <f t="shared" si="10"/>
        <v>17.150950000000002</v>
      </c>
      <c r="G25" s="22">
        <f>(+D24+E24+F24+G24)*0.005</f>
        <v>17.150950000000002</v>
      </c>
      <c r="H25" s="22">
        <f>(D24+E24+F24+G24+H24)*0.005</f>
        <v>17.150950000000002</v>
      </c>
      <c r="I25" s="22">
        <f>(D24+E24+F24+G24+H24+I24)*0.005</f>
        <v>17.150950000000002</v>
      </c>
      <c r="J25" s="22">
        <f>(D24+E24+F24+G24+H24+I24+J24)*0.005</f>
        <v>17.150950000000002</v>
      </c>
      <c r="K25" s="22">
        <f>(D24+E24+F24+G24+H24+I24+J24+K24)*0.005</f>
        <v>17.150950000000002</v>
      </c>
      <c r="L25" s="22">
        <f>(D24+E24+F24+G24+H24+I24+J24+K24+L24)*0.005</f>
        <v>17.150950000000002</v>
      </c>
      <c r="M25" s="22">
        <f>(D24+E24+F24+G24+H24+I24+J24+K24+L24+M24)*0.005</f>
        <v>17.150950000000002</v>
      </c>
      <c r="N25" s="22">
        <f>(D24+E24+F24+G24+H24+I24+J24+K24+L24+M24+N24)*0.005</f>
        <v>17.150950000000002</v>
      </c>
      <c r="O25" s="22">
        <f>(D24+E24+F24+G24+H24+I24+J24+K24+L24+M24+N24+O24)*0.005</f>
        <v>17.150950000000002</v>
      </c>
      <c r="P25" s="22">
        <f>(D24+E24+F24+G24+H24+I24+J24+K24+L24+M24+N24+O24+P24)*0.005</f>
        <v>39.650950000000002</v>
      </c>
      <c r="Q25" s="46"/>
      <c r="R25" s="22"/>
      <c r="S25" s="22"/>
      <c r="T25" s="22"/>
      <c r="V25" s="229"/>
      <c r="W25" s="2"/>
    </row>
    <row r="26" spans="2:23" s="2" customFormat="1">
      <c r="B26" s="202">
        <v>9</v>
      </c>
      <c r="C26" s="20" t="s">
        <v>52</v>
      </c>
      <c r="D26" s="161">
        <v>659.26</v>
      </c>
      <c r="E26" s="25"/>
      <c r="F26" s="25"/>
      <c r="G26" s="22"/>
      <c r="H26" s="22"/>
      <c r="I26" s="22"/>
      <c r="J26" s="22"/>
      <c r="K26" s="22">
        <v>0</v>
      </c>
      <c r="L26" s="22"/>
      <c r="M26" s="22"/>
      <c r="N26" s="22">
        <v>0</v>
      </c>
      <c r="O26" s="22"/>
      <c r="P26" s="22"/>
      <c r="Q26" s="46">
        <f>D26+E26+F26+G26+H26+I26+J26+K26+L26+M26+N26+O26+P26</f>
        <v>659.26</v>
      </c>
      <c r="R26" s="22">
        <f t="shared" ref="R26:R28" si="11">Q26/12</f>
        <v>54.938333333333333</v>
      </c>
      <c r="S26" s="22">
        <f>E27+F27+G27+H27+I27+J27+K27+L27+M27+N27+O27+P27</f>
        <v>39.555599999999998</v>
      </c>
      <c r="T26" s="268">
        <f t="shared" ref="T26:T28" si="12">Q26+S26</f>
        <v>698.81560000000002</v>
      </c>
      <c r="U26" s="178"/>
      <c r="V26" s="287"/>
    </row>
    <row r="27" spans="2:23" s="2" customFormat="1">
      <c r="B27" s="162"/>
      <c r="C27" s="20"/>
      <c r="D27" s="163" t="s">
        <v>152</v>
      </c>
      <c r="E27" s="22">
        <f t="shared" ref="E27:E29" si="13">(D26+E26)*0.005</f>
        <v>3.2963</v>
      </c>
      <c r="F27" s="22">
        <f t="shared" ref="F27:F29" si="14">(D26+E26+F26)*0.005</f>
        <v>3.2963</v>
      </c>
      <c r="G27" s="22">
        <f>(+D26+E26+F26+G26)*0.005</f>
        <v>3.2963</v>
      </c>
      <c r="H27" s="22">
        <f>(D26+E26+F26+G26+H26)*0.005</f>
        <v>3.2963</v>
      </c>
      <c r="I27" s="22">
        <f>(D26+E26+F26+G26+H26+I26)*0.005</f>
        <v>3.2963</v>
      </c>
      <c r="J27" s="22">
        <f>(D26+E26+F26+G26+H26+I26+J26)*0.005</f>
        <v>3.2963</v>
      </c>
      <c r="K27" s="22">
        <f>(D26+E26+F26+G26+H26+I26+J26+K26)*0.005</f>
        <v>3.2963</v>
      </c>
      <c r="L27" s="22">
        <f>(D26+E26+F26+G26+H26+I26+J26+K26+L26)*0.005</f>
        <v>3.2963</v>
      </c>
      <c r="M27" s="22">
        <f>(D26+E26+F26+G26+H26+I26+J26+K26+L26+M26)*0.005</f>
        <v>3.2963</v>
      </c>
      <c r="N27" s="22">
        <f>(D26+E26+F26+G26+H26+I26+J26+K26+L26+M26+N26)*0.005</f>
        <v>3.2963</v>
      </c>
      <c r="O27" s="22">
        <f>(D26+E26+F26+G26+H26+I26+J26+K26+L26+M26+N26+O26)*0.005</f>
        <v>3.2963</v>
      </c>
      <c r="P27" s="22">
        <f>(D26+E26+F26+G26+H26+I26+J26+K26+L26+M26+N26+O26+P26)*0.005</f>
        <v>3.2963</v>
      </c>
      <c r="Q27" s="46"/>
      <c r="R27" s="22"/>
      <c r="S27" s="22"/>
      <c r="T27" s="22"/>
      <c r="U27" s="178"/>
      <c r="V27" s="229"/>
    </row>
    <row r="28" spans="2:23">
      <c r="B28" s="202">
        <v>10</v>
      </c>
      <c r="C28" s="27" t="s">
        <v>57</v>
      </c>
      <c r="D28" s="161">
        <v>425.55</v>
      </c>
      <c r="E28" s="22">
        <v>0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46">
        <f>D28+E28+F28+G28+H28+I28+J28+K28+L28+M28+N28+O28+P28</f>
        <v>425.55</v>
      </c>
      <c r="R28" s="22">
        <f t="shared" si="11"/>
        <v>35.462499999999999</v>
      </c>
      <c r="S28" s="22">
        <f>E29+F29+G29+H29+I29+J29+K29+L29+M29+N29+O29+P29</f>
        <v>25.532999999999998</v>
      </c>
      <c r="T28" s="268">
        <f t="shared" si="12"/>
        <v>451.08300000000003</v>
      </c>
      <c r="V28" s="229"/>
      <c r="W28" s="2"/>
    </row>
    <row r="29" spans="2:23" ht="12.75" customHeight="1">
      <c r="B29" s="162"/>
      <c r="C29" s="27"/>
      <c r="D29" s="163" t="s">
        <v>152</v>
      </c>
      <c r="E29" s="22">
        <f t="shared" si="13"/>
        <v>2.1277500000000003</v>
      </c>
      <c r="F29" s="22">
        <f t="shared" si="14"/>
        <v>2.1277500000000003</v>
      </c>
      <c r="G29" s="22">
        <f>(+D28+E28+F28+G28)*0.005</f>
        <v>2.1277500000000003</v>
      </c>
      <c r="H29" s="22">
        <f>(D28+E28+F28+G28+H28)*0.005</f>
        <v>2.1277500000000003</v>
      </c>
      <c r="I29" s="22">
        <f>(D28+E28+F28+G28+H28+I28)*0.005</f>
        <v>2.1277500000000003</v>
      </c>
      <c r="J29" s="22">
        <f>(D28+E28+F28+G28+H28+I28+J28)*0.005</f>
        <v>2.1277500000000003</v>
      </c>
      <c r="K29" s="22">
        <f>(D28+E28+F28+G28+H28+I28+J28+K28)*0.005</f>
        <v>2.1277500000000003</v>
      </c>
      <c r="L29" s="22">
        <f>(D28+E28+F28+G28+H28+I28+J28+K28+L28)*0.005</f>
        <v>2.1277500000000003</v>
      </c>
      <c r="M29" s="22">
        <f>(D28+E28+F28+G28+H28+I28+J28+K28+L28+M28)*0.005</f>
        <v>2.1277500000000003</v>
      </c>
      <c r="N29" s="22">
        <f>(D28+E28+F28+G28+H28+I28+J28+K28+L28+M28+N28)*0.005</f>
        <v>2.1277500000000003</v>
      </c>
      <c r="O29" s="22">
        <f>(D28+E28+F28+G28+H28+I28+J28+K28+L28+M28+N28+O28)*0.005</f>
        <v>2.1277500000000003</v>
      </c>
      <c r="P29" s="22">
        <f>(D28+E28+F28+G28+H28+I28+J28+K28+L28+M28+N28+O28+P28)*0.005</f>
        <v>2.1277500000000003</v>
      </c>
      <c r="Q29" s="46"/>
      <c r="R29" s="22"/>
      <c r="S29" s="22"/>
      <c r="T29" s="22"/>
      <c r="V29" s="229"/>
      <c r="W29" s="2"/>
    </row>
    <row r="30" spans="2:23">
      <c r="B30" s="202">
        <v>11</v>
      </c>
      <c r="C30" s="20" t="s">
        <v>70</v>
      </c>
      <c r="D30" s="270">
        <v>902.43</v>
      </c>
      <c r="E30" s="22">
        <v>0</v>
      </c>
      <c r="F30" s="22">
        <v>0</v>
      </c>
      <c r="G30" s="22">
        <v>0</v>
      </c>
      <c r="H30" s="22">
        <v>0</v>
      </c>
      <c r="I30" s="22"/>
      <c r="J30" s="45"/>
      <c r="K30" s="45"/>
      <c r="L30" s="45"/>
      <c r="M30" s="45">
        <v>0</v>
      </c>
      <c r="N30" s="45"/>
      <c r="O30" s="45"/>
      <c r="P30" s="22"/>
      <c r="Q30" s="46">
        <f>D30+E30+F30+G30+H30+I30+J30+K30+L30+M30+N30+O30+P30</f>
        <v>902.43</v>
      </c>
      <c r="R30" s="22">
        <f t="shared" ref="R30:R32" si="15">Q30/12</f>
        <v>75.202500000000001</v>
      </c>
      <c r="S30" s="22">
        <f>E31+F31+G31+H31+I31+J31+K31+L31+M31+N31+O31+P31</f>
        <v>54.145799999999987</v>
      </c>
      <c r="T30" s="268">
        <f t="shared" ref="T30:T32" si="16">Q30+S30</f>
        <v>956.57579999999996</v>
      </c>
      <c r="V30" s="287"/>
    </row>
    <row r="31" spans="2:23" ht="12.75" customHeight="1">
      <c r="B31" s="162"/>
      <c r="C31" s="20"/>
      <c r="D31" s="163" t="s">
        <v>152</v>
      </c>
      <c r="E31" s="22">
        <f t="shared" ref="E31:E33" si="17">(D30+E30)*0.005</f>
        <v>4.5121500000000001</v>
      </c>
      <c r="F31" s="22">
        <f t="shared" ref="F31:F33" si="18">(D30+E30+F30)*0.005</f>
        <v>4.5121500000000001</v>
      </c>
      <c r="G31" s="22">
        <f>(+D30+E30+F30+G30)*0.005</f>
        <v>4.5121500000000001</v>
      </c>
      <c r="H31" s="22">
        <f>(D30+E30+F30+G30+H30)*0.005</f>
        <v>4.5121500000000001</v>
      </c>
      <c r="I31" s="22">
        <f>(D30+E30+F30+G30+H30+I30)*0.005</f>
        <v>4.5121500000000001</v>
      </c>
      <c r="J31" s="22">
        <f>(D30+E30+F30+G30+H30+I30+J30)*0.005</f>
        <v>4.5121500000000001</v>
      </c>
      <c r="K31" s="22">
        <f>(D30+E30+F30+G30+H30+I30+J30+K30)*0.005</f>
        <v>4.5121500000000001</v>
      </c>
      <c r="L31" s="22">
        <f>(D30+E30+F30+G30+H30+I30+J30+K30+L30)*0.005</f>
        <v>4.5121500000000001</v>
      </c>
      <c r="M31" s="22">
        <f>(D30+E30+F30+G30+H30+I30+J30+K30+L30+M30)*0.005</f>
        <v>4.5121500000000001</v>
      </c>
      <c r="N31" s="22">
        <f>(D30+E30+F30+G30+H30+I30+J30+K30+L30+M30+N30)*0.005</f>
        <v>4.5121500000000001</v>
      </c>
      <c r="O31" s="22">
        <f>(D30+E30+F30+G30+H30+I30+J30+K30+L30+M30+N30+O30)*0.005</f>
        <v>4.5121500000000001</v>
      </c>
      <c r="P31" s="22">
        <f>(D30+E30+F30+G30+H30+I30+J30+K30+L30+M30+N30+O30+P30)*0.005</f>
        <v>4.5121500000000001</v>
      </c>
      <c r="Q31" s="46"/>
      <c r="R31" s="22"/>
      <c r="S31" s="22"/>
      <c r="T31" s="22"/>
      <c r="V31" s="229"/>
    </row>
    <row r="32" spans="2:23" ht="12.75" customHeight="1">
      <c r="B32" s="202">
        <v>12</v>
      </c>
      <c r="C32" s="20" t="s">
        <v>71</v>
      </c>
      <c r="D32" s="270">
        <v>3812.37</v>
      </c>
      <c r="E32" s="22">
        <v>0</v>
      </c>
      <c r="F32" s="22">
        <v>0</v>
      </c>
      <c r="G32" s="164"/>
      <c r="H32" s="22">
        <v>0</v>
      </c>
      <c r="I32" s="22">
        <v>0</v>
      </c>
      <c r="J32" s="71"/>
      <c r="K32" s="45"/>
      <c r="L32" s="45"/>
      <c r="M32" s="45">
        <v>0</v>
      </c>
      <c r="N32" s="45"/>
      <c r="O32" s="45"/>
      <c r="P32" s="22"/>
      <c r="Q32" s="46">
        <f>D32+E32+F32+G32+H32+I32+J32+K32+L32+M32+N32+O32+P32</f>
        <v>3812.37</v>
      </c>
      <c r="R32" s="22">
        <f t="shared" si="15"/>
        <v>317.69749999999999</v>
      </c>
      <c r="S32" s="22">
        <f>E33+F33+G33+H33+I33+J33+K33+L33+M33+N33+O33+P33</f>
        <v>228.74219999999994</v>
      </c>
      <c r="T32" s="268">
        <f t="shared" si="16"/>
        <v>4041.1122</v>
      </c>
      <c r="V32" s="287"/>
    </row>
    <row r="33" spans="2:22" ht="12.75" customHeight="1">
      <c r="B33" s="162"/>
      <c r="C33" s="20"/>
      <c r="D33" s="163" t="s">
        <v>152</v>
      </c>
      <c r="E33" s="22">
        <f t="shared" si="17"/>
        <v>19.06185</v>
      </c>
      <c r="F33" s="22">
        <f t="shared" si="18"/>
        <v>19.06185</v>
      </c>
      <c r="G33" s="22">
        <f>(+D32+E32+F32+G32)*0.005</f>
        <v>19.06185</v>
      </c>
      <c r="H33" s="22">
        <f>(D32+E32+F32+G32+H32)*0.005</f>
        <v>19.06185</v>
      </c>
      <c r="I33" s="22">
        <f>(D32+E32+F32+G32+H32+I32)*0.005</f>
        <v>19.06185</v>
      </c>
      <c r="J33" s="22">
        <f>(D32+E32+F32+G32+H32+I32+J32)*0.005</f>
        <v>19.06185</v>
      </c>
      <c r="K33" s="22">
        <f>(D32+E32+F32+G32+H32+I32+J32+K32)*0.005</f>
        <v>19.06185</v>
      </c>
      <c r="L33" s="22">
        <f>(D32+E32+F32+G32+H32+I32+J32+K32+L32)*0.005</f>
        <v>19.06185</v>
      </c>
      <c r="M33" s="22">
        <f>(D32+E32+F32+G32+H32+I32+J32+K32+L32+M32)*0.005</f>
        <v>19.06185</v>
      </c>
      <c r="N33" s="22">
        <f>(D32+E32+F32+G32+H32+I32+J32+K32+L32+M32+N32)*0.005</f>
        <v>19.06185</v>
      </c>
      <c r="O33" s="22">
        <f>(D32+E32+F32+G32+H32+I32+J32+K32+L32+M32+N32+O32)*0.005</f>
        <v>19.06185</v>
      </c>
      <c r="P33" s="22">
        <f>(D32+E32+F32+G32+H32+I32+J32+K32+L32+M32+N32+O32+P32)*0.005</f>
        <v>19.06185</v>
      </c>
      <c r="Q33" s="46"/>
      <c r="R33" s="22"/>
      <c r="S33" s="22"/>
      <c r="T33" s="22"/>
      <c r="V33" s="229"/>
    </row>
    <row r="34" spans="2:22" ht="4.5" customHeight="1">
      <c r="B34" s="162"/>
      <c r="C34" s="20"/>
      <c r="D34" s="76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46"/>
      <c r="R34" s="22"/>
      <c r="S34" s="22"/>
      <c r="T34" s="22"/>
      <c r="V34" s="229"/>
    </row>
    <row r="35" spans="2:22">
      <c r="B35" s="202">
        <v>13</v>
      </c>
      <c r="C35" s="20" t="s">
        <v>73</v>
      </c>
      <c r="D35" s="270">
        <v>361.28</v>
      </c>
      <c r="E35" s="22"/>
      <c r="F35" s="22"/>
      <c r="G35" s="22"/>
      <c r="H35" s="22"/>
      <c r="I35" s="22"/>
      <c r="J35" s="22">
        <v>0</v>
      </c>
      <c r="K35" s="22"/>
      <c r="L35" s="22"/>
      <c r="M35" s="22"/>
      <c r="N35" s="22"/>
      <c r="O35" s="22">
        <v>0</v>
      </c>
      <c r="P35" s="22"/>
      <c r="Q35" s="46">
        <f>D35+E35+F35+G35+H35+I35+J35+K35+L35+M35+N35+O35+P35</f>
        <v>361.28</v>
      </c>
      <c r="R35" s="22">
        <f t="shared" ref="R35:R43" si="19">Q35/12</f>
        <v>30.106666666666666</v>
      </c>
      <c r="S35" s="22">
        <f>E36+F36+G36+H36+I36+J36+K36+L36+M36+N36+O36+P36</f>
        <v>21.6768</v>
      </c>
      <c r="T35" s="268">
        <f t="shared" ref="T35:T43" si="20">Q35+S35</f>
        <v>382.95679999999999</v>
      </c>
      <c r="V35" s="287"/>
    </row>
    <row r="36" spans="2:22">
      <c r="B36" s="162"/>
      <c r="C36" s="20"/>
      <c r="D36" s="163" t="s">
        <v>152</v>
      </c>
      <c r="E36" s="22">
        <f t="shared" ref="E36:E44" si="21">(D35+E35)*0.005</f>
        <v>1.8064</v>
      </c>
      <c r="F36" s="22">
        <f t="shared" ref="F36:F44" si="22">(D35+E35+F35)*0.005</f>
        <v>1.8064</v>
      </c>
      <c r="G36" s="22">
        <f>(+D35+E35+F35+G35)*0.005</f>
        <v>1.8064</v>
      </c>
      <c r="H36" s="22">
        <f>(D35+E35+F35+G35+H35)*0.005</f>
        <v>1.8064</v>
      </c>
      <c r="I36" s="22">
        <f>(D35+E35+F35+G35+H35+I35)*0.005</f>
        <v>1.8064</v>
      </c>
      <c r="J36" s="22">
        <f>(D35+E35+F35+G35+H35+I35+J35)*0.005</f>
        <v>1.8064</v>
      </c>
      <c r="K36" s="22">
        <f>(D35+E35+F35+G35+H35+I35+J35+K35)*0.005</f>
        <v>1.8064</v>
      </c>
      <c r="L36" s="22">
        <f>(D35+E35+F35+G35+H35+I35+J35+K35+L35)*0.005</f>
        <v>1.8064</v>
      </c>
      <c r="M36" s="22">
        <f>(D35+E35+F35+G35+H35+I35+J35+K35+L35+M35)*0.005</f>
        <v>1.8064</v>
      </c>
      <c r="N36" s="22">
        <f>(D35+E35+F35+G35+H35+I35+J35+K35+L35+M35+N35)*0.005</f>
        <v>1.8064</v>
      </c>
      <c r="O36" s="22">
        <f>(D35+E35+F35+G35+H35+I35+J35+K35+L35+M35+N35+O35)*0.005</f>
        <v>1.8064</v>
      </c>
      <c r="P36" s="22">
        <f>(D35+E35+F35+G35+H35+I35+J35+K35+L35+M35+N35+O35+P35)*0.005</f>
        <v>1.8064</v>
      </c>
      <c r="Q36" s="46"/>
      <c r="R36" s="22"/>
      <c r="S36" s="22"/>
      <c r="T36" s="22"/>
      <c r="V36" s="229"/>
    </row>
    <row r="37" spans="2:22">
      <c r="B37" s="202">
        <v>14</v>
      </c>
      <c r="C37" s="20" t="s">
        <v>74</v>
      </c>
      <c r="D37" s="270">
        <v>2594.2800000000002</v>
      </c>
      <c r="E37" s="22"/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32"/>
      <c r="L37" s="22"/>
      <c r="M37" s="22"/>
      <c r="N37" s="22"/>
      <c r="O37" s="22"/>
      <c r="P37" s="22">
        <f>3400+500</f>
        <v>3900</v>
      </c>
      <c r="Q37" s="46">
        <f>D37+E37+F37+G37+H37+I37+J37+K37+L37+M37+N37+O37+P37</f>
        <v>6494.2800000000007</v>
      </c>
      <c r="R37" s="22">
        <f t="shared" si="19"/>
        <v>541.19000000000005</v>
      </c>
      <c r="S37" s="22">
        <f>E38+F38+G38+H38+I38+J38+K38+L38+M38+N38+O38+P38</f>
        <v>175.15679999999998</v>
      </c>
      <c r="T37" s="268">
        <f t="shared" si="20"/>
        <v>6669.4368000000004</v>
      </c>
      <c r="V37" s="287"/>
    </row>
    <row r="38" spans="2:22">
      <c r="B38" s="162"/>
      <c r="C38" s="20"/>
      <c r="D38" s="163" t="s">
        <v>152</v>
      </c>
      <c r="E38" s="22">
        <f t="shared" si="21"/>
        <v>12.971400000000001</v>
      </c>
      <c r="F38" s="22">
        <f t="shared" si="22"/>
        <v>12.971400000000001</v>
      </c>
      <c r="G38" s="22">
        <f>(+D37+E37+F37+G37)*0.005</f>
        <v>12.971400000000001</v>
      </c>
      <c r="H38" s="22">
        <f>(D37+E37+F37+G37+H37)*0.005</f>
        <v>12.971400000000001</v>
      </c>
      <c r="I38" s="22">
        <f>(D37+E37+F37+G37+H37+I37)*0.005</f>
        <v>12.971400000000001</v>
      </c>
      <c r="J38" s="22">
        <f>(D37+E37+F37+G37+H37+I37+J37)*0.005</f>
        <v>12.971400000000001</v>
      </c>
      <c r="K38" s="22">
        <f>(D37+E37+F37+G37+H37+I37+J37+K37)*0.005</f>
        <v>12.971400000000001</v>
      </c>
      <c r="L38" s="22">
        <f>(D37+E37+F37+G37+H37+I37+J37+K37+L37)*0.005</f>
        <v>12.971400000000001</v>
      </c>
      <c r="M38" s="22">
        <f>(D37+E37+F37+G37+H37+I37+J37+K37+L37+M37)*0.005</f>
        <v>12.971400000000001</v>
      </c>
      <c r="N38" s="22">
        <f>(D37+E37+F37+G37+H37+I37+J37+K37+L37+M37+N37)*0.005</f>
        <v>12.971400000000001</v>
      </c>
      <c r="O38" s="22">
        <f>(D37+E37+F37+G37+H37+I37+J37+K37+L37+M37+N37+O37)*0.005</f>
        <v>12.971400000000001</v>
      </c>
      <c r="P38" s="22">
        <f>(D37+E37+F37+G37+H37+I37+J37+K37+L37+M37+N37+O37+P37)*0.005</f>
        <v>32.471400000000003</v>
      </c>
      <c r="Q38" s="46"/>
      <c r="R38" s="22"/>
      <c r="S38" s="22"/>
      <c r="T38" s="22"/>
      <c r="V38" s="229"/>
    </row>
    <row r="39" spans="2:22">
      <c r="B39" s="166"/>
      <c r="C39" s="36"/>
      <c r="D39" s="167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108"/>
      <c r="R39" s="38"/>
      <c r="S39" s="38"/>
      <c r="T39" s="38"/>
      <c r="V39" s="229"/>
    </row>
    <row r="40" spans="2:22">
      <c r="B40" s="168"/>
      <c r="C40" s="16"/>
      <c r="D40" s="281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74"/>
      <c r="R40" s="169"/>
      <c r="S40" s="169"/>
      <c r="T40" s="283" t="s">
        <v>245</v>
      </c>
      <c r="V40" s="229"/>
    </row>
    <row r="41" spans="2:22">
      <c r="B41" s="170"/>
      <c r="C41" s="36"/>
      <c r="D41" s="282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76"/>
      <c r="R41" s="148"/>
      <c r="S41" s="148"/>
      <c r="T41" s="148"/>
      <c r="V41" s="229"/>
    </row>
    <row r="42" spans="2:22" ht="4.2" customHeight="1">
      <c r="B42" s="162"/>
      <c r="C42" s="20"/>
      <c r="D42" s="163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46"/>
      <c r="R42" s="22"/>
      <c r="S42" s="22"/>
      <c r="T42" s="22"/>
      <c r="V42" s="229"/>
    </row>
    <row r="43" spans="2:22">
      <c r="B43" s="162">
        <v>15</v>
      </c>
      <c r="C43" s="20" t="s">
        <v>80</v>
      </c>
      <c r="D43" s="270">
        <v>69.930000000000007</v>
      </c>
      <c r="E43" s="22"/>
      <c r="F43" s="22"/>
      <c r="G43" s="22"/>
      <c r="H43" s="22">
        <v>0</v>
      </c>
      <c r="I43" s="22"/>
      <c r="J43" s="22"/>
      <c r="K43" s="22"/>
      <c r="L43" s="22"/>
      <c r="M43" s="22"/>
      <c r="N43" s="22"/>
      <c r="O43" s="22"/>
      <c r="P43" s="22"/>
      <c r="Q43" s="46">
        <v>69.930000000000007</v>
      </c>
      <c r="R43" s="22">
        <f t="shared" si="19"/>
        <v>5.8275000000000006</v>
      </c>
      <c r="S43" s="22">
        <f>E44+F44+G44+H44+I44+J44+K44+L44+M44+N44+O44+P44</f>
        <v>4.1958000000000002</v>
      </c>
      <c r="T43" s="268">
        <f t="shared" si="20"/>
        <v>74.125800000000012</v>
      </c>
      <c r="V43" s="287"/>
    </row>
    <row r="44" spans="2:22">
      <c r="B44" s="162"/>
      <c r="C44" s="20"/>
      <c r="D44" s="163" t="s">
        <v>152</v>
      </c>
      <c r="E44" s="22">
        <f t="shared" si="21"/>
        <v>0.34965000000000002</v>
      </c>
      <c r="F44" s="22">
        <f t="shared" si="22"/>
        <v>0.34965000000000002</v>
      </c>
      <c r="G44" s="22">
        <f>(+D43+E43+F43+G43)*0.005</f>
        <v>0.34965000000000002</v>
      </c>
      <c r="H44" s="22">
        <f>(D43+E43+F43+G43+H43)*0.005</f>
        <v>0.34965000000000002</v>
      </c>
      <c r="I44" s="22">
        <f>(D43+E43+F43+G43+H43+I43)*0.005</f>
        <v>0.34965000000000002</v>
      </c>
      <c r="J44" s="22">
        <f>(D43+E43+F43+G43+H43+I43+J43)*0.005</f>
        <v>0.34965000000000002</v>
      </c>
      <c r="K44" s="22">
        <f>(D43+E43+F43+G43+H43+I43+J43+K43)*0.005</f>
        <v>0.34965000000000002</v>
      </c>
      <c r="L44" s="22">
        <f>(D43+E43+F43+G43+H43+I43+J43+K43+L43)*0.005</f>
        <v>0.34965000000000002</v>
      </c>
      <c r="M44" s="22">
        <f>(D43+E43+F43+G43+H43+I43+J43+K43+L43+M43)*0.005</f>
        <v>0.34965000000000002</v>
      </c>
      <c r="N44" s="22">
        <f>(D43+E43+F43+G43+H43+I43+J43+K43+L43+M43+N43)*0.005</f>
        <v>0.34965000000000002</v>
      </c>
      <c r="O44" s="22">
        <f>(D43+E43+F43+G43+H43+I43+J43+K43+L43+M43+N43+O43)*0.005</f>
        <v>0.34965000000000002</v>
      </c>
      <c r="P44" s="22">
        <f>(D43+E43+F43+G43+H43+I43+J43+K43+L43+M43+N43+O43+P43)*0.005</f>
        <v>0.34965000000000002</v>
      </c>
      <c r="Q44" s="46"/>
      <c r="R44" s="22"/>
      <c r="S44" s="22"/>
      <c r="T44" s="22"/>
      <c r="V44" s="229"/>
    </row>
    <row r="45" spans="2:22">
      <c r="B45" s="162">
        <v>16</v>
      </c>
      <c r="C45" s="70" t="s">
        <v>85</v>
      </c>
      <c r="D45" s="270">
        <v>414.17</v>
      </c>
      <c r="E45" s="22"/>
      <c r="F45" s="22"/>
      <c r="G45" s="22"/>
      <c r="H45" s="22"/>
      <c r="I45" s="22"/>
      <c r="J45" s="22">
        <v>0</v>
      </c>
      <c r="K45" s="22">
        <v>0</v>
      </c>
      <c r="L45" s="22"/>
      <c r="M45" s="22"/>
      <c r="N45" s="22"/>
      <c r="O45" s="22"/>
      <c r="P45" s="22"/>
      <c r="Q45" s="46">
        <f>D45+E45+F45+G45+H45+I45+J45+K45+L45+M45+N45+O45+P45</f>
        <v>414.17</v>
      </c>
      <c r="R45" s="22">
        <f t="shared" ref="R45" si="23">Q45/12</f>
        <v>34.514166666666668</v>
      </c>
      <c r="S45" s="22">
        <f>E46+F46+G46+H46+I46+J46+K46+L46+M46+N46+O46+P46</f>
        <v>24.850200000000001</v>
      </c>
      <c r="T45" s="268">
        <f t="shared" ref="T45" si="24">Q45+S45</f>
        <v>439.02020000000005</v>
      </c>
      <c r="V45" s="287"/>
    </row>
    <row r="46" spans="2:22">
      <c r="B46" s="162"/>
      <c r="C46" s="70"/>
      <c r="D46" s="163" t="s">
        <v>152</v>
      </c>
      <c r="E46" s="22">
        <f t="shared" ref="E46" si="25">(D45+E45)*0.005</f>
        <v>2.0708500000000001</v>
      </c>
      <c r="F46" s="22">
        <f t="shared" ref="F46" si="26">(D45+E45+F45)*0.005</f>
        <v>2.0708500000000001</v>
      </c>
      <c r="G46" s="22">
        <f>(+D45+E45+F45+G45)*0.005</f>
        <v>2.0708500000000001</v>
      </c>
      <c r="H46" s="22">
        <f>(D45+E45+F45+G45+H45)*0.005</f>
        <v>2.0708500000000001</v>
      </c>
      <c r="I46" s="22">
        <f>(D45+E45+F45+G45+H45+I45)*0.005</f>
        <v>2.0708500000000001</v>
      </c>
      <c r="J46" s="22">
        <f>(D45+E45+F45+G45+H45+I45+J45)*0.005</f>
        <v>2.0708500000000001</v>
      </c>
      <c r="K46" s="22">
        <f>(D45+E45+F45+G45+H45+I45+J45+K45)*0.005</f>
        <v>2.0708500000000001</v>
      </c>
      <c r="L46" s="22">
        <f>(D45+E45+F45+G45+H45+I45+J45+K45+L45)*0.005</f>
        <v>2.0708500000000001</v>
      </c>
      <c r="M46" s="22">
        <f>(D45+E45+F45+G45+H45+I45+J45+K45+L45+M45)*0.005</f>
        <v>2.0708500000000001</v>
      </c>
      <c r="N46" s="22">
        <f>(D45+E45+F45+G45+H45+I45+J45+K45+L45+M45+N45)*0.005</f>
        <v>2.0708500000000001</v>
      </c>
      <c r="O46" s="22">
        <f>(D45+E45+F45+G45+H45+I45+J45+K45+L45+M45+N45+O45)*0.005</f>
        <v>2.0708500000000001</v>
      </c>
      <c r="P46" s="22">
        <f>(D45+E45+F45+G45+H45+I45+J45+K45+L45+M45+N45+O45+P45)*0.005</f>
        <v>2.0708500000000001</v>
      </c>
      <c r="Q46" s="46"/>
      <c r="R46" s="22"/>
      <c r="S46" s="22"/>
      <c r="T46" s="22"/>
      <c r="V46" s="229"/>
    </row>
    <row r="47" spans="2:22">
      <c r="B47" s="202">
        <v>17</v>
      </c>
      <c r="C47" s="70" t="str">
        <f>'[1]Subscribed&amp;Paid-up (2)'!$B$72</f>
        <v>Concepcion B. Cruz</v>
      </c>
      <c r="D47" s="270">
        <v>5535.41</v>
      </c>
      <c r="E47" s="22"/>
      <c r="F47" s="22"/>
      <c r="G47" s="52"/>
      <c r="H47" s="52"/>
      <c r="I47" s="22">
        <v>0</v>
      </c>
      <c r="J47" s="22">
        <v>0</v>
      </c>
      <c r="K47" s="22">
        <v>0</v>
      </c>
      <c r="L47" s="22"/>
      <c r="M47" s="22"/>
      <c r="N47" s="22"/>
      <c r="O47" s="22"/>
      <c r="P47" s="32"/>
      <c r="Q47" s="46">
        <f>D47+E47+F47+G47+H47+I47+J47+K47+L47+M47+N47+O47+P47</f>
        <v>5535.41</v>
      </c>
      <c r="R47" s="22">
        <f t="shared" ref="R47:R51" si="27">Q47/12</f>
        <v>461.28416666666664</v>
      </c>
      <c r="S47" s="22">
        <f>E48+F48+G48+H48+I48+J48+K48+L48+M48+N48+O48+P48</f>
        <v>332.12460000000004</v>
      </c>
      <c r="T47" s="268">
        <f t="shared" ref="T47:T51" si="28">Q47+S47</f>
        <v>5867.5346</v>
      </c>
      <c r="V47" s="287"/>
    </row>
    <row r="48" spans="2:22">
      <c r="B48" s="162"/>
      <c r="C48" s="70"/>
      <c r="D48" s="163" t="s">
        <v>152</v>
      </c>
      <c r="E48" s="22">
        <f t="shared" ref="E48:E52" si="29">(D47+E47)*0.005</f>
        <v>27.677050000000001</v>
      </c>
      <c r="F48" s="22">
        <f t="shared" ref="F48:F52" si="30">(D47+E47+F47)*0.005</f>
        <v>27.677050000000001</v>
      </c>
      <c r="G48" s="22">
        <f>(+D47+E47+F47+G47)*0.005</f>
        <v>27.677050000000001</v>
      </c>
      <c r="H48" s="22">
        <f>(D47+E47+F47+G47+H47)*0.005</f>
        <v>27.677050000000001</v>
      </c>
      <c r="I48" s="22">
        <f>(D47+E47+F47+G47+H47+I47)*0.005</f>
        <v>27.677050000000001</v>
      </c>
      <c r="J48" s="22">
        <f>(D47+E47+F47+G47+H47+I47+J47)*0.005</f>
        <v>27.677050000000001</v>
      </c>
      <c r="K48" s="22">
        <f>(D47+E47+F47+G47+H47+I47+J47+K47)*0.005</f>
        <v>27.677050000000001</v>
      </c>
      <c r="L48" s="22">
        <f>(D47+E47+F47+G47+H47+I47+J47+K47+L47)*0.005</f>
        <v>27.677050000000001</v>
      </c>
      <c r="M48" s="22">
        <f>(D47+E47+F47+G47+H47+I47+J47+K47+L47+M47)*0.005</f>
        <v>27.677050000000001</v>
      </c>
      <c r="N48" s="22">
        <f>(D47+E47+F47+G47+H47+I47+J47+K47+L47+M47+N47)*0.005</f>
        <v>27.677050000000001</v>
      </c>
      <c r="O48" s="22">
        <f>(D47+E47+F47+G47+H47+I47+J47+K47+L47+M47+N47+O47)*0.005</f>
        <v>27.677050000000001</v>
      </c>
      <c r="P48" s="22">
        <f>(D47+E47+F47+G47+H47+I47+J47+K47+L47+M47+N47+O47+P47)*0.005</f>
        <v>27.677050000000001</v>
      </c>
      <c r="Q48" s="46"/>
      <c r="R48" s="22"/>
      <c r="S48" s="22"/>
      <c r="T48" s="22"/>
      <c r="V48" s="229"/>
    </row>
    <row r="49" spans="2:22">
      <c r="B49" s="202">
        <v>18</v>
      </c>
      <c r="C49" s="70" t="str">
        <f>'[1]Subscribed&amp;Paid-up (2)'!$B$73</f>
        <v>Leonardo B. Cruz</v>
      </c>
      <c r="D49" s="270">
        <v>1840.67</v>
      </c>
      <c r="E49" s="22"/>
      <c r="F49" s="22"/>
      <c r="G49" s="22"/>
      <c r="H49" s="22"/>
      <c r="I49" s="22"/>
      <c r="J49" s="22">
        <v>0</v>
      </c>
      <c r="K49" s="22"/>
      <c r="L49" s="22"/>
      <c r="M49" s="22"/>
      <c r="N49" s="22"/>
      <c r="O49" s="22"/>
      <c r="P49" s="22"/>
      <c r="Q49" s="46">
        <f>D49+E49+F49+G49+H49+I49+J49+K49+L49+M49+N49+O49+P49</f>
        <v>1840.67</v>
      </c>
      <c r="R49" s="22">
        <f t="shared" si="27"/>
        <v>153.38916666666668</v>
      </c>
      <c r="S49" s="22">
        <f>E50+F50+G50+H50+I50+J50+K50+L50+M50+N50+O50+P50</f>
        <v>110.4402</v>
      </c>
      <c r="T49" s="268">
        <f t="shared" si="28"/>
        <v>1951.1102000000001</v>
      </c>
      <c r="V49" s="287"/>
    </row>
    <row r="50" spans="2:22">
      <c r="B50" s="162"/>
      <c r="C50" s="70"/>
      <c r="D50" s="163" t="s">
        <v>152</v>
      </c>
      <c r="E50" s="22">
        <f t="shared" si="29"/>
        <v>9.2033500000000004</v>
      </c>
      <c r="F50" s="22">
        <f t="shared" si="30"/>
        <v>9.2033500000000004</v>
      </c>
      <c r="G50" s="22">
        <f>(+D49+E49+F49+G49)*0.005</f>
        <v>9.2033500000000004</v>
      </c>
      <c r="H50" s="22">
        <f>(D49+E49+F49+G49+H49)*0.005</f>
        <v>9.2033500000000004</v>
      </c>
      <c r="I50" s="22">
        <f>(D49+E49+F49+G49+H49+I49)*0.005</f>
        <v>9.2033500000000004</v>
      </c>
      <c r="J50" s="22">
        <f>(D49+E49+F49+G49+H49+I49+J49)*0.005</f>
        <v>9.2033500000000004</v>
      </c>
      <c r="K50" s="22">
        <f>(D49+E49+F49+G49+H49+I49+J49+K49)*0.005</f>
        <v>9.2033500000000004</v>
      </c>
      <c r="L50" s="22">
        <f>(D49+E49+F49+G49+H49+I49+J49+K49+L49)*0.005</f>
        <v>9.2033500000000004</v>
      </c>
      <c r="M50" s="22">
        <f>(D49+E49+F49+G49+H49+I49+J49+K49+L49+M49)*0.005</f>
        <v>9.2033500000000004</v>
      </c>
      <c r="N50" s="22">
        <f>(D49+E49+F49+G49+H49+I49+J49+K49+L49+M49+N49)*0.005</f>
        <v>9.2033500000000004</v>
      </c>
      <c r="O50" s="22">
        <f>(D49+E49+F49+G49+H49+I49+J49+K49+L49+M49+N49+O49)*0.005</f>
        <v>9.2033500000000004</v>
      </c>
      <c r="P50" s="22">
        <f>(D49+E49+F49+G49+H49+I49+J49+K49+L49+M49+N49+O49+P49)*0.005</f>
        <v>9.2033500000000004</v>
      </c>
      <c r="Q50" s="46"/>
      <c r="R50" s="22"/>
      <c r="S50" s="22"/>
      <c r="T50" s="22"/>
      <c r="V50" s="229"/>
    </row>
    <row r="51" spans="2:22">
      <c r="B51" s="202">
        <v>19</v>
      </c>
      <c r="C51" s="70" t="str">
        <f>'[1]Subscribed&amp;Paid-up (2)'!$B$74</f>
        <v>Annalyn B. Cruz</v>
      </c>
      <c r="D51" s="270">
        <v>620.08000000000004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>
        <v>0</v>
      </c>
      <c r="P51" s="22"/>
      <c r="Q51" s="46">
        <f>D51+E51+F51+G51+H51+I51+J51+K51+L51+M51+N51+O51+P51</f>
        <v>620.08000000000004</v>
      </c>
      <c r="R51" s="22">
        <f t="shared" si="27"/>
        <v>51.673333333333339</v>
      </c>
      <c r="S51" s="22">
        <f>E52+F52+G52+H52+I52+J52+K52+L52+M52+N52+O52+P52</f>
        <v>37.204800000000006</v>
      </c>
      <c r="T51" s="268">
        <f t="shared" si="28"/>
        <v>657.28480000000002</v>
      </c>
      <c r="V51" s="229"/>
    </row>
    <row r="52" spans="2:22">
      <c r="B52" s="162"/>
      <c r="C52" s="70"/>
      <c r="D52" s="163" t="s">
        <v>152</v>
      </c>
      <c r="E52" s="22">
        <f t="shared" si="29"/>
        <v>3.1004000000000005</v>
      </c>
      <c r="F52" s="22">
        <f t="shared" si="30"/>
        <v>3.1004000000000005</v>
      </c>
      <c r="G52" s="22">
        <f>(+D51+E51+F51+G51)*0.005</f>
        <v>3.1004000000000005</v>
      </c>
      <c r="H52" s="22">
        <f>(D51+E51+F51+G51+H51)*0.005</f>
        <v>3.1004000000000005</v>
      </c>
      <c r="I52" s="22">
        <f>(D51+E51+F51+G51+H51+I51)*0.005</f>
        <v>3.1004000000000005</v>
      </c>
      <c r="J52" s="22">
        <f>(D51+E51+F51+G51+H51+I51+J51)*0.005</f>
        <v>3.1004000000000005</v>
      </c>
      <c r="K52" s="22">
        <f>(D51+E51+F51+G51+H51+I51+J51+K51)*0.005</f>
        <v>3.1004000000000005</v>
      </c>
      <c r="L52" s="22">
        <f>(D51+E51+F51+G51+H51+I51+J51+K51+L51)*0.005</f>
        <v>3.1004000000000005</v>
      </c>
      <c r="M52" s="22">
        <f>(D51+E51+F51+G51+H51+I51+J51+K51+L51+M51)*0.005</f>
        <v>3.1004000000000005</v>
      </c>
      <c r="N52" s="22">
        <f>(D51+E51+F51+G51+H51+I51+J51+K51+L51+M51+N51)*0.005</f>
        <v>3.1004000000000005</v>
      </c>
      <c r="O52" s="22">
        <f>(D51+E51+F51+G51+H51+I51+J51+K51+L51+M51+N51+O51)*0.005</f>
        <v>3.1004000000000005</v>
      </c>
      <c r="P52" s="22">
        <f>(D51+E51+F51+G51+H51+I51+J51+K51+L51+M51+N51+O51+P51)*0.005</f>
        <v>3.1004000000000005</v>
      </c>
      <c r="Q52" s="46"/>
      <c r="R52" s="22"/>
      <c r="S52" s="22"/>
      <c r="T52" s="22"/>
      <c r="V52" s="229"/>
    </row>
    <row r="53" spans="2:22">
      <c r="B53" s="202">
        <v>20</v>
      </c>
      <c r="C53" s="70" t="str">
        <f>'[1]Subscribed&amp;Paid-up (2)'!$B$76</f>
        <v>Milben Rex P. Balao</v>
      </c>
      <c r="D53" s="270">
        <v>962.18</v>
      </c>
      <c r="E53" s="22"/>
      <c r="F53" s="22"/>
      <c r="G53" s="22"/>
      <c r="H53" s="22"/>
      <c r="I53" s="22"/>
      <c r="J53" s="22"/>
      <c r="K53" s="22">
        <v>0</v>
      </c>
      <c r="L53" s="22"/>
      <c r="M53" s="22"/>
      <c r="N53" s="22"/>
      <c r="O53" s="22">
        <v>0</v>
      </c>
      <c r="P53" s="22"/>
      <c r="Q53" s="46">
        <f>D53+E53+F53+G53+H53+I53+J53+K53+L53+M53+N53+O53+P53</f>
        <v>962.18</v>
      </c>
      <c r="R53" s="22">
        <f t="shared" ref="R53:R57" si="31">Q53/12</f>
        <v>80.181666666666658</v>
      </c>
      <c r="S53" s="22">
        <f>E54+F54+G54+H54+I54+J54+K54+L54+M54+N54+O54+P54</f>
        <v>57.730800000000016</v>
      </c>
      <c r="T53" s="268">
        <f t="shared" ref="T53:T57" si="32">Q53+S53</f>
        <v>1019.9108</v>
      </c>
      <c r="V53" s="287"/>
    </row>
    <row r="54" spans="2:22">
      <c r="B54" s="162"/>
      <c r="C54" s="70"/>
      <c r="D54" s="163" t="s">
        <v>152</v>
      </c>
      <c r="E54" s="22">
        <f t="shared" ref="E54:E58" si="33">(D53+E53)*0.005</f>
        <v>4.8109000000000002</v>
      </c>
      <c r="F54" s="22">
        <f t="shared" ref="F54:F58" si="34">(D53+E53+F53)*0.005</f>
        <v>4.8109000000000002</v>
      </c>
      <c r="G54" s="22">
        <f>(+D53+E53+F53+G53)*0.005</f>
        <v>4.8109000000000002</v>
      </c>
      <c r="H54" s="22">
        <f>(D53+E53+F53+G53+H53)*0.005</f>
        <v>4.8109000000000002</v>
      </c>
      <c r="I54" s="22">
        <f>(D53+E53+F53+G53+H53+I53)*0.005</f>
        <v>4.8109000000000002</v>
      </c>
      <c r="J54" s="22">
        <f>(D53+E53+F53+G53+H53+I53+J53)*0.005</f>
        <v>4.8109000000000002</v>
      </c>
      <c r="K54" s="22">
        <f>(D53+E53+F53+G53+H53+I53+J53+K53)*0.005</f>
        <v>4.8109000000000002</v>
      </c>
      <c r="L54" s="22">
        <f>(D53+E53+F53+G53+H53+I53+J53+K53+L53)*0.005</f>
        <v>4.8109000000000002</v>
      </c>
      <c r="M54" s="22">
        <f>(D53+E53+F53+G53+H53+I53+J53+K53+L53+M53)*0.005</f>
        <v>4.8109000000000002</v>
      </c>
      <c r="N54" s="22">
        <f>(D53+E53+F53+G53+H53+I53+J53+K53+L53+M53+N53)*0.005</f>
        <v>4.8109000000000002</v>
      </c>
      <c r="O54" s="22">
        <f>(D53+E53+F53+G53+H53+I53+J53+K53+L53+M53+N53+O53)*0.005</f>
        <v>4.8109000000000002</v>
      </c>
      <c r="P54" s="22">
        <f>(D53+E53+F53+G53+H53+I53+J53+K53+L53+M53+N53+O53+P53)*0.005</f>
        <v>4.8109000000000002</v>
      </c>
      <c r="Q54" s="46"/>
      <c r="R54" s="22"/>
      <c r="S54" s="22"/>
      <c r="T54" s="22"/>
      <c r="V54" s="229"/>
    </row>
    <row r="55" spans="2:22">
      <c r="B55" s="162">
        <v>21</v>
      </c>
      <c r="C55" s="70" t="s">
        <v>185</v>
      </c>
      <c r="D55" s="161">
        <v>8151.32</v>
      </c>
      <c r="E55" s="45"/>
      <c r="F55" s="45"/>
      <c r="G55" s="45"/>
      <c r="H55" s="45"/>
      <c r="I55" s="45"/>
      <c r="J55" s="45"/>
      <c r="K55" s="45"/>
      <c r="L55" s="45"/>
      <c r="M55" s="45">
        <v>0</v>
      </c>
      <c r="N55" s="45"/>
      <c r="O55" s="45"/>
      <c r="P55" s="45">
        <v>0</v>
      </c>
      <c r="Q55" s="46">
        <f>D55+E55+F55+G55+H55+I55+J55+K55+L55+M55+N55+O55+P55</f>
        <v>8151.32</v>
      </c>
      <c r="R55" s="45">
        <f t="shared" si="31"/>
        <v>679.27666666666664</v>
      </c>
      <c r="S55" s="45">
        <f>E56+F56+G56+H56+I56+J56+K56+L56+M56+N56+O56+P56</f>
        <v>489.07919999999996</v>
      </c>
      <c r="T55" s="272">
        <f t="shared" si="32"/>
        <v>8640.3991999999998</v>
      </c>
      <c r="V55" s="287"/>
    </row>
    <row r="56" spans="2:22">
      <c r="B56" s="162"/>
      <c r="C56" s="70"/>
      <c r="D56" s="163" t="s">
        <v>152</v>
      </c>
      <c r="E56" s="22">
        <f t="shared" si="33"/>
        <v>40.756599999999999</v>
      </c>
      <c r="F56" s="22">
        <f t="shared" si="34"/>
        <v>40.756599999999999</v>
      </c>
      <c r="G56" s="22">
        <f>(+D55+E55+F55+G55)*0.005</f>
        <v>40.756599999999999</v>
      </c>
      <c r="H56" s="22">
        <f>(D55+E55+F55+G55+H55)*0.005</f>
        <v>40.756599999999999</v>
      </c>
      <c r="I56" s="22">
        <f>(D55+E55+F55+G55+H55+I55)*0.005</f>
        <v>40.756599999999999</v>
      </c>
      <c r="J56" s="22">
        <f>(D55+E55+F55+G55+H55+I55+J55)*0.005</f>
        <v>40.756599999999999</v>
      </c>
      <c r="K56" s="22">
        <f>(D55+E55+F55+G55+H55+I55+J55+K55)*0.005</f>
        <v>40.756599999999999</v>
      </c>
      <c r="L56" s="22">
        <f>(D55+E55+F55+G55+H55+I55+J55+K55+L55)*0.005</f>
        <v>40.756599999999999</v>
      </c>
      <c r="M56" s="22">
        <f>(D55+E55+F55+G55+H55+I55+J55+K55+L55+M55)*0.005</f>
        <v>40.756599999999999</v>
      </c>
      <c r="N56" s="22">
        <f>(D55+E55+F55+G55+H55+I55+J55+K55+L55+M55+N55)*0.005</f>
        <v>40.756599999999999</v>
      </c>
      <c r="O56" s="22">
        <f>(D55+E55+F55+G55+H55+I55+J55+K55+L55+M55+N55+O55)*0.005</f>
        <v>40.756599999999999</v>
      </c>
      <c r="P56" s="22">
        <f>(D55+E55+F55+G55+H55+I55+J55+K55+L55+M55+N55+O55+P55)*0.005</f>
        <v>40.756599999999999</v>
      </c>
      <c r="Q56" s="46"/>
      <c r="R56" s="22"/>
      <c r="S56" s="22"/>
      <c r="T56" s="22"/>
      <c r="V56" s="229"/>
    </row>
    <row r="57" spans="2:22">
      <c r="B57" s="162">
        <v>22</v>
      </c>
      <c r="C57" s="27" t="s">
        <v>186</v>
      </c>
      <c r="D57" s="161">
        <v>135.84</v>
      </c>
      <c r="E57" s="22"/>
      <c r="F57" s="22"/>
      <c r="G57" s="22"/>
      <c r="H57" s="22"/>
      <c r="I57" s="22"/>
      <c r="J57" s="22"/>
      <c r="K57" s="22"/>
      <c r="L57" s="22"/>
      <c r="M57" s="22"/>
      <c r="N57" s="22">
        <v>0</v>
      </c>
      <c r="O57" s="22"/>
      <c r="P57" s="22"/>
      <c r="Q57" s="46">
        <f>D57+E57+F57+G57+H57+I57+J57+K57+L57+M57+N57+O57+P57</f>
        <v>135.84</v>
      </c>
      <c r="R57" s="22">
        <f t="shared" si="31"/>
        <v>11.32</v>
      </c>
      <c r="S57" s="22">
        <f>E58+F58+G58+H58+I58+J58+K58+L58+M58+N58+O58+P58</f>
        <v>8.1503999999999994</v>
      </c>
      <c r="T57" s="268">
        <f t="shared" si="32"/>
        <v>143.99039999999999</v>
      </c>
      <c r="V57" s="287"/>
    </row>
    <row r="58" spans="2:22">
      <c r="B58" s="162"/>
      <c r="C58" s="27"/>
      <c r="D58" s="163" t="s">
        <v>152</v>
      </c>
      <c r="E58" s="22">
        <f t="shared" si="33"/>
        <v>0.67920000000000003</v>
      </c>
      <c r="F58" s="22">
        <f t="shared" si="34"/>
        <v>0.67920000000000003</v>
      </c>
      <c r="G58" s="22">
        <f>(+D57+E57+F57+G57)*0.005</f>
        <v>0.67920000000000003</v>
      </c>
      <c r="H58" s="22">
        <f>(D57+E57+F57+G57+H57)*0.005</f>
        <v>0.67920000000000003</v>
      </c>
      <c r="I58" s="22">
        <f>(D57+E57+F57+G57+H57+I57)*0.005</f>
        <v>0.67920000000000003</v>
      </c>
      <c r="J58" s="22">
        <f>(D57+E57+F57+G57+H57+I57+J57)*0.005</f>
        <v>0.67920000000000003</v>
      </c>
      <c r="K58" s="22">
        <f>(D57+E57+F57+G57+H57+I57+J57+K57)*0.005</f>
        <v>0.67920000000000003</v>
      </c>
      <c r="L58" s="22">
        <f>(D57+E57+F57+G57+H57+I57+J57+K57+L57)*0.005</f>
        <v>0.67920000000000003</v>
      </c>
      <c r="M58" s="22">
        <f>(D57+E57+F57+G57+H57+I57+J57+K57+L57+M57)*0.005</f>
        <v>0.67920000000000003</v>
      </c>
      <c r="N58" s="22">
        <f>(D57+E57+F57+G57+H57+I57+J57+K57+L57+M57+N57)*0.005</f>
        <v>0.67920000000000003</v>
      </c>
      <c r="O58" s="22">
        <f>(D57+E57+F57+G57+H57+I57+J57+K57+L57+M57+N57+O57)*0.005</f>
        <v>0.67920000000000003</v>
      </c>
      <c r="P58" s="22">
        <f>(D57+E57+F57+G57+H57+I57+J57+K57+L57+M57+N57+O57+P57)*0.005</f>
        <v>0.67920000000000003</v>
      </c>
      <c r="Q58" s="46"/>
      <c r="R58" s="22"/>
      <c r="S58" s="22"/>
      <c r="T58" s="22"/>
      <c r="V58" s="229"/>
    </row>
    <row r="59" spans="2:22">
      <c r="B59" s="202">
        <v>23</v>
      </c>
      <c r="C59" s="20" t="s">
        <v>187</v>
      </c>
      <c r="D59" s="161">
        <v>11028.45</v>
      </c>
      <c r="E59" s="26"/>
      <c r="F59" s="26"/>
      <c r="G59" s="45"/>
      <c r="H59" s="45"/>
      <c r="I59" s="26"/>
      <c r="J59" s="45"/>
      <c r="K59" s="45"/>
      <c r="L59" s="45"/>
      <c r="M59" s="26"/>
      <c r="N59" s="45">
        <v>0</v>
      </c>
      <c r="O59" s="45"/>
      <c r="P59" s="45"/>
      <c r="Q59" s="46">
        <f>D59+E59+F59+G59+H59+I59+J59+K59+L59+M59+N59+O59+P59</f>
        <v>11028.45</v>
      </c>
      <c r="R59" s="45">
        <f t="shared" ref="R59:R63" si="35">Q59/12</f>
        <v>919.03750000000002</v>
      </c>
      <c r="S59" s="45">
        <f>E60+F60+G60+H60+I60+J60+K60+L60+M60+N60+O60+P60</f>
        <v>661.70699999999999</v>
      </c>
      <c r="T59" s="272">
        <f t="shared" ref="T59:T63" si="36">Q59+S59</f>
        <v>11690.157000000001</v>
      </c>
      <c r="V59" s="287"/>
    </row>
    <row r="60" spans="2:22">
      <c r="B60" s="162"/>
      <c r="C60" s="20"/>
      <c r="D60" s="163" t="s">
        <v>152</v>
      </c>
      <c r="E60" s="22">
        <f t="shared" ref="E60:E64" si="37">(D59+E59)*0.005</f>
        <v>55.142250000000004</v>
      </c>
      <c r="F60" s="22">
        <f t="shared" ref="F60:F64" si="38">(D59+E59+F59)*0.005</f>
        <v>55.142250000000004</v>
      </c>
      <c r="G60" s="22">
        <f>(+D59+E59+F59+G59)*0.005</f>
        <v>55.142250000000004</v>
      </c>
      <c r="H60" s="22">
        <f>(D59+E59+F59+G59+H59)*0.005</f>
        <v>55.142250000000004</v>
      </c>
      <c r="I60" s="22">
        <f>(D59+E59+F59+G59+H59+I59)*0.005</f>
        <v>55.142250000000004</v>
      </c>
      <c r="J60" s="22">
        <f>(D59+E59+F59+G59+H59+I59+J59)*0.005</f>
        <v>55.142250000000004</v>
      </c>
      <c r="K60" s="22">
        <f>(D59+E59+F59+G59+H59+I59+J59+K59)*0.005</f>
        <v>55.142250000000004</v>
      </c>
      <c r="L60" s="22">
        <f>(D59+E59+F59+G59+H59+I59+J59+K59+L59)*0.005</f>
        <v>55.142250000000004</v>
      </c>
      <c r="M60" s="22">
        <f>(D59+E59+F59+G59+H59+I59+J59+K59+L59+M59)*0.005</f>
        <v>55.142250000000004</v>
      </c>
      <c r="N60" s="22">
        <f>(D59+E59+F59+G59+H59+I59+J59+K59+L59+M59+N59)*0.005</f>
        <v>55.142250000000004</v>
      </c>
      <c r="O60" s="22">
        <f>(D59+E59+F59+G59+H59+I59+J59+K59+L59+M59+N59+O59)*0.005</f>
        <v>55.142250000000004</v>
      </c>
      <c r="P60" s="22">
        <f>(D59+E59+F59+G59+H59+I59+J59+K59+L59+M59+N59+O59+P59)*0.005</f>
        <v>55.142250000000004</v>
      </c>
      <c r="Q60" s="46"/>
      <c r="R60" s="22"/>
      <c r="S60" s="22"/>
      <c r="T60" s="22"/>
      <c r="V60" s="229"/>
    </row>
    <row r="61" spans="2:22">
      <c r="B61" s="202">
        <v>24</v>
      </c>
      <c r="C61" s="246" t="s">
        <v>234</v>
      </c>
      <c r="D61" s="161">
        <v>489.79</v>
      </c>
      <c r="E61" s="25"/>
      <c r="F61" s="25"/>
      <c r="G61" s="22"/>
      <c r="H61" s="22"/>
      <c r="I61" s="25"/>
      <c r="J61" s="22"/>
      <c r="K61" s="22"/>
      <c r="L61" s="22"/>
      <c r="M61" s="25"/>
      <c r="N61" s="22">
        <v>0</v>
      </c>
      <c r="O61" s="22"/>
      <c r="P61" s="22"/>
      <c r="Q61" s="46">
        <f>D61+E61+F61+G61+H61+I61+J61+K61+L61+M61+N61+O61+P61</f>
        <v>489.79</v>
      </c>
      <c r="R61" s="22">
        <f t="shared" si="35"/>
        <v>40.815833333333337</v>
      </c>
      <c r="S61" s="22">
        <f>E62+F62+G62+H62+I62+J62+K62+L62+M62+N62+O62+P62</f>
        <v>29.3874</v>
      </c>
      <c r="T61" s="268">
        <f t="shared" si="36"/>
        <v>519.17740000000003</v>
      </c>
      <c r="V61" s="229"/>
    </row>
    <row r="62" spans="2:22">
      <c r="B62" s="162"/>
      <c r="C62" s="20"/>
      <c r="D62" s="163" t="s">
        <v>152</v>
      </c>
      <c r="E62" s="22">
        <f t="shared" si="37"/>
        <v>2.44895</v>
      </c>
      <c r="F62" s="22">
        <f t="shared" si="38"/>
        <v>2.44895</v>
      </c>
      <c r="G62" s="22">
        <f>(+D61+E61+F61+G61)*0.005</f>
        <v>2.44895</v>
      </c>
      <c r="H62" s="22">
        <f>(D61+E61+F61+G61+H61)*0.005</f>
        <v>2.44895</v>
      </c>
      <c r="I62" s="22">
        <f>(D61+E61+F61+G61+H61+I61)*0.005</f>
        <v>2.44895</v>
      </c>
      <c r="J62" s="22">
        <f>(D61+E61+F61+G61+H61+I61+J61)*0.005</f>
        <v>2.44895</v>
      </c>
      <c r="K62" s="22">
        <f>(D61+E61+F61+G61+H61+I61+J61+K61)*0.005</f>
        <v>2.44895</v>
      </c>
      <c r="L62" s="22">
        <f>(D61+E61+F61+G61+H61+I61+J61+K61+L61)*0.005</f>
        <v>2.44895</v>
      </c>
      <c r="M62" s="22">
        <f>(D61+E61+F61+G61+H61+I61+J61+K61+L61+M61)*0.005</f>
        <v>2.44895</v>
      </c>
      <c r="N62" s="22">
        <f>(D61+E61+F61+G61+H61+I61+J61+K61+L61+M61+N61)*0.005</f>
        <v>2.44895</v>
      </c>
      <c r="O62" s="22">
        <f>(D61+E61+F61+G61+H61+I61+J61+K61+L61+M61+N61+O61)*0.005</f>
        <v>2.44895</v>
      </c>
      <c r="P62" s="22">
        <f>(D61+E61+F61+G61+H61+I61+J61+K61+L61+M61+N61+O61+P61)*0.005</f>
        <v>2.44895</v>
      </c>
      <c r="Q62" s="46"/>
      <c r="R62" s="22"/>
      <c r="S62" s="22"/>
      <c r="T62" s="22"/>
      <c r="V62" s="229"/>
    </row>
    <row r="63" spans="2:22">
      <c r="B63" s="202">
        <v>25</v>
      </c>
      <c r="C63" s="20" t="s">
        <v>189</v>
      </c>
      <c r="D63" s="161">
        <v>126.43</v>
      </c>
      <c r="E63" s="25"/>
      <c r="F63" s="25"/>
      <c r="G63" s="22"/>
      <c r="H63" s="22"/>
      <c r="I63" s="25"/>
      <c r="J63" s="22"/>
      <c r="K63" s="22"/>
      <c r="L63" s="22"/>
      <c r="M63" s="25"/>
      <c r="N63" s="22">
        <v>0</v>
      </c>
      <c r="O63" s="22"/>
      <c r="P63" s="22"/>
      <c r="Q63" s="46">
        <f>D63+E63+F63+G63+H63+I63+J63+K63+L63+M63+N63+O63+P63</f>
        <v>126.43</v>
      </c>
      <c r="R63" s="22">
        <f t="shared" si="35"/>
        <v>10.535833333333334</v>
      </c>
      <c r="S63" s="22">
        <f>E64+F64+G64+H64+I64+J64+K64+L64+M64+N64+O64+P64</f>
        <v>7.5858000000000017</v>
      </c>
      <c r="T63" s="268">
        <f t="shared" si="36"/>
        <v>134.01580000000001</v>
      </c>
      <c r="V63" s="229"/>
    </row>
    <row r="64" spans="2:22">
      <c r="B64" s="162"/>
      <c r="C64" s="20"/>
      <c r="D64" s="163" t="s">
        <v>152</v>
      </c>
      <c r="E64" s="22">
        <f t="shared" si="37"/>
        <v>0.6321500000000001</v>
      </c>
      <c r="F64" s="22">
        <f t="shared" si="38"/>
        <v>0.6321500000000001</v>
      </c>
      <c r="G64" s="22">
        <f>(+D63+E63+F63+G63)*0.005</f>
        <v>0.6321500000000001</v>
      </c>
      <c r="H64" s="22">
        <f>(D63+E63+F63+G63+H63)*0.005</f>
        <v>0.6321500000000001</v>
      </c>
      <c r="I64" s="22">
        <f>(D63+E63+F63+G63+H63+I63)*0.005</f>
        <v>0.6321500000000001</v>
      </c>
      <c r="J64" s="22">
        <f>(D63+E63+F63+G63+H63+I63+J63)*0.005</f>
        <v>0.6321500000000001</v>
      </c>
      <c r="K64" s="22">
        <f>(D63+E63+F63+G63+H63+I63+J63+K63)*0.005</f>
        <v>0.6321500000000001</v>
      </c>
      <c r="L64" s="22">
        <f>(D63+E63+F63+G63+H63+I63+J63+K63+L63)*0.005</f>
        <v>0.6321500000000001</v>
      </c>
      <c r="M64" s="22">
        <f>(D63+E63+F63+G63+H63+I63+J63+K63+L63+M63)*0.005</f>
        <v>0.6321500000000001</v>
      </c>
      <c r="N64" s="22">
        <f>(D63+E63+F63+G63+H63+I63+J63+K63+L63+M63+N63)*0.005</f>
        <v>0.6321500000000001</v>
      </c>
      <c r="O64" s="22">
        <f>(D63+E63+F63+G63+H63+I63+J63+K63+L63+M63+N63+O63)*0.005</f>
        <v>0.6321500000000001</v>
      </c>
      <c r="P64" s="22">
        <f>(D63+E63+F63+G63+H63+I63+J63+K63+L63+M63+N63+O63+P63)*0.005</f>
        <v>0.6321500000000001</v>
      </c>
      <c r="Q64" s="173"/>
      <c r="R64" s="22"/>
      <c r="S64" s="22"/>
      <c r="T64" s="22"/>
      <c r="V64" s="229"/>
    </row>
    <row r="65" spans="2:22">
      <c r="B65" s="162">
        <v>26</v>
      </c>
      <c r="C65" s="20" t="s">
        <v>190</v>
      </c>
      <c r="D65" s="161">
        <v>3144.83</v>
      </c>
      <c r="E65" s="25"/>
      <c r="F65" s="25"/>
      <c r="G65" s="22"/>
      <c r="H65" s="22"/>
      <c r="I65" s="25"/>
      <c r="J65" s="22"/>
      <c r="K65" s="22"/>
      <c r="L65" s="22"/>
      <c r="M65" s="25"/>
      <c r="N65" s="22">
        <v>0</v>
      </c>
      <c r="O65" s="22"/>
      <c r="P65" s="22"/>
      <c r="Q65" s="173">
        <f>D65+E65+F65+G65+H65+I65+J65+K65+L65+M65+N65+O65+P65</f>
        <v>3144.83</v>
      </c>
      <c r="R65" s="22">
        <f t="shared" ref="R65:R69" si="39">Q65/12</f>
        <v>262.06916666666666</v>
      </c>
      <c r="S65" s="22">
        <f>E66+F66+G66+H66+I66+J66+K66+L66+M66+N66+O66+P66</f>
        <v>188.68980000000002</v>
      </c>
      <c r="T65" s="268">
        <f t="shared" ref="T65:T69" si="40">Q65+S65</f>
        <v>3333.5198</v>
      </c>
      <c r="V65" s="229"/>
    </row>
    <row r="66" spans="2:22">
      <c r="B66" s="162"/>
      <c r="C66" s="20"/>
      <c r="D66" s="163" t="s">
        <v>152</v>
      </c>
      <c r="E66" s="22">
        <f t="shared" ref="E66:E70" si="41">(D65+E65)*0.005</f>
        <v>15.72415</v>
      </c>
      <c r="F66" s="22">
        <f t="shared" ref="F66:F70" si="42">(D65+E65+F65)*0.005</f>
        <v>15.72415</v>
      </c>
      <c r="G66" s="22">
        <f>(+D65+E65+F65+G65)*0.005</f>
        <v>15.72415</v>
      </c>
      <c r="H66" s="22">
        <f>(D65+E65+F65+G65+H65)*0.005</f>
        <v>15.72415</v>
      </c>
      <c r="I66" s="22">
        <f>(D65+E65+F65+G65+H65+I65)*0.005</f>
        <v>15.72415</v>
      </c>
      <c r="J66" s="22">
        <f>(D65+E65+F65+G65+H65+I65+J65)*0.005</f>
        <v>15.72415</v>
      </c>
      <c r="K66" s="22">
        <f>(D65+E65+F65+G65+H65+I65+J65+K65)*0.005</f>
        <v>15.72415</v>
      </c>
      <c r="L66" s="22">
        <f>(D65+E65+F65+G65+H65+I65+J65+K65+L65)*0.005</f>
        <v>15.72415</v>
      </c>
      <c r="M66" s="22">
        <f>(D65+E65+F65+G65+H65+I65+J65+K65+L65+M65)*0.005</f>
        <v>15.72415</v>
      </c>
      <c r="N66" s="22">
        <f>(D65+E65+F65+G65+H65+I65+J65+K65+L65+M65+N65)*0.005</f>
        <v>15.72415</v>
      </c>
      <c r="O66" s="22">
        <f>(D65+E65+F65+G65+H65+I65+J65+K65+L65+M65+N65+O65)*0.005</f>
        <v>15.72415</v>
      </c>
      <c r="P66" s="22">
        <f>(D65+E65+F65+G65+H65+I65+J65+K65+L65+M65+N65+O65+P65)*0.005</f>
        <v>15.72415</v>
      </c>
      <c r="Q66" s="173"/>
      <c r="R66" s="22"/>
      <c r="S66" s="22"/>
      <c r="T66" s="22"/>
      <c r="V66" s="229"/>
    </row>
    <row r="67" spans="2:22">
      <c r="B67" s="162">
        <v>27</v>
      </c>
      <c r="C67" s="20" t="s">
        <v>191</v>
      </c>
      <c r="D67" s="161">
        <v>1036.49</v>
      </c>
      <c r="E67" s="25"/>
      <c r="F67" s="25"/>
      <c r="G67" s="22"/>
      <c r="H67" s="22"/>
      <c r="I67" s="25"/>
      <c r="J67" s="22"/>
      <c r="K67" s="22">
        <v>0</v>
      </c>
      <c r="L67" s="22">
        <v>0</v>
      </c>
      <c r="M67" s="25"/>
      <c r="N67" s="22">
        <v>0</v>
      </c>
      <c r="O67" s="22"/>
      <c r="P67" s="22"/>
      <c r="Q67" s="173">
        <f>D67+E67+F67+G67+H67+I67+J67+K67+L67+M67+N67+O67+P67</f>
        <v>1036.49</v>
      </c>
      <c r="R67" s="22">
        <f t="shared" si="39"/>
        <v>86.374166666666667</v>
      </c>
      <c r="S67" s="22">
        <f>E68+F68+G68+H68+I68+J68+K68+L68+M68+N68+O68+P68</f>
        <v>62.189400000000013</v>
      </c>
      <c r="T67" s="268">
        <f t="shared" si="40"/>
        <v>1098.6794</v>
      </c>
      <c r="V67" s="229"/>
    </row>
    <row r="68" spans="2:22" ht="16.5" customHeight="1">
      <c r="B68" s="162"/>
      <c r="C68" s="20"/>
      <c r="D68" s="163" t="s">
        <v>152</v>
      </c>
      <c r="E68" s="22">
        <f t="shared" si="41"/>
        <v>5.1824500000000002</v>
      </c>
      <c r="F68" s="22">
        <f t="shared" si="42"/>
        <v>5.1824500000000002</v>
      </c>
      <c r="G68" s="22">
        <f>(+D67+E67+F67+G67)*0.005</f>
        <v>5.1824500000000002</v>
      </c>
      <c r="H68" s="22">
        <f>(D67+E67+F67+G67+H67)*0.005</f>
        <v>5.1824500000000002</v>
      </c>
      <c r="I68" s="22">
        <f>(D67+E67+F67+G67+H67+I67)*0.005</f>
        <v>5.1824500000000002</v>
      </c>
      <c r="J68" s="22">
        <f>(D67+E67+F67+G67+H67+I67+J67)*0.005</f>
        <v>5.1824500000000002</v>
      </c>
      <c r="K68" s="22">
        <f>(D67+E67+F67+G67+H67+I67+J67+K67)*0.005</f>
        <v>5.1824500000000002</v>
      </c>
      <c r="L68" s="22">
        <f>(D67+E67+F67+G67+H67+I67+J67+K67+L67)*0.005</f>
        <v>5.1824500000000002</v>
      </c>
      <c r="M68" s="22">
        <f>(D67+E67+F67+G67+H67+I67+J67+K67+L67+M67)*0.005</f>
        <v>5.1824500000000002</v>
      </c>
      <c r="N68" s="22">
        <f>(D67+E67+F67+G67+H67+I67+J67+K67+L67+M67+N67)*0.005</f>
        <v>5.1824500000000002</v>
      </c>
      <c r="O68" s="22">
        <f>(D67+E67+F67+G67+H67+I67+J67+K67+L67+M67+N67+O67)*0.005</f>
        <v>5.1824500000000002</v>
      </c>
      <c r="P68" s="22">
        <f>(D67+E67+F67+G67+H67+I67+J67+K67+L67+M67+N67+O67+P67)*0.005</f>
        <v>5.1824500000000002</v>
      </c>
      <c r="Q68" s="173"/>
      <c r="R68" s="77"/>
      <c r="S68" s="77"/>
      <c r="T68" s="77"/>
    </row>
    <row r="69" spans="2:22">
      <c r="B69" s="162">
        <v>28</v>
      </c>
      <c r="C69" s="20" t="s">
        <v>192</v>
      </c>
      <c r="D69" s="161">
        <v>1833.26</v>
      </c>
      <c r="E69" s="25"/>
      <c r="F69" s="25"/>
      <c r="G69" s="22"/>
      <c r="H69" s="22"/>
      <c r="I69" s="25"/>
      <c r="J69" s="22"/>
      <c r="K69" s="22"/>
      <c r="L69" s="22"/>
      <c r="M69" s="25"/>
      <c r="N69" s="22">
        <v>0</v>
      </c>
      <c r="O69" s="22"/>
      <c r="P69" s="22"/>
      <c r="Q69" s="173">
        <f>D69+E69+F69+G69+H69+I69+J69+K69+L69+M69+N69+O69+P69</f>
        <v>1833.26</v>
      </c>
      <c r="R69" s="22">
        <f t="shared" si="39"/>
        <v>152.77166666666668</v>
      </c>
      <c r="S69" s="22">
        <f>E70+F70+G70+H70+I70+J70+K70+L70+M70+N70+O70+P70</f>
        <v>109.99560000000002</v>
      </c>
      <c r="T69" s="268">
        <f t="shared" si="40"/>
        <v>1943.2556</v>
      </c>
      <c r="V69" s="229"/>
    </row>
    <row r="70" spans="2:22" ht="15" customHeight="1">
      <c r="B70" s="162"/>
      <c r="C70" s="20"/>
      <c r="D70" s="163" t="s">
        <v>152</v>
      </c>
      <c r="E70" s="22">
        <f t="shared" si="41"/>
        <v>9.1662999999999997</v>
      </c>
      <c r="F70" s="22">
        <f t="shared" si="42"/>
        <v>9.1662999999999997</v>
      </c>
      <c r="G70" s="22">
        <f>(+D69+E69+F69+G69)*0.005</f>
        <v>9.1662999999999997</v>
      </c>
      <c r="H70" s="22">
        <f>(D69+E69+F69+G69+H69)*0.005</f>
        <v>9.1662999999999997</v>
      </c>
      <c r="I70" s="22">
        <f>(D69+E69+F69+G69+H69+I69)*0.005</f>
        <v>9.1662999999999997</v>
      </c>
      <c r="J70" s="22">
        <f>(D69+E69+F69+G69+H69+I69+J69)*0.005</f>
        <v>9.1662999999999997</v>
      </c>
      <c r="K70" s="22">
        <f>(D69+E69+F69+G69+H69+I69+J69+K69)*0.005</f>
        <v>9.1662999999999997</v>
      </c>
      <c r="L70" s="22">
        <f>(D69+E69+F69+G69+H69+I69+J69+K69+L69)*0.005</f>
        <v>9.1662999999999997</v>
      </c>
      <c r="M70" s="22">
        <f>(D69+E69+F69+G69+H69+I69+J69+K69+L69+M69)*0.005</f>
        <v>9.1662999999999997</v>
      </c>
      <c r="N70" s="22">
        <f>(D69+E69+F69+G69+H69+I69+J69+K69+L69+M69+N69)*0.005</f>
        <v>9.1662999999999997</v>
      </c>
      <c r="O70" s="22">
        <f>(D69+E69+F69+G69+H69+I69+J69+K69+L69+M69+N69+O69)*0.005</f>
        <v>9.1662999999999997</v>
      </c>
      <c r="P70" s="22">
        <f>(D69+E69+F69+G69+H69+I69+J69+K69+L69+M69+N69+O69+P69)*0.005</f>
        <v>9.1662999999999997</v>
      </c>
      <c r="Q70" s="173"/>
      <c r="R70" s="77"/>
      <c r="S70" s="77"/>
      <c r="T70" s="77"/>
    </row>
    <row r="71" spans="2:22">
      <c r="B71" s="202">
        <v>29</v>
      </c>
      <c r="C71" s="20" t="s">
        <v>193</v>
      </c>
      <c r="D71" s="161">
        <v>4147.28</v>
      </c>
      <c r="E71" s="25"/>
      <c r="F71" s="25"/>
      <c r="G71" s="22"/>
      <c r="H71" s="22"/>
      <c r="I71" s="25"/>
      <c r="J71" s="22"/>
      <c r="K71" s="22"/>
      <c r="L71" s="22"/>
      <c r="M71" s="25"/>
      <c r="N71" s="22">
        <v>0</v>
      </c>
      <c r="O71" s="32"/>
      <c r="P71" s="22"/>
      <c r="Q71" s="173">
        <f>D71+E71+F71+G71+H71+I71+J71+K71+L71+M71+N71+O71+P71</f>
        <v>4147.28</v>
      </c>
      <c r="R71" s="22">
        <f t="shared" ref="R71:R75" si="43">Q71/12</f>
        <v>345.60666666666663</v>
      </c>
      <c r="S71" s="22">
        <f>E72+F72+G72+H72+I72+J72+K72+L72+M72+N72+O72+P72</f>
        <v>248.83680000000001</v>
      </c>
      <c r="T71" s="268">
        <f t="shared" ref="T71:T75" si="44">Q71+S71</f>
        <v>4396.1167999999998</v>
      </c>
      <c r="V71" s="229"/>
    </row>
    <row r="72" spans="2:22" ht="15" customHeight="1">
      <c r="B72" s="162"/>
      <c r="C72" s="20"/>
      <c r="D72" s="163" t="s">
        <v>152</v>
      </c>
      <c r="E72" s="22">
        <f t="shared" ref="E72:E76" si="45">(D71+E71)*0.005</f>
        <v>20.7364</v>
      </c>
      <c r="F72" s="22">
        <f t="shared" ref="F72:F76" si="46">(D71+E71+F71)*0.005</f>
        <v>20.7364</v>
      </c>
      <c r="G72" s="22">
        <f>(+D71+E71+F71+G71)*0.005</f>
        <v>20.7364</v>
      </c>
      <c r="H72" s="22">
        <f>(D71+E71+F71+G71+H71)*0.005</f>
        <v>20.7364</v>
      </c>
      <c r="I72" s="22">
        <f>(D71+E71+F71+G71+H71+I71)*0.005</f>
        <v>20.7364</v>
      </c>
      <c r="J72" s="22">
        <f>(D71+E71+F71+G71+H71+I71+J71)*0.005</f>
        <v>20.7364</v>
      </c>
      <c r="K72" s="22">
        <f>(D71+E71+F71+G71+H71+I71+J71+K71)*0.005</f>
        <v>20.7364</v>
      </c>
      <c r="L72" s="22">
        <f>(D71+E71+F71+G71+H71+I71+J71+K71+L71)*0.005</f>
        <v>20.7364</v>
      </c>
      <c r="M72" s="22">
        <f>(D71+E71+F71+G71+H71+I71+J71+K71+L71+M71)*0.005</f>
        <v>20.7364</v>
      </c>
      <c r="N72" s="22">
        <f>(D71+E71+F71+G71+H71+I71+J71+K71+L71+M71+N71)*0.005</f>
        <v>20.7364</v>
      </c>
      <c r="O72" s="22">
        <f>(D71+E71+F71+G71+H71+I71+J71+K71+L71+M71+N71+O71)*0.005</f>
        <v>20.7364</v>
      </c>
      <c r="P72" s="22">
        <f>(D71+E71+F71+G71+H71+I71+J71+K71+L71+M71+N71+O71+P71)*0.005</f>
        <v>20.7364</v>
      </c>
      <c r="Q72" s="173"/>
      <c r="R72" s="77"/>
      <c r="S72" s="77"/>
      <c r="T72" s="77"/>
    </row>
    <row r="73" spans="2:22">
      <c r="B73" s="202">
        <v>30</v>
      </c>
      <c r="C73" s="271" t="s">
        <v>235</v>
      </c>
      <c r="D73" s="161">
        <v>1244.6099999999999</v>
      </c>
      <c r="E73" s="25"/>
      <c r="F73" s="25"/>
      <c r="G73" s="22"/>
      <c r="H73" s="32"/>
      <c r="I73" s="25"/>
      <c r="J73" s="22"/>
      <c r="K73" s="22"/>
      <c r="L73" s="22"/>
      <c r="M73" s="25"/>
      <c r="N73" s="22">
        <v>0</v>
      </c>
      <c r="O73" s="22">
        <v>0</v>
      </c>
      <c r="P73" s="22"/>
      <c r="Q73" s="173">
        <f>D73+E73+F73+G73+H73+I73+J73+K73+L73+M73+N73+O73+P73</f>
        <v>1244.6099999999999</v>
      </c>
      <c r="R73" s="22">
        <f t="shared" si="43"/>
        <v>103.71749999999999</v>
      </c>
      <c r="S73" s="22">
        <f>E74+F74+G74+H74+I74+J74+K74+L74+M74+N74+O74+P74</f>
        <v>74.676599999999993</v>
      </c>
      <c r="T73" s="274">
        <f t="shared" si="44"/>
        <v>1319.2865999999999</v>
      </c>
      <c r="V73" s="229"/>
    </row>
    <row r="74" spans="2:22" ht="15" customHeight="1">
      <c r="B74" s="162"/>
      <c r="C74" s="20"/>
      <c r="D74" s="163" t="s">
        <v>152</v>
      </c>
      <c r="E74" s="22">
        <f t="shared" si="45"/>
        <v>6.2230499999999997</v>
      </c>
      <c r="F74" s="22">
        <f t="shared" si="46"/>
        <v>6.2230499999999997</v>
      </c>
      <c r="G74" s="22">
        <f>(+D73+E73+F73+G73)*0.005</f>
        <v>6.2230499999999997</v>
      </c>
      <c r="H74" s="22">
        <f>(D73+E73+F73+G73+H73)*0.005</f>
        <v>6.2230499999999997</v>
      </c>
      <c r="I74" s="22">
        <f>(D73+E73+F73+G73+H73+I73)*0.005</f>
        <v>6.2230499999999997</v>
      </c>
      <c r="J74" s="22">
        <f>(D73+E73+F73+G73+H73+I73+J73)*0.005</f>
        <v>6.2230499999999997</v>
      </c>
      <c r="K74" s="22">
        <f>(D73+E73+F73+G73+H73+I73+J73+K73)*0.005</f>
        <v>6.2230499999999997</v>
      </c>
      <c r="L74" s="22">
        <f>(D73+E73+F73+G73+H73+I73+J73+K73+L73)*0.005</f>
        <v>6.2230499999999997</v>
      </c>
      <c r="M74" s="22">
        <f>(D73+E73+F73+G73+H73+I73+J73+K73+L73+M73)*0.005</f>
        <v>6.2230499999999997</v>
      </c>
      <c r="N74" s="22">
        <f>(D73+E73+F73+G73+H73+I73+J73+K73+L73+M73+N73)*0.005</f>
        <v>6.2230499999999997</v>
      </c>
      <c r="O74" s="22">
        <f>(D73+E73+F73+G73+H73+I73+J73+K73+L73+M73+N73+O73)*0.005</f>
        <v>6.2230499999999997</v>
      </c>
      <c r="P74" s="22">
        <f>(D73+E73+F73+G73+H73+I73+J73+K73+L73+M73+N73+O73+P73)*0.005</f>
        <v>6.2230499999999997</v>
      </c>
      <c r="Q74" s="173"/>
      <c r="R74" s="77"/>
      <c r="S74" s="77"/>
      <c r="T74" s="77"/>
    </row>
    <row r="75" spans="2:22" ht="16.95" customHeight="1">
      <c r="B75" s="202">
        <v>31</v>
      </c>
      <c r="C75" s="271" t="s">
        <v>236</v>
      </c>
      <c r="D75" s="161">
        <v>4706.5600000000004</v>
      </c>
      <c r="E75" s="188"/>
      <c r="F75" s="188"/>
      <c r="G75" s="22"/>
      <c r="H75" s="164"/>
      <c r="I75" s="25"/>
      <c r="J75" s="164"/>
      <c r="K75" s="22"/>
      <c r="L75" s="22"/>
      <c r="M75" s="25"/>
      <c r="N75" s="22">
        <v>0</v>
      </c>
      <c r="O75" s="22">
        <v>0</v>
      </c>
      <c r="P75" s="273">
        <v>1000</v>
      </c>
      <c r="Q75" s="173">
        <f>D75+E75+F75+G75+H75+I75+J75+K75+L75+M75+N75+O75+P75</f>
        <v>5706.56</v>
      </c>
      <c r="R75" s="22">
        <f t="shared" si="43"/>
        <v>475.54666666666668</v>
      </c>
      <c r="S75" s="22">
        <f>E76+F76+G76+H76+I76+J76+K76+L76+M76+N76+O76+P76</f>
        <v>287.39360000000005</v>
      </c>
      <c r="T75" s="268">
        <f t="shared" si="44"/>
        <v>5993.9536000000007</v>
      </c>
      <c r="V75" s="229"/>
    </row>
    <row r="76" spans="2:22" ht="15" customHeight="1">
      <c r="B76" s="162"/>
      <c r="C76" s="20"/>
      <c r="D76" s="163" t="s">
        <v>152</v>
      </c>
      <c r="E76" s="22">
        <f t="shared" si="45"/>
        <v>23.532800000000002</v>
      </c>
      <c r="F76" s="22">
        <f t="shared" si="46"/>
        <v>23.532800000000002</v>
      </c>
      <c r="G76" s="22">
        <f>(+D75+E75+F75+G75)*0.005</f>
        <v>23.532800000000002</v>
      </c>
      <c r="H76" s="22">
        <f>(D75+E75+F75+G75+H75)*0.005</f>
        <v>23.532800000000002</v>
      </c>
      <c r="I76" s="22">
        <f>(D75+E75+F75+G75+H75+I75)*0.005</f>
        <v>23.532800000000002</v>
      </c>
      <c r="J76" s="22">
        <f>(D75+E75+F75+G75+H75+I75+J75)*0.005</f>
        <v>23.532800000000002</v>
      </c>
      <c r="K76" s="22">
        <f>(D75+E75+F75+G75+H75+I75+J75+K75)*0.005</f>
        <v>23.532800000000002</v>
      </c>
      <c r="L76" s="22">
        <f>(D75+E75+F75+G75+H75+I75+J75+K75+L75)*0.005</f>
        <v>23.532800000000002</v>
      </c>
      <c r="M76" s="22">
        <f>(D75+E75+F75+G75+H75+I75+J75+K75+L75+M75)*0.005</f>
        <v>23.532800000000002</v>
      </c>
      <c r="N76" s="22">
        <f>(D75+E75+F75+G75+H75+I75+J75+K75+L75+M75+N75)*0.005</f>
        <v>23.532800000000002</v>
      </c>
      <c r="O76" s="22">
        <f>(D75+E75+F75+G75+H75+I75+J75+K75+L75+M75+N75+O75)*0.005</f>
        <v>23.532800000000002</v>
      </c>
      <c r="P76" s="22">
        <f>(D75+E75+F75+G75+H75+I75+J75+K75+L75+M75+N75+O75+P75)*0.005</f>
        <v>28.532800000000002</v>
      </c>
      <c r="Q76" s="173"/>
      <c r="R76" s="77"/>
      <c r="S76" s="77"/>
      <c r="T76" s="77"/>
    </row>
    <row r="77" spans="2:22" ht="15" customHeight="1">
      <c r="B77" s="162">
        <v>32</v>
      </c>
      <c r="C77" s="20" t="s">
        <v>197</v>
      </c>
      <c r="D77" s="161">
        <v>46.29</v>
      </c>
      <c r="E77" s="188"/>
      <c r="F77" s="188"/>
      <c r="G77" s="22"/>
      <c r="H77" s="22"/>
      <c r="I77" s="25"/>
      <c r="J77" s="32"/>
      <c r="K77" s="22"/>
      <c r="L77" s="22"/>
      <c r="M77" s="25"/>
      <c r="N77" s="22">
        <v>0</v>
      </c>
      <c r="O77" s="22">
        <v>0</v>
      </c>
      <c r="P77" s="32"/>
      <c r="Q77" s="173">
        <f>D77+E77+F77+G77+H77+I77+J77+K77+L77+M77+N77+O77+P77</f>
        <v>46.29</v>
      </c>
      <c r="R77" s="22">
        <f t="shared" ref="R77:R83" si="47">Q77/12</f>
        <v>3.8574999999999999</v>
      </c>
      <c r="S77" s="22">
        <f>E78+F78+G78+H78+I78+J78+K78+L78+M78+N78+O78+P78</f>
        <v>2.7774000000000001</v>
      </c>
      <c r="T77" s="268">
        <f t="shared" ref="T77:T83" si="48">Q77+S77</f>
        <v>49.067399999999999</v>
      </c>
    </row>
    <row r="78" spans="2:22" ht="15" customHeight="1">
      <c r="B78" s="162"/>
      <c r="C78" s="20"/>
      <c r="D78" s="163" t="s">
        <v>152</v>
      </c>
      <c r="E78" s="22">
        <f t="shared" ref="E78:E84" si="49">(D77+E77)*0.005</f>
        <v>0.23144999999999999</v>
      </c>
      <c r="F78" s="22">
        <f t="shared" ref="F78:F84" si="50">(D77+E77+F77)*0.005</f>
        <v>0.23144999999999999</v>
      </c>
      <c r="G78" s="22">
        <f>(+D77+E77+F77+G77)*0.005</f>
        <v>0.23144999999999999</v>
      </c>
      <c r="H78" s="22">
        <f>(D77+E77+F77+G77+H77)*0.005</f>
        <v>0.23144999999999999</v>
      </c>
      <c r="I78" s="22">
        <f>(D77+E77+F77+G77+H77+I77)*0.005</f>
        <v>0.23144999999999999</v>
      </c>
      <c r="J78" s="22">
        <f>(D77+E77+F77+G77+H77+I77+J77)*0.005</f>
        <v>0.23144999999999999</v>
      </c>
      <c r="K78" s="22">
        <f>(D77+E77+F77+G77+H77+I77+J77+K77)*0.005</f>
        <v>0.23144999999999999</v>
      </c>
      <c r="L78" s="22">
        <f>(D77+E77+F77+G77+H77+I77+J77+K77+L77)*0.005</f>
        <v>0.23144999999999999</v>
      </c>
      <c r="M78" s="22">
        <f>(D77+E77+F77+G77+H77+I77+J77+K77+L77+M77)*0.005</f>
        <v>0.23144999999999999</v>
      </c>
      <c r="N78" s="22">
        <f>(D77+E77+F77+G77+H77+I77+J77+K77+L77+M77+N77)*0.005</f>
        <v>0.23144999999999999</v>
      </c>
      <c r="O78" s="22">
        <f>(D77+E77+F77+G77+H77+I77+J77+K77+L77+M77+N77+O77)*0.005</f>
        <v>0.23144999999999999</v>
      </c>
      <c r="P78" s="22">
        <f>(D77+E77+F77+G77+H77+I77+J77+K77+L77+M77+N77+O77+P77)*0.005</f>
        <v>0.23144999999999999</v>
      </c>
      <c r="Q78" s="173"/>
      <c r="R78" s="77"/>
      <c r="S78" s="77"/>
      <c r="T78" s="77"/>
    </row>
    <row r="79" spans="2:22" ht="15" customHeight="1">
      <c r="B79" s="168"/>
      <c r="C79" s="16"/>
      <c r="D79" s="281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205"/>
      <c r="R79" s="175"/>
      <c r="S79" s="175"/>
      <c r="T79" s="283" t="s">
        <v>246</v>
      </c>
    </row>
    <row r="80" spans="2:22" ht="15" customHeight="1">
      <c r="B80" s="170"/>
      <c r="C80" s="36"/>
      <c r="D80" s="282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206"/>
      <c r="R80" s="212"/>
      <c r="S80" s="212"/>
      <c r="T80" s="212"/>
    </row>
    <row r="81" spans="2:22" ht="17.55" customHeight="1">
      <c r="B81" s="202">
        <v>33</v>
      </c>
      <c r="C81" s="271" t="s">
        <v>238</v>
      </c>
      <c r="D81" s="161">
        <v>172.76</v>
      </c>
      <c r="E81" s="188"/>
      <c r="F81" s="188"/>
      <c r="G81" s="22"/>
      <c r="H81" s="22"/>
      <c r="I81" s="25"/>
      <c r="J81" s="32"/>
      <c r="K81" s="22"/>
      <c r="L81" s="22"/>
      <c r="M81" s="25"/>
      <c r="N81" s="22">
        <v>0</v>
      </c>
      <c r="O81" s="22">
        <v>0</v>
      </c>
      <c r="P81" s="32"/>
      <c r="Q81" s="173">
        <f>D81+E81+F81+G81+H81+I81+J81+K81+L81+M81+N81+O81+P81</f>
        <v>172.76</v>
      </c>
      <c r="R81" s="22">
        <f t="shared" si="47"/>
        <v>14.396666666666667</v>
      </c>
      <c r="S81" s="22">
        <f>E82+F82+G82+H82+I82+J82+K82+L82+M82+N82+O82+P82</f>
        <v>10.365600000000001</v>
      </c>
      <c r="T81" s="268">
        <f t="shared" si="48"/>
        <v>183.12559999999999</v>
      </c>
    </row>
    <row r="82" spans="2:22" ht="17.55" customHeight="1">
      <c r="B82" s="162"/>
      <c r="C82" s="20"/>
      <c r="D82" s="163" t="s">
        <v>152</v>
      </c>
      <c r="E82" s="22">
        <f t="shared" si="49"/>
        <v>0.86380000000000001</v>
      </c>
      <c r="F82" s="22">
        <f t="shared" si="50"/>
        <v>0.86380000000000001</v>
      </c>
      <c r="G82" s="22">
        <f>(+D81+E81+F81+G81)*0.005</f>
        <v>0.86380000000000001</v>
      </c>
      <c r="H82" s="22">
        <f>(D81+E81+F81+G81+H81)*0.005</f>
        <v>0.86380000000000001</v>
      </c>
      <c r="I82" s="22">
        <f>(D81+E81+F81+G81+H81+I81)*0.005</f>
        <v>0.86380000000000001</v>
      </c>
      <c r="J82" s="22">
        <f>(D81+E81+F81+G81+H81+I81+J81)*0.005</f>
        <v>0.86380000000000001</v>
      </c>
      <c r="K82" s="22">
        <f>(D81+E81+F81+G81+H81+I81+J81+K81)*0.005</f>
        <v>0.86380000000000001</v>
      </c>
      <c r="L82" s="22">
        <f>(D81+E81+F81+G81+H81+I81+J81+K81+L81)*0.005</f>
        <v>0.86380000000000001</v>
      </c>
      <c r="M82" s="22">
        <f>(D81+E81+F81+G81+H81+I81+J81+K81+L81+M81)*0.005</f>
        <v>0.86380000000000001</v>
      </c>
      <c r="N82" s="22">
        <f>(D81+E81+F81+G81+H81+I81+J81+K81+L81+M81+N81)*0.005</f>
        <v>0.86380000000000001</v>
      </c>
      <c r="O82" s="22">
        <f>(D81+E81+F81+G81+H81+I81+J81+K81+L81+M81+N81+O81)*0.005</f>
        <v>0.86380000000000001</v>
      </c>
      <c r="P82" s="22">
        <f>(D81+E81+F81+G81+H81+I81+J81+K81+L81+M81+N81+O81+P81)*0.005</f>
        <v>0.86380000000000001</v>
      </c>
      <c r="Q82" s="173"/>
      <c r="R82" s="77"/>
      <c r="S82" s="77"/>
      <c r="T82" s="77"/>
    </row>
    <row r="83" spans="2:22" ht="17.55" customHeight="1">
      <c r="B83" s="202">
        <v>34</v>
      </c>
      <c r="C83" s="20" t="s">
        <v>134</v>
      </c>
      <c r="D83" s="161">
        <f>502.5</f>
        <v>502.5</v>
      </c>
      <c r="E83" s="188"/>
      <c r="F83" s="188"/>
      <c r="G83" s="22"/>
      <c r="H83" s="22"/>
      <c r="I83" s="25"/>
      <c r="J83" s="32"/>
      <c r="K83" s="22"/>
      <c r="L83" s="22"/>
      <c r="M83" s="25"/>
      <c r="N83" s="22">
        <v>0</v>
      </c>
      <c r="O83" s="22">
        <v>0</v>
      </c>
      <c r="P83" s="273">
        <v>0</v>
      </c>
      <c r="Q83" s="173">
        <f>D83+E83+F83+G83+H83+I83+J83+K83+L83+M83+N83+O83+P83</f>
        <v>502.5</v>
      </c>
      <c r="R83" s="22">
        <f t="shared" si="47"/>
        <v>41.875</v>
      </c>
      <c r="S83" s="22">
        <f>E84+F84+G84+H84+I84+J84+K84+L84+M84+N84+O84+P84</f>
        <v>30.149999999999995</v>
      </c>
      <c r="T83" s="268">
        <f t="shared" si="48"/>
        <v>532.65</v>
      </c>
    </row>
    <row r="84" spans="2:22" ht="13.2" customHeight="1">
      <c r="B84" s="162"/>
      <c r="C84" s="20"/>
      <c r="D84" s="163" t="s">
        <v>152</v>
      </c>
      <c r="E84" s="22">
        <f t="shared" si="49"/>
        <v>2.5125000000000002</v>
      </c>
      <c r="F84" s="22">
        <f t="shared" si="50"/>
        <v>2.5125000000000002</v>
      </c>
      <c r="G84" s="22">
        <f>(+D83+E83+F83+G83)*0.005</f>
        <v>2.5125000000000002</v>
      </c>
      <c r="H84" s="22">
        <f>(D83+E83+F83+G83+H83)*0.005</f>
        <v>2.5125000000000002</v>
      </c>
      <c r="I84" s="22">
        <f>(D83+E83+F83+G83+H83+I83)*0.005</f>
        <v>2.5125000000000002</v>
      </c>
      <c r="J84" s="22">
        <f>(D83+E83+F83+G83+H83+I83+J83)*0.005</f>
        <v>2.5125000000000002</v>
      </c>
      <c r="K84" s="22">
        <f>(D83+E83+F83+G83+H83+I83+J83+K83)*0.005</f>
        <v>2.5125000000000002</v>
      </c>
      <c r="L84" s="22">
        <f>(D83+E83+F83+G83+H83+I83+J83+K83+L83)*0.005</f>
        <v>2.5125000000000002</v>
      </c>
      <c r="M84" s="22">
        <f>(D83+E83+F83+G83+H83+I83+J83+K83+L83+M83)*0.005</f>
        <v>2.5125000000000002</v>
      </c>
      <c r="N84" s="22">
        <f>(D83+E83+F83+G83+H83+I83+J83+K83+L83+M83+N83)*0.005</f>
        <v>2.5125000000000002</v>
      </c>
      <c r="O84" s="22">
        <f>(D83+E83+F83+G83+H83+I83+J83+K83+L83+M83+N83+O83)*0.005</f>
        <v>2.5125000000000002</v>
      </c>
      <c r="P84" s="22">
        <f>(D83+E83+F83+G83+H83+I83+J83+K83+L83+M83+N83+O83+P83)*0.005</f>
        <v>2.5125000000000002</v>
      </c>
      <c r="Q84" s="173"/>
      <c r="R84" s="77"/>
      <c r="S84" s="77"/>
      <c r="T84" s="77"/>
    </row>
    <row r="85" spans="2:22" ht="13.2" customHeight="1">
      <c r="B85" s="162">
        <v>35</v>
      </c>
      <c r="C85" s="246" t="str">
        <f>KIDDY2024!B14</f>
        <v>Demian Sabin C.  Jumao-as</v>
      </c>
      <c r="D85" s="161">
        <f>KIDDY2024!S14</f>
        <v>8785.1103999999996</v>
      </c>
      <c r="E85" s="188"/>
      <c r="F85" s="188"/>
      <c r="G85" s="22"/>
      <c r="H85" s="22"/>
      <c r="I85" s="25"/>
      <c r="J85" s="32"/>
      <c r="K85" s="22"/>
      <c r="L85" s="22"/>
      <c r="M85" s="25"/>
      <c r="N85" s="22">
        <v>0</v>
      </c>
      <c r="O85" s="22">
        <v>0</v>
      </c>
      <c r="P85" s="273">
        <v>0</v>
      </c>
      <c r="Q85" s="173">
        <f>D85+E85+F85+G85+H85+I85+J85+K85+L85+M85+N85+O85+P85</f>
        <v>8785.1103999999996</v>
      </c>
      <c r="R85" s="22">
        <f t="shared" ref="R85" si="51">Q85/12</f>
        <v>732.09253333333334</v>
      </c>
      <c r="S85" s="22">
        <f>E86+F86+G86+H86+I86+J86+K86+L86+M86+N86+O86+P86</f>
        <v>527.1066239999999</v>
      </c>
      <c r="T85" s="268">
        <f t="shared" ref="T85" si="52">Q85+S85</f>
        <v>9312.2170239999996</v>
      </c>
      <c r="V85" s="239">
        <f>Q85</f>
        <v>8785.1103999999996</v>
      </c>
    </row>
    <row r="86" spans="2:22" ht="13.2" customHeight="1">
      <c r="B86" s="162"/>
      <c r="C86" s="20"/>
      <c r="D86" s="163" t="s">
        <v>152</v>
      </c>
      <c r="E86" s="22">
        <f t="shared" ref="E86" si="53">(D85+E85)*0.005</f>
        <v>43.925551999999996</v>
      </c>
      <c r="F86" s="22">
        <f t="shared" ref="F86" si="54">(D85+E85+F85)*0.005</f>
        <v>43.925551999999996</v>
      </c>
      <c r="G86" s="22">
        <f>(+D85+E85+F85+G85)*0.005</f>
        <v>43.925551999999996</v>
      </c>
      <c r="H86" s="22">
        <f>(D85+E85+F85+G85+H85)*0.005</f>
        <v>43.925551999999996</v>
      </c>
      <c r="I86" s="22">
        <f>(D85+E85+F85+G85+H85+I85)*0.005</f>
        <v>43.925551999999996</v>
      </c>
      <c r="J86" s="22">
        <f>(D85+E85+F85+G85+H85+I85+J85)*0.005</f>
        <v>43.925551999999996</v>
      </c>
      <c r="K86" s="22">
        <f>(D85+E85+F85+G85+H85+I85+J85+K85)*0.005</f>
        <v>43.925551999999996</v>
      </c>
      <c r="L86" s="22">
        <f>(D85+E85+F85+G85+H85+I85+J85+K85+L85)*0.005</f>
        <v>43.925551999999996</v>
      </c>
      <c r="M86" s="22">
        <f>(D85+E85+F85+G85+H85+I85+J85+K85+L85+M85)*0.005</f>
        <v>43.925551999999996</v>
      </c>
      <c r="N86" s="22">
        <f>(D85+E85+F85+G85+H85+I85+J85+K85+L85+M85+N85)*0.005</f>
        <v>43.925551999999996</v>
      </c>
      <c r="O86" s="22">
        <f>(D85+E85+F85+G85+H85+I85+J85+K85+L85+M85+N85+O85)*0.005</f>
        <v>43.925551999999996</v>
      </c>
      <c r="P86" s="22">
        <f>(D85+E85+F85+G85+H85+I85+J85+K85+L85+M85+N85+O85+P85)*0.005</f>
        <v>43.925551999999996</v>
      </c>
      <c r="Q86" s="173"/>
      <c r="R86" s="77"/>
      <c r="S86" s="77"/>
      <c r="T86" s="77"/>
    </row>
    <row r="87" spans="2:22" ht="13.2" customHeight="1">
      <c r="B87" s="162">
        <v>36</v>
      </c>
      <c r="C87" s="246" t="str">
        <f>KIDDY2024!B16</f>
        <v>Izy Kaizer J.  Balao</v>
      </c>
      <c r="D87" s="161">
        <f>KIDDY2024!S16</f>
        <v>5976.7392</v>
      </c>
      <c r="E87" s="188"/>
      <c r="F87" s="188"/>
      <c r="G87" s="22"/>
      <c r="H87" s="22"/>
      <c r="I87" s="25"/>
      <c r="J87" s="32"/>
      <c r="K87" s="22"/>
      <c r="L87" s="22"/>
      <c r="M87" s="25"/>
      <c r="N87" s="22">
        <v>0</v>
      </c>
      <c r="O87" s="22">
        <v>0</v>
      </c>
      <c r="P87" s="273">
        <v>0</v>
      </c>
      <c r="Q87" s="173">
        <f>D87+E87+F87+G87+H87+I87+J87+K87+L87+M87+N87+O87+P87</f>
        <v>5976.7392</v>
      </c>
      <c r="R87" s="22">
        <f t="shared" ref="R87" si="55">Q87/12</f>
        <v>498.0616</v>
      </c>
      <c r="S87" s="22">
        <f>E88+F88+G88+H88+I88+J88+K88+L88+M88+N88+O88+P88</f>
        <v>358.60435199999989</v>
      </c>
      <c r="T87" s="268">
        <f t="shared" ref="T87" si="56">Q87+S87</f>
        <v>6335.3435520000003</v>
      </c>
      <c r="V87" s="239">
        <f>Q87</f>
        <v>5976.7392</v>
      </c>
    </row>
    <row r="88" spans="2:22" ht="13.2" customHeight="1">
      <c r="B88" s="162"/>
      <c r="C88" s="20"/>
      <c r="D88" s="163" t="s">
        <v>152</v>
      </c>
      <c r="E88" s="22">
        <f t="shared" ref="E88" si="57">(D87+E87)*0.005</f>
        <v>29.883696</v>
      </c>
      <c r="F88" s="22">
        <f t="shared" ref="F88" si="58">(D87+E87+F87)*0.005</f>
        <v>29.883696</v>
      </c>
      <c r="G88" s="22">
        <f>(+D87+E87+F87+G87)*0.005</f>
        <v>29.883696</v>
      </c>
      <c r="H88" s="22">
        <f>(D87+E87+F87+G87+H87)*0.005</f>
        <v>29.883696</v>
      </c>
      <c r="I88" s="22">
        <f>(D87+E87+F87+G87+H87+I87)*0.005</f>
        <v>29.883696</v>
      </c>
      <c r="J88" s="22">
        <f>(D87+E87+F87+G87+H87+I87+J87)*0.005</f>
        <v>29.883696</v>
      </c>
      <c r="K88" s="22">
        <f>(D87+E87+F87+G87+H87+I87+J87+K87)*0.005</f>
        <v>29.883696</v>
      </c>
      <c r="L88" s="22">
        <f>(D87+E87+F87+G87+H87+I87+J87+K87+L87)*0.005</f>
        <v>29.883696</v>
      </c>
      <c r="M88" s="22">
        <f>(D87+E87+F87+G87+H87+I87+J87+K87+L87+M87)*0.005</f>
        <v>29.883696</v>
      </c>
      <c r="N88" s="22">
        <f>(D87+E87+F87+G87+H87+I87+J87+K87+L87+M87+N87)*0.005</f>
        <v>29.883696</v>
      </c>
      <c r="O88" s="22">
        <f>(D87+E87+F87+G87+H87+I87+J87+K87+L87+M87+N87+O87)*0.005</f>
        <v>29.883696</v>
      </c>
      <c r="P88" s="22">
        <f>(D87+E87+F87+G87+H87+I87+J87+K87+L87+M87+N87+O87+P87)*0.005</f>
        <v>29.883696</v>
      </c>
      <c r="Q88" s="173"/>
      <c r="R88" s="77"/>
      <c r="S88" s="77"/>
      <c r="T88" s="77"/>
    </row>
    <row r="89" spans="2:22" ht="13.2" customHeight="1">
      <c r="B89" s="162">
        <v>37</v>
      </c>
      <c r="C89" s="246" t="str">
        <f>KIDDY2024!B18</f>
        <v>Alec Finlay J.  Balao</v>
      </c>
      <c r="D89" s="161">
        <f>KIDDY2024!S18</f>
        <v>5701.5255999999999</v>
      </c>
      <c r="E89" s="188"/>
      <c r="F89" s="188"/>
      <c r="G89" s="22"/>
      <c r="H89" s="22"/>
      <c r="I89" s="25"/>
      <c r="J89" s="32"/>
      <c r="K89" s="22"/>
      <c r="L89" s="22"/>
      <c r="M89" s="25"/>
      <c r="N89" s="22">
        <v>0</v>
      </c>
      <c r="O89" s="22">
        <v>0</v>
      </c>
      <c r="P89" s="273">
        <v>0</v>
      </c>
      <c r="Q89" s="173">
        <f>D89+E89+F89+G89+H89+I89+J89+K89+L89+M89+N89+O89+P89</f>
        <v>5701.5255999999999</v>
      </c>
      <c r="R89" s="22">
        <f t="shared" ref="R89" si="59">Q89/12</f>
        <v>475.12713333333335</v>
      </c>
      <c r="S89" s="22">
        <f>E90+F90+G90+H90+I90+J90+K90+L90+M90+N90+O90+P90</f>
        <v>342.09153600000008</v>
      </c>
      <c r="T89" s="268">
        <f t="shared" ref="T89" si="60">Q89+S89</f>
        <v>6043.6171359999998</v>
      </c>
      <c r="V89" s="239">
        <f>Q89</f>
        <v>5701.5255999999999</v>
      </c>
    </row>
    <row r="90" spans="2:22" ht="13.2" customHeight="1">
      <c r="B90" s="162"/>
      <c r="C90" s="20"/>
      <c r="D90" s="163" t="s">
        <v>152</v>
      </c>
      <c r="E90" s="22">
        <f t="shared" ref="E90" si="61">(D89+E89)*0.005</f>
        <v>28.507628</v>
      </c>
      <c r="F90" s="22">
        <f t="shared" ref="F90" si="62">(D89+E89+F89)*0.005</f>
        <v>28.507628</v>
      </c>
      <c r="G90" s="22">
        <f>(+D89+E89+F89+G89)*0.005</f>
        <v>28.507628</v>
      </c>
      <c r="H90" s="22">
        <f>(D89+E89+F89+G89+H89)*0.005</f>
        <v>28.507628</v>
      </c>
      <c r="I90" s="22">
        <f>(D89+E89+F89+G89+H89+I89)*0.005</f>
        <v>28.507628</v>
      </c>
      <c r="J90" s="22">
        <f>(D89+E89+F89+G89+H89+I89+J89)*0.005</f>
        <v>28.507628</v>
      </c>
      <c r="K90" s="22">
        <f>(D89+E89+F89+G89+H89+I89+J89+K89)*0.005</f>
        <v>28.507628</v>
      </c>
      <c r="L90" s="22">
        <f>(D89+E89+F89+G89+H89+I89+J89+K89+L89)*0.005</f>
        <v>28.507628</v>
      </c>
      <c r="M90" s="22">
        <f>(D89+E89+F89+G89+H89+I89+J89+K89+L89+M89)*0.005</f>
        <v>28.507628</v>
      </c>
      <c r="N90" s="22">
        <f>(D89+E89+F89+G89+H89+I89+J89+K89+L89+M89+N89)*0.005</f>
        <v>28.507628</v>
      </c>
      <c r="O90" s="22">
        <f>(D89+E89+F89+G89+H89+I89+J89+K89+L89+M89+N89+O89)*0.005</f>
        <v>28.507628</v>
      </c>
      <c r="P90" s="22">
        <f>(D89+E89+F89+G89+H89+I89+J89+K89+L89+M89+N89+O89+P89)*0.005</f>
        <v>28.507628</v>
      </c>
      <c r="Q90" s="173"/>
      <c r="R90" s="77"/>
      <c r="S90" s="77"/>
      <c r="T90" s="77"/>
    </row>
    <row r="91" spans="2:22" ht="13.2" customHeight="1">
      <c r="B91" s="162">
        <v>38</v>
      </c>
      <c r="C91" s="246" t="str">
        <f>KIDDY2024!B26</f>
        <v>Casy Marie D.  Cruz</v>
      </c>
      <c r="D91" s="161">
        <f>KIDDY2024!S26</f>
        <v>841.69299999999998</v>
      </c>
      <c r="E91" s="188"/>
      <c r="F91" s="188"/>
      <c r="G91" s="22"/>
      <c r="H91" s="22"/>
      <c r="I91" s="25"/>
      <c r="J91" s="32"/>
      <c r="K91" s="22"/>
      <c r="L91" s="22"/>
      <c r="M91" s="25"/>
      <c r="N91" s="22">
        <v>0</v>
      </c>
      <c r="O91" s="22">
        <v>0</v>
      </c>
      <c r="P91" s="273">
        <v>0</v>
      </c>
      <c r="Q91" s="173">
        <f>D91+E91+F91+G91+H91+I91+J91+K91+L91+M91+N91+O91+P91</f>
        <v>841.69299999999998</v>
      </c>
      <c r="R91" s="22">
        <f t="shared" ref="R91" si="63">Q91/12</f>
        <v>70.141083333333327</v>
      </c>
      <c r="S91" s="22">
        <f>E92+F92+G92+H92+I92+J92+K92+L92+M92+N92+O92+P92</f>
        <v>50.501580000000018</v>
      </c>
      <c r="T91" s="268">
        <f t="shared" ref="T91" si="64">Q91+S91</f>
        <v>892.19457999999997</v>
      </c>
      <c r="V91" s="239">
        <f>Q91</f>
        <v>841.69299999999998</v>
      </c>
    </row>
    <row r="92" spans="2:22" ht="13.2" customHeight="1">
      <c r="B92" s="162"/>
      <c r="C92" s="20"/>
      <c r="D92" s="163" t="s">
        <v>152</v>
      </c>
      <c r="E92" s="22">
        <f t="shared" ref="E92" si="65">(D91+E91)*0.005</f>
        <v>4.2084650000000003</v>
      </c>
      <c r="F92" s="22">
        <f t="shared" ref="F92" si="66">(D91+E91+F91)*0.005</f>
        <v>4.2084650000000003</v>
      </c>
      <c r="G92" s="22">
        <f>(+D91+E91+F91+G91)*0.005</f>
        <v>4.2084650000000003</v>
      </c>
      <c r="H92" s="22">
        <f>(D91+E91+F91+G91+H91)*0.005</f>
        <v>4.2084650000000003</v>
      </c>
      <c r="I92" s="22">
        <f>(D91+E91+F91+G91+H91+I91)*0.005</f>
        <v>4.2084650000000003</v>
      </c>
      <c r="J92" s="22">
        <f>(D91+E91+F91+G91+H91+I91+J91)*0.005</f>
        <v>4.2084650000000003</v>
      </c>
      <c r="K92" s="22">
        <f>(D91+E91+F91+G91+H91+I91+J91+K91)*0.005</f>
        <v>4.2084650000000003</v>
      </c>
      <c r="L92" s="22">
        <f>(D91+E91+F91+G91+H91+I91+J91+K91+L91)*0.005</f>
        <v>4.2084650000000003</v>
      </c>
      <c r="M92" s="22">
        <f>(D91+E91+F91+G91+H91+I91+J91+K91+L91+M91)*0.005</f>
        <v>4.2084650000000003</v>
      </c>
      <c r="N92" s="22">
        <f>(D91+E91+F91+G91+H91+I91+J91+K91+L91+M91+N91)*0.005</f>
        <v>4.2084650000000003</v>
      </c>
      <c r="O92" s="22">
        <f>(D91+E91+F91+G91+H91+I91+J91+K91+L91+M91+N91+O91)*0.005</f>
        <v>4.2084650000000003</v>
      </c>
      <c r="P92" s="22">
        <f>(D91+E91+F91+G91+H91+I91+J91+K91+L91+M91+N91+O91+P91)*0.005</f>
        <v>4.2084650000000003</v>
      </c>
      <c r="Q92" s="173"/>
      <c r="R92" s="77"/>
      <c r="S92" s="77"/>
      <c r="T92" s="77"/>
    </row>
    <row r="93" spans="2:22" ht="13.2" customHeight="1">
      <c r="B93" s="162">
        <v>39</v>
      </c>
      <c r="C93" s="246" t="str">
        <f>KIDDY2024!B32</f>
        <v>Serg Mateo M.  Villamor</v>
      </c>
      <c r="D93" s="161">
        <f>KIDDY2024!S32</f>
        <v>1363.3026500000001</v>
      </c>
      <c r="E93" s="188"/>
      <c r="F93" s="188"/>
      <c r="G93" s="22"/>
      <c r="H93" s="22"/>
      <c r="I93" s="25"/>
      <c r="J93" s="32"/>
      <c r="K93" s="22"/>
      <c r="L93" s="22"/>
      <c r="M93" s="25"/>
      <c r="N93" s="22">
        <v>0</v>
      </c>
      <c r="O93" s="22">
        <v>0</v>
      </c>
      <c r="P93" s="273">
        <v>0</v>
      </c>
      <c r="Q93" s="173">
        <f>D93+E93+F93+G93+H93+I93+J93+K93+L93+M93+N93+O93+P93</f>
        <v>1363.3026500000001</v>
      </c>
      <c r="R93" s="22">
        <f t="shared" ref="R93" si="67">Q93/12</f>
        <v>113.60855416666668</v>
      </c>
      <c r="S93" s="22">
        <f>E94+F94+G94+H94+I94+J94+K94+L94+M94+N94+O94+P94</f>
        <v>81.798159000000012</v>
      </c>
      <c r="T93" s="268">
        <f t="shared" ref="T93" si="68">Q93+S93</f>
        <v>1445.100809</v>
      </c>
      <c r="V93" s="239">
        <f>Q93</f>
        <v>1363.3026500000001</v>
      </c>
    </row>
    <row r="94" spans="2:22" ht="13.2" customHeight="1">
      <c r="B94" s="162"/>
      <c r="C94" s="20"/>
      <c r="D94" s="163" t="s">
        <v>152</v>
      </c>
      <c r="E94" s="22">
        <f t="shared" ref="E94" si="69">(D93+E93)*0.005</f>
        <v>6.8165132500000007</v>
      </c>
      <c r="F94" s="22">
        <f t="shared" ref="F94" si="70">(D93+E93+F93)*0.005</f>
        <v>6.8165132500000007</v>
      </c>
      <c r="G94" s="22">
        <f>(+D93+E93+F93+G93)*0.005</f>
        <v>6.8165132500000007</v>
      </c>
      <c r="H94" s="22">
        <f>(D93+E93+F93+G93+H93)*0.005</f>
        <v>6.8165132500000007</v>
      </c>
      <c r="I94" s="22">
        <f>(D93+E93+F93+G93+H93+I93)*0.005</f>
        <v>6.8165132500000007</v>
      </c>
      <c r="J94" s="22">
        <f>(D93+E93+F93+G93+H93+I93+J93)*0.005</f>
        <v>6.8165132500000007</v>
      </c>
      <c r="K94" s="22">
        <f>(D93+E93+F93+G93+H93+I93+J93+K93)*0.005</f>
        <v>6.8165132500000007</v>
      </c>
      <c r="L94" s="22">
        <f>(D93+E93+F93+G93+H93+I93+J93+K93+L93)*0.005</f>
        <v>6.8165132500000007</v>
      </c>
      <c r="M94" s="22">
        <f>(D93+E93+F93+G93+H93+I93+J93+K93+L93+M93)*0.005</f>
        <v>6.8165132500000007</v>
      </c>
      <c r="N94" s="22">
        <f>(D93+E93+F93+G93+H93+I93+J93+K93+L93+M93+N93)*0.005</f>
        <v>6.8165132500000007</v>
      </c>
      <c r="O94" s="22">
        <f>(D93+E93+F93+G93+H93+I93+J93+K93+L93+M93+N93+O93)*0.005</f>
        <v>6.8165132500000007</v>
      </c>
      <c r="P94" s="22">
        <f>(D93+E93+F93+G93+H93+I93+J93+K93+L93+M93+N93+O93+P93)*0.005</f>
        <v>6.8165132500000007</v>
      </c>
      <c r="Q94" s="173"/>
      <c r="R94" s="77"/>
      <c r="S94" s="77"/>
      <c r="T94" s="77"/>
    </row>
    <row r="95" spans="2:22" ht="13.2" customHeight="1">
      <c r="B95" s="162">
        <v>40</v>
      </c>
      <c r="C95" s="246" t="str">
        <f>KIDDY2024!B36</f>
        <v>Yvo Rafiel  Samson</v>
      </c>
      <c r="D95" s="161">
        <f>KIDDY2024!S36</f>
        <v>2550.4659999999999</v>
      </c>
      <c r="E95" s="188"/>
      <c r="F95" s="188"/>
      <c r="G95" s="22"/>
      <c r="H95" s="22"/>
      <c r="I95" s="25"/>
      <c r="J95" s="32"/>
      <c r="K95" s="22"/>
      <c r="L95" s="22"/>
      <c r="M95" s="25"/>
      <c r="N95" s="22">
        <v>0</v>
      </c>
      <c r="O95" s="22">
        <v>0</v>
      </c>
      <c r="P95" s="273">
        <v>0</v>
      </c>
      <c r="Q95" s="173">
        <f>D95+E95+F95+G95+H95+I95+J95+K95+L95+M95+N95+O95+P95</f>
        <v>2550.4659999999999</v>
      </c>
      <c r="R95" s="22">
        <f t="shared" ref="R95" si="71">Q95/12</f>
        <v>212.53883333333332</v>
      </c>
      <c r="S95" s="22">
        <f>E96+F96+G96+H96+I96+J96+K96+L96+M96+N96+O96+P96</f>
        <v>153.02796000000001</v>
      </c>
      <c r="T95" s="268">
        <f t="shared" ref="T95" si="72">Q95+S95</f>
        <v>2703.4939599999998</v>
      </c>
      <c r="V95" s="239">
        <f>Q95</f>
        <v>2550.4659999999999</v>
      </c>
    </row>
    <row r="96" spans="2:22" ht="13.2" customHeight="1">
      <c r="B96" s="162"/>
      <c r="C96" s="20"/>
      <c r="D96" s="163" t="s">
        <v>152</v>
      </c>
      <c r="E96" s="22">
        <f t="shared" ref="E96" si="73">(D95+E95)*0.005</f>
        <v>12.752330000000001</v>
      </c>
      <c r="F96" s="22">
        <f t="shared" ref="F96" si="74">(D95+E95+F95)*0.005</f>
        <v>12.752330000000001</v>
      </c>
      <c r="G96" s="22">
        <f>(+D95+E95+F95+G95)*0.005</f>
        <v>12.752330000000001</v>
      </c>
      <c r="H96" s="22">
        <f>(D95+E95+F95+G95+H95)*0.005</f>
        <v>12.752330000000001</v>
      </c>
      <c r="I96" s="22">
        <f>(D95+E95+F95+G95+H95+I95)*0.005</f>
        <v>12.752330000000001</v>
      </c>
      <c r="J96" s="22">
        <f>(D95+E95+F95+G95+H95+I95+J95)*0.005</f>
        <v>12.752330000000001</v>
      </c>
      <c r="K96" s="22">
        <f>(D95+E95+F95+G95+H95+I95+J95+K95)*0.005</f>
        <v>12.752330000000001</v>
      </c>
      <c r="L96" s="22">
        <f>(D95+E95+F95+G95+H95+I95+J95+K95+L95)*0.005</f>
        <v>12.752330000000001</v>
      </c>
      <c r="M96" s="22">
        <f>(D95+E95+F95+G95+H95+I95+J95+K95+L95+M95)*0.005</f>
        <v>12.752330000000001</v>
      </c>
      <c r="N96" s="22">
        <f>(D95+E95+F95+G95+H95+I95+J95+K95+L95+M95+N95)*0.005</f>
        <v>12.752330000000001</v>
      </c>
      <c r="O96" s="22">
        <f>(D95+E95+F95+G95+H95+I95+J95+K95+L95+M95+N95+O95)*0.005</f>
        <v>12.752330000000001</v>
      </c>
      <c r="P96" s="22">
        <f>(D95+E95+F95+G95+H95+I95+J95+K95+L95+M95+N95+O95+P95)*0.005</f>
        <v>12.752330000000001</v>
      </c>
      <c r="Q96" s="173"/>
      <c r="R96" s="77"/>
      <c r="S96" s="77"/>
      <c r="T96" s="77"/>
    </row>
    <row r="97" spans="2:22" ht="13.2" customHeight="1">
      <c r="B97" s="162">
        <v>41</v>
      </c>
      <c r="C97" s="246" t="str">
        <f>KIDDY2024!B34</f>
        <v>Rica M.  Cruz</v>
      </c>
      <c r="D97" s="161">
        <f>KIDDY2024!S34</f>
        <v>200</v>
      </c>
      <c r="E97" s="188"/>
      <c r="F97" s="188"/>
      <c r="G97" s="22"/>
      <c r="H97" s="22"/>
      <c r="I97" s="25"/>
      <c r="J97" s="32"/>
      <c r="K97" s="22"/>
      <c r="L97" s="22"/>
      <c r="M97" s="25"/>
      <c r="N97" s="22">
        <v>0</v>
      </c>
      <c r="O97" s="22">
        <v>0</v>
      </c>
      <c r="P97" s="273">
        <v>0</v>
      </c>
      <c r="Q97" s="173">
        <f>D97+E97+F97+G97+H97+I97+J97+K97+L97+M97+N97+O97+P97</f>
        <v>200</v>
      </c>
      <c r="R97" s="22">
        <f t="shared" ref="R97" si="75">Q97/12</f>
        <v>16.666666666666668</v>
      </c>
      <c r="S97" s="22">
        <f>E98+F98+G98+H98+I98+J98+K98+L98+M98+N98+O98+P98</f>
        <v>12</v>
      </c>
      <c r="T97" s="268">
        <f t="shared" ref="T97" si="76">Q97+S97</f>
        <v>212</v>
      </c>
      <c r="V97" s="239">
        <f>Q97</f>
        <v>200</v>
      </c>
    </row>
    <row r="98" spans="2:22" ht="13.2" customHeight="1">
      <c r="B98" s="162"/>
      <c r="C98" s="20"/>
      <c r="D98" s="163" t="s">
        <v>152</v>
      </c>
      <c r="E98" s="22">
        <f t="shared" ref="E98" si="77">(D97+E97)*0.005</f>
        <v>1</v>
      </c>
      <c r="F98" s="22">
        <f t="shared" ref="F98" si="78">(D97+E97+F97)*0.005</f>
        <v>1</v>
      </c>
      <c r="G98" s="22">
        <f>(+D97+E97+F97+G97)*0.005</f>
        <v>1</v>
      </c>
      <c r="H98" s="22">
        <f>(D97+E97+F97+G97+H97)*0.005</f>
        <v>1</v>
      </c>
      <c r="I98" s="22">
        <f>(D97+E97+F97+G97+H97+I97)*0.005</f>
        <v>1</v>
      </c>
      <c r="J98" s="22">
        <f>(D97+E97+F97+G97+H97+I97+J97)*0.005</f>
        <v>1</v>
      </c>
      <c r="K98" s="22">
        <f>(D97+E97+F97+G97+H97+I97+J97+K97)*0.005</f>
        <v>1</v>
      </c>
      <c r="L98" s="22">
        <f>(D97+E97+F97+G97+H97+I97+J97+K97+L97)*0.005</f>
        <v>1</v>
      </c>
      <c r="M98" s="22">
        <f>(D97+E97+F97+G97+H97+I97+J97+K97+L97+M97)*0.005</f>
        <v>1</v>
      </c>
      <c r="N98" s="22">
        <f>(D97+E97+F97+G97+H97+I97+J97+K97+L97+M97+N97)*0.005</f>
        <v>1</v>
      </c>
      <c r="O98" s="22">
        <f>(D97+E97+F97+G97+H97+I97+J97+K97+L97+M97+N97+O97)*0.005</f>
        <v>1</v>
      </c>
      <c r="P98" s="22">
        <f>(D97+E97+F97+G97+H97+I97+J97+K97+L97+M97+N97+O97+P97)*0.005</f>
        <v>1</v>
      </c>
      <c r="Q98" s="173"/>
      <c r="R98" s="77"/>
      <c r="S98" s="77"/>
      <c r="T98" s="77"/>
    </row>
    <row r="99" spans="2:22" ht="13.2" customHeight="1">
      <c r="B99" s="162">
        <v>42</v>
      </c>
      <c r="C99" s="246" t="str">
        <f>KIDDY2024!B20</f>
        <v>Georgette Ann  Cabahug</v>
      </c>
      <c r="D99" s="161">
        <f>KIDDY2024!S20</f>
        <v>50</v>
      </c>
      <c r="E99" s="188"/>
      <c r="F99" s="188"/>
      <c r="G99" s="22"/>
      <c r="H99" s="22"/>
      <c r="I99" s="25"/>
      <c r="J99" s="32"/>
      <c r="K99" s="22"/>
      <c r="L99" s="22"/>
      <c r="M99" s="25"/>
      <c r="N99" s="22">
        <v>0</v>
      </c>
      <c r="O99" s="22">
        <v>0</v>
      </c>
      <c r="P99" s="273">
        <v>0</v>
      </c>
      <c r="Q99" s="173">
        <f>D99+E99+F99+G99+H99+I99+J99+K99+L99+M99+N99+O99+P99</f>
        <v>50</v>
      </c>
      <c r="R99" s="22">
        <f t="shared" ref="R99" si="79">Q99/12</f>
        <v>4.166666666666667</v>
      </c>
      <c r="S99" s="22">
        <f>E100+F100+G100+H100+I100+J100+K100+L100+M100+N100+O100+P100</f>
        <v>3</v>
      </c>
      <c r="T99" s="268">
        <f t="shared" ref="T99" si="80">Q99+S99</f>
        <v>53</v>
      </c>
      <c r="V99" s="239">
        <f>Q99</f>
        <v>50</v>
      </c>
    </row>
    <row r="100" spans="2:22" ht="13.2" customHeight="1">
      <c r="B100" s="162"/>
      <c r="C100" s="20"/>
      <c r="D100" s="163" t="s">
        <v>152</v>
      </c>
      <c r="E100" s="22">
        <f t="shared" ref="E100" si="81">(D99+E99)*0.005</f>
        <v>0.25</v>
      </c>
      <c r="F100" s="22">
        <f t="shared" ref="F100" si="82">(D99+E99+F99)*0.005</f>
        <v>0.25</v>
      </c>
      <c r="G100" s="22">
        <f>(+D99+E99+F99+G99)*0.005</f>
        <v>0.25</v>
      </c>
      <c r="H100" s="22">
        <f>(D99+E99+F99+G99+H99)*0.005</f>
        <v>0.25</v>
      </c>
      <c r="I100" s="22">
        <f>(D99+E99+F99+G99+H99+I99)*0.005</f>
        <v>0.25</v>
      </c>
      <c r="J100" s="22">
        <f>(D99+E99+F99+G99+H99+I99+J99)*0.005</f>
        <v>0.25</v>
      </c>
      <c r="K100" s="22">
        <f>(D99+E99+F99+G99+H99+I99+J99+K99)*0.005</f>
        <v>0.25</v>
      </c>
      <c r="L100" s="22">
        <f>(D99+E99+F99+G99+H99+I99+J99+K99+L99)*0.005</f>
        <v>0.25</v>
      </c>
      <c r="M100" s="22">
        <f>(D99+E99+F99+G99+H99+I99+J99+K99+L99+M99)*0.005</f>
        <v>0.25</v>
      </c>
      <c r="N100" s="22">
        <f>(D99+E99+F99+G99+H99+I99+J99+K99+L99+M99+N99)*0.005</f>
        <v>0.25</v>
      </c>
      <c r="O100" s="22">
        <f>(D99+E99+F99+G99+H99+I99+J99+K99+L99+M99+N99+O99)*0.005</f>
        <v>0.25</v>
      </c>
      <c r="P100" s="22">
        <f>(D99+E99+F99+G99+H99+I99+J99+K99+L99+M99+N99+O99+P99)*0.005</f>
        <v>0.25</v>
      </c>
      <c r="Q100" s="173"/>
      <c r="R100" s="77"/>
      <c r="S100" s="77"/>
      <c r="T100" s="77"/>
    </row>
    <row r="101" spans="2:22" ht="13.2" customHeight="1">
      <c r="B101" s="162">
        <v>43</v>
      </c>
      <c r="C101" s="246" t="str">
        <f>KIDDY2024!B22</f>
        <v>Luna Mikaela C.  Apay</v>
      </c>
      <c r="D101" s="161">
        <f>KIDDY2024!S22</f>
        <v>50</v>
      </c>
      <c r="E101" s="188"/>
      <c r="F101" s="188"/>
      <c r="G101" s="22"/>
      <c r="H101" s="22"/>
      <c r="I101" s="25"/>
      <c r="J101" s="32"/>
      <c r="K101" s="22"/>
      <c r="L101" s="22"/>
      <c r="M101" s="25"/>
      <c r="N101" s="22">
        <v>0</v>
      </c>
      <c r="O101" s="22">
        <v>0</v>
      </c>
      <c r="P101" s="273">
        <v>0</v>
      </c>
      <c r="Q101" s="173">
        <f>D101+E101+F101+G101+H101+I101+J101+K101+L101+M101+N101+O101+P101</f>
        <v>50</v>
      </c>
      <c r="R101" s="22">
        <f t="shared" ref="R101" si="83">Q101/12</f>
        <v>4.166666666666667</v>
      </c>
      <c r="S101" s="22">
        <f>E102+F102+G102+H102+I102+J102+K102+L102+M102+N102+O102+P102</f>
        <v>3</v>
      </c>
      <c r="T101" s="268">
        <f t="shared" ref="T101" si="84">Q101+S101</f>
        <v>53</v>
      </c>
      <c r="V101" s="239">
        <f>Q101</f>
        <v>50</v>
      </c>
    </row>
    <row r="102" spans="2:22" ht="13.2" customHeight="1">
      <c r="B102" s="162"/>
      <c r="C102" s="20"/>
      <c r="D102" s="163" t="s">
        <v>152</v>
      </c>
      <c r="E102" s="22">
        <f t="shared" ref="E102" si="85">(D101+E101)*0.005</f>
        <v>0.25</v>
      </c>
      <c r="F102" s="22">
        <f t="shared" ref="F102" si="86">(D101+E101+F101)*0.005</f>
        <v>0.25</v>
      </c>
      <c r="G102" s="22">
        <f>(+D101+E101+F101+G101)*0.005</f>
        <v>0.25</v>
      </c>
      <c r="H102" s="22">
        <f>(D101+E101+F101+G101+H101)*0.005</f>
        <v>0.25</v>
      </c>
      <c r="I102" s="22">
        <f>(D101+E101+F101+G101+H101+I101)*0.005</f>
        <v>0.25</v>
      </c>
      <c r="J102" s="22">
        <f>(D101+E101+F101+G101+H101+I101+J101)*0.005</f>
        <v>0.25</v>
      </c>
      <c r="K102" s="22">
        <f>(D101+E101+F101+G101+H101+I101+J101+K101)*0.005</f>
        <v>0.25</v>
      </c>
      <c r="L102" s="22">
        <f>(D101+E101+F101+G101+H101+I101+J101+K101+L101)*0.005</f>
        <v>0.25</v>
      </c>
      <c r="M102" s="22">
        <f>(D101+E101+F101+G101+H101+I101+J101+K101+L101+M101)*0.005</f>
        <v>0.25</v>
      </c>
      <c r="N102" s="22">
        <f>(D101+E101+F101+G101+H101+I101+J101+K101+L101+M101+N101)*0.005</f>
        <v>0.25</v>
      </c>
      <c r="O102" s="22">
        <f>(D101+E101+F101+G101+H101+I101+J101+K101+L101+M101+N101+O101)*0.005</f>
        <v>0.25</v>
      </c>
      <c r="P102" s="22">
        <f>(D101+E101+F101+G101+H101+I101+J101+K101+L101+M101+N101+O101+P101)*0.005</f>
        <v>0.25</v>
      </c>
      <c r="Q102" s="173"/>
      <c r="R102" s="77"/>
      <c r="S102" s="77"/>
      <c r="T102" s="77"/>
    </row>
    <row r="103" spans="2:22" ht="13.2" customHeight="1">
      <c r="B103" s="162">
        <v>44</v>
      </c>
      <c r="C103" s="246" t="str">
        <f>KIDDY2024!B24</f>
        <v>Mikko Angelo C.  Apay</v>
      </c>
      <c r="D103" s="161">
        <f>KIDDY2024!S24</f>
        <v>50</v>
      </c>
      <c r="E103" s="188"/>
      <c r="F103" s="188"/>
      <c r="G103" s="22"/>
      <c r="H103" s="22"/>
      <c r="I103" s="25"/>
      <c r="J103" s="32"/>
      <c r="K103" s="22"/>
      <c r="L103" s="22"/>
      <c r="M103" s="25"/>
      <c r="N103" s="22">
        <v>0</v>
      </c>
      <c r="O103" s="22">
        <v>0</v>
      </c>
      <c r="P103" s="273">
        <v>0</v>
      </c>
      <c r="Q103" s="173">
        <f>D103+E103+F103+G103+H103+I103+J103+K103+L103+M103+N103+O103+P103</f>
        <v>50</v>
      </c>
      <c r="R103" s="22">
        <f t="shared" ref="R103" si="87">Q103/12</f>
        <v>4.166666666666667</v>
      </c>
      <c r="S103" s="22">
        <f>E104+F104+G104+H104+I104+J104+K104+L104+M104+N104+O104+P104</f>
        <v>3</v>
      </c>
      <c r="T103" s="268">
        <f t="shared" ref="T103" si="88">Q103+S103</f>
        <v>53</v>
      </c>
      <c r="V103" s="239">
        <f>Q103</f>
        <v>50</v>
      </c>
    </row>
    <row r="104" spans="2:22" ht="13.2" customHeight="1">
      <c r="B104" s="162"/>
      <c r="C104" s="20"/>
      <c r="D104" s="163" t="s">
        <v>152</v>
      </c>
      <c r="E104" s="22">
        <f t="shared" ref="E104" si="89">(D103+E103)*0.005</f>
        <v>0.25</v>
      </c>
      <c r="F104" s="22">
        <f t="shared" ref="F104" si="90">(D103+E103+F103)*0.005</f>
        <v>0.25</v>
      </c>
      <c r="G104" s="22">
        <f>(+D103+E103+F103+G103)*0.005</f>
        <v>0.25</v>
      </c>
      <c r="H104" s="22">
        <f>(D103+E103+F103+G103+H103)*0.005</f>
        <v>0.25</v>
      </c>
      <c r="I104" s="22">
        <f>(D103+E103+F103+G103+H103+I103)*0.005</f>
        <v>0.25</v>
      </c>
      <c r="J104" s="22">
        <f>(D103+E103+F103+G103+H103+I103+J103)*0.005</f>
        <v>0.25</v>
      </c>
      <c r="K104" s="22">
        <f>(D103+E103+F103+G103+H103+I103+J103+K103)*0.005</f>
        <v>0.25</v>
      </c>
      <c r="L104" s="22">
        <f>(D103+E103+F103+G103+H103+I103+J103+K103+L103)*0.005</f>
        <v>0.25</v>
      </c>
      <c r="M104" s="22">
        <f>(D103+E103+F103+G103+H103+I103+J103+K103+L103+M103)*0.005</f>
        <v>0.25</v>
      </c>
      <c r="N104" s="22">
        <f>(D103+E103+F103+G103+H103+I103+J103+K103+L103+M103+N103)*0.005</f>
        <v>0.25</v>
      </c>
      <c r="O104" s="22">
        <f>(D103+E103+F103+G103+H103+I103+J103+K103+L103+M103+N103+O103)*0.005</f>
        <v>0.25</v>
      </c>
      <c r="P104" s="22">
        <f>(D103+E103+F103+G103+H103+I103+J103+K103+L103+M103+N103+O103+P103)*0.005</f>
        <v>0.25</v>
      </c>
      <c r="Q104" s="173"/>
      <c r="R104" s="77"/>
      <c r="S104" s="77"/>
      <c r="T104" s="77"/>
    </row>
    <row r="105" spans="2:22" ht="13.2" customHeight="1">
      <c r="B105" s="162">
        <v>46</v>
      </c>
      <c r="C105" s="246" t="str">
        <f>KIDDY2024!B28</f>
        <v>Marissa  alvarado</v>
      </c>
      <c r="D105" s="161">
        <f>KIDDY2024!S28</f>
        <v>50</v>
      </c>
      <c r="E105" s="188"/>
      <c r="F105" s="188"/>
      <c r="G105" s="22"/>
      <c r="H105" s="22"/>
      <c r="I105" s="25"/>
      <c r="J105" s="32"/>
      <c r="K105" s="22"/>
      <c r="L105" s="22"/>
      <c r="M105" s="25"/>
      <c r="N105" s="22">
        <v>0</v>
      </c>
      <c r="O105" s="22">
        <v>0</v>
      </c>
      <c r="P105" s="273">
        <v>0</v>
      </c>
      <c r="Q105" s="173">
        <f>D105+E105+F105+G105+H105+I105+J105+K105+L105+M105+N105+O105+P105</f>
        <v>50</v>
      </c>
      <c r="R105" s="22">
        <f t="shared" ref="R105" si="91">Q105/12</f>
        <v>4.166666666666667</v>
      </c>
      <c r="S105" s="22">
        <f>E106+F106+G106+H106+I106+J106+K106+L106+M106+N106+O106+P106</f>
        <v>3</v>
      </c>
      <c r="T105" s="268">
        <f t="shared" ref="T105" si="92">Q105+S105</f>
        <v>53</v>
      </c>
      <c r="V105" s="239">
        <f>Q105</f>
        <v>50</v>
      </c>
    </row>
    <row r="106" spans="2:22" ht="13.2" customHeight="1">
      <c r="B106" s="162"/>
      <c r="C106" s="20"/>
      <c r="D106" s="163" t="s">
        <v>152</v>
      </c>
      <c r="E106" s="22">
        <f t="shared" ref="E106" si="93">(D105+E105)*0.005</f>
        <v>0.25</v>
      </c>
      <c r="F106" s="22">
        <f t="shared" ref="F106" si="94">(D105+E105+F105)*0.005</f>
        <v>0.25</v>
      </c>
      <c r="G106" s="22">
        <f>(+D105+E105+F105+G105)*0.005</f>
        <v>0.25</v>
      </c>
      <c r="H106" s="22">
        <f>(D105+E105+F105+G105+H105)*0.005</f>
        <v>0.25</v>
      </c>
      <c r="I106" s="22">
        <f>(D105+E105+F105+G105+H105+I105)*0.005</f>
        <v>0.25</v>
      </c>
      <c r="J106" s="22">
        <f>(D105+E105+F105+G105+H105+I105+J105)*0.005</f>
        <v>0.25</v>
      </c>
      <c r="K106" s="22">
        <f>(D105+E105+F105+G105+H105+I105+J105+K105)*0.005</f>
        <v>0.25</v>
      </c>
      <c r="L106" s="22">
        <f>(D105+E105+F105+G105+H105+I105+J105+K105+L105)*0.005</f>
        <v>0.25</v>
      </c>
      <c r="M106" s="22">
        <f>(D105+E105+F105+G105+H105+I105+J105+K105+L105+M105)*0.005</f>
        <v>0.25</v>
      </c>
      <c r="N106" s="22">
        <f>(D105+E105+F105+G105+H105+I105+J105+K105+L105+M105+N105)*0.005</f>
        <v>0.25</v>
      </c>
      <c r="O106" s="22">
        <f>(D105+E105+F105+G105+H105+I105+J105+K105+L105+M105+N105+O105)*0.005</f>
        <v>0.25</v>
      </c>
      <c r="P106" s="22">
        <f>(D105+E105+F105+G105+H105+I105+J105+K105+L105+M105+N105+O105+P105)*0.005</f>
        <v>0.25</v>
      </c>
      <c r="Q106" s="173"/>
      <c r="R106" s="77"/>
      <c r="S106" s="77"/>
      <c r="T106" s="77"/>
    </row>
    <row r="107" spans="2:22" ht="13.2" customHeight="1">
      <c r="B107" s="162">
        <v>47</v>
      </c>
      <c r="C107" s="246" t="str">
        <f>KIDDY2024!B30</f>
        <v>Krissel  Alvarado</v>
      </c>
      <c r="D107" s="161">
        <f>KIDDY2024!S30</f>
        <v>50</v>
      </c>
      <c r="E107" s="188"/>
      <c r="F107" s="188"/>
      <c r="G107" s="22"/>
      <c r="H107" s="22"/>
      <c r="I107" s="25"/>
      <c r="J107" s="32"/>
      <c r="K107" s="22"/>
      <c r="L107" s="22"/>
      <c r="M107" s="25"/>
      <c r="N107" s="22">
        <v>0</v>
      </c>
      <c r="O107" s="22">
        <v>0</v>
      </c>
      <c r="P107" s="273">
        <v>0</v>
      </c>
      <c r="Q107" s="173">
        <f>D107+E107+F107+G107+H107+I107+J107+K107+L107+M107+N107+O107+P107</f>
        <v>50</v>
      </c>
      <c r="R107" s="22">
        <f t="shared" ref="R107" si="95">Q107/12</f>
        <v>4.166666666666667</v>
      </c>
      <c r="S107" s="22">
        <f>E108+F108+G108+H108+I108+J108+K108+L108+M108+N108+O108+P108</f>
        <v>3</v>
      </c>
      <c r="T107" s="268">
        <f t="shared" ref="T107" si="96">Q107+S107</f>
        <v>53</v>
      </c>
      <c r="V107" s="239">
        <f>Q107</f>
        <v>50</v>
      </c>
    </row>
    <row r="108" spans="2:22" ht="13.2" customHeight="1">
      <c r="B108" s="162"/>
      <c r="C108" s="20"/>
      <c r="D108" s="163" t="s">
        <v>152</v>
      </c>
      <c r="E108" s="22">
        <f t="shared" ref="E108" si="97">(D107+E107)*0.005</f>
        <v>0.25</v>
      </c>
      <c r="F108" s="22">
        <f t="shared" ref="F108" si="98">(D107+E107+F107)*0.005</f>
        <v>0.25</v>
      </c>
      <c r="G108" s="22">
        <f>(+D107+E107+F107+G107)*0.005</f>
        <v>0.25</v>
      </c>
      <c r="H108" s="22">
        <f>(D107+E107+F107+G107+H107)*0.005</f>
        <v>0.25</v>
      </c>
      <c r="I108" s="22">
        <f>(D107+E107+F107+G107+H107+I107)*0.005</f>
        <v>0.25</v>
      </c>
      <c r="J108" s="22">
        <f>(D107+E107+F107+G107+H107+I107+J107)*0.005</f>
        <v>0.25</v>
      </c>
      <c r="K108" s="22">
        <f>(D107+E107+F107+G107+H107+I107+J107+K107)*0.005</f>
        <v>0.25</v>
      </c>
      <c r="L108" s="22">
        <f>(D107+E107+F107+G107+H107+I107+J107+K107+L107)*0.005</f>
        <v>0.25</v>
      </c>
      <c r="M108" s="22">
        <f>(D107+E107+F107+G107+H107+I107+J107+K107+L107+M107)*0.005</f>
        <v>0.25</v>
      </c>
      <c r="N108" s="22">
        <f>(D107+E107+F107+G107+H107+I107+J107+K107+L107+M107+N107)*0.005</f>
        <v>0.25</v>
      </c>
      <c r="O108" s="22">
        <f>(D107+E107+F107+G107+H107+I107+J107+K107+L107+M107+N107+O107)*0.005</f>
        <v>0.25</v>
      </c>
      <c r="P108" s="22">
        <f>(D107+E107+F107+G107+H107+I107+J107+K107+L107+M107+N107+O107+P107)*0.005</f>
        <v>0.25</v>
      </c>
      <c r="Q108" s="173"/>
      <c r="R108" s="77"/>
      <c r="S108" s="77"/>
      <c r="T108" s="77"/>
    </row>
    <row r="109" spans="2:22" ht="4.8" customHeight="1">
      <c r="B109" s="162"/>
      <c r="C109" s="20"/>
      <c r="D109" s="163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173"/>
      <c r="R109" s="88"/>
      <c r="S109" s="88"/>
      <c r="T109" s="88"/>
    </row>
    <row r="110" spans="2:22">
      <c r="B110" s="189"/>
      <c r="C110" s="190" t="s">
        <v>120</v>
      </c>
      <c r="D110" s="191">
        <f>SUM(D10:D107)</f>
        <v>122242.84684999996</v>
      </c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1">
        <f>SUM(Q10:Q107)</f>
        <v>147542.84684999994</v>
      </c>
      <c r="R110" s="194">
        <f>SUM(R10:R107)</f>
        <v>12295.237237500001</v>
      </c>
      <c r="S110" s="195">
        <f>SUM(S10:S107)</f>
        <v>7461.0708110000014</v>
      </c>
      <c r="T110" s="196">
        <f>SUM(T10:T107)</f>
        <v>155003.91766099998</v>
      </c>
      <c r="V110" s="191">
        <f>SUM(V10:V107)</f>
        <v>25668.83685</v>
      </c>
    </row>
    <row r="112" spans="2:22">
      <c r="L112" t="s">
        <v>123</v>
      </c>
      <c r="Q112" t="s">
        <v>124</v>
      </c>
    </row>
    <row r="115" spans="2:28">
      <c r="C115" s="107"/>
      <c r="G115" s="107"/>
      <c r="M115" s="308" t="s">
        <v>127</v>
      </c>
      <c r="N115" s="308"/>
      <c r="O115" s="308"/>
      <c r="R115" s="309" t="s">
        <v>237</v>
      </c>
      <c r="S115" s="308"/>
      <c r="T115" s="308"/>
    </row>
    <row r="116" spans="2:28">
      <c r="C116" s="275"/>
      <c r="G116" s="310"/>
      <c r="H116" s="311"/>
      <c r="I116" s="311"/>
      <c r="M116" s="312" t="s">
        <v>130</v>
      </c>
      <c r="N116" s="313"/>
      <c r="O116" s="313"/>
      <c r="R116" s="313" t="s">
        <v>131</v>
      </c>
      <c r="S116" s="313"/>
      <c r="T116" s="313"/>
    </row>
    <row r="120" spans="2:28">
      <c r="T120" s="284" t="s">
        <v>247</v>
      </c>
    </row>
    <row r="125" spans="2:28">
      <c r="Q125" t="s">
        <v>172</v>
      </c>
      <c r="R125">
        <v>25</v>
      </c>
      <c r="S125" s="314">
        <f>T10+T14+T16+T18+T20+T22+T24+T26+T28+T30+T32+T35+T37+T47+T49+T51+T53+T59+T61+T63+T71+T73+T75+T81+T83</f>
        <v>110558.72519999999</v>
      </c>
      <c r="T125" s="314"/>
    </row>
    <row r="126" spans="2:28" s="4" customFormat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 s="102" t="s">
        <v>173</v>
      </c>
      <c r="R126" s="102">
        <v>22</v>
      </c>
      <c r="S126" s="306">
        <f>T12+T43+T45+T55+T57+T65+T67+T69+T77+T85+T87+T89+T91+T93+T95+T97+T99+T101+T103+T105+T107</f>
        <v>44445.192461000006</v>
      </c>
      <c r="T126" s="306"/>
      <c r="V126" s="220"/>
      <c r="W126"/>
      <c r="X126"/>
      <c r="Y126"/>
      <c r="Z126"/>
      <c r="AA126"/>
      <c r="AB126"/>
    </row>
    <row r="127" spans="2:28" s="4" customFormat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>
        <f>R125+R126</f>
        <v>47</v>
      </c>
      <c r="S127" s="307">
        <f>S125+S126</f>
        <v>155003.91766099998</v>
      </c>
      <c r="T127" s="307"/>
      <c r="V127" s="220"/>
      <c r="W127"/>
      <c r="X127"/>
      <c r="Y127"/>
      <c r="Z127"/>
      <c r="AA127"/>
      <c r="AB127"/>
    </row>
    <row r="131" spans="2:28" s="4" customFormat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 t="s">
        <v>174</v>
      </c>
      <c r="V131" s="220"/>
      <c r="W131"/>
      <c r="X131"/>
      <c r="Y131"/>
      <c r="Z131"/>
      <c r="AA131"/>
      <c r="AB131"/>
    </row>
    <row r="133" spans="2:28" s="4" customFormat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 s="50"/>
      <c r="R133"/>
      <c r="S133"/>
      <c r="T133"/>
      <c r="V133" s="220"/>
      <c r="W133"/>
      <c r="X133"/>
      <c r="Y133"/>
      <c r="Z133"/>
      <c r="AA133"/>
      <c r="AB133"/>
    </row>
  </sheetData>
  <mergeCells count="14">
    <mergeCell ref="B9:C9"/>
    <mergeCell ref="B2:T2"/>
    <mergeCell ref="B3:T3"/>
    <mergeCell ref="B4:T4"/>
    <mergeCell ref="B6:T6"/>
    <mergeCell ref="B7:T7"/>
    <mergeCell ref="S126:T126"/>
    <mergeCell ref="S127:T127"/>
    <mergeCell ref="M115:O115"/>
    <mergeCell ref="R115:T115"/>
    <mergeCell ref="G116:I116"/>
    <mergeCell ref="M116:O116"/>
    <mergeCell ref="R116:T116"/>
    <mergeCell ref="S125:T125"/>
  </mergeCells>
  <pageMargins left="0.25" right="0.25" top="0.25" bottom="0.25" header="0.3" footer="0.3"/>
  <pageSetup paperSize="5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P170"/>
  <sheetViews>
    <sheetView zoomScale="110" zoomScaleNormal="110" workbookViewId="0">
      <selection activeCell="AB138" sqref="AB138"/>
    </sheetView>
  </sheetViews>
  <sheetFormatPr defaultColWidth="9" defaultRowHeight="14.4"/>
  <cols>
    <col min="1" max="1" width="2.77734375" style="3" customWidth="1"/>
    <col min="2" max="2" width="18.21875" customWidth="1"/>
    <col min="3" max="3" width="8.77734375" customWidth="1"/>
    <col min="4" max="6" width="7.21875" customWidth="1"/>
    <col min="7" max="7" width="8.77734375" customWidth="1"/>
    <col min="8" max="8" width="7.21875" customWidth="1"/>
    <col min="9" max="9" width="6.21875" customWidth="1"/>
    <col min="10" max="10" width="6.44140625" customWidth="1"/>
    <col min="11" max="11" width="6" customWidth="1"/>
    <col min="12" max="12" width="5.77734375" customWidth="1"/>
    <col min="13" max="13" width="6.44140625" customWidth="1"/>
    <col min="14" max="14" width="9.21875" customWidth="1"/>
    <col min="15" max="15" width="6.21875" customWidth="1"/>
    <col min="16" max="16" width="7.77734375" customWidth="1"/>
    <col min="17" max="17" width="6.21875" customWidth="1"/>
    <col min="18" max="18" width="11.77734375" customWidth="1"/>
    <col min="19" max="19" width="9.44140625" customWidth="1"/>
    <col min="20" max="20" width="7.21875" customWidth="1"/>
    <col min="21" max="21" width="9.21875" customWidth="1"/>
    <col min="22" max="22" width="8.21875" customWidth="1"/>
    <col min="23" max="23" width="6" customWidth="1"/>
    <col min="24" max="24" width="9.21875" customWidth="1"/>
    <col min="25" max="25" width="6.21875" customWidth="1"/>
    <col min="26" max="26" width="7.21875" customWidth="1"/>
    <col min="27" max="27" width="6.21875" customWidth="1"/>
    <col min="28" max="28" width="8.77734375" customWidth="1"/>
    <col min="29" max="29" width="8" customWidth="1"/>
    <col min="30" max="30" width="7.21875" customWidth="1"/>
    <col min="31" max="31" width="7.77734375" style="5" customWidth="1"/>
    <col min="32" max="32" width="7.21875" customWidth="1"/>
    <col min="33" max="33" width="7.44140625" customWidth="1"/>
    <col min="34" max="34" width="7.77734375" customWidth="1"/>
    <col min="37" max="38" width="9.21875" style="6"/>
  </cols>
  <sheetData>
    <row r="2" spans="1:42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</row>
    <row r="3" spans="1:42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</row>
    <row r="4" spans="1:42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313"/>
      <c r="AB4" s="313"/>
      <c r="AC4" s="313"/>
      <c r="AD4" s="313"/>
      <c r="AE4" s="313"/>
      <c r="AF4" s="313"/>
      <c r="AG4" s="313"/>
      <c r="AH4" s="313"/>
    </row>
    <row r="5" spans="1:42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51"/>
      <c r="AF5" s="9"/>
      <c r="AG5" s="9"/>
      <c r="AH5" s="9"/>
      <c r="AI5" s="9"/>
      <c r="AJ5" s="9"/>
      <c r="AK5" s="62"/>
      <c r="AL5" s="62"/>
      <c r="AM5" s="9"/>
      <c r="AN5" s="9"/>
      <c r="AO5" s="9"/>
      <c r="AP5" s="9"/>
    </row>
    <row r="6" spans="1:42" ht="18">
      <c r="A6" s="316" t="s">
        <v>3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  <c r="AG6" s="316"/>
      <c r="AH6" s="316"/>
    </row>
    <row r="7" spans="1:42" ht="12.75" customHeight="1">
      <c r="A7" s="313" t="s">
        <v>145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</row>
    <row r="8" spans="1:42" ht="7.5" customHeight="1">
      <c r="A8" s="10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42" s="1" customFormat="1" ht="26.25" customHeight="1">
      <c r="A9" s="336" t="s">
        <v>5</v>
      </c>
      <c r="B9" s="337"/>
      <c r="C9" s="332" t="s">
        <v>201</v>
      </c>
      <c r="D9" s="319" t="s">
        <v>7</v>
      </c>
      <c r="E9" s="123" t="s">
        <v>202</v>
      </c>
      <c r="F9" s="319" t="s">
        <v>8</v>
      </c>
      <c r="G9" s="123" t="s">
        <v>202</v>
      </c>
      <c r="H9" s="319" t="s">
        <v>9</v>
      </c>
      <c r="I9" s="123" t="s">
        <v>202</v>
      </c>
      <c r="J9" s="319" t="s">
        <v>10</v>
      </c>
      <c r="K9" s="123" t="s">
        <v>202</v>
      </c>
      <c r="L9" s="319" t="s">
        <v>11</v>
      </c>
      <c r="M9" s="123" t="s">
        <v>202</v>
      </c>
      <c r="N9" s="319" t="s">
        <v>12</v>
      </c>
      <c r="O9" s="123" t="s">
        <v>202</v>
      </c>
      <c r="P9" s="319" t="s">
        <v>13</v>
      </c>
      <c r="Q9" s="123" t="s">
        <v>202</v>
      </c>
      <c r="R9" s="319" t="s">
        <v>14</v>
      </c>
      <c r="S9" s="123" t="s">
        <v>202</v>
      </c>
      <c r="T9" s="319" t="s">
        <v>15</v>
      </c>
      <c r="U9" s="123" t="s">
        <v>202</v>
      </c>
      <c r="V9" s="319" t="s">
        <v>16</v>
      </c>
      <c r="W9" s="123" t="s">
        <v>202</v>
      </c>
      <c r="X9" s="319" t="s">
        <v>17</v>
      </c>
      <c r="Y9" s="123" t="s">
        <v>202</v>
      </c>
      <c r="Z9" s="319" t="s">
        <v>18</v>
      </c>
      <c r="AA9" s="123" t="s">
        <v>202</v>
      </c>
      <c r="AB9" s="319" t="s">
        <v>19</v>
      </c>
      <c r="AC9" s="319" t="s">
        <v>20</v>
      </c>
      <c r="AD9" s="327" t="s">
        <v>21</v>
      </c>
      <c r="AE9" s="323" t="s">
        <v>22</v>
      </c>
      <c r="AF9" s="340" t="s">
        <v>23</v>
      </c>
      <c r="AG9" s="329" t="s">
        <v>24</v>
      </c>
      <c r="AH9" s="321" t="s">
        <v>25</v>
      </c>
      <c r="AK9" s="63"/>
      <c r="AL9" s="64"/>
    </row>
    <row r="10" spans="1:42" s="1" customFormat="1" ht="18" customHeight="1">
      <c r="A10" s="338"/>
      <c r="B10" s="339"/>
      <c r="C10" s="333"/>
      <c r="D10" s="320"/>
      <c r="E10" s="11" t="s">
        <v>203</v>
      </c>
      <c r="F10" s="320"/>
      <c r="G10" s="11" t="s">
        <v>203</v>
      </c>
      <c r="H10" s="320"/>
      <c r="I10" s="11" t="s">
        <v>203</v>
      </c>
      <c r="J10" s="320"/>
      <c r="K10" s="11" t="s">
        <v>203</v>
      </c>
      <c r="L10" s="320"/>
      <c r="M10" s="11" t="s">
        <v>203</v>
      </c>
      <c r="N10" s="320"/>
      <c r="O10" s="11" t="s">
        <v>203</v>
      </c>
      <c r="P10" s="320"/>
      <c r="Q10" s="11" t="s">
        <v>203</v>
      </c>
      <c r="R10" s="320"/>
      <c r="S10" s="11" t="s">
        <v>203</v>
      </c>
      <c r="T10" s="320"/>
      <c r="U10" s="11" t="s">
        <v>203</v>
      </c>
      <c r="V10" s="320"/>
      <c r="W10" s="11" t="s">
        <v>203</v>
      </c>
      <c r="X10" s="320"/>
      <c r="Y10" s="11" t="s">
        <v>203</v>
      </c>
      <c r="Z10" s="320"/>
      <c r="AA10" s="133" t="s">
        <v>203</v>
      </c>
      <c r="AB10" s="320"/>
      <c r="AC10" s="320"/>
      <c r="AD10" s="328"/>
      <c r="AE10" s="324"/>
      <c r="AF10" s="341"/>
      <c r="AG10" s="330"/>
      <c r="AH10" s="322"/>
      <c r="AK10" s="63"/>
      <c r="AL10" s="64"/>
    </row>
    <row r="11" spans="1:42" s="2" customFormat="1">
      <c r="A11" s="15">
        <v>1</v>
      </c>
      <c r="B11" s="16" t="s">
        <v>26</v>
      </c>
      <c r="C11" s="124">
        <v>2000</v>
      </c>
      <c r="D11" s="18"/>
      <c r="E11" s="18">
        <v>148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25"/>
      <c r="AB11" s="46">
        <f>C11+D11+F11+H11+J11+L11+N11+P11+R11+T11+V11+X11+Z11+E11</f>
        <v>2148</v>
      </c>
      <c r="AC11" s="22">
        <f>AB11/12</f>
        <v>179</v>
      </c>
      <c r="AD11" s="22">
        <f>AC11*V142</f>
        <v>22.0426429026767</v>
      </c>
      <c r="AE11" s="52"/>
      <c r="AF11" s="22">
        <v>0</v>
      </c>
      <c r="AG11" s="53">
        <f>AD11+AF11</f>
        <v>22.0426429026767</v>
      </c>
      <c r="AH11" s="26"/>
      <c r="AK11" s="62"/>
      <c r="AL11" s="65"/>
    </row>
    <row r="12" spans="1:42">
      <c r="A12" s="19">
        <v>2</v>
      </c>
      <c r="B12" s="20" t="s">
        <v>27</v>
      </c>
      <c r="C12" s="125">
        <v>1300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46">
        <f>C12+D12+F12+H12+J12+L12+N12+P12+R12+T12+V12+X12+Z12</f>
        <v>1300</v>
      </c>
      <c r="AC12" s="22">
        <f t="shared" ref="AC12:AC29" si="0">AB12/12</f>
        <v>108.333333333333</v>
      </c>
      <c r="AD12" s="22">
        <f>AC12*V142</f>
        <v>13.3405194476163</v>
      </c>
      <c r="AE12" s="52"/>
      <c r="AF12" s="22">
        <v>0</v>
      </c>
      <c r="AG12" s="53"/>
      <c r="AH12" s="22"/>
    </row>
    <row r="13" spans="1:42" s="2" customFormat="1">
      <c r="A13" s="23">
        <v>3</v>
      </c>
      <c r="B13" s="24" t="s">
        <v>28</v>
      </c>
      <c r="C13" s="125">
        <v>2000</v>
      </c>
      <c r="D13" s="25"/>
      <c r="E13" s="25">
        <v>148</v>
      </c>
      <c r="F13" s="25"/>
      <c r="G13" s="25"/>
      <c r="H13" s="26">
        <v>60</v>
      </c>
      <c r="I13" s="2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46">
        <f>C13+D13+F13+H13+J13+L13+N13+P13+R13+T13+V13+X13+Z13+E13</f>
        <v>2208</v>
      </c>
      <c r="AC13" s="22">
        <f t="shared" si="0"/>
        <v>184</v>
      </c>
      <c r="AD13" s="22">
        <f>AC13*V142</f>
        <v>22.658359184874399</v>
      </c>
      <c r="AE13" s="52">
        <f>200</f>
        <v>200</v>
      </c>
      <c r="AF13" s="22">
        <f>AE13*V145</f>
        <v>22.461003627569529</v>
      </c>
      <c r="AG13" s="53">
        <f>AF13+AD13</f>
        <v>45.119362812443924</v>
      </c>
      <c r="AH13" s="26"/>
      <c r="AJ13" s="54"/>
      <c r="AK13" s="66"/>
      <c r="AL13" s="65"/>
    </row>
    <row r="14" spans="1:42">
      <c r="A14" s="19">
        <v>4</v>
      </c>
      <c r="B14" s="27" t="s">
        <v>29</v>
      </c>
      <c r="C14" s="125">
        <v>750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46">
        <f>C14+D14+F14+H14+J14+L14+N14+P14+R14+T14+V14+X14+Z14</f>
        <v>750</v>
      </c>
      <c r="AC14" s="22">
        <f t="shared" si="0"/>
        <v>62.5</v>
      </c>
      <c r="AD14" s="22">
        <f>AC14*V142</f>
        <v>7.69645352747093</v>
      </c>
      <c r="AE14" s="52"/>
      <c r="AF14" s="22">
        <v>0</v>
      </c>
      <c r="AG14" s="53"/>
      <c r="AH14" s="22"/>
    </row>
    <row r="15" spans="1:42">
      <c r="A15" s="23">
        <v>5</v>
      </c>
      <c r="B15" s="27" t="s">
        <v>30</v>
      </c>
      <c r="C15" s="125">
        <v>2680</v>
      </c>
      <c r="D15" s="22"/>
      <c r="E15" s="22"/>
      <c r="F15" s="22"/>
      <c r="G15" s="22"/>
      <c r="H15" s="22"/>
      <c r="I15" s="22"/>
      <c r="J15" s="22"/>
      <c r="K15" s="22">
        <f>310</f>
        <v>310</v>
      </c>
      <c r="L15" s="22"/>
      <c r="M15" s="22"/>
      <c r="N15" s="22"/>
      <c r="O15" s="22"/>
      <c r="P15" s="45">
        <v>1000</v>
      </c>
      <c r="Q15" s="45"/>
      <c r="R15" s="22"/>
      <c r="S15" s="22"/>
      <c r="T15" s="22">
        <v>2320</v>
      </c>
      <c r="U15" s="22"/>
      <c r="V15" s="22"/>
      <c r="W15" s="22"/>
      <c r="X15" s="22"/>
      <c r="Y15" s="22"/>
      <c r="Z15" s="22"/>
      <c r="AA15" s="22"/>
      <c r="AB15" s="46">
        <f>C15+D15+F15+H15+J15+L15+N15+P15+R15+T15+V15+X15+Z15+K15</f>
        <v>6310</v>
      </c>
      <c r="AC15" s="22">
        <f t="shared" si="0"/>
        <v>525.83333333333303</v>
      </c>
      <c r="AD15" s="22">
        <f>AC15*V142</f>
        <v>64.752829011122103</v>
      </c>
      <c r="AE15" s="52"/>
      <c r="AF15" s="22">
        <v>0</v>
      </c>
      <c r="AG15" s="53">
        <f t="shared" ref="AG15:AG24" si="1">AD15+AF15</f>
        <v>64.752829011122103</v>
      </c>
      <c r="AH15" s="45"/>
      <c r="AL15" s="65"/>
    </row>
    <row r="16" spans="1:42" s="2" customFormat="1">
      <c r="A16" s="19">
        <v>6</v>
      </c>
      <c r="B16" s="20" t="s">
        <v>31</v>
      </c>
      <c r="C16" s="126">
        <v>150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46">
        <f t="shared" ref="AB16:AB23" si="2">C16+D16+F16+H16+J16+L16+N16+P16+R16+T16+V16+X16+Z16</f>
        <v>150</v>
      </c>
      <c r="AC16" s="22">
        <f t="shared" si="0"/>
        <v>12.5</v>
      </c>
      <c r="AD16" s="22">
        <f>AC16*V142</f>
        <v>1.53929070549419</v>
      </c>
      <c r="AE16" s="52"/>
      <c r="AF16" s="22">
        <v>0</v>
      </c>
      <c r="AG16" s="53"/>
      <c r="AH16" s="25"/>
      <c r="AK16" s="62"/>
      <c r="AL16" s="62"/>
    </row>
    <row r="17" spans="1:38">
      <c r="A17" s="29">
        <v>7</v>
      </c>
      <c r="B17" s="20" t="s">
        <v>32</v>
      </c>
      <c r="C17" s="125">
        <v>7000</v>
      </c>
      <c r="D17" s="22"/>
      <c r="E17" s="22"/>
      <c r="F17" s="22"/>
      <c r="G17" s="22"/>
      <c r="H17" s="22"/>
      <c r="I17" s="22"/>
      <c r="J17" s="22">
        <v>0</v>
      </c>
      <c r="K17" s="22"/>
      <c r="L17" s="22">
        <v>0</v>
      </c>
      <c r="M17" s="22"/>
      <c r="N17" s="22">
        <v>0</v>
      </c>
      <c r="O17" s="22"/>
      <c r="P17" s="22">
        <v>0</v>
      </c>
      <c r="Q17" s="22"/>
      <c r="R17" s="22"/>
      <c r="S17" s="22"/>
      <c r="T17" s="22"/>
      <c r="U17" s="22"/>
      <c r="V17" s="22">
        <v>0</v>
      </c>
      <c r="W17" s="22"/>
      <c r="X17" s="22">
        <v>0</v>
      </c>
      <c r="Y17" s="22"/>
      <c r="Z17" s="22">
        <v>0</v>
      </c>
      <c r="AA17" s="22"/>
      <c r="AB17" s="46">
        <f t="shared" si="2"/>
        <v>7000</v>
      </c>
      <c r="AC17" s="22">
        <f t="shared" si="0"/>
        <v>583.33333333333303</v>
      </c>
      <c r="AD17" s="22">
        <f>AC17*V142</f>
        <v>71.833566256395301</v>
      </c>
      <c r="AE17" s="52">
        <f>600+600+600</f>
        <v>1800</v>
      </c>
      <c r="AF17" s="22">
        <f>AE17*V145</f>
        <v>202.14903264812577</v>
      </c>
      <c r="AG17" s="53">
        <f>AD17+AF17</f>
        <v>273.98259890452107</v>
      </c>
      <c r="AH17" s="22"/>
      <c r="AJ17" s="55"/>
      <c r="AL17" s="65"/>
    </row>
    <row r="18" spans="1:38" s="2" customFormat="1">
      <c r="A18" s="29">
        <v>8</v>
      </c>
      <c r="B18" s="20" t="s">
        <v>33</v>
      </c>
      <c r="C18" s="125">
        <v>5250</v>
      </c>
      <c r="D18" s="26">
        <v>1750</v>
      </c>
      <c r="E18" s="26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>
        <v>0</v>
      </c>
      <c r="AA18" s="25"/>
      <c r="AB18" s="46">
        <f t="shared" si="2"/>
        <v>7000</v>
      </c>
      <c r="AC18" s="25">
        <f t="shared" si="0"/>
        <v>583.33333333333303</v>
      </c>
      <c r="AD18" s="25">
        <f>AC18*V142</f>
        <v>71.833566256395301</v>
      </c>
      <c r="AE18" s="56">
        <f>200+400</f>
        <v>600</v>
      </c>
      <c r="AF18" s="25">
        <f>AE18*V145</f>
        <v>67.383010882708589</v>
      </c>
      <c r="AG18" s="57">
        <f t="shared" si="1"/>
        <v>139.21657713910389</v>
      </c>
      <c r="AH18" s="25"/>
      <c r="AJ18" s="55"/>
      <c r="AK18" s="62"/>
      <c r="AL18" s="65"/>
    </row>
    <row r="19" spans="1:38">
      <c r="A19" s="23">
        <v>9</v>
      </c>
      <c r="B19" s="20" t="s">
        <v>34</v>
      </c>
      <c r="C19" s="125">
        <v>2000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46">
        <f t="shared" si="2"/>
        <v>2000</v>
      </c>
      <c r="AC19" s="22">
        <f t="shared" si="0"/>
        <v>166.666666666667</v>
      </c>
      <c r="AD19" s="22">
        <f>AC19*V142</f>
        <v>20.523876073255799</v>
      </c>
      <c r="AE19" s="52">
        <v>0</v>
      </c>
      <c r="AF19" s="22">
        <f>AE19*V145</f>
        <v>0</v>
      </c>
      <c r="AG19" s="53">
        <f t="shared" si="1"/>
        <v>20.523876073255799</v>
      </c>
      <c r="AH19" s="22"/>
      <c r="AJ19" s="55"/>
      <c r="AL19" s="65"/>
    </row>
    <row r="20" spans="1:38">
      <c r="A20" s="23">
        <v>10</v>
      </c>
      <c r="B20" s="27" t="s">
        <v>35</v>
      </c>
      <c r="C20" s="125">
        <v>2728.71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46">
        <f t="shared" si="2"/>
        <v>2728.71</v>
      </c>
      <c r="AC20" s="22">
        <f t="shared" si="0"/>
        <v>227.39250000000001</v>
      </c>
      <c r="AD20" s="22">
        <f>AC20*V142</f>
        <v>28.001852939926899</v>
      </c>
      <c r="AE20" s="52">
        <v>0</v>
      </c>
      <c r="AF20" s="22">
        <f>AE20*V145</f>
        <v>0</v>
      </c>
      <c r="AG20" s="53">
        <f t="shared" si="1"/>
        <v>28.001852939926899</v>
      </c>
      <c r="AH20" s="22"/>
      <c r="AJ20" s="55"/>
      <c r="AL20" s="65"/>
    </row>
    <row r="21" spans="1:38">
      <c r="A21" s="19">
        <v>11</v>
      </c>
      <c r="B21" s="30" t="s">
        <v>36</v>
      </c>
      <c r="C21" s="125">
        <v>700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46">
        <f t="shared" si="2"/>
        <v>700</v>
      </c>
      <c r="AC21" s="22">
        <f t="shared" si="0"/>
        <v>58.3333333333333</v>
      </c>
      <c r="AD21" s="22">
        <f>AC21*V142</f>
        <v>7.1833566256395303</v>
      </c>
      <c r="AE21" s="52">
        <v>0</v>
      </c>
      <c r="AF21" s="22">
        <f>AE21*V145</f>
        <v>0</v>
      </c>
      <c r="AG21" s="53">
        <f>AF21</f>
        <v>0</v>
      </c>
      <c r="AH21" s="22"/>
      <c r="AJ21" s="54"/>
      <c r="AK21" s="67"/>
      <c r="AL21" s="65"/>
    </row>
    <row r="22" spans="1:38">
      <c r="A22" s="23">
        <v>12</v>
      </c>
      <c r="B22" s="31" t="s">
        <v>37</v>
      </c>
      <c r="C22" s="125">
        <v>2000</v>
      </c>
      <c r="D22" s="22">
        <f>60</f>
        <v>60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46">
        <f t="shared" si="2"/>
        <v>2060</v>
      </c>
      <c r="AC22" s="22">
        <f t="shared" si="0"/>
        <v>171.666666666667</v>
      </c>
      <c r="AD22" s="22">
        <f>AC22*V142</f>
        <v>21.139592355453502</v>
      </c>
      <c r="AE22" s="52">
        <f>200</f>
        <v>200</v>
      </c>
      <c r="AF22" s="22">
        <f>AE22*V145</f>
        <v>22.461003627569529</v>
      </c>
      <c r="AG22" s="53">
        <f t="shared" si="1"/>
        <v>43.600595983023027</v>
      </c>
      <c r="AH22" s="22"/>
      <c r="AJ22" s="55"/>
      <c r="AK22" s="67"/>
      <c r="AL22" s="65"/>
    </row>
    <row r="23" spans="1:38">
      <c r="A23" s="23">
        <v>13</v>
      </c>
      <c r="B23" s="27" t="s">
        <v>38</v>
      </c>
      <c r="C23" s="125">
        <v>2000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46">
        <f t="shared" si="2"/>
        <v>2000</v>
      </c>
      <c r="AC23" s="22">
        <f t="shared" si="0"/>
        <v>166.666666666667</v>
      </c>
      <c r="AD23" s="22">
        <f>AC23*V142</f>
        <v>20.523876073255799</v>
      </c>
      <c r="AE23" s="58">
        <v>0</v>
      </c>
      <c r="AF23" s="22">
        <f>AE23*V145</f>
        <v>0</v>
      </c>
      <c r="AG23" s="53">
        <f t="shared" si="1"/>
        <v>20.523876073255799</v>
      </c>
      <c r="AH23" s="22"/>
      <c r="AJ23" s="55"/>
      <c r="AK23" s="67"/>
      <c r="AL23" s="65"/>
    </row>
    <row r="24" spans="1:38">
      <c r="A24" s="23">
        <v>14</v>
      </c>
      <c r="B24" s="27" t="s">
        <v>39</v>
      </c>
      <c r="C24" s="125">
        <v>3260</v>
      </c>
      <c r="D24" s="22">
        <v>100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>
        <v>180</v>
      </c>
      <c r="P24" s="22"/>
      <c r="Q24" s="22"/>
      <c r="R24" s="22">
        <v>0</v>
      </c>
      <c r="S24" s="22"/>
      <c r="T24" s="22"/>
      <c r="U24" s="22"/>
      <c r="V24" s="22">
        <v>0</v>
      </c>
      <c r="W24" s="22"/>
      <c r="X24" s="22">
        <v>0</v>
      </c>
      <c r="Y24" s="22"/>
      <c r="Z24" s="22">
        <v>200</v>
      </c>
      <c r="AA24" s="22"/>
      <c r="AB24" s="46">
        <f>C24+D24+F24+H24+J24+L24+N24+P24+R24+T24+V24+X24+Z24+O24</f>
        <v>3740</v>
      </c>
      <c r="AC24" s="22">
        <f t="shared" si="0"/>
        <v>311.66666666666703</v>
      </c>
      <c r="AD24" s="22">
        <f>AC24*V142</f>
        <v>38.379648256988403</v>
      </c>
      <c r="AE24" s="52">
        <f>200</f>
        <v>200</v>
      </c>
      <c r="AF24" s="22">
        <f>AE24*V145</f>
        <v>22.461003627569529</v>
      </c>
      <c r="AG24" s="53">
        <f t="shared" si="1"/>
        <v>60.840651884557928</v>
      </c>
      <c r="AH24" s="22"/>
      <c r="AK24" s="67"/>
      <c r="AL24" s="65"/>
    </row>
    <row r="25" spans="1:38" s="2" customFormat="1">
      <c r="A25" s="19">
        <v>15</v>
      </c>
      <c r="B25" s="20" t="s">
        <v>40</v>
      </c>
      <c r="C25" s="126">
        <v>150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46">
        <f>C25+D25+F25+H25+J25+L25+N25+P25+R25+T25+V25+X25+Z25</f>
        <v>150</v>
      </c>
      <c r="AC25" s="22">
        <f t="shared" si="0"/>
        <v>12.5</v>
      </c>
      <c r="AD25" s="22">
        <f>AC25*V142</f>
        <v>1.53929070549419</v>
      </c>
      <c r="AE25" s="56"/>
      <c r="AF25" s="25"/>
      <c r="AG25" s="57"/>
      <c r="AH25" s="25"/>
      <c r="AK25" s="62"/>
      <c r="AL25" s="62"/>
    </row>
    <row r="26" spans="1:38">
      <c r="A26" s="19">
        <v>16</v>
      </c>
      <c r="B26" s="27" t="s">
        <v>41</v>
      </c>
      <c r="C26" s="125">
        <v>1200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46">
        <f>C26+D26+F26+H26+J26+L26+N26+P26+R26+T26+V26+X26+Z26</f>
        <v>1200</v>
      </c>
      <c r="AC26" s="22">
        <f t="shared" si="0"/>
        <v>100</v>
      </c>
      <c r="AD26" s="22">
        <f>AC26*V142</f>
        <v>12.3143256439535</v>
      </c>
      <c r="AE26" s="52"/>
      <c r="AF26" s="22"/>
      <c r="AG26" s="53"/>
      <c r="AH26" s="22"/>
    </row>
    <row r="27" spans="1:38">
      <c r="A27" s="19">
        <v>17</v>
      </c>
      <c r="B27" s="27" t="s">
        <v>42</v>
      </c>
      <c r="C27" s="126">
        <v>200</v>
      </c>
      <c r="D27" s="22"/>
      <c r="E27" s="22"/>
      <c r="F27" s="22"/>
      <c r="G27" s="22"/>
      <c r="H27" s="22"/>
      <c r="I27" s="22"/>
      <c r="J27" s="22"/>
      <c r="K27" s="22"/>
      <c r="L27" s="22">
        <v>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46">
        <f>C27+D27+F27+H27+J27+L27+N27+P27+R27+T27+V27+X27+Z27</f>
        <v>200</v>
      </c>
      <c r="AC27" s="22">
        <f t="shared" si="0"/>
        <v>16.6666666666667</v>
      </c>
      <c r="AD27" s="22">
        <f>AC27*V142</f>
        <v>2.05238760732558</v>
      </c>
      <c r="AE27" s="52">
        <v>0</v>
      </c>
      <c r="AF27" s="22">
        <f>AE27*V145</f>
        <v>0</v>
      </c>
      <c r="AG27" s="53">
        <f>AF27</f>
        <v>0</v>
      </c>
      <c r="AH27" s="22"/>
      <c r="AJ27" s="54"/>
      <c r="AK27" s="67"/>
      <c r="AL27" s="65"/>
    </row>
    <row r="28" spans="1:38" s="2" customFormat="1">
      <c r="A28" s="23">
        <v>18</v>
      </c>
      <c r="B28" s="20" t="s">
        <v>43</v>
      </c>
      <c r="C28" s="125">
        <v>2120</v>
      </c>
      <c r="D28" s="25">
        <f>240</f>
        <v>240</v>
      </c>
      <c r="E28" s="25">
        <v>148</v>
      </c>
      <c r="F28" s="25"/>
      <c r="G28" s="25"/>
      <c r="H28" s="26">
        <v>60</v>
      </c>
      <c r="I28" s="26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46">
        <f>C28+D28+F28+H28+J28+L28+N28+P28+R28+T28+V28+X28+Z28+E28</f>
        <v>2568</v>
      </c>
      <c r="AC28" s="22">
        <f t="shared" si="0"/>
        <v>214</v>
      </c>
      <c r="AD28" s="22">
        <f>AC28*V142</f>
        <v>26.3526568780605</v>
      </c>
      <c r="AE28" s="56">
        <f>200</f>
        <v>200</v>
      </c>
      <c r="AF28" s="25">
        <f>AE28*V145</f>
        <v>22.461003627569529</v>
      </c>
      <c r="AG28" s="57">
        <f>AD28+AF28</f>
        <v>48.813660505630025</v>
      </c>
      <c r="AH28" s="25"/>
      <c r="AK28" s="62"/>
      <c r="AL28" s="62"/>
    </row>
    <row r="29" spans="1:38">
      <c r="A29" s="29">
        <v>19</v>
      </c>
      <c r="B29" s="30" t="s">
        <v>44</v>
      </c>
      <c r="C29" s="125">
        <v>4530</v>
      </c>
      <c r="D29" s="22"/>
      <c r="E29" s="22"/>
      <c r="F29" s="22">
        <f>570+200</f>
        <v>770</v>
      </c>
      <c r="G29" s="22"/>
      <c r="H29" s="22">
        <f>300+300+1100</f>
        <v>1700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46">
        <f>C29+D29+F29+H29+J29+L29+N29+P29+R29+T29+V29+X29+Z29</f>
        <v>7000</v>
      </c>
      <c r="AC29" s="22">
        <f t="shared" si="0"/>
        <v>583.33333333333303</v>
      </c>
      <c r="AD29" s="22">
        <f>AC29*V142</f>
        <v>71.833566256395301</v>
      </c>
      <c r="AE29" s="52">
        <f>200</f>
        <v>200</v>
      </c>
      <c r="AF29" s="22">
        <f>AE29*V145</f>
        <v>22.461003627569529</v>
      </c>
      <c r="AG29" s="53">
        <f>AD29+AF29</f>
        <v>94.294569883964826</v>
      </c>
      <c r="AH29" s="22"/>
      <c r="AJ29" s="55"/>
      <c r="AK29" s="67"/>
      <c r="AL29" s="65"/>
    </row>
    <row r="30" spans="1:38" s="2" customFormat="1">
      <c r="A30" s="19">
        <v>20</v>
      </c>
      <c r="B30" s="20" t="s">
        <v>45</v>
      </c>
      <c r="C30" s="125">
        <v>1300</v>
      </c>
      <c r="D30" s="25"/>
      <c r="E30" s="25"/>
      <c r="F30" s="25"/>
      <c r="G30" s="25"/>
      <c r="H30" s="25">
        <v>0</v>
      </c>
      <c r="I30" s="25"/>
      <c r="J30" s="25"/>
      <c r="K30" s="25"/>
      <c r="L30" s="25"/>
      <c r="M30" s="25"/>
      <c r="N30" s="25">
        <v>0</v>
      </c>
      <c r="O30" s="25"/>
      <c r="P30" s="25">
        <v>0</v>
      </c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46">
        <f>C30+D30+F30+H30+J30+L30+N30+P30+R30+T30+V30+X30+Z30</f>
        <v>1300</v>
      </c>
      <c r="AC30" s="22">
        <f t="shared" ref="AC30:AC38" si="3">AB30/12</f>
        <v>108.333333333333</v>
      </c>
      <c r="AD30" s="22">
        <f>AC30*V142</f>
        <v>13.3405194476163</v>
      </c>
      <c r="AE30" s="56"/>
      <c r="AF30" s="25"/>
      <c r="AG30" s="57"/>
      <c r="AH30" s="25"/>
      <c r="AK30" s="62"/>
      <c r="AL30" s="62"/>
    </row>
    <row r="31" spans="1:38">
      <c r="A31" s="19">
        <v>21</v>
      </c>
      <c r="B31" s="20" t="s">
        <v>46</v>
      </c>
      <c r="C31" s="127">
        <v>750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46">
        <f>C31+D31+F31+H31+J31+L31+N31+P31+R31+T31+V31+X31+Z31</f>
        <v>750</v>
      </c>
      <c r="AC31" s="22">
        <f t="shared" si="3"/>
        <v>62.5</v>
      </c>
      <c r="AD31" s="22">
        <f>AC31*V142</f>
        <v>7.69645352747093</v>
      </c>
      <c r="AE31" s="52"/>
      <c r="AF31" s="22"/>
      <c r="AG31" s="53"/>
      <c r="AH31" s="22"/>
    </row>
    <row r="32" spans="1:38">
      <c r="A32" s="19">
        <v>22</v>
      </c>
      <c r="B32" s="27" t="s">
        <v>47</v>
      </c>
      <c r="C32" s="127">
        <v>1200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46">
        <f>C32+D32+F32+H32+J32+L32+N32+P32+R32+T32+V32+X32+Z32</f>
        <v>1200</v>
      </c>
      <c r="AC32" s="22">
        <f t="shared" si="3"/>
        <v>100</v>
      </c>
      <c r="AD32" s="22">
        <f>AC32*V142</f>
        <v>12.3143256439535</v>
      </c>
      <c r="AE32" s="52">
        <v>0</v>
      </c>
      <c r="AF32" s="22">
        <f>AE32*V145</f>
        <v>0</v>
      </c>
      <c r="AG32" s="53">
        <f>AF32</f>
        <v>0</v>
      </c>
      <c r="AH32" s="22"/>
      <c r="AJ32" s="54"/>
      <c r="AK32" s="67"/>
      <c r="AL32" s="65"/>
    </row>
    <row r="33" spans="1:38" s="2" customFormat="1" ht="18" customHeight="1">
      <c r="A33" s="19">
        <v>23</v>
      </c>
      <c r="B33" s="20" t="s">
        <v>48</v>
      </c>
      <c r="C33" s="126">
        <v>100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48">
        <f>C33+D33+F33+H33+J33+L33+N33+P33+R33+T33+V33+X33+Z33</f>
        <v>100</v>
      </c>
      <c r="AC33" s="25">
        <f t="shared" si="3"/>
        <v>8.3333333333333304</v>
      </c>
      <c r="AD33" s="25">
        <f>AC33*V142</f>
        <v>1.02619380366279</v>
      </c>
      <c r="AE33" s="56"/>
      <c r="AF33" s="25"/>
      <c r="AG33" s="57"/>
      <c r="AH33" s="25"/>
      <c r="AK33" s="62"/>
      <c r="AL33" s="62"/>
    </row>
    <row r="34" spans="1:38">
      <c r="A34" s="23">
        <v>24</v>
      </c>
      <c r="B34" s="20" t="s">
        <v>49</v>
      </c>
      <c r="C34" s="127">
        <v>2009</v>
      </c>
      <c r="D34" s="22"/>
      <c r="E34" s="22"/>
      <c r="F34" s="22"/>
      <c r="G34" s="22"/>
      <c r="H34" s="22"/>
      <c r="I34" s="22"/>
      <c r="J34" s="22"/>
      <c r="K34" s="22"/>
      <c r="L34" s="22">
        <v>0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>
        <v>105</v>
      </c>
      <c r="X34" s="22"/>
      <c r="Y34" s="22"/>
      <c r="Z34" s="22"/>
      <c r="AA34" s="22"/>
      <c r="AB34" s="46">
        <f>C34+D34+F34+H34+J34+L34+N34+P34+R34+T34+V34+X34+Z34+W34</f>
        <v>2114</v>
      </c>
      <c r="AC34" s="22">
        <f t="shared" si="3"/>
        <v>176.166666666667</v>
      </c>
      <c r="AD34" s="22">
        <f>AC34*V142</f>
        <v>21.693737009431398</v>
      </c>
      <c r="AE34" s="52">
        <v>0</v>
      </c>
      <c r="AF34" s="22">
        <f>AE34*V145</f>
        <v>0</v>
      </c>
      <c r="AG34" s="53">
        <f>AD34+AF34</f>
        <v>21.693737009431398</v>
      </c>
      <c r="AH34" s="22"/>
      <c r="AJ34" s="54"/>
      <c r="AK34" s="67"/>
      <c r="AL34" s="65"/>
    </row>
    <row r="35" spans="1:38" s="2" customFormat="1">
      <c r="A35" s="19">
        <v>25</v>
      </c>
      <c r="B35" s="20" t="s">
        <v>50</v>
      </c>
      <c r="C35" s="127">
        <v>600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46">
        <f>C35+D35+F35+H35+J35+L35+N35+P35+R35+T35+V35+X35+Z35</f>
        <v>600</v>
      </c>
      <c r="AC35" s="22">
        <f t="shared" si="3"/>
        <v>50</v>
      </c>
      <c r="AD35" s="22">
        <f>AC35*V142</f>
        <v>6.1571628219767396</v>
      </c>
      <c r="AE35" s="56"/>
      <c r="AF35" s="25"/>
      <c r="AG35" s="57"/>
      <c r="AH35" s="25"/>
      <c r="AK35" s="62"/>
      <c r="AL35" s="62"/>
    </row>
    <row r="36" spans="1:38">
      <c r="A36" s="23">
        <v>26</v>
      </c>
      <c r="B36" s="20" t="s">
        <v>51</v>
      </c>
      <c r="C36" s="125">
        <v>2885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>
        <v>220</v>
      </c>
      <c r="R36" s="22"/>
      <c r="S36" s="22"/>
      <c r="T36" s="22">
        <v>0</v>
      </c>
      <c r="U36" s="22"/>
      <c r="V36" s="22"/>
      <c r="W36" s="22"/>
      <c r="X36" s="22">
        <v>0</v>
      </c>
      <c r="Y36" s="22"/>
      <c r="Z36" s="22"/>
      <c r="AA36" s="22"/>
      <c r="AB36" s="46">
        <f>C36+D36+F36+H36+J36+L36+N36+P36+R36+T36+V36+X36+Z36+Q36</f>
        <v>3105</v>
      </c>
      <c r="AC36" s="22">
        <f t="shared" si="3"/>
        <v>258.75</v>
      </c>
      <c r="AD36" s="22">
        <f>AC36*V142</f>
        <v>31.863317603729602</v>
      </c>
      <c r="AE36" s="52">
        <v>0</v>
      </c>
      <c r="AF36" s="22">
        <f>AE36*V145</f>
        <v>0</v>
      </c>
      <c r="AG36" s="53">
        <f>AD36+AF36</f>
        <v>31.863317603729602</v>
      </c>
      <c r="AH36" s="22"/>
      <c r="AJ36" s="55"/>
      <c r="AK36" s="67"/>
      <c r="AL36" s="65"/>
    </row>
    <row r="37" spans="1:38" s="2" customFormat="1">
      <c r="A37" s="23">
        <v>27</v>
      </c>
      <c r="B37" s="20" t="s">
        <v>52</v>
      </c>
      <c r="C37" s="125">
        <v>2120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>
        <v>0</v>
      </c>
      <c r="Q37" s="25"/>
      <c r="R37" s="25"/>
      <c r="S37" s="25"/>
      <c r="T37" s="25"/>
      <c r="U37" s="25"/>
      <c r="V37" s="25"/>
      <c r="W37" s="25">
        <v>105</v>
      </c>
      <c r="X37" s="25"/>
      <c r="Y37" s="25"/>
      <c r="Z37" s="25"/>
      <c r="AA37" s="25"/>
      <c r="AB37" s="46">
        <f>C37+D37+F37+H37+J37+L37+N37+P37+R37+T37+V37+X37+Z37+W37</f>
        <v>2225</v>
      </c>
      <c r="AC37" s="22">
        <f t="shared" si="3"/>
        <v>185.416666666667</v>
      </c>
      <c r="AD37" s="22">
        <f>AC37*V142</f>
        <v>22.8328121314971</v>
      </c>
      <c r="AE37" s="56">
        <v>0</v>
      </c>
      <c r="AF37" s="22">
        <f>AE37*V145</f>
        <v>0</v>
      </c>
      <c r="AG37" s="53">
        <f>AD37+AF37</f>
        <v>22.8328121314971</v>
      </c>
      <c r="AH37" s="25"/>
      <c r="AJ37" s="55"/>
      <c r="AK37" s="67"/>
      <c r="AL37" s="65"/>
    </row>
    <row r="38" spans="1:38">
      <c r="A38" s="23">
        <v>28</v>
      </c>
      <c r="B38" s="20" t="s">
        <v>53</v>
      </c>
      <c r="C38" s="125">
        <v>2021.27</v>
      </c>
      <c r="D38" s="22">
        <f>360</f>
        <v>360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46">
        <f>C38+D38+F38+H38+J38+L38+N38+P38+R38+T38+V38+X38+Z38</f>
        <v>2381.27</v>
      </c>
      <c r="AC38" s="22">
        <f t="shared" si="3"/>
        <v>198.43916666666701</v>
      </c>
      <c r="AD38" s="22">
        <f>AC38*V142</f>
        <v>24.436445188480899</v>
      </c>
      <c r="AE38" s="52"/>
      <c r="AF38" s="22"/>
      <c r="AG38" s="53">
        <f>AD38+AF38</f>
        <v>24.436445188480899</v>
      </c>
      <c r="AH38" s="22"/>
      <c r="AK38" s="67"/>
      <c r="AL38" s="65"/>
    </row>
    <row r="39" spans="1:38" ht="5.25" customHeight="1">
      <c r="A39" s="35"/>
      <c r="B39" s="36"/>
      <c r="C39" s="12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9"/>
      <c r="AC39" s="39"/>
      <c r="AD39" s="39"/>
      <c r="AE39" s="59"/>
      <c r="AF39" s="39"/>
      <c r="AG39" s="39"/>
      <c r="AH39" s="39"/>
    </row>
    <row r="40" spans="1:38">
      <c r="A40" s="31"/>
      <c r="B40" s="20"/>
      <c r="C40" s="20"/>
      <c r="AG40" s="60" t="s">
        <v>54</v>
      </c>
    </row>
    <row r="41" spans="1:38">
      <c r="A41" s="31"/>
      <c r="B41" s="20"/>
      <c r="C41" s="20"/>
    </row>
    <row r="42" spans="1:38">
      <c r="A42" s="308" t="s">
        <v>0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  <c r="AA42" s="308"/>
      <c r="AB42" s="308"/>
      <c r="AC42" s="308"/>
      <c r="AD42" s="308"/>
      <c r="AE42" s="308"/>
      <c r="AF42" s="308"/>
      <c r="AG42" s="308"/>
      <c r="AH42" s="308"/>
    </row>
    <row r="43" spans="1:38">
      <c r="A43" s="315" t="s">
        <v>1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  <c r="AA43" s="315"/>
      <c r="AB43" s="315"/>
      <c r="AC43" s="315"/>
      <c r="AD43" s="315"/>
      <c r="AE43" s="315"/>
      <c r="AF43" s="315"/>
      <c r="AG43" s="315"/>
      <c r="AH43" s="315"/>
    </row>
    <row r="44" spans="1:38">
      <c r="A44" s="313" t="s">
        <v>2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3"/>
      <c r="X44" s="313"/>
      <c r="Y44" s="313"/>
      <c r="Z44" s="313"/>
      <c r="AA44" s="313"/>
      <c r="AB44" s="313"/>
      <c r="AC44" s="313"/>
      <c r="AD44" s="313"/>
      <c r="AE44" s="313"/>
      <c r="AF44" s="313"/>
      <c r="AG44" s="313"/>
      <c r="AH44" s="313"/>
    </row>
    <row r="45" spans="1:38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51"/>
      <c r="AF45" s="9"/>
      <c r="AG45" s="9"/>
      <c r="AH45" s="9"/>
    </row>
    <row r="46" spans="1:38" ht="18">
      <c r="A46" s="316" t="s">
        <v>3</v>
      </c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  <c r="Z46" s="316"/>
      <c r="AA46" s="316"/>
      <c r="AB46" s="316"/>
      <c r="AC46" s="316"/>
      <c r="AD46" s="316"/>
      <c r="AE46" s="316"/>
      <c r="AF46" s="316"/>
      <c r="AG46" s="316"/>
      <c r="AH46" s="316"/>
    </row>
    <row r="47" spans="1:38" ht="12.75" customHeight="1">
      <c r="A47" s="313" t="s">
        <v>145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/>
      <c r="W47" s="313"/>
      <c r="X47" s="313"/>
      <c r="Y47" s="313"/>
      <c r="Z47" s="313"/>
      <c r="AA47" s="313"/>
      <c r="AB47" s="313"/>
      <c r="AC47" s="313"/>
      <c r="AD47" s="313"/>
      <c r="AE47" s="313"/>
      <c r="AF47" s="313"/>
      <c r="AG47" s="313"/>
      <c r="AH47" s="313"/>
    </row>
    <row r="48" spans="1:38" ht="6" customHeight="1">
      <c r="A48" s="1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38" ht="24.75" customHeight="1">
      <c r="A49" s="336" t="s">
        <v>5</v>
      </c>
      <c r="B49" s="337"/>
      <c r="C49" s="332" t="s">
        <v>201</v>
      </c>
      <c r="D49" s="319" t="s">
        <v>7</v>
      </c>
      <c r="E49" s="123" t="s">
        <v>202</v>
      </c>
      <c r="F49" s="319" t="s">
        <v>8</v>
      </c>
      <c r="G49" s="123" t="s">
        <v>202</v>
      </c>
      <c r="H49" s="319" t="s">
        <v>9</v>
      </c>
      <c r="I49" s="123" t="s">
        <v>202</v>
      </c>
      <c r="J49" s="319" t="s">
        <v>10</v>
      </c>
      <c r="K49" s="123" t="s">
        <v>202</v>
      </c>
      <c r="L49" s="319" t="s">
        <v>11</v>
      </c>
      <c r="M49" s="123" t="s">
        <v>202</v>
      </c>
      <c r="N49" s="319" t="s">
        <v>12</v>
      </c>
      <c r="O49" s="123" t="s">
        <v>202</v>
      </c>
      <c r="P49" s="319" t="s">
        <v>13</v>
      </c>
      <c r="Q49" s="123" t="s">
        <v>202</v>
      </c>
      <c r="R49" s="319" t="s">
        <v>14</v>
      </c>
      <c r="S49" s="123" t="s">
        <v>202</v>
      </c>
      <c r="T49" s="319" t="s">
        <v>15</v>
      </c>
      <c r="U49" s="123" t="s">
        <v>202</v>
      </c>
      <c r="V49" s="319" t="s">
        <v>16</v>
      </c>
      <c r="W49" s="123" t="s">
        <v>202</v>
      </c>
      <c r="X49" s="319" t="s">
        <v>17</v>
      </c>
      <c r="Y49" s="123" t="s">
        <v>202</v>
      </c>
      <c r="Z49" s="319" t="s">
        <v>18</v>
      </c>
      <c r="AA49" s="123" t="s">
        <v>202</v>
      </c>
      <c r="AB49" s="319" t="s">
        <v>19</v>
      </c>
      <c r="AC49" s="319" t="s">
        <v>20</v>
      </c>
      <c r="AD49" s="327" t="s">
        <v>21</v>
      </c>
      <c r="AE49" s="323" t="s">
        <v>22</v>
      </c>
      <c r="AF49" s="340" t="s">
        <v>23</v>
      </c>
      <c r="AG49" s="329" t="s">
        <v>24</v>
      </c>
      <c r="AH49" s="321" t="s">
        <v>25</v>
      </c>
    </row>
    <row r="50" spans="1:38" ht="16.5" customHeight="1">
      <c r="A50" s="338"/>
      <c r="B50" s="339"/>
      <c r="C50" s="333"/>
      <c r="D50" s="320"/>
      <c r="E50" s="11" t="s">
        <v>203</v>
      </c>
      <c r="F50" s="320"/>
      <c r="G50" s="11" t="s">
        <v>203</v>
      </c>
      <c r="H50" s="320"/>
      <c r="I50" s="11" t="s">
        <v>203</v>
      </c>
      <c r="J50" s="320"/>
      <c r="K50" s="11" t="s">
        <v>203</v>
      </c>
      <c r="L50" s="320"/>
      <c r="M50" s="11" t="s">
        <v>203</v>
      </c>
      <c r="N50" s="320"/>
      <c r="O50" s="11" t="s">
        <v>203</v>
      </c>
      <c r="P50" s="320"/>
      <c r="Q50" s="11" t="s">
        <v>203</v>
      </c>
      <c r="R50" s="320"/>
      <c r="S50" s="11" t="s">
        <v>203</v>
      </c>
      <c r="T50" s="320"/>
      <c r="U50" s="11" t="s">
        <v>203</v>
      </c>
      <c r="V50" s="320"/>
      <c r="W50" s="11" t="s">
        <v>203</v>
      </c>
      <c r="X50" s="320"/>
      <c r="Y50" s="11" t="s">
        <v>203</v>
      </c>
      <c r="Z50" s="320"/>
      <c r="AA50" s="133" t="s">
        <v>203</v>
      </c>
      <c r="AB50" s="320"/>
      <c r="AC50" s="320"/>
      <c r="AD50" s="328"/>
      <c r="AE50" s="324"/>
      <c r="AF50" s="341"/>
      <c r="AG50" s="330"/>
      <c r="AH50" s="322"/>
    </row>
    <row r="51" spans="1:38" ht="5.25" customHeight="1">
      <c r="A51" s="41"/>
      <c r="B51" s="16"/>
      <c r="C51" s="129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61"/>
      <c r="AF51" s="44"/>
      <c r="AG51" s="44"/>
      <c r="AH51" s="44"/>
    </row>
    <row r="52" spans="1:38">
      <c r="A52" s="23">
        <v>29</v>
      </c>
      <c r="B52" s="27" t="s">
        <v>57</v>
      </c>
      <c r="C52" s="130">
        <v>2021.27</v>
      </c>
      <c r="D52" s="22">
        <v>0</v>
      </c>
      <c r="E52" s="22"/>
      <c r="F52" s="22">
        <v>0</v>
      </c>
      <c r="G52" s="22"/>
      <c r="H52" s="22">
        <v>0</v>
      </c>
      <c r="I52" s="22"/>
      <c r="J52" s="22">
        <v>0</v>
      </c>
      <c r="K52" s="22"/>
      <c r="L52" s="22">
        <v>0</v>
      </c>
      <c r="M52" s="22"/>
      <c r="N52" s="22">
        <v>0</v>
      </c>
      <c r="O52" s="22"/>
      <c r="P52" s="22">
        <v>0</v>
      </c>
      <c r="Q52" s="22"/>
      <c r="R52" s="22">
        <v>0</v>
      </c>
      <c r="S52" s="22"/>
      <c r="T52" s="22">
        <v>0</v>
      </c>
      <c r="U52" s="22"/>
      <c r="V52" s="22">
        <v>0</v>
      </c>
      <c r="W52" s="22"/>
      <c r="X52" s="22">
        <v>0</v>
      </c>
      <c r="Y52" s="22"/>
      <c r="Z52" s="22">
        <v>0</v>
      </c>
      <c r="AA52" s="22"/>
      <c r="AB52" s="46">
        <f>C52+D52+F52+H52+J52+L52+N52+P52+R52+T52+V52+X52+Z52</f>
        <v>2021.27</v>
      </c>
      <c r="AC52" s="22">
        <f>AB52/12</f>
        <v>168.43916666666701</v>
      </c>
      <c r="AD52" s="22">
        <f>AC52*V142</f>
        <v>20.742147495294901</v>
      </c>
      <c r="AE52" s="52"/>
      <c r="AF52" s="22"/>
      <c r="AG52" s="53">
        <f>AD52+AF52</f>
        <v>20.742147495294901</v>
      </c>
      <c r="AH52" s="22"/>
      <c r="AK52" s="67"/>
      <c r="AL52" s="65"/>
    </row>
    <row r="53" spans="1:38" s="2" customFormat="1">
      <c r="A53" s="23">
        <v>30</v>
      </c>
      <c r="B53" s="20" t="s">
        <v>58</v>
      </c>
      <c r="C53" s="130">
        <v>800</v>
      </c>
      <c r="D53" s="25">
        <f>1300</f>
        <v>1300</v>
      </c>
      <c r="E53" s="25"/>
      <c r="F53" s="25"/>
      <c r="G53" s="25"/>
      <c r="H53" s="25"/>
      <c r="I53" s="25"/>
      <c r="J53" s="25">
        <v>0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46">
        <f>C53+D53+F53+H53+J53+L53+N53+P53+R53+T53+V53+X53+Z53</f>
        <v>2100</v>
      </c>
      <c r="AC53" s="22">
        <f t="shared" ref="AC53:AC67" si="4">AB53/12</f>
        <v>175</v>
      </c>
      <c r="AD53" s="22">
        <f>AC53*V142</f>
        <v>21.550069876918599</v>
      </c>
      <c r="AE53" s="56"/>
      <c r="AF53" s="25"/>
      <c r="AG53" s="53">
        <f>AD53+AF53</f>
        <v>21.550069876918599</v>
      </c>
      <c r="AH53" s="25"/>
      <c r="AK53" s="62"/>
      <c r="AL53" s="62"/>
    </row>
    <row r="54" spans="1:38">
      <c r="A54" s="23">
        <v>31</v>
      </c>
      <c r="B54" s="20" t="s">
        <v>59</v>
      </c>
      <c r="C54" s="130">
        <v>2534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>
        <v>88</v>
      </c>
      <c r="T54" s="22">
        <v>0</v>
      </c>
      <c r="U54" s="22"/>
      <c r="V54" s="22">
        <v>0</v>
      </c>
      <c r="W54" s="22"/>
      <c r="X54" s="22"/>
      <c r="Y54" s="22"/>
      <c r="Z54" s="22"/>
      <c r="AA54" s="22"/>
      <c r="AB54" s="46">
        <f>C54+D54+F54+H54+J54+L54+N54+P54+R54+T54+V54+X54+Z54+S54</f>
        <v>2622</v>
      </c>
      <c r="AC54" s="22">
        <f t="shared" si="4"/>
        <v>218.5</v>
      </c>
      <c r="AD54" s="22">
        <f>AC54*V142</f>
        <v>26.906801532038401</v>
      </c>
      <c r="AE54" s="52">
        <v>0</v>
      </c>
      <c r="AF54" s="22">
        <f>AE54*V145</f>
        <v>0</v>
      </c>
      <c r="AG54" s="53">
        <f>AD54+AF54</f>
        <v>26.906801532038401</v>
      </c>
      <c r="AH54" s="22"/>
      <c r="AJ54" s="55"/>
      <c r="AK54" s="67"/>
      <c r="AL54" s="65"/>
    </row>
    <row r="55" spans="1:38">
      <c r="A55" s="23">
        <v>32</v>
      </c>
      <c r="B55" s="27" t="s">
        <v>60</v>
      </c>
      <c r="C55" s="130">
        <v>2454</v>
      </c>
      <c r="D55" s="22"/>
      <c r="E55" s="22"/>
      <c r="F55" s="22"/>
      <c r="G55" s="22"/>
      <c r="H55" s="22"/>
      <c r="I55" s="22">
        <v>310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>
        <v>0</v>
      </c>
      <c r="Y55" s="22"/>
      <c r="Z55" s="22"/>
      <c r="AA55" s="22"/>
      <c r="AB55" s="46">
        <f>C55+D55+F55+H55+J55+L55+N55+P55+R55+T55+V55+X55+Z55+I55</f>
        <v>2764</v>
      </c>
      <c r="AC55" s="22">
        <f t="shared" si="4"/>
        <v>230.333333333333</v>
      </c>
      <c r="AD55" s="22">
        <f>AC55*V142</f>
        <v>28.3639967332395</v>
      </c>
      <c r="AE55" s="52">
        <v>0</v>
      </c>
      <c r="AF55" s="22">
        <f>AE55*V145</f>
        <v>0</v>
      </c>
      <c r="AG55" s="53">
        <f>AD55+AF55</f>
        <v>28.3639967332395</v>
      </c>
      <c r="AH55" s="22"/>
      <c r="AJ55" s="55"/>
      <c r="AK55" s="67"/>
      <c r="AL55" s="65"/>
    </row>
    <row r="56" spans="1:38" s="2" customFormat="1">
      <c r="A56" s="19">
        <v>33</v>
      </c>
      <c r="B56" s="20" t="s">
        <v>61</v>
      </c>
      <c r="C56" s="130">
        <v>1100</v>
      </c>
      <c r="D56" s="25"/>
      <c r="E56" s="25"/>
      <c r="F56" s="25">
        <v>0</v>
      </c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46">
        <f>C56+D56+F56+H56+J56+L56+N56+P56+R56+T56+V56+X56+Z56</f>
        <v>1100</v>
      </c>
      <c r="AC56" s="22">
        <f t="shared" si="4"/>
        <v>91.6666666666667</v>
      </c>
      <c r="AD56" s="22">
        <f>AC56*V142</f>
        <v>11.288131840290699</v>
      </c>
      <c r="AE56" s="56"/>
      <c r="AF56" s="25"/>
      <c r="AG56" s="57"/>
      <c r="AH56" s="25"/>
      <c r="AK56" s="62"/>
      <c r="AL56" s="62"/>
    </row>
    <row r="57" spans="1:38">
      <c r="A57" s="19">
        <v>34</v>
      </c>
      <c r="B57" s="27" t="s">
        <v>62</v>
      </c>
      <c r="C57" s="131">
        <v>1000</v>
      </c>
      <c r="D57" s="22"/>
      <c r="E57" s="22"/>
      <c r="F57" s="22">
        <v>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46">
        <f>C57+D57+F57+H57+J57+L57+N57+P57+R57+T57+V57+X57+Z57</f>
        <v>1000</v>
      </c>
      <c r="AC57" s="22">
        <f t="shared" si="4"/>
        <v>83.3333333333333</v>
      </c>
      <c r="AD57" s="22">
        <f>AC57*V142</f>
        <v>10.2619380366279</v>
      </c>
      <c r="AE57" s="52"/>
      <c r="AF57" s="22"/>
      <c r="AG57" s="53"/>
      <c r="AH57" s="22"/>
    </row>
    <row r="58" spans="1:38" s="2" customFormat="1">
      <c r="A58" s="19">
        <v>35</v>
      </c>
      <c r="B58" s="20" t="s">
        <v>63</v>
      </c>
      <c r="C58" s="131">
        <v>935.84</v>
      </c>
      <c r="D58" s="25"/>
      <c r="E58" s="25"/>
      <c r="F58" s="25"/>
      <c r="G58" s="25"/>
      <c r="H58" s="25"/>
      <c r="I58" s="25"/>
      <c r="J58" s="25">
        <v>0</v>
      </c>
      <c r="K58" s="25"/>
      <c r="L58" s="25"/>
      <c r="M58" s="25"/>
      <c r="N58" s="25"/>
      <c r="O58" s="25"/>
      <c r="P58" s="25">
        <v>0</v>
      </c>
      <c r="Q58" s="25"/>
      <c r="R58" s="25"/>
      <c r="S58" s="25"/>
      <c r="T58" s="25"/>
      <c r="U58" s="25">
        <v>84</v>
      </c>
      <c r="V58" s="25"/>
      <c r="W58" s="25"/>
      <c r="X58" s="25"/>
      <c r="Y58" s="25"/>
      <c r="Z58" s="25"/>
      <c r="AA58" s="25"/>
      <c r="AB58" s="46">
        <f>C58+D58+F58+H58+J58+L58+N58+P58+R58+T58+V58+X58+Z58+U58</f>
        <v>1019.84</v>
      </c>
      <c r="AC58" s="22">
        <f t="shared" si="4"/>
        <v>84.986666666666693</v>
      </c>
      <c r="AD58" s="22">
        <f>AC58*V142</f>
        <v>10.4655348872746</v>
      </c>
      <c r="AE58" s="56">
        <v>0</v>
      </c>
      <c r="AF58" s="25">
        <f>AE58*V145</f>
        <v>0</v>
      </c>
      <c r="AG58" s="53">
        <f>AF58</f>
        <v>0</v>
      </c>
      <c r="AH58" s="25"/>
      <c r="AJ58" s="54"/>
      <c r="AK58" s="67"/>
      <c r="AL58" s="65"/>
    </row>
    <row r="59" spans="1:38">
      <c r="A59" s="19">
        <v>36</v>
      </c>
      <c r="B59" s="20" t="s">
        <v>64</v>
      </c>
      <c r="C59" s="131">
        <v>300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46">
        <f>C59+D59+F59+H59+J59+L59+N59+P59+R59+T59+V59+X59+Z59</f>
        <v>300</v>
      </c>
      <c r="AC59" s="22">
        <f t="shared" si="4"/>
        <v>25</v>
      </c>
      <c r="AD59" s="22">
        <f>AC59*V142</f>
        <v>3.0785814109883698</v>
      </c>
      <c r="AE59" s="52">
        <v>0</v>
      </c>
      <c r="AF59" s="22">
        <f>AE59*V145</f>
        <v>0</v>
      </c>
      <c r="AG59" s="53">
        <f>AF59</f>
        <v>0</v>
      </c>
      <c r="AH59" s="22"/>
      <c r="AJ59" s="54"/>
      <c r="AK59" s="67"/>
      <c r="AL59" s="65"/>
    </row>
    <row r="60" spans="1:38">
      <c r="A60" s="19">
        <v>37</v>
      </c>
      <c r="B60" s="20" t="s">
        <v>65</v>
      </c>
      <c r="C60" s="131">
        <v>650</v>
      </c>
      <c r="D60" s="22">
        <v>0</v>
      </c>
      <c r="E60" s="22"/>
      <c r="F60" s="22"/>
      <c r="G60" s="22"/>
      <c r="H60" s="22">
        <v>0</v>
      </c>
      <c r="I60" s="22"/>
      <c r="J60" s="22"/>
      <c r="K60" s="22"/>
      <c r="L60" s="22">
        <v>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46">
        <f>C60+D60+F60+H60+J60+L60+N60+P60+R60+T60+V60+X60+Z60</f>
        <v>650</v>
      </c>
      <c r="AC60" s="22">
        <f t="shared" si="4"/>
        <v>54.1666666666667</v>
      </c>
      <c r="AD60" s="22">
        <f>AC60*V142</f>
        <v>6.6702597238081403</v>
      </c>
      <c r="AE60" s="52"/>
      <c r="AF60" s="22"/>
      <c r="AG60" s="53"/>
      <c r="AH60" s="22"/>
      <c r="AJ60" s="54"/>
    </row>
    <row r="61" spans="1:38">
      <c r="A61" s="19">
        <v>38</v>
      </c>
      <c r="B61" s="20" t="s">
        <v>66</v>
      </c>
      <c r="C61" s="131">
        <v>350</v>
      </c>
      <c r="D61" s="22"/>
      <c r="E61" s="22"/>
      <c r="F61" s="22"/>
      <c r="G61" s="22"/>
      <c r="H61" s="22">
        <v>0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46">
        <f>C61+D61+F61+H61+J61+L61+N61+P61+R61+T61+V61+X61+Z61</f>
        <v>350</v>
      </c>
      <c r="AC61" s="22">
        <f t="shared" si="4"/>
        <v>29.1666666666667</v>
      </c>
      <c r="AD61" s="22">
        <f>AC61*V142</f>
        <v>3.59167831281977</v>
      </c>
      <c r="AE61" s="52"/>
      <c r="AF61" s="22"/>
      <c r="AG61" s="53"/>
      <c r="AH61" s="22"/>
      <c r="AJ61" s="54"/>
    </row>
    <row r="62" spans="1:38">
      <c r="A62" s="19">
        <v>39</v>
      </c>
      <c r="B62" s="20" t="s">
        <v>67</v>
      </c>
      <c r="C62" s="132">
        <v>150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46">
        <f>C62+D62+F62+H62+J62+L62+N62+P62+R62+T62+V62+X62+Z62</f>
        <v>150</v>
      </c>
      <c r="AC62" s="22">
        <f t="shared" si="4"/>
        <v>12.5</v>
      </c>
      <c r="AD62" s="22">
        <f>AC62*V142</f>
        <v>1.53929070549419</v>
      </c>
      <c r="AE62" s="52"/>
      <c r="AF62" s="22"/>
      <c r="AG62" s="53"/>
      <c r="AH62" s="22"/>
      <c r="AJ62" s="54"/>
    </row>
    <row r="63" spans="1:38">
      <c r="A63" s="23">
        <v>40</v>
      </c>
      <c r="B63" s="20" t="s">
        <v>68</v>
      </c>
      <c r="C63" s="130">
        <v>2480</v>
      </c>
      <c r="D63" s="22">
        <v>0</v>
      </c>
      <c r="E63" s="22"/>
      <c r="F63" s="22">
        <v>0</v>
      </c>
      <c r="G63" s="22"/>
      <c r="H63" s="22">
        <v>0</v>
      </c>
      <c r="I63" s="22"/>
      <c r="J63" s="22">
        <v>0</v>
      </c>
      <c r="K63" s="22"/>
      <c r="L63" s="22">
        <v>0</v>
      </c>
      <c r="M63" s="22"/>
      <c r="N63" s="22">
        <v>0</v>
      </c>
      <c r="O63" s="22"/>
      <c r="P63" s="22">
        <v>0</v>
      </c>
      <c r="Q63" s="22"/>
      <c r="R63" s="22">
        <v>0</v>
      </c>
      <c r="S63" s="22"/>
      <c r="T63" s="22">
        <v>60</v>
      </c>
      <c r="U63" s="22">
        <v>84</v>
      </c>
      <c r="V63" s="22">
        <v>0</v>
      </c>
      <c r="W63" s="22"/>
      <c r="X63" s="22">
        <v>0</v>
      </c>
      <c r="Y63" s="22"/>
      <c r="Z63" s="22">
        <v>0</v>
      </c>
      <c r="AA63" s="22"/>
      <c r="AB63" s="46">
        <f>C63+D63+F63+H63+J63+L63+N63+P63+R63+T63+V63+X63+Z63+U63</f>
        <v>2624</v>
      </c>
      <c r="AC63" s="22">
        <f t="shared" si="4"/>
        <v>218.666666666667</v>
      </c>
      <c r="AD63" s="22">
        <f>AC63*V142</f>
        <v>26.927325408111599</v>
      </c>
      <c r="AE63" s="52">
        <f>200</f>
        <v>200</v>
      </c>
      <c r="AF63" s="22">
        <f>AE63*V145</f>
        <v>22.461003627569529</v>
      </c>
      <c r="AG63" s="53">
        <f t="shared" ref="AG63:AG69" si="5">AD63+AF63</f>
        <v>49.388329035681124</v>
      </c>
      <c r="AH63" s="22"/>
      <c r="AJ63" s="55"/>
      <c r="AK63" s="67"/>
      <c r="AL63" s="65"/>
    </row>
    <row r="64" spans="1:38">
      <c r="A64" s="29">
        <v>41</v>
      </c>
      <c r="B64" s="20" t="s">
        <v>69</v>
      </c>
      <c r="C64" s="130">
        <v>3660</v>
      </c>
      <c r="D64" s="45">
        <v>1000</v>
      </c>
      <c r="E64" s="45"/>
      <c r="F64" s="22">
        <f>1000+1340</f>
        <v>2340</v>
      </c>
      <c r="G64" s="22"/>
      <c r="H64" s="22">
        <v>0</v>
      </c>
      <c r="I64" s="22"/>
      <c r="J64" s="22">
        <v>0</v>
      </c>
      <c r="K64" s="22"/>
      <c r="L64" s="22">
        <v>0</v>
      </c>
      <c r="M64" s="22"/>
      <c r="N64" s="22">
        <v>0</v>
      </c>
      <c r="O64" s="22"/>
      <c r="P64" s="22">
        <v>0</v>
      </c>
      <c r="Q64" s="22"/>
      <c r="R64" s="22">
        <v>0</v>
      </c>
      <c r="S64" s="22"/>
      <c r="T64" s="22">
        <v>0</v>
      </c>
      <c r="U64" s="22"/>
      <c r="V64" s="22">
        <v>0</v>
      </c>
      <c r="W64" s="22"/>
      <c r="X64" s="22">
        <v>0</v>
      </c>
      <c r="Y64" s="22"/>
      <c r="Z64" s="22">
        <v>0</v>
      </c>
      <c r="AA64" s="22"/>
      <c r="AB64" s="46">
        <f>C64+D64+F64+H64+J64+L64+N64+P64+R64+T64+V64+X64+Z64</f>
        <v>7000</v>
      </c>
      <c r="AC64" s="22">
        <f t="shared" si="4"/>
        <v>583.33333333333303</v>
      </c>
      <c r="AD64" s="22">
        <f>AC64*V142</f>
        <v>71.833566256395301</v>
      </c>
      <c r="AE64" s="52">
        <f>200</f>
        <v>200</v>
      </c>
      <c r="AF64" s="22">
        <f>AE64*V145</f>
        <v>22.461003627569529</v>
      </c>
      <c r="AG64" s="53">
        <f t="shared" si="5"/>
        <v>94.294569883964826</v>
      </c>
      <c r="AH64" s="22"/>
      <c r="AJ64" s="55"/>
      <c r="AK64" s="67"/>
      <c r="AL64" s="65"/>
    </row>
    <row r="65" spans="1:38">
      <c r="A65" s="29">
        <v>42</v>
      </c>
      <c r="B65" s="20" t="s">
        <v>70</v>
      </c>
      <c r="C65" s="130">
        <v>7000</v>
      </c>
      <c r="D65" s="22">
        <v>0</v>
      </c>
      <c r="E65" s="22"/>
      <c r="F65" s="22">
        <v>0</v>
      </c>
      <c r="G65" s="22"/>
      <c r="H65" s="22">
        <v>0</v>
      </c>
      <c r="I65" s="22"/>
      <c r="J65" s="22">
        <v>0</v>
      </c>
      <c r="K65" s="22"/>
      <c r="L65" s="22">
        <v>0</v>
      </c>
      <c r="M65" s="22"/>
      <c r="N65" s="22">
        <v>0</v>
      </c>
      <c r="O65" s="22"/>
      <c r="P65" s="22">
        <v>0</v>
      </c>
      <c r="Q65" s="22"/>
      <c r="R65" s="22">
        <v>0</v>
      </c>
      <c r="S65" s="22"/>
      <c r="T65" s="22">
        <v>0</v>
      </c>
      <c r="U65" s="22"/>
      <c r="V65" s="22">
        <v>0</v>
      </c>
      <c r="W65" s="22"/>
      <c r="X65" s="22">
        <v>0</v>
      </c>
      <c r="Y65" s="22"/>
      <c r="Z65" s="22">
        <v>0</v>
      </c>
      <c r="AA65" s="22"/>
      <c r="AB65" s="46">
        <f>C65+D65+F65+H65+J65+L65+N65+P65+R65+T65+V65+X65+Z65</f>
        <v>7000</v>
      </c>
      <c r="AC65" s="22">
        <f t="shared" si="4"/>
        <v>583.33333333333303</v>
      </c>
      <c r="AD65" s="22">
        <f>AC65*V142</f>
        <v>71.833566256395301</v>
      </c>
      <c r="AE65" s="52">
        <f>400+600+400+240</f>
        <v>1640</v>
      </c>
      <c r="AF65" s="22">
        <f>AE65*V145</f>
        <v>184.18022974607013</v>
      </c>
      <c r="AG65" s="53">
        <f t="shared" si="5"/>
        <v>256.01379600246543</v>
      </c>
      <c r="AH65" s="22"/>
      <c r="AJ65" s="55"/>
      <c r="AK65" s="67"/>
      <c r="AL65" s="65"/>
    </row>
    <row r="66" spans="1:38">
      <c r="A66" s="29">
        <v>43</v>
      </c>
      <c r="B66" s="20" t="s">
        <v>71</v>
      </c>
      <c r="C66" s="130">
        <v>7000</v>
      </c>
      <c r="D66" s="22">
        <v>0</v>
      </c>
      <c r="E66" s="22"/>
      <c r="F66" s="22">
        <v>0</v>
      </c>
      <c r="G66" s="22"/>
      <c r="H66" s="22">
        <v>0</v>
      </c>
      <c r="I66" s="22"/>
      <c r="J66" s="22">
        <v>0</v>
      </c>
      <c r="K66" s="22"/>
      <c r="L66" s="22">
        <v>0</v>
      </c>
      <c r="M66" s="22"/>
      <c r="N66" s="22">
        <v>0</v>
      </c>
      <c r="O66" s="22"/>
      <c r="P66" s="22">
        <v>0</v>
      </c>
      <c r="Q66" s="22"/>
      <c r="R66" s="22">
        <v>0</v>
      </c>
      <c r="S66" s="22"/>
      <c r="T66" s="22">
        <v>0</v>
      </c>
      <c r="U66" s="22"/>
      <c r="V66" s="22">
        <v>0</v>
      </c>
      <c r="W66" s="22"/>
      <c r="X66" s="22">
        <v>0</v>
      </c>
      <c r="Y66" s="22"/>
      <c r="Z66" s="22">
        <v>0</v>
      </c>
      <c r="AA66" s="22"/>
      <c r="AB66" s="46">
        <f>C66+D66+F66+H66+J66+L66+N66+P66+R66+T66+V66+X66+Z66</f>
        <v>7000</v>
      </c>
      <c r="AC66" s="22">
        <f t="shared" si="4"/>
        <v>583.33333333333303</v>
      </c>
      <c r="AD66" s="22">
        <f>AC66*V142</f>
        <v>71.833566256395301</v>
      </c>
      <c r="AE66" s="52">
        <f>400</f>
        <v>400</v>
      </c>
      <c r="AF66" s="22">
        <f>AE66*V145</f>
        <v>44.922007255139057</v>
      </c>
      <c r="AG66" s="53">
        <f t="shared" si="5"/>
        <v>116.75557351153435</v>
      </c>
      <c r="AH66" s="22"/>
      <c r="AJ66" s="55"/>
      <c r="AK66" s="67"/>
      <c r="AL66" s="65"/>
    </row>
    <row r="67" spans="1:38">
      <c r="A67" s="23">
        <v>44</v>
      </c>
      <c r="B67" s="20" t="s">
        <v>72</v>
      </c>
      <c r="C67" s="130">
        <v>2000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46">
        <f>C67+D67+F67+H67+J67+L67+N67+P67+R67+T67+V67+X67+Z67</f>
        <v>2000</v>
      </c>
      <c r="AC67" s="22">
        <f t="shared" si="4"/>
        <v>166.666666666667</v>
      </c>
      <c r="AD67" s="22">
        <f>AC67*V142</f>
        <v>20.523876073255799</v>
      </c>
      <c r="AE67" s="52"/>
      <c r="AF67" s="22"/>
      <c r="AG67" s="53">
        <f t="shared" si="5"/>
        <v>20.523876073255799</v>
      </c>
      <c r="AH67" s="22"/>
      <c r="AK67" s="67"/>
      <c r="AL67" s="65"/>
    </row>
    <row r="68" spans="1:38">
      <c r="A68" s="23">
        <v>45</v>
      </c>
      <c r="B68" s="20" t="s">
        <v>73</v>
      </c>
      <c r="C68" s="130">
        <v>2818</v>
      </c>
      <c r="D68" s="22">
        <v>300</v>
      </c>
      <c r="E68" s="22"/>
      <c r="F68" s="22">
        <v>0</v>
      </c>
      <c r="G68" s="22"/>
      <c r="H68" s="22"/>
      <c r="I68" s="22"/>
      <c r="J68" s="22">
        <v>0</v>
      </c>
      <c r="K68" s="22"/>
      <c r="L68" s="22"/>
      <c r="M68" s="22"/>
      <c r="N68" s="22">
        <v>0</v>
      </c>
      <c r="O68" s="22"/>
      <c r="P68" s="22">
        <v>0</v>
      </c>
      <c r="Q68" s="22"/>
      <c r="R68" s="22">
        <v>0</v>
      </c>
      <c r="S68" s="22">
        <v>88</v>
      </c>
      <c r="T68" s="22">
        <v>0</v>
      </c>
      <c r="U68" s="22"/>
      <c r="V68" s="22"/>
      <c r="W68" s="22"/>
      <c r="X68" s="22">
        <v>0</v>
      </c>
      <c r="Y68" s="22"/>
      <c r="Z68" s="22">
        <v>0</v>
      </c>
      <c r="AA68" s="22"/>
      <c r="AB68" s="46">
        <f>C68+D68+F68+H68+J68+L68+N68+P68+R68+T68+V68+X68+Z68+S68</f>
        <v>3206</v>
      </c>
      <c r="AC68" s="22">
        <f t="shared" ref="AC68:AC78" si="6">AB68/12</f>
        <v>267.16666666666703</v>
      </c>
      <c r="AD68" s="22">
        <f>AC68*V142</f>
        <v>32.899773345429097</v>
      </c>
      <c r="AE68" s="52">
        <v>0</v>
      </c>
      <c r="AF68" s="22">
        <f>AE68*V145</f>
        <v>0</v>
      </c>
      <c r="AG68" s="53">
        <f t="shared" si="5"/>
        <v>32.899773345429097</v>
      </c>
      <c r="AH68" s="93"/>
      <c r="AJ68" s="55"/>
      <c r="AK68" s="67"/>
      <c r="AL68" s="65"/>
    </row>
    <row r="69" spans="1:38">
      <c r="A69" s="23">
        <v>46</v>
      </c>
      <c r="B69" s="20" t="s">
        <v>74</v>
      </c>
      <c r="C69" s="130">
        <v>2930</v>
      </c>
      <c r="D69" s="22">
        <f>500+100</f>
        <v>600</v>
      </c>
      <c r="E69" s="22"/>
      <c r="F69" s="22">
        <v>0</v>
      </c>
      <c r="G69" s="22"/>
      <c r="H69" s="22">
        <v>0</v>
      </c>
      <c r="I69" s="22"/>
      <c r="J69" s="22">
        <v>0</v>
      </c>
      <c r="K69" s="22"/>
      <c r="L69" s="22">
        <v>0</v>
      </c>
      <c r="M69" s="22">
        <v>540</v>
      </c>
      <c r="N69" s="22"/>
      <c r="O69" s="22"/>
      <c r="P69" s="45">
        <v>300</v>
      </c>
      <c r="Q69" s="45"/>
      <c r="R69" s="22"/>
      <c r="S69" s="22"/>
      <c r="T69" s="22"/>
      <c r="U69" s="22"/>
      <c r="V69" s="22"/>
      <c r="W69" s="22"/>
      <c r="X69" s="22">
        <v>200</v>
      </c>
      <c r="Y69" s="22"/>
      <c r="Z69" s="22">
        <v>650</v>
      </c>
      <c r="AA69" s="22"/>
      <c r="AB69" s="46">
        <f>C69+D69+F69+H69+J69+L69+N69+P69+R69+T69+V69+X69+Z69+M69</f>
        <v>5220</v>
      </c>
      <c r="AC69" s="22">
        <f t="shared" si="6"/>
        <v>435</v>
      </c>
      <c r="AD69" s="22">
        <f>AC69*V142</f>
        <v>53.567316551197699</v>
      </c>
      <c r="AE69" s="52">
        <f>400+400</f>
        <v>800</v>
      </c>
      <c r="AF69" s="22">
        <f>AE69*V145</f>
        <v>89.844014510278114</v>
      </c>
      <c r="AG69" s="53">
        <f t="shared" si="5"/>
        <v>143.41133106147581</v>
      </c>
      <c r="AH69" s="93"/>
      <c r="AJ69" s="55"/>
      <c r="AK69" s="67"/>
      <c r="AL69" s="65"/>
    </row>
    <row r="70" spans="1:38" s="2" customFormat="1" ht="16.5" customHeight="1">
      <c r="A70" s="19">
        <v>47</v>
      </c>
      <c r="B70" s="68" t="s">
        <v>75</v>
      </c>
      <c r="C70" s="131">
        <v>550</v>
      </c>
      <c r="D70" s="25"/>
      <c r="E70" s="25"/>
      <c r="F70" s="25"/>
      <c r="G70" s="25"/>
      <c r="H70" s="25">
        <v>0</v>
      </c>
      <c r="I70" s="25"/>
      <c r="J70" s="25"/>
      <c r="K70" s="25"/>
      <c r="L70" s="25"/>
      <c r="M70" s="25"/>
      <c r="N70" s="25">
        <v>0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46">
        <f>C70+D70+F70+H70+J70+L70+N70+P70+R70+T70+V70+X70+Z70</f>
        <v>550</v>
      </c>
      <c r="AC70" s="25">
        <f t="shared" si="6"/>
        <v>45.8333333333333</v>
      </c>
      <c r="AD70" s="22">
        <f>AC70*V142</f>
        <v>5.6440659201453496</v>
      </c>
      <c r="AE70" s="56"/>
      <c r="AF70" s="25"/>
      <c r="AG70" s="57"/>
      <c r="AH70" s="94"/>
      <c r="AK70" s="62"/>
      <c r="AL70" s="62"/>
    </row>
    <row r="71" spans="1:38">
      <c r="A71" s="19">
        <v>48</v>
      </c>
      <c r="B71" s="20" t="s">
        <v>76</v>
      </c>
      <c r="C71" s="131">
        <v>800</v>
      </c>
      <c r="D71" s="22">
        <v>0</v>
      </c>
      <c r="E71" s="22"/>
      <c r="F71" s="22"/>
      <c r="G71" s="22"/>
      <c r="H71" s="22">
        <v>0</v>
      </c>
      <c r="I71" s="22"/>
      <c r="J71" s="22"/>
      <c r="K71" s="22"/>
      <c r="L71" s="22"/>
      <c r="M71" s="22"/>
      <c r="N71" s="22"/>
      <c r="O71" s="22"/>
      <c r="P71" s="22"/>
      <c r="Q71" s="22"/>
      <c r="R71" s="22">
        <v>0</v>
      </c>
      <c r="S71" s="22"/>
      <c r="T71" s="22"/>
      <c r="U71" s="22"/>
      <c r="V71" s="22"/>
      <c r="W71" s="22"/>
      <c r="X71" s="22"/>
      <c r="Y71" s="22"/>
      <c r="Z71" s="22"/>
      <c r="AA71" s="22"/>
      <c r="AB71" s="46">
        <f>C71+D71+F71+H71+J71+L71+N71+P71+R71+T71+V71+X71+Z71</f>
        <v>800</v>
      </c>
      <c r="AC71" s="22">
        <f t="shared" si="6"/>
        <v>66.6666666666667</v>
      </c>
      <c r="AD71" s="22">
        <f>AC71*V142</f>
        <v>8.2095504293023307</v>
      </c>
      <c r="AE71" s="52"/>
      <c r="AF71" s="22"/>
      <c r="AG71" s="53"/>
      <c r="AH71" s="93"/>
    </row>
    <row r="72" spans="1:38">
      <c r="A72" s="23">
        <v>49</v>
      </c>
      <c r="B72" s="20" t="s">
        <v>77</v>
      </c>
      <c r="C72" s="131">
        <v>5460</v>
      </c>
      <c r="D72" s="22">
        <v>60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>
        <v>220</v>
      </c>
      <c r="R72" s="22"/>
      <c r="S72" s="22"/>
      <c r="T72" s="22"/>
      <c r="U72" s="22"/>
      <c r="V72" s="22"/>
      <c r="W72" s="22"/>
      <c r="X72" s="22">
        <v>0</v>
      </c>
      <c r="Y72" s="22"/>
      <c r="Z72" s="22"/>
      <c r="AA72" s="22"/>
      <c r="AB72" s="46">
        <f>C72+D72+F72+H72+J72+L72+N72+P72+R72+T72+V72+X72+Z72+Q72</f>
        <v>5740</v>
      </c>
      <c r="AC72" s="22">
        <f t="shared" si="6"/>
        <v>478.33333333333297</v>
      </c>
      <c r="AD72" s="22">
        <f>AC72*V142</f>
        <v>58.903524330244203</v>
      </c>
      <c r="AE72" s="52">
        <f>200+200</f>
        <v>400</v>
      </c>
      <c r="AF72" s="22">
        <f>AE72*V145</f>
        <v>44.922007255139057</v>
      </c>
      <c r="AG72" s="53">
        <f t="shared" ref="AG72" si="7">AD72+AF72</f>
        <v>103.82553158538326</v>
      </c>
      <c r="AH72" s="93"/>
    </row>
    <row r="73" spans="1:38">
      <c r="A73" s="19">
        <v>50</v>
      </c>
      <c r="B73" s="20" t="s">
        <v>78</v>
      </c>
      <c r="C73" s="132">
        <v>200</v>
      </c>
      <c r="D73" s="22">
        <v>0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46">
        <f>C73+D73+F73+H73+J73+L73+N73+P73+R73+T73+V73+X73+Z73</f>
        <v>200</v>
      </c>
      <c r="AC73" s="22">
        <f t="shared" si="6"/>
        <v>16.6666666666667</v>
      </c>
      <c r="AD73" s="22">
        <f>AC73*V142</f>
        <v>2.05238760732558</v>
      </c>
      <c r="AE73" s="52">
        <v>0</v>
      </c>
      <c r="AF73" s="22">
        <f>AE73*V145</f>
        <v>0</v>
      </c>
      <c r="AG73" s="53">
        <f>AF73</f>
        <v>0</v>
      </c>
      <c r="AH73" s="93"/>
      <c r="AJ73" s="54"/>
      <c r="AK73" s="67"/>
      <c r="AL73" s="65"/>
    </row>
    <row r="74" spans="1:38">
      <c r="A74" s="19">
        <v>51</v>
      </c>
      <c r="B74" s="69" t="s">
        <v>79</v>
      </c>
      <c r="C74" s="132">
        <v>200</v>
      </c>
      <c r="D74" s="22">
        <v>0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46">
        <f>C74+D74+F74+H74+J74+L74+N74+P74+R74+T74+V74+X74+Z74</f>
        <v>200</v>
      </c>
      <c r="AC74" s="22">
        <f t="shared" si="6"/>
        <v>16.6666666666667</v>
      </c>
      <c r="AD74" s="22">
        <f>AC74*V142</f>
        <v>2.05238760732558</v>
      </c>
      <c r="AE74" s="52">
        <v>0</v>
      </c>
      <c r="AF74" s="22">
        <f>AE74*V145</f>
        <v>0</v>
      </c>
      <c r="AG74" s="53">
        <f>AF74</f>
        <v>0</v>
      </c>
      <c r="AH74" s="93"/>
      <c r="AJ74" s="54"/>
      <c r="AK74" s="67"/>
      <c r="AL74" s="65"/>
    </row>
    <row r="75" spans="1:38">
      <c r="A75" s="19">
        <v>52</v>
      </c>
      <c r="B75" s="20" t="s">
        <v>80</v>
      </c>
      <c r="C75" s="131">
        <v>1550</v>
      </c>
      <c r="D75" s="52">
        <v>0</v>
      </c>
      <c r="E75" s="52"/>
      <c r="F75" s="22">
        <v>0</v>
      </c>
      <c r="G75" s="22"/>
      <c r="H75" s="22">
        <v>0</v>
      </c>
      <c r="I75" s="22"/>
      <c r="J75" s="22">
        <v>0</v>
      </c>
      <c r="K75" s="22"/>
      <c r="L75" s="22">
        <v>0</v>
      </c>
      <c r="M75" s="22"/>
      <c r="N75" s="22">
        <v>0</v>
      </c>
      <c r="O75" s="22"/>
      <c r="P75" s="22"/>
      <c r="Q75" s="22"/>
      <c r="R75" s="22"/>
      <c r="S75" s="22"/>
      <c r="T75" s="22">
        <v>0</v>
      </c>
      <c r="U75" s="22"/>
      <c r="V75" s="22"/>
      <c r="W75" s="22"/>
      <c r="X75" s="22">
        <v>0</v>
      </c>
      <c r="Y75" s="22"/>
      <c r="Z75" s="22"/>
      <c r="AA75" s="22"/>
      <c r="AB75" s="46">
        <f>C75+D75+F75+H75+J75+L75+N75+P75+R75+T75+V75+X75+Z75</f>
        <v>1550</v>
      </c>
      <c r="AC75" s="22">
        <f t="shared" si="6"/>
        <v>129.166666666667</v>
      </c>
      <c r="AD75" s="22">
        <f>AC75*V142</f>
        <v>15.906003956773301</v>
      </c>
      <c r="AE75" s="52">
        <v>0</v>
      </c>
      <c r="AF75" s="22">
        <f>AE75*0.08</f>
        <v>0</v>
      </c>
      <c r="AG75" s="53"/>
      <c r="AH75" s="93"/>
    </row>
    <row r="76" spans="1:38">
      <c r="A76" s="23">
        <v>53</v>
      </c>
      <c r="B76" s="20" t="s">
        <v>81</v>
      </c>
      <c r="C76" s="131">
        <v>800</v>
      </c>
      <c r="D76" s="22">
        <v>0</v>
      </c>
      <c r="E76" s="22"/>
      <c r="F76" s="22">
        <v>0</v>
      </c>
      <c r="G76" s="22"/>
      <c r="H76" s="22">
        <v>0</v>
      </c>
      <c r="I76" s="22"/>
      <c r="J76" s="22">
        <v>0</v>
      </c>
      <c r="K76" s="22"/>
      <c r="L76" s="22">
        <v>0</v>
      </c>
      <c r="M76" s="22"/>
      <c r="N76" s="22">
        <v>0</v>
      </c>
      <c r="O76" s="22"/>
      <c r="P76" s="22"/>
      <c r="Q76" s="22"/>
      <c r="R76" s="22">
        <v>1200</v>
      </c>
      <c r="S76" s="22"/>
      <c r="T76" s="22"/>
      <c r="U76" s="22"/>
      <c r="V76" s="22"/>
      <c r="W76" s="22"/>
      <c r="X76" s="22"/>
      <c r="Y76" s="22"/>
      <c r="Z76" s="22"/>
      <c r="AA76" s="22"/>
      <c r="AB76" s="46">
        <f>C76+D76+F76+H76+J76+L76+N76+P76+R76+T76+V76+X76+Z76</f>
        <v>2000</v>
      </c>
      <c r="AC76" s="22">
        <f t="shared" si="6"/>
        <v>166.666666666667</v>
      </c>
      <c r="AD76" s="22">
        <f>AC76*V142</f>
        <v>20.523876073255799</v>
      </c>
      <c r="AE76" s="52"/>
      <c r="AF76" s="22">
        <f>AE76*0.08</f>
        <v>0</v>
      </c>
      <c r="AG76" s="53">
        <f t="shared" ref="AG76" si="8">AD76+AF76</f>
        <v>20.523876073255799</v>
      </c>
      <c r="AH76" s="95"/>
    </row>
    <row r="77" spans="1:38">
      <c r="A77" s="19">
        <v>54</v>
      </c>
      <c r="B77" s="70" t="s">
        <v>82</v>
      </c>
      <c r="C77" s="131">
        <v>1400</v>
      </c>
      <c r="D77" s="22"/>
      <c r="E77" s="22"/>
      <c r="F77" s="22">
        <v>0</v>
      </c>
      <c r="G77" s="22"/>
      <c r="H77" s="22">
        <v>0</v>
      </c>
      <c r="I77" s="22"/>
      <c r="J77" s="22">
        <v>0</v>
      </c>
      <c r="K77" s="22"/>
      <c r="L77" s="22">
        <v>0</v>
      </c>
      <c r="M77" s="22"/>
      <c r="N77" s="22">
        <v>0</v>
      </c>
      <c r="O77" s="22">
        <v>180</v>
      </c>
      <c r="P77" s="22">
        <v>0</v>
      </c>
      <c r="Q77" s="22"/>
      <c r="R77" s="22">
        <v>0</v>
      </c>
      <c r="S77" s="22"/>
      <c r="T77" s="22"/>
      <c r="U77" s="22"/>
      <c r="V77" s="22">
        <v>0</v>
      </c>
      <c r="W77" s="22"/>
      <c r="X77" s="22"/>
      <c r="Y77" s="22"/>
      <c r="Z77" s="22"/>
      <c r="AA77" s="22"/>
      <c r="AB77" s="46">
        <f>C77+D77+F77+H77+J77+L77+N77+P77+R77+T77+V77+X77+Z77+O77</f>
        <v>1580</v>
      </c>
      <c r="AC77" s="22">
        <f t="shared" si="6"/>
        <v>131.666666666667</v>
      </c>
      <c r="AD77" s="22">
        <f>AC77*V142</f>
        <v>16.213862097872099</v>
      </c>
      <c r="AE77" s="52">
        <f>400+200</f>
        <v>600</v>
      </c>
      <c r="AF77" s="22">
        <f>AE77*V145</f>
        <v>67.383010882708589</v>
      </c>
      <c r="AG77" s="53">
        <f>AF77</f>
        <v>67.383010882708589</v>
      </c>
      <c r="AH77" s="93"/>
      <c r="AJ77" s="54"/>
      <c r="AK77" s="67"/>
      <c r="AL77" s="65"/>
    </row>
    <row r="78" spans="1:38">
      <c r="A78" s="19">
        <v>55</v>
      </c>
      <c r="B78" s="70" t="s">
        <v>83</v>
      </c>
      <c r="C78" s="131">
        <v>1370</v>
      </c>
      <c r="D78" s="22"/>
      <c r="E78" s="22"/>
      <c r="F78" s="22"/>
      <c r="G78" s="22"/>
      <c r="H78" s="58">
        <v>100</v>
      </c>
      <c r="I78" s="58"/>
      <c r="J78" s="52">
        <v>60</v>
      </c>
      <c r="K78" s="52"/>
      <c r="L78" s="22">
        <v>0</v>
      </c>
      <c r="M78" s="22"/>
      <c r="N78" s="22">
        <v>60</v>
      </c>
      <c r="O78" s="22"/>
      <c r="P78" s="22"/>
      <c r="Q78" s="22"/>
      <c r="R78" s="22">
        <v>0</v>
      </c>
      <c r="S78" s="22">
        <v>88</v>
      </c>
      <c r="T78" s="22">
        <v>0</v>
      </c>
      <c r="U78" s="22"/>
      <c r="V78" s="22">
        <v>60</v>
      </c>
      <c r="W78" s="22"/>
      <c r="X78" s="22"/>
      <c r="Y78" s="22"/>
      <c r="Z78" s="22">
        <v>0</v>
      </c>
      <c r="AA78" s="22"/>
      <c r="AB78" s="46">
        <f>C78+D78+F78+H78+J78+L78+N78+P78+R78+T78+V78+X78+Z78+S78</f>
        <v>1738</v>
      </c>
      <c r="AC78" s="22">
        <f t="shared" si="6"/>
        <v>144.833333333333</v>
      </c>
      <c r="AD78" s="22">
        <f>AC78*V142</f>
        <v>17.835248307659299</v>
      </c>
      <c r="AE78" s="52">
        <f>80+200+200+200</f>
        <v>680</v>
      </c>
      <c r="AF78" s="22">
        <f>AE78*V145</f>
        <v>76.367412333736397</v>
      </c>
      <c r="AG78" s="53">
        <f>AF78</f>
        <v>76.367412333736397</v>
      </c>
      <c r="AH78" s="93"/>
      <c r="AJ78" s="54"/>
      <c r="AK78" s="67"/>
      <c r="AL78" s="65"/>
    </row>
    <row r="79" spans="1:38" ht="7.5" customHeight="1">
      <c r="A79" s="35"/>
      <c r="B79" s="73"/>
      <c r="C79" s="134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90"/>
      <c r="AC79" s="38"/>
      <c r="AD79" s="38"/>
      <c r="AE79" s="96"/>
      <c r="AF79" s="38"/>
      <c r="AG79" s="38"/>
      <c r="AH79" s="89"/>
    </row>
    <row r="80" spans="1:38">
      <c r="A80" s="31"/>
      <c r="B80" s="70"/>
      <c r="C80" s="70"/>
      <c r="AG80" s="60" t="s">
        <v>84</v>
      </c>
    </row>
    <row r="81" spans="1:38">
      <c r="A81" s="31"/>
      <c r="B81" s="70"/>
      <c r="C81" s="70"/>
      <c r="AG81" s="3"/>
    </row>
    <row r="82" spans="1:38">
      <c r="A82" s="31"/>
      <c r="B82" s="70"/>
      <c r="C82" s="70"/>
    </row>
    <row r="83" spans="1:38">
      <c r="A83" s="308" t="s">
        <v>0</v>
      </c>
      <c r="B83" s="308"/>
      <c r="C83" s="308"/>
      <c r="D83" s="308"/>
      <c r="E83" s="308"/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  <c r="W83" s="308"/>
      <c r="X83" s="308"/>
      <c r="Y83" s="308"/>
      <c r="Z83" s="308"/>
      <c r="AA83" s="308"/>
      <c r="AB83" s="308"/>
      <c r="AC83" s="308"/>
      <c r="AD83" s="308"/>
      <c r="AE83" s="308"/>
      <c r="AF83" s="308"/>
      <c r="AG83" s="308"/>
      <c r="AH83" s="308"/>
    </row>
    <row r="84" spans="1:38">
      <c r="A84" s="315" t="s">
        <v>1</v>
      </c>
      <c r="B84" s="315"/>
      <c r="C84" s="315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  <c r="AA84" s="315"/>
      <c r="AB84" s="315"/>
      <c r="AC84" s="315"/>
      <c r="AD84" s="315"/>
      <c r="AE84" s="315"/>
      <c r="AF84" s="315"/>
      <c r="AG84" s="315"/>
      <c r="AH84" s="315"/>
    </row>
    <row r="85" spans="1:38">
      <c r="A85" s="313" t="s">
        <v>2</v>
      </c>
      <c r="B85" s="313"/>
      <c r="C85" s="313"/>
      <c r="D85" s="313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  <c r="Y85" s="313"/>
      <c r="Z85" s="313"/>
      <c r="AA85" s="313"/>
      <c r="AB85" s="313"/>
      <c r="AC85" s="313"/>
      <c r="AD85" s="313"/>
      <c r="AE85" s="313"/>
      <c r="AF85" s="313"/>
      <c r="AG85" s="313"/>
      <c r="AH85" s="313"/>
    </row>
    <row r="86" spans="1:38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51"/>
      <c r="AF86" s="9"/>
      <c r="AG86" s="9"/>
      <c r="AH86" s="9"/>
    </row>
    <row r="87" spans="1:38" ht="18">
      <c r="A87" s="316" t="s">
        <v>3</v>
      </c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  <c r="AG87" s="316"/>
      <c r="AH87" s="316"/>
    </row>
    <row r="88" spans="1:38" ht="12.75" customHeight="1">
      <c r="A88" s="313" t="s">
        <v>145</v>
      </c>
      <c r="B88" s="313"/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  <c r="W88" s="313"/>
      <c r="X88" s="313"/>
      <c r="Y88" s="313"/>
      <c r="Z88" s="313"/>
      <c r="AA88" s="313"/>
      <c r="AB88" s="313"/>
      <c r="AC88" s="313"/>
      <c r="AD88" s="313"/>
      <c r="AE88" s="313"/>
      <c r="AF88" s="313"/>
      <c r="AG88" s="313"/>
      <c r="AH88" s="313"/>
    </row>
    <row r="89" spans="1:38" ht="3.75" customHeight="1">
      <c r="A89" s="1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38" ht="24.75" customHeight="1">
      <c r="A90" s="336" t="s">
        <v>5</v>
      </c>
      <c r="B90" s="337"/>
      <c r="C90" s="332" t="s">
        <v>201</v>
      </c>
      <c r="D90" s="319" t="s">
        <v>7</v>
      </c>
      <c r="E90" s="123" t="s">
        <v>202</v>
      </c>
      <c r="F90" s="319" t="s">
        <v>8</v>
      </c>
      <c r="G90" s="123" t="s">
        <v>202</v>
      </c>
      <c r="H90" s="319" t="s">
        <v>9</v>
      </c>
      <c r="I90" s="123" t="s">
        <v>202</v>
      </c>
      <c r="J90" s="319" t="s">
        <v>10</v>
      </c>
      <c r="K90" s="123" t="s">
        <v>202</v>
      </c>
      <c r="L90" s="319" t="s">
        <v>11</v>
      </c>
      <c r="M90" s="123" t="s">
        <v>202</v>
      </c>
      <c r="N90" s="319" t="s">
        <v>12</v>
      </c>
      <c r="O90" s="123" t="s">
        <v>202</v>
      </c>
      <c r="P90" s="319" t="s">
        <v>13</v>
      </c>
      <c r="Q90" s="123" t="s">
        <v>202</v>
      </c>
      <c r="R90" s="319" t="s">
        <v>14</v>
      </c>
      <c r="S90" s="123" t="s">
        <v>202</v>
      </c>
      <c r="T90" s="319" t="s">
        <v>15</v>
      </c>
      <c r="U90" s="123" t="s">
        <v>202</v>
      </c>
      <c r="V90" s="319" t="s">
        <v>16</v>
      </c>
      <c r="W90" s="123" t="s">
        <v>202</v>
      </c>
      <c r="X90" s="319" t="s">
        <v>17</v>
      </c>
      <c r="Y90" s="123" t="s">
        <v>202</v>
      </c>
      <c r="Z90" s="319" t="s">
        <v>18</v>
      </c>
      <c r="AA90" s="123" t="s">
        <v>202</v>
      </c>
      <c r="AB90" s="319" t="s">
        <v>19</v>
      </c>
      <c r="AC90" s="319" t="s">
        <v>20</v>
      </c>
      <c r="AD90" s="327" t="s">
        <v>21</v>
      </c>
      <c r="AE90" s="323" t="s">
        <v>22</v>
      </c>
      <c r="AF90" s="340" t="s">
        <v>23</v>
      </c>
      <c r="AG90" s="329" t="s">
        <v>24</v>
      </c>
      <c r="AH90" s="321" t="s">
        <v>25</v>
      </c>
    </row>
    <row r="91" spans="1:38" ht="16.5" customHeight="1">
      <c r="A91" s="338"/>
      <c r="B91" s="339"/>
      <c r="C91" s="333"/>
      <c r="D91" s="320"/>
      <c r="E91" s="11" t="s">
        <v>203</v>
      </c>
      <c r="F91" s="320"/>
      <c r="G91" s="11" t="s">
        <v>203</v>
      </c>
      <c r="H91" s="320"/>
      <c r="I91" s="11" t="s">
        <v>203</v>
      </c>
      <c r="J91" s="320"/>
      <c r="K91" s="11" t="s">
        <v>203</v>
      </c>
      <c r="L91" s="320"/>
      <c r="M91" s="11" t="s">
        <v>203</v>
      </c>
      <c r="N91" s="320"/>
      <c r="O91" s="11" t="s">
        <v>203</v>
      </c>
      <c r="P91" s="320"/>
      <c r="Q91" s="11" t="s">
        <v>203</v>
      </c>
      <c r="R91" s="320"/>
      <c r="S91" s="11" t="s">
        <v>203</v>
      </c>
      <c r="T91" s="320"/>
      <c r="U91" s="11" t="s">
        <v>203</v>
      </c>
      <c r="V91" s="320"/>
      <c r="W91" s="11" t="s">
        <v>203</v>
      </c>
      <c r="X91" s="320"/>
      <c r="Y91" s="11" t="s">
        <v>203</v>
      </c>
      <c r="Z91" s="320"/>
      <c r="AA91" s="133" t="s">
        <v>203</v>
      </c>
      <c r="AB91" s="320"/>
      <c r="AC91" s="320"/>
      <c r="AD91" s="328"/>
      <c r="AE91" s="324"/>
      <c r="AF91" s="341"/>
      <c r="AG91" s="330"/>
      <c r="AH91" s="322"/>
    </row>
    <row r="92" spans="1:38" ht="4.5" customHeight="1">
      <c r="A92" s="41"/>
      <c r="B92" s="75"/>
      <c r="C92" s="135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61"/>
      <c r="AF92" s="44"/>
      <c r="AG92" s="44"/>
      <c r="AH92" s="44"/>
    </row>
    <row r="93" spans="1:38">
      <c r="A93" s="23">
        <v>56</v>
      </c>
      <c r="B93" s="70" t="s">
        <v>85</v>
      </c>
      <c r="C93" s="136">
        <v>2100.1</v>
      </c>
      <c r="D93" s="93"/>
      <c r="E93" s="93"/>
      <c r="F93" s="93"/>
      <c r="G93" s="93"/>
      <c r="H93" s="22"/>
      <c r="I93" s="22"/>
      <c r="J93" s="22">
        <v>0</v>
      </c>
      <c r="K93" s="22"/>
      <c r="L93" s="22"/>
      <c r="M93" s="22"/>
      <c r="N93" s="22">
        <v>0</v>
      </c>
      <c r="O93" s="22">
        <f>180</f>
        <v>180</v>
      </c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46">
        <f>C93+D93+F93+H93+J93+L93+N93+P93+R93+T93+V93+X93+Z93+O93</f>
        <v>2280.1</v>
      </c>
      <c r="AC93" s="22">
        <f t="shared" ref="AC93:AC137" si="9">AB93/12</f>
        <v>190.00833333333301</v>
      </c>
      <c r="AD93" s="22">
        <f>AC93*V142</f>
        <v>23.398244917315299</v>
      </c>
      <c r="AE93" s="97"/>
      <c r="AF93" s="93"/>
      <c r="AG93" s="53">
        <f t="shared" ref="AG93:AG100" si="10">AD93+AF93</f>
        <v>23.398244917315299</v>
      </c>
      <c r="AH93" s="93"/>
      <c r="AK93" s="67"/>
      <c r="AL93" s="65"/>
    </row>
    <row r="94" spans="1:38">
      <c r="A94" s="23">
        <v>57</v>
      </c>
      <c r="B94" s="70" t="s">
        <v>86</v>
      </c>
      <c r="C94" s="136">
        <v>2122.33</v>
      </c>
      <c r="D94" s="93"/>
      <c r="E94" s="93"/>
      <c r="F94" s="93"/>
      <c r="G94" s="93"/>
      <c r="H94" s="22"/>
      <c r="I94" s="22"/>
      <c r="J94" s="22">
        <v>0</v>
      </c>
      <c r="K94" s="22"/>
      <c r="L94" s="22"/>
      <c r="M94" s="22"/>
      <c r="N94" s="22"/>
      <c r="O94" s="22"/>
      <c r="P94" s="22">
        <v>0</v>
      </c>
      <c r="Q94" s="22"/>
      <c r="R94" s="22">
        <v>0</v>
      </c>
      <c r="S94" s="22"/>
      <c r="T94" s="22"/>
      <c r="U94" s="22"/>
      <c r="V94" s="22"/>
      <c r="W94" s="22"/>
      <c r="X94" s="22"/>
      <c r="Y94" s="22"/>
      <c r="Z94" s="22"/>
      <c r="AA94" s="22"/>
      <c r="AB94" s="46">
        <f>C94+D94+F94+H94+J94+L94+N94+P94+R94+T94+V94+X94+Z94</f>
        <v>2122.33</v>
      </c>
      <c r="AC94" s="22">
        <f t="shared" si="9"/>
        <v>176.86083333333301</v>
      </c>
      <c r="AD94" s="22">
        <f>AC94*V142</f>
        <v>21.779218953276501</v>
      </c>
      <c r="AE94" s="97"/>
      <c r="AF94" s="93"/>
      <c r="AG94" s="53">
        <f t="shared" si="10"/>
        <v>21.779218953276501</v>
      </c>
      <c r="AH94" s="93"/>
    </row>
    <row r="95" spans="1:38">
      <c r="A95" s="23">
        <v>58</v>
      </c>
      <c r="B95" s="70" t="s">
        <v>87</v>
      </c>
      <c r="C95" s="136">
        <v>2465</v>
      </c>
      <c r="D95" s="93"/>
      <c r="E95" s="22">
        <v>148</v>
      </c>
      <c r="F95" s="93"/>
      <c r="G95" s="93"/>
      <c r="H95" s="22">
        <v>0</v>
      </c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>
        <v>0</v>
      </c>
      <c r="U95" s="22"/>
      <c r="V95" s="22"/>
      <c r="W95" s="22"/>
      <c r="X95" s="22"/>
      <c r="Y95" s="22"/>
      <c r="Z95" s="22"/>
      <c r="AA95" s="22"/>
      <c r="AB95" s="46">
        <f>C95+D95+F95+H95+J95+L95+N95+P95+R95+T95+V95+X95+Z95+E95</f>
        <v>2613</v>
      </c>
      <c r="AC95" s="22">
        <f t="shared" si="9"/>
        <v>217.75</v>
      </c>
      <c r="AD95" s="22">
        <f>AC95*V142</f>
        <v>26.814444089708701</v>
      </c>
      <c r="AE95" s="52">
        <v>0</v>
      </c>
      <c r="AF95" s="22">
        <f>AE95*V145</f>
        <v>0</v>
      </c>
      <c r="AG95" s="53">
        <f t="shared" si="10"/>
        <v>26.814444089708701</v>
      </c>
      <c r="AH95" s="93"/>
      <c r="AJ95" s="55"/>
      <c r="AK95" s="67"/>
      <c r="AL95" s="65"/>
    </row>
    <row r="96" spans="1:38">
      <c r="A96" s="29">
        <v>59</v>
      </c>
      <c r="B96" s="70" t="str">
        <f>[1]Membership!$B$71</f>
        <v>Concepcion B. Cruz</v>
      </c>
      <c r="C96" s="136">
        <v>5060</v>
      </c>
      <c r="D96" s="45">
        <v>1060</v>
      </c>
      <c r="E96" s="45"/>
      <c r="F96" s="93"/>
      <c r="G96" s="93"/>
      <c r="H96" s="45">
        <v>880</v>
      </c>
      <c r="I96" s="45"/>
      <c r="J96" s="22"/>
      <c r="K96" s="22"/>
      <c r="L96" s="22">
        <v>0</v>
      </c>
      <c r="M96" s="22"/>
      <c r="N96" s="22">
        <v>0</v>
      </c>
      <c r="O96" s="22"/>
      <c r="P96" s="22">
        <v>0</v>
      </c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46">
        <f>C96+D96+F96+H96+J96+L96+N96+P96+R96+T96+V96+X96+Z96</f>
        <v>7000</v>
      </c>
      <c r="AC96" s="22">
        <f t="shared" si="9"/>
        <v>583.33333333333303</v>
      </c>
      <c r="AD96" s="22">
        <f>AC96*V142</f>
        <v>71.833566256395301</v>
      </c>
      <c r="AE96" s="52">
        <f>400</f>
        <v>400</v>
      </c>
      <c r="AF96" s="22">
        <f>AE96*V145</f>
        <v>44.922007255139057</v>
      </c>
      <c r="AG96" s="53">
        <f t="shared" si="10"/>
        <v>116.75557351153435</v>
      </c>
      <c r="AH96" s="93"/>
    </row>
    <row r="97" spans="1:38">
      <c r="A97" s="23">
        <v>60</v>
      </c>
      <c r="B97" s="70" t="str">
        <f>[1]Membership!$B$72</f>
        <v>Leonardo B. Cruz</v>
      </c>
      <c r="C97" s="136">
        <v>2275</v>
      </c>
      <c r="D97" s="22">
        <v>160</v>
      </c>
      <c r="E97" s="22"/>
      <c r="F97" s="93"/>
      <c r="G97" s="93"/>
      <c r="H97" s="22"/>
      <c r="I97" s="22"/>
      <c r="J97" s="22"/>
      <c r="K97" s="22"/>
      <c r="L97" s="22">
        <v>0</v>
      </c>
      <c r="M97" s="22"/>
      <c r="N97" s="22">
        <v>0</v>
      </c>
      <c r="O97" s="22"/>
      <c r="P97" s="22"/>
      <c r="Q97" s="22"/>
      <c r="R97" s="22"/>
      <c r="S97" s="22">
        <v>88</v>
      </c>
      <c r="T97" s="22"/>
      <c r="U97" s="22"/>
      <c r="V97" s="22"/>
      <c r="W97" s="22"/>
      <c r="X97" s="22"/>
      <c r="Y97" s="22"/>
      <c r="Z97" s="22"/>
      <c r="AA97" s="22"/>
      <c r="AB97" s="46">
        <f>C97+D97+F97+H97+J97+L97+N97+P97+R97+T97+V97+X97+Z97+S97</f>
        <v>2523</v>
      </c>
      <c r="AC97" s="22">
        <f t="shared" si="9"/>
        <v>210.25</v>
      </c>
      <c r="AD97" s="22">
        <f>AC97*V142</f>
        <v>25.8908696664122</v>
      </c>
      <c r="AE97" s="52">
        <f>400</f>
        <v>400</v>
      </c>
      <c r="AF97" s="22">
        <f>AE97*V145</f>
        <v>44.922007255139057</v>
      </c>
      <c r="AG97" s="53">
        <f t="shared" si="10"/>
        <v>70.812876921551265</v>
      </c>
      <c r="AH97" s="93"/>
      <c r="AJ97" s="55"/>
      <c r="AK97" s="67"/>
      <c r="AL97" s="65"/>
    </row>
    <row r="98" spans="1:38">
      <c r="A98" s="23">
        <v>61</v>
      </c>
      <c r="B98" s="70" t="str">
        <f>[1]Membership!$B$73</f>
        <v>Annalyn B. Cruz</v>
      </c>
      <c r="C98" s="136">
        <v>2214</v>
      </c>
      <c r="D98" s="22">
        <v>40</v>
      </c>
      <c r="E98" s="22"/>
      <c r="F98" s="22">
        <f>136.8</f>
        <v>136.80000000000001</v>
      </c>
      <c r="G98" s="22"/>
      <c r="H98" s="22"/>
      <c r="I98" s="22"/>
      <c r="J98" s="22"/>
      <c r="K98" s="22"/>
      <c r="L98" s="22"/>
      <c r="M98" s="22"/>
      <c r="N98" s="22">
        <v>0</v>
      </c>
      <c r="O98" s="22"/>
      <c r="P98" s="22"/>
      <c r="Q98" s="22"/>
      <c r="R98" s="22"/>
      <c r="S98" s="22"/>
      <c r="T98" s="22"/>
      <c r="U98" s="22">
        <v>84</v>
      </c>
      <c r="V98" s="22">
        <v>60</v>
      </c>
      <c r="W98" s="22"/>
      <c r="X98" s="22">
        <v>0</v>
      </c>
      <c r="Y98" s="22"/>
      <c r="Z98" s="22"/>
      <c r="AA98" s="22"/>
      <c r="AB98" s="46">
        <f>C98+D98+F98+H98+J98+L98+N98+P98+R98+T98+V98+X98+Z98+U98</f>
        <v>2534.8000000000002</v>
      </c>
      <c r="AC98" s="22">
        <f t="shared" si="9"/>
        <v>211.23333333333301</v>
      </c>
      <c r="AD98" s="22">
        <f>AC98*V142</f>
        <v>26.011960535244398</v>
      </c>
      <c r="AE98" s="52">
        <f>80+120</f>
        <v>200</v>
      </c>
      <c r="AF98" s="22">
        <f>AE98*V145</f>
        <v>22.461003627569529</v>
      </c>
      <c r="AG98" s="53">
        <f t="shared" si="10"/>
        <v>48.472964162813923</v>
      </c>
      <c r="AH98" s="93"/>
      <c r="AK98" s="67"/>
      <c r="AL98" s="65"/>
    </row>
    <row r="99" spans="1:38">
      <c r="A99" s="19">
        <v>62</v>
      </c>
      <c r="B99" s="51" t="s">
        <v>204</v>
      </c>
      <c r="C99" s="137">
        <v>100</v>
      </c>
      <c r="D99" s="93"/>
      <c r="E99" s="93"/>
      <c r="F99" s="93"/>
      <c r="G99" s="9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46">
        <f>C99+D99+F99+H99+J99+L99+N99+P99+R99+T99+V99+X99+Z99+U99</f>
        <v>100</v>
      </c>
      <c r="AC99" s="22">
        <f t="shared" si="9"/>
        <v>8.3333333333333304</v>
      </c>
      <c r="AD99" s="22">
        <f>AC99*V142</f>
        <v>1.02619380366279</v>
      </c>
      <c r="AE99" s="97"/>
      <c r="AF99" s="93"/>
      <c r="AG99" s="53">
        <f t="shared" si="10"/>
        <v>1.02619380366279</v>
      </c>
      <c r="AH99" s="93"/>
    </row>
    <row r="100" spans="1:38">
      <c r="A100" s="23">
        <v>63</v>
      </c>
      <c r="B100" s="70" t="str">
        <f>[1]Membership!$B$75</f>
        <v>Milben Rex P. Balao</v>
      </c>
      <c r="C100" s="136">
        <v>2030</v>
      </c>
      <c r="D100" s="22">
        <v>140</v>
      </c>
      <c r="E100" s="22"/>
      <c r="F100" s="93"/>
      <c r="G100" s="93"/>
      <c r="H100" s="45">
        <v>1060</v>
      </c>
      <c r="I100" s="45"/>
      <c r="J100" s="22"/>
      <c r="K100" s="22"/>
      <c r="L100" s="22"/>
      <c r="M100" s="22"/>
      <c r="N100" s="22">
        <v>0</v>
      </c>
      <c r="O100" s="22"/>
      <c r="P100" s="22">
        <v>0</v>
      </c>
      <c r="Q100" s="22"/>
      <c r="R100" s="22"/>
      <c r="S100" s="22"/>
      <c r="T100" s="22"/>
      <c r="U100" s="22"/>
      <c r="V100" s="22"/>
      <c r="W100" s="22"/>
      <c r="X100" s="22">
        <v>360</v>
      </c>
      <c r="Y100" s="22"/>
      <c r="Z100" s="22">
        <v>0</v>
      </c>
      <c r="AA100" s="22"/>
      <c r="AB100" s="46">
        <f>C100+D100+F100+H100+J100+L100+N100+P100+R100+T100+V100+X100+Z100</f>
        <v>3590</v>
      </c>
      <c r="AC100" s="22">
        <f t="shared" si="9"/>
        <v>299.16666666666703</v>
      </c>
      <c r="AD100" s="22">
        <f>AC100*V142</f>
        <v>36.840357551494201</v>
      </c>
      <c r="AE100" s="52">
        <f>600+400</f>
        <v>1000</v>
      </c>
      <c r="AF100" s="22">
        <f>AE100*V145</f>
        <v>112.30501813784764</v>
      </c>
      <c r="AG100" s="53">
        <f t="shared" si="10"/>
        <v>149.14537568934185</v>
      </c>
      <c r="AH100" s="93"/>
    </row>
    <row r="101" spans="1:38">
      <c r="A101" s="19">
        <v>64</v>
      </c>
      <c r="B101" s="79"/>
      <c r="C101" s="138"/>
      <c r="D101" s="121"/>
      <c r="E101" s="121"/>
      <c r="F101" s="121"/>
      <c r="G101" s="121"/>
      <c r="H101" s="71"/>
      <c r="I101" s="71"/>
      <c r="J101" s="71"/>
      <c r="K101" s="71"/>
      <c r="L101" s="71"/>
      <c r="M101" s="71"/>
      <c r="N101" s="71"/>
      <c r="O101" s="71"/>
      <c r="P101" s="71">
        <v>0</v>
      </c>
      <c r="Q101" s="71"/>
      <c r="R101" s="71">
        <v>0</v>
      </c>
      <c r="S101" s="71"/>
      <c r="T101" s="71">
        <v>0</v>
      </c>
      <c r="U101" s="71"/>
      <c r="V101" s="71"/>
      <c r="W101" s="71"/>
      <c r="X101" s="71"/>
      <c r="Y101" s="71"/>
      <c r="Z101" s="71"/>
      <c r="AA101" s="71"/>
      <c r="AB101" s="122">
        <f>C101+D101+F101+H101+J101+L101+N101+P101+R101+T101+V101+X101+Z101</f>
        <v>0</v>
      </c>
      <c r="AC101" s="71">
        <f t="shared" si="9"/>
        <v>0</v>
      </c>
      <c r="AD101" s="71">
        <f>AC101*V142</f>
        <v>0</v>
      </c>
      <c r="AE101" s="71">
        <v>0</v>
      </c>
      <c r="AF101" s="45">
        <f>AE101*V145</f>
        <v>0</v>
      </c>
      <c r="AG101" s="99">
        <f>AF101</f>
        <v>0</v>
      </c>
      <c r="AH101" s="93"/>
      <c r="AJ101" s="54"/>
      <c r="AK101" s="67"/>
      <c r="AL101" s="65"/>
    </row>
    <row r="102" spans="1:38">
      <c r="A102" s="23">
        <v>65</v>
      </c>
      <c r="B102" s="70" t="s">
        <v>89</v>
      </c>
      <c r="C102" s="136">
        <v>2465</v>
      </c>
      <c r="D102" s="93"/>
      <c r="E102" s="93"/>
      <c r="F102" s="93"/>
      <c r="G102" s="9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>
        <v>0</v>
      </c>
      <c r="U102" s="22"/>
      <c r="V102" s="22"/>
      <c r="W102" s="22"/>
      <c r="X102" s="22"/>
      <c r="Y102" s="22"/>
      <c r="Z102" s="22"/>
      <c r="AA102" s="22"/>
      <c r="AB102" s="46">
        <f>C102+D102+F102+H102+J102+L102+N102+P102+R102+T102+V102+X102+Z102</f>
        <v>2465</v>
      </c>
      <c r="AC102" s="22">
        <f t="shared" si="9"/>
        <v>205.416666666667</v>
      </c>
      <c r="AD102" s="22">
        <f>AC102*V142</f>
        <v>25.2956772602878</v>
      </c>
      <c r="AE102" s="52">
        <v>0</v>
      </c>
      <c r="AF102" s="22">
        <f>AE102*V145</f>
        <v>0</v>
      </c>
      <c r="AG102" s="53">
        <f>AD102+AF102</f>
        <v>25.2956772602878</v>
      </c>
      <c r="AH102" s="93"/>
      <c r="AJ102" s="55"/>
      <c r="AK102" s="67"/>
      <c r="AL102" s="65"/>
    </row>
    <row r="103" spans="1:38">
      <c r="A103" s="29">
        <v>66</v>
      </c>
      <c r="B103" s="70" t="s">
        <v>90</v>
      </c>
      <c r="C103" s="136">
        <v>7000</v>
      </c>
      <c r="D103" s="93"/>
      <c r="E103" s="93"/>
      <c r="F103" s="93"/>
      <c r="G103" s="9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205</v>
      </c>
      <c r="W103" s="22"/>
      <c r="X103" s="22"/>
      <c r="Y103" s="22"/>
      <c r="Z103" s="22"/>
      <c r="AA103" s="22"/>
      <c r="AB103" s="46">
        <f>C103</f>
        <v>7000</v>
      </c>
      <c r="AC103" s="22">
        <f t="shared" si="9"/>
        <v>583.33333333333303</v>
      </c>
      <c r="AD103" s="22">
        <f>AC103*V142</f>
        <v>71.833566256395301</v>
      </c>
      <c r="AE103" s="52">
        <f>200+200+200+200+200+200</f>
        <v>1200</v>
      </c>
      <c r="AF103" s="22">
        <f>AE103*V145</f>
        <v>134.76602176541718</v>
      </c>
      <c r="AG103" s="53">
        <f t="shared" ref="AG103:AG104" si="11">AD103+AF103</f>
        <v>206.59958802181248</v>
      </c>
      <c r="AH103" s="93"/>
    </row>
    <row r="104" spans="1:38">
      <c r="A104" s="23">
        <v>67</v>
      </c>
      <c r="B104" s="9" t="s">
        <v>91</v>
      </c>
      <c r="C104" s="136">
        <f>2220+41.81</f>
        <v>2261.81</v>
      </c>
      <c r="D104" s="93"/>
      <c r="E104" s="93"/>
      <c r="F104" s="93"/>
      <c r="G104" s="9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>
        <v>0</v>
      </c>
      <c r="Y104" s="22"/>
      <c r="Z104" s="22"/>
      <c r="AA104" s="22"/>
      <c r="AB104" s="46">
        <f>C104+D104+F104+H104+J104+L104+N104+P104+R104+T104+V104+X104+Z104</f>
        <v>2261.81</v>
      </c>
      <c r="AC104" s="22">
        <f t="shared" si="9"/>
        <v>188.48416666666699</v>
      </c>
      <c r="AD104" s="22">
        <f>AC104*V142</f>
        <v>23.210554070625399</v>
      </c>
      <c r="AE104" s="52">
        <f>120+120+120</f>
        <v>360</v>
      </c>
      <c r="AF104" s="22">
        <f>AE104*V145</f>
        <v>40.429806529625154</v>
      </c>
      <c r="AG104" s="53">
        <f t="shared" si="11"/>
        <v>63.640360600250553</v>
      </c>
      <c r="AH104" s="93"/>
    </row>
    <row r="105" spans="1:38">
      <c r="A105" s="19">
        <v>68</v>
      </c>
      <c r="B105" s="70" t="s">
        <v>92</v>
      </c>
      <c r="C105" s="139">
        <v>100</v>
      </c>
      <c r="D105" s="93"/>
      <c r="E105" s="93"/>
      <c r="F105" s="93"/>
      <c r="G105" s="93"/>
      <c r="H105" s="22"/>
      <c r="I105" s="22"/>
      <c r="J105" s="22"/>
      <c r="K105" s="22"/>
      <c r="L105" s="22"/>
      <c r="M105" s="22"/>
      <c r="N105" s="22">
        <v>60</v>
      </c>
      <c r="O105" s="22"/>
      <c r="P105" s="22"/>
      <c r="Q105" s="22"/>
      <c r="R105" s="22"/>
      <c r="S105" s="22"/>
      <c r="T105" s="22">
        <v>60</v>
      </c>
      <c r="U105" s="22"/>
      <c r="V105" s="22"/>
      <c r="W105" s="22"/>
      <c r="X105" s="22">
        <v>0</v>
      </c>
      <c r="Y105" s="22"/>
      <c r="Z105" s="22"/>
      <c r="AA105" s="22"/>
      <c r="AB105" s="46">
        <f>C105+D105+F105+H105+J105+L105+N105+P105+R105+T105+V105+X105+Z105</f>
        <v>220</v>
      </c>
      <c r="AC105" s="22">
        <f t="shared" si="9"/>
        <v>18.3333333333333</v>
      </c>
      <c r="AD105" s="22">
        <f>AC105*V142</f>
        <v>2.2576263680581401</v>
      </c>
      <c r="AE105" s="52">
        <f>280+240</f>
        <v>520</v>
      </c>
      <c r="AF105" s="22">
        <f>AE105*V145</f>
        <v>58.398609431680775</v>
      </c>
      <c r="AG105" s="53">
        <f>AF105</f>
        <v>58.398609431680775</v>
      </c>
      <c r="AH105" s="93"/>
    </row>
    <row r="106" spans="1:38">
      <c r="A106" s="19">
        <v>69</v>
      </c>
      <c r="B106" s="70" t="s">
        <v>93</v>
      </c>
      <c r="C106" s="137">
        <v>100</v>
      </c>
      <c r="D106" s="93"/>
      <c r="E106" s="93"/>
      <c r="F106" s="93"/>
      <c r="G106" s="9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>
        <v>0</v>
      </c>
      <c r="Y106" s="22"/>
      <c r="Z106" s="22"/>
      <c r="AA106" s="22"/>
      <c r="AB106" s="46">
        <f>C106+D106+F106+H106+J106+L106+N106+P106+R106+T106+V106+X106+Z106</f>
        <v>100</v>
      </c>
      <c r="AC106" s="22">
        <f t="shared" si="9"/>
        <v>8.3333333333333304</v>
      </c>
      <c r="AD106" s="22">
        <f>AC106*V142</f>
        <v>1.02619380366279</v>
      </c>
      <c r="AE106" s="97"/>
      <c r="AF106" s="93"/>
      <c r="AG106" s="98"/>
      <c r="AH106" s="93"/>
    </row>
    <row r="107" spans="1:38">
      <c r="A107" s="19">
        <v>70</v>
      </c>
      <c r="B107" s="70" t="s">
        <v>94</v>
      </c>
      <c r="C107" s="137">
        <v>100</v>
      </c>
      <c r="D107" s="93"/>
      <c r="E107" s="93"/>
      <c r="F107" s="93"/>
      <c r="G107" s="9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46">
        <f>C107+D107+F107+H107+J107+L107+N107+P107+R107+T107+V107+X107+Z107</f>
        <v>100</v>
      </c>
      <c r="AC107" s="22">
        <f t="shared" si="9"/>
        <v>8.3333333333333304</v>
      </c>
      <c r="AD107" s="22">
        <f>AC107*V142</f>
        <v>1.02619380366279</v>
      </c>
      <c r="AE107" s="97"/>
      <c r="AF107" s="93"/>
      <c r="AG107" s="98"/>
      <c r="AH107" s="93"/>
    </row>
    <row r="108" spans="1:38">
      <c r="A108" s="19">
        <v>71</v>
      </c>
      <c r="B108" s="70" t="s">
        <v>95</v>
      </c>
      <c r="C108" s="137">
        <v>220</v>
      </c>
      <c r="D108" s="93"/>
      <c r="E108" s="22">
        <v>148</v>
      </c>
      <c r="F108" s="93"/>
      <c r="G108" s="93"/>
      <c r="H108" s="22"/>
      <c r="I108" s="22"/>
      <c r="J108" s="22"/>
      <c r="K108" s="22"/>
      <c r="L108" s="22"/>
      <c r="M108" s="22"/>
      <c r="N108" s="22"/>
      <c r="O108" s="22"/>
      <c r="P108" s="45">
        <v>100</v>
      </c>
      <c r="Q108" s="45"/>
      <c r="R108" s="22"/>
      <c r="S108" s="22"/>
      <c r="T108" s="22"/>
      <c r="U108" s="22"/>
      <c r="V108" s="22">
        <v>100</v>
      </c>
      <c r="W108" s="22"/>
      <c r="X108" s="22"/>
      <c r="Y108" s="22"/>
      <c r="Z108" s="22"/>
      <c r="AA108" s="22"/>
      <c r="AB108" s="46">
        <f>C108+D108+F108+H108+J108+L108+N108+P108+R108+T108+V108+X108+Z108+E108</f>
        <v>568</v>
      </c>
      <c r="AC108" s="22">
        <f t="shared" si="9"/>
        <v>47.3333333333333</v>
      </c>
      <c r="AD108" s="22">
        <f>AC108*V142</f>
        <v>5.8287808048046497</v>
      </c>
      <c r="AE108" s="52">
        <f>280+600+600</f>
        <v>1480</v>
      </c>
      <c r="AF108" s="22">
        <f>AE108*V145</f>
        <v>166.21142684401451</v>
      </c>
      <c r="AG108" s="53">
        <f>AF108</f>
        <v>166.21142684401451</v>
      </c>
      <c r="AH108" s="93"/>
    </row>
    <row r="109" spans="1:38">
      <c r="A109" s="19">
        <v>72</v>
      </c>
      <c r="B109" s="70" t="s">
        <v>96</v>
      </c>
      <c r="C109" s="137">
        <v>220</v>
      </c>
      <c r="D109" s="22">
        <v>60</v>
      </c>
      <c r="E109" s="22"/>
      <c r="F109" s="93"/>
      <c r="G109" s="22">
        <v>740</v>
      </c>
      <c r="H109" s="22"/>
      <c r="I109" s="22"/>
      <c r="J109" s="22"/>
      <c r="K109" s="22"/>
      <c r="L109" s="22"/>
      <c r="M109" s="22"/>
      <c r="N109" s="22"/>
      <c r="O109" s="22"/>
      <c r="P109" s="45">
        <v>60</v>
      </c>
      <c r="Q109" s="45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46">
        <f>C109+D109+F109+H109+J109+L109+N109+P109+R109+T109+V109+X109+Z109+G109</f>
        <v>1080</v>
      </c>
      <c r="AC109" s="22">
        <f t="shared" si="9"/>
        <v>90</v>
      </c>
      <c r="AD109" s="22">
        <f>AC109*V142</f>
        <v>11.082893079558101</v>
      </c>
      <c r="AE109" s="52">
        <f>200+200+200</f>
        <v>600</v>
      </c>
      <c r="AF109" s="22">
        <f>AE109*V145</f>
        <v>67.383010882708589</v>
      </c>
      <c r="AG109" s="53">
        <f>AF109</f>
        <v>67.383010882708589</v>
      </c>
      <c r="AH109" s="93"/>
    </row>
    <row r="110" spans="1:38">
      <c r="A110" s="19">
        <v>73</v>
      </c>
      <c r="B110" s="70" t="s">
        <v>97</v>
      </c>
      <c r="C110" s="136">
        <v>440</v>
      </c>
      <c r="D110" s="22"/>
      <c r="E110" s="22"/>
      <c r="F110" s="93"/>
      <c r="G110" s="93"/>
      <c r="H110" s="22"/>
      <c r="I110" s="22">
        <v>310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46">
        <f>C110+D110+F110+H110+J110+L110+N110+P110+R110+T110+V110+X110+Z110+I110</f>
        <v>750</v>
      </c>
      <c r="AC110" s="22">
        <f t="shared" si="9"/>
        <v>62.5</v>
      </c>
      <c r="AD110" s="22">
        <f>AC110*V142</f>
        <v>7.69645352747093</v>
      </c>
      <c r="AE110" s="97"/>
      <c r="AF110" s="93"/>
      <c r="AG110" s="98"/>
      <c r="AH110" s="93"/>
    </row>
    <row r="111" spans="1:38">
      <c r="A111" s="19">
        <v>74</v>
      </c>
      <c r="B111" s="70" t="s">
        <v>98</v>
      </c>
      <c r="C111" s="137">
        <v>160</v>
      </c>
      <c r="D111" s="22">
        <v>60</v>
      </c>
      <c r="E111" s="22"/>
      <c r="F111" s="93"/>
      <c r="G111" s="93"/>
      <c r="H111" s="45">
        <f>60</f>
        <v>60</v>
      </c>
      <c r="I111" s="45"/>
      <c r="J111" s="22"/>
      <c r="K111" s="22"/>
      <c r="L111" s="22"/>
      <c r="M111" s="22"/>
      <c r="N111" s="22">
        <f>60+60</f>
        <v>120</v>
      </c>
      <c r="O111" s="22"/>
      <c r="P111" s="22"/>
      <c r="Q111" s="22"/>
      <c r="R111" s="22">
        <v>60</v>
      </c>
      <c r="S111" s="22"/>
      <c r="T111" s="22"/>
      <c r="U111" s="22"/>
      <c r="V111" s="22"/>
      <c r="W111" s="22"/>
      <c r="X111" s="22">
        <v>60</v>
      </c>
      <c r="Y111" s="22"/>
      <c r="Z111" s="22"/>
      <c r="AA111" s="22">
        <v>190</v>
      </c>
      <c r="AB111" s="46">
        <f>C111+D111+F111+H111+J111+L111+N111+P111+R111+T111+V111+X111+Z111+AA111</f>
        <v>710</v>
      </c>
      <c r="AC111" s="22">
        <f t="shared" si="9"/>
        <v>59.1666666666667</v>
      </c>
      <c r="AD111" s="22">
        <f>AC111*V142</f>
        <v>7.2859760060058099</v>
      </c>
      <c r="AE111" s="52">
        <f>280+200+200+200+200</f>
        <v>1080</v>
      </c>
      <c r="AF111" s="22">
        <f>AE111*V145</f>
        <v>121.28941958887546</v>
      </c>
      <c r="AG111" s="53">
        <f>AF111</f>
        <v>121.28941958887546</v>
      </c>
      <c r="AH111" s="93"/>
    </row>
    <row r="112" spans="1:38">
      <c r="A112" s="19">
        <v>75</v>
      </c>
      <c r="B112" s="9" t="s">
        <v>206</v>
      </c>
      <c r="C112" s="137">
        <v>100</v>
      </c>
      <c r="D112" s="93"/>
      <c r="E112" s="93"/>
      <c r="F112" s="93"/>
      <c r="G112" s="9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46">
        <f t="shared" ref="AB112:AB119" si="12">C112+D112+F112+H112+J112+L112+N112+P112+R112+T112+V112+X112+Z112</f>
        <v>100</v>
      </c>
      <c r="AC112" s="22">
        <f t="shared" si="9"/>
        <v>8.3333333333333304</v>
      </c>
      <c r="AD112" s="22">
        <f>AC112*V142</f>
        <v>1.02619380366279</v>
      </c>
      <c r="AE112" s="97"/>
      <c r="AF112" s="93"/>
      <c r="AG112" s="98"/>
      <c r="AH112" s="93"/>
    </row>
    <row r="113" spans="1:34">
      <c r="A113" s="84">
        <v>76</v>
      </c>
      <c r="B113" s="70" t="s">
        <v>100</v>
      </c>
      <c r="C113" s="136"/>
      <c r="D113" s="93"/>
      <c r="E113" s="93"/>
      <c r="F113" s="22">
        <v>200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46">
        <f t="shared" si="12"/>
        <v>200</v>
      </c>
      <c r="AC113" s="22">
        <f t="shared" si="9"/>
        <v>16.6666666666667</v>
      </c>
      <c r="AD113" s="22">
        <f>AC113*V142</f>
        <v>2.05238760732558</v>
      </c>
      <c r="AE113" s="52">
        <f>120</f>
        <v>120</v>
      </c>
      <c r="AF113" s="22">
        <f>AE113*V145</f>
        <v>13.476602176541718</v>
      </c>
      <c r="AG113" s="53">
        <f>AF113</f>
        <v>13.476602176541718</v>
      </c>
      <c r="AH113" s="93"/>
    </row>
    <row r="114" spans="1:34">
      <c r="A114" s="84">
        <v>77</v>
      </c>
      <c r="B114" s="70" t="s">
        <v>207</v>
      </c>
      <c r="C114" s="136"/>
      <c r="D114" s="93"/>
      <c r="E114" s="93"/>
      <c r="F114" s="93"/>
      <c r="G114" s="93"/>
      <c r="H114" s="45">
        <v>100</v>
      </c>
      <c r="I114" s="45"/>
      <c r="J114" s="22"/>
      <c r="K114" s="22"/>
      <c r="L114" s="22"/>
      <c r="M114" s="22"/>
      <c r="N114" s="22"/>
      <c r="O114" s="22"/>
      <c r="P114" s="45">
        <f>60+60+60</f>
        <v>180</v>
      </c>
      <c r="Q114" s="45"/>
      <c r="R114" s="22"/>
      <c r="S114" s="22"/>
      <c r="T114" s="22"/>
      <c r="U114" s="22"/>
      <c r="V114" s="22">
        <v>60</v>
      </c>
      <c r="W114" s="22"/>
      <c r="X114" s="22"/>
      <c r="Y114" s="22"/>
      <c r="Z114" s="22"/>
      <c r="AA114" s="22"/>
      <c r="AB114" s="46">
        <f t="shared" si="12"/>
        <v>340</v>
      </c>
      <c r="AC114" s="22">
        <f t="shared" si="9"/>
        <v>28.3333333333333</v>
      </c>
      <c r="AD114" s="22">
        <f>AC114*V142</f>
        <v>3.48905893245349</v>
      </c>
      <c r="AE114" s="52">
        <f>80+120+160+220</f>
        <v>580</v>
      </c>
      <c r="AF114" s="22">
        <f>AE114*V145</f>
        <v>65.136910519951627</v>
      </c>
      <c r="AG114" s="53">
        <f>AF114</f>
        <v>65.136910519951627</v>
      </c>
      <c r="AH114" s="93"/>
    </row>
    <row r="115" spans="1:34">
      <c r="A115" s="84">
        <v>78</v>
      </c>
      <c r="B115" s="70" t="s">
        <v>102</v>
      </c>
      <c r="C115" s="136"/>
      <c r="D115" s="93"/>
      <c r="E115" s="93"/>
      <c r="F115" s="93"/>
      <c r="G115" s="93"/>
      <c r="H115" s="22"/>
      <c r="I115" s="22"/>
      <c r="J115" s="22"/>
      <c r="K115" s="22"/>
      <c r="L115" s="22"/>
      <c r="M115" s="22"/>
      <c r="N115" s="22"/>
      <c r="O115" s="22"/>
      <c r="P115" s="45">
        <v>100</v>
      </c>
      <c r="Q115" s="45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46">
        <f t="shared" si="12"/>
        <v>100</v>
      </c>
      <c r="AC115" s="22">
        <f t="shared" si="9"/>
        <v>8.3333333333333304</v>
      </c>
      <c r="AD115" s="22">
        <f>AC115*V142</f>
        <v>1.02619380366279</v>
      </c>
      <c r="AE115" s="97"/>
      <c r="AF115" s="93"/>
      <c r="AG115" s="98"/>
      <c r="AH115" s="93"/>
    </row>
    <row r="116" spans="1:34">
      <c r="A116" s="84">
        <v>79</v>
      </c>
      <c r="B116" s="70" t="s">
        <v>103</v>
      </c>
      <c r="C116" s="136"/>
      <c r="D116" s="93"/>
      <c r="E116" s="93"/>
      <c r="F116" s="93"/>
      <c r="G116" s="93"/>
      <c r="H116" s="22"/>
      <c r="I116" s="22"/>
      <c r="J116" s="22"/>
      <c r="K116" s="22"/>
      <c r="L116" s="22"/>
      <c r="M116" s="22"/>
      <c r="N116" s="22"/>
      <c r="O116" s="22"/>
      <c r="P116" s="45">
        <v>100</v>
      </c>
      <c r="Q116" s="45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46">
        <f t="shared" si="12"/>
        <v>100</v>
      </c>
      <c r="AC116" s="22">
        <f t="shared" si="9"/>
        <v>8.3333333333333304</v>
      </c>
      <c r="AD116" s="22">
        <f>AC116*V142</f>
        <v>1.02619380366279</v>
      </c>
      <c r="AE116" s="97"/>
      <c r="AF116" s="93"/>
      <c r="AG116" s="98"/>
      <c r="AH116" s="93"/>
    </row>
    <row r="117" spans="1:34">
      <c r="A117" s="84">
        <v>80</v>
      </c>
      <c r="B117" s="9" t="s">
        <v>104</v>
      </c>
      <c r="C117" s="136"/>
      <c r="D117" s="93"/>
      <c r="E117" s="93"/>
      <c r="F117" s="93"/>
      <c r="G117" s="93"/>
      <c r="H117" s="22"/>
      <c r="I117" s="22"/>
      <c r="J117" s="22"/>
      <c r="K117" s="22"/>
      <c r="L117" s="22"/>
      <c r="M117" s="22"/>
      <c r="N117" s="22"/>
      <c r="O117" s="22"/>
      <c r="P117" s="45">
        <v>100</v>
      </c>
      <c r="Q117" s="45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46">
        <f t="shared" si="12"/>
        <v>100</v>
      </c>
      <c r="AC117" s="22">
        <f t="shared" si="9"/>
        <v>8.3333333333333304</v>
      </c>
      <c r="AD117" s="22">
        <f>AC117*V142</f>
        <v>1.02619380366279</v>
      </c>
      <c r="AE117" s="97"/>
      <c r="AF117" s="93"/>
      <c r="AG117" s="98"/>
      <c r="AH117" s="93"/>
    </row>
    <row r="118" spans="1:34">
      <c r="A118" s="84">
        <v>81</v>
      </c>
      <c r="B118" s="70" t="s">
        <v>105</v>
      </c>
      <c r="C118" s="136"/>
      <c r="D118" s="93"/>
      <c r="E118" s="93"/>
      <c r="F118" s="93"/>
      <c r="G118" s="93"/>
      <c r="H118" s="22"/>
      <c r="I118" s="22"/>
      <c r="J118" s="22"/>
      <c r="K118" s="22"/>
      <c r="L118" s="22"/>
      <c r="M118" s="22"/>
      <c r="N118" s="22"/>
      <c r="O118" s="22"/>
      <c r="P118" s="45">
        <v>100</v>
      </c>
      <c r="Q118" s="45"/>
      <c r="R118" s="22"/>
      <c r="S118" s="22"/>
      <c r="T118" s="22"/>
      <c r="U118" s="22"/>
      <c r="V118" s="22">
        <v>60</v>
      </c>
      <c r="W118" s="22"/>
      <c r="X118" s="22"/>
      <c r="Y118" s="22"/>
      <c r="Z118" s="22">
        <v>60</v>
      </c>
      <c r="AA118" s="22"/>
      <c r="AB118" s="46">
        <f t="shared" si="12"/>
        <v>220</v>
      </c>
      <c r="AC118" s="22">
        <f t="shared" si="9"/>
        <v>18.3333333333333</v>
      </c>
      <c r="AD118" s="22">
        <f>AC118*V142</f>
        <v>2.2576263680581401</v>
      </c>
      <c r="AE118" s="52">
        <f>80+120</f>
        <v>200</v>
      </c>
      <c r="AF118" s="22">
        <f>AE118*V145</f>
        <v>22.461003627569529</v>
      </c>
      <c r="AG118" s="53">
        <f>AF118</f>
        <v>22.461003627569529</v>
      </c>
      <c r="AH118" s="93"/>
    </row>
    <row r="119" spans="1:34">
      <c r="A119" s="84">
        <v>82</v>
      </c>
      <c r="B119" s="70" t="s">
        <v>106</v>
      </c>
      <c r="C119" s="136"/>
      <c r="D119" s="93"/>
      <c r="E119" s="93"/>
      <c r="F119" s="93"/>
      <c r="G119" s="9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>
        <f>50+50</f>
        <v>100</v>
      </c>
      <c r="U119" s="22"/>
      <c r="V119" s="22">
        <v>60</v>
      </c>
      <c r="W119" s="22"/>
      <c r="X119" s="22"/>
      <c r="Y119" s="22"/>
      <c r="Z119" s="22"/>
      <c r="AA119" s="22"/>
      <c r="AB119" s="46">
        <f t="shared" si="12"/>
        <v>160</v>
      </c>
      <c r="AC119" s="22">
        <f t="shared" si="9"/>
        <v>13.3333333333333</v>
      </c>
      <c r="AD119" s="22">
        <f>AC119*V142</f>
        <v>1.6419100858604601</v>
      </c>
      <c r="AE119" s="52">
        <f>80</f>
        <v>80</v>
      </c>
      <c r="AF119" s="22">
        <f>AE119*V145</f>
        <v>8.9844014510278107</v>
      </c>
      <c r="AG119" s="53">
        <f>AF119</f>
        <v>8.9844014510278107</v>
      </c>
      <c r="AH119" s="93"/>
    </row>
    <row r="120" spans="1:34" ht="6" customHeight="1">
      <c r="A120" s="85"/>
      <c r="B120" s="86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100"/>
      <c r="AF120" s="89"/>
      <c r="AG120" s="89"/>
      <c r="AH120" s="89"/>
    </row>
    <row r="121" spans="1:34">
      <c r="AG121" s="60" t="s">
        <v>107</v>
      </c>
    </row>
    <row r="122" spans="1:34">
      <c r="A122" s="31"/>
      <c r="B122" s="70"/>
      <c r="C122" s="70"/>
      <c r="AG122" s="3"/>
    </row>
    <row r="123" spans="1:34">
      <c r="A123" s="31"/>
      <c r="B123" s="70"/>
      <c r="C123" s="70"/>
    </row>
    <row r="124" spans="1:34">
      <c r="A124" s="308" t="s">
        <v>0</v>
      </c>
      <c r="B124" s="308"/>
      <c r="C124" s="308"/>
      <c r="D124" s="308"/>
      <c r="E124" s="308"/>
      <c r="F124" s="308"/>
      <c r="G124" s="308"/>
      <c r="H124" s="308"/>
      <c r="I124" s="308"/>
      <c r="J124" s="308"/>
      <c r="K124" s="308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  <c r="W124" s="308"/>
      <c r="X124" s="308"/>
      <c r="Y124" s="308"/>
      <c r="Z124" s="308"/>
      <c r="AA124" s="308"/>
      <c r="AB124" s="308"/>
      <c r="AC124" s="308"/>
      <c r="AD124" s="308"/>
      <c r="AE124" s="308"/>
      <c r="AF124" s="308"/>
      <c r="AG124" s="308"/>
      <c r="AH124" s="308"/>
    </row>
    <row r="125" spans="1:34">
      <c r="A125" s="315" t="s">
        <v>1</v>
      </c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  <c r="Z125" s="315"/>
      <c r="AA125" s="315"/>
      <c r="AB125" s="315"/>
      <c r="AC125" s="315"/>
      <c r="AD125" s="315"/>
      <c r="AE125" s="315"/>
      <c r="AF125" s="315"/>
      <c r="AG125" s="315"/>
      <c r="AH125" s="315"/>
    </row>
    <row r="126" spans="1:34">
      <c r="A126" s="313" t="s">
        <v>2</v>
      </c>
      <c r="B126" s="313"/>
      <c r="C126" s="313"/>
      <c r="D126" s="313"/>
      <c r="E126" s="313"/>
      <c r="F126" s="313"/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  <c r="T126" s="313"/>
      <c r="U126" s="313"/>
      <c r="V126" s="313"/>
      <c r="W126" s="313"/>
      <c r="X126" s="313"/>
      <c r="Y126" s="313"/>
      <c r="Z126" s="313"/>
      <c r="AA126" s="313"/>
      <c r="AB126" s="313"/>
      <c r="AC126" s="313"/>
      <c r="AD126" s="313"/>
      <c r="AE126" s="313"/>
      <c r="AF126" s="313"/>
      <c r="AG126" s="313"/>
      <c r="AH126" s="313"/>
    </row>
    <row r="127" spans="1:34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51"/>
      <c r="AF127" s="9"/>
      <c r="AG127" s="9"/>
      <c r="AH127" s="9"/>
    </row>
    <row r="128" spans="1:34" ht="18">
      <c r="A128" s="316" t="s">
        <v>3</v>
      </c>
      <c r="B128" s="316"/>
      <c r="C128" s="316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  <c r="W128" s="316"/>
      <c r="X128" s="316"/>
      <c r="Y128" s="316"/>
      <c r="Z128" s="316"/>
      <c r="AA128" s="316"/>
      <c r="AB128" s="316"/>
      <c r="AC128" s="316"/>
      <c r="AD128" s="316"/>
      <c r="AE128" s="316"/>
      <c r="AF128" s="316"/>
      <c r="AG128" s="316"/>
      <c r="AH128" s="316"/>
    </row>
    <row r="129" spans="1:40">
      <c r="A129" s="313" t="s">
        <v>145</v>
      </c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  <c r="W129" s="313"/>
      <c r="X129" s="313"/>
      <c r="Y129" s="313"/>
      <c r="Z129" s="313"/>
      <c r="AA129" s="313"/>
      <c r="AB129" s="313"/>
      <c r="AC129" s="313"/>
      <c r="AD129" s="313"/>
      <c r="AE129" s="313"/>
      <c r="AF129" s="313"/>
      <c r="AG129" s="313"/>
      <c r="AH129" s="313"/>
    </row>
    <row r="130" spans="1:40" ht="5.25" customHeight="1"/>
    <row r="131" spans="1:40" ht="25.5" customHeight="1">
      <c r="A131" s="336" t="s">
        <v>5</v>
      </c>
      <c r="B131" s="337"/>
      <c r="C131" s="332" t="s">
        <v>201</v>
      </c>
      <c r="D131" s="319" t="s">
        <v>7</v>
      </c>
      <c r="E131" s="123" t="s">
        <v>202</v>
      </c>
      <c r="F131" s="319" t="s">
        <v>8</v>
      </c>
      <c r="G131" s="123" t="s">
        <v>202</v>
      </c>
      <c r="H131" s="319" t="s">
        <v>9</v>
      </c>
      <c r="I131" s="123" t="s">
        <v>202</v>
      </c>
      <c r="J131" s="319" t="s">
        <v>10</v>
      </c>
      <c r="K131" s="123" t="s">
        <v>202</v>
      </c>
      <c r="L131" s="319" t="s">
        <v>11</v>
      </c>
      <c r="M131" s="123" t="s">
        <v>202</v>
      </c>
      <c r="N131" s="319" t="s">
        <v>12</v>
      </c>
      <c r="O131" s="123" t="s">
        <v>202</v>
      </c>
      <c r="P131" s="319" t="s">
        <v>13</v>
      </c>
      <c r="Q131" s="123" t="s">
        <v>202</v>
      </c>
      <c r="R131" s="319" t="s">
        <v>14</v>
      </c>
      <c r="S131" s="123" t="s">
        <v>202</v>
      </c>
      <c r="T131" s="319" t="s">
        <v>15</v>
      </c>
      <c r="U131" s="123" t="s">
        <v>202</v>
      </c>
      <c r="V131" s="319" t="s">
        <v>16</v>
      </c>
      <c r="W131" s="123" t="s">
        <v>202</v>
      </c>
      <c r="X131" s="319" t="s">
        <v>17</v>
      </c>
      <c r="Y131" s="123" t="s">
        <v>202</v>
      </c>
      <c r="Z131" s="319" t="s">
        <v>18</v>
      </c>
      <c r="AA131" s="123" t="s">
        <v>202</v>
      </c>
      <c r="AB131" s="319" t="s">
        <v>19</v>
      </c>
      <c r="AC131" s="319" t="s">
        <v>20</v>
      </c>
      <c r="AD131" s="327" t="s">
        <v>21</v>
      </c>
      <c r="AE131" s="323" t="s">
        <v>22</v>
      </c>
      <c r="AF131" s="340" t="s">
        <v>23</v>
      </c>
      <c r="AG131" s="329" t="s">
        <v>24</v>
      </c>
      <c r="AH131" s="321" t="s">
        <v>25</v>
      </c>
    </row>
    <row r="132" spans="1:40" ht="18" customHeight="1">
      <c r="A132" s="338"/>
      <c r="B132" s="339"/>
      <c r="C132" s="333"/>
      <c r="D132" s="320"/>
      <c r="E132" s="133" t="s">
        <v>203</v>
      </c>
      <c r="F132" s="320"/>
      <c r="G132" s="133" t="s">
        <v>203</v>
      </c>
      <c r="H132" s="320"/>
      <c r="I132" s="133" t="s">
        <v>203</v>
      </c>
      <c r="J132" s="320"/>
      <c r="K132" s="133" t="s">
        <v>203</v>
      </c>
      <c r="L132" s="320"/>
      <c r="M132" s="133" t="s">
        <v>203</v>
      </c>
      <c r="N132" s="320"/>
      <c r="O132" s="133" t="s">
        <v>203</v>
      </c>
      <c r="P132" s="320"/>
      <c r="Q132" s="133" t="s">
        <v>203</v>
      </c>
      <c r="R132" s="320"/>
      <c r="S132" s="133" t="s">
        <v>203</v>
      </c>
      <c r="T132" s="320"/>
      <c r="U132" s="133" t="s">
        <v>203</v>
      </c>
      <c r="V132" s="320"/>
      <c r="W132" s="133" t="s">
        <v>203</v>
      </c>
      <c r="X132" s="320"/>
      <c r="Y132" s="133" t="s">
        <v>203</v>
      </c>
      <c r="Z132" s="320"/>
      <c r="AA132" s="133" t="s">
        <v>203</v>
      </c>
      <c r="AB132" s="320"/>
      <c r="AC132" s="320"/>
      <c r="AD132" s="328"/>
      <c r="AE132" s="324"/>
      <c r="AF132" s="341"/>
      <c r="AG132" s="330"/>
      <c r="AH132" s="322"/>
    </row>
    <row r="133" spans="1:40" ht="3.75" customHeight="1"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61"/>
      <c r="AF133" s="44"/>
      <c r="AG133" s="44"/>
      <c r="AH133" s="44"/>
    </row>
    <row r="134" spans="1:40">
      <c r="A134" s="29">
        <v>83</v>
      </c>
      <c r="B134" s="70" t="s">
        <v>108</v>
      </c>
      <c r="C134" s="136"/>
      <c r="D134" s="93"/>
      <c r="E134" s="93"/>
      <c r="F134" s="93"/>
      <c r="G134" s="9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45">
        <v>2750</v>
      </c>
      <c r="W134" s="45"/>
      <c r="X134" s="22">
        <v>1000</v>
      </c>
      <c r="Y134" s="22"/>
      <c r="Z134" s="22">
        <v>3250</v>
      </c>
      <c r="AA134" s="22"/>
      <c r="AB134" s="46">
        <f>C134+D134+F134+H134+J134+L134+N134+P134+R134+T134+V134+X134+Z134</f>
        <v>7000</v>
      </c>
      <c r="AC134" s="22">
        <f>AB134/12</f>
        <v>583.33333333333303</v>
      </c>
      <c r="AD134" s="22">
        <f>AC134*V142</f>
        <v>71.833566256395301</v>
      </c>
      <c r="AE134" s="97"/>
      <c r="AF134" s="93"/>
      <c r="AG134" s="53">
        <f t="shared" ref="AG134" si="13">AD134+AF134</f>
        <v>71.833566256395301</v>
      </c>
      <c r="AH134" s="93"/>
    </row>
    <row r="135" spans="1:40">
      <c r="A135" s="84">
        <v>84</v>
      </c>
      <c r="B135" s="70" t="s">
        <v>109</v>
      </c>
      <c r="C135" s="136"/>
      <c r="D135" s="93"/>
      <c r="E135" s="93"/>
      <c r="F135" s="93"/>
      <c r="G135" s="9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>
        <v>100</v>
      </c>
      <c r="W135" s="22"/>
      <c r="X135" s="22"/>
      <c r="Y135" s="22"/>
      <c r="Z135" s="22"/>
      <c r="AA135" s="22"/>
      <c r="AB135" s="46">
        <f>C135+D135+F135+H135+J135+L135+N135+P135+R135+T135+V135+X135+Z135</f>
        <v>100</v>
      </c>
      <c r="AC135" s="22">
        <f>AB135/12</f>
        <v>8.3333333333333304</v>
      </c>
      <c r="AD135" s="22">
        <f>AC135*V142</f>
        <v>1.02619380366279</v>
      </c>
      <c r="AE135" s="97"/>
      <c r="AF135" s="93"/>
      <c r="AG135" s="98"/>
      <c r="AH135" s="93"/>
    </row>
    <row r="136" spans="1:40">
      <c r="A136" s="84">
        <v>85</v>
      </c>
      <c r="B136" s="9" t="s">
        <v>110</v>
      </c>
      <c r="C136" s="136"/>
      <c r="D136" s="93"/>
      <c r="E136" s="93"/>
      <c r="F136" s="93"/>
      <c r="G136" s="9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>
        <v>100</v>
      </c>
      <c r="W136" s="22"/>
      <c r="X136" s="22"/>
      <c r="Y136" s="22"/>
      <c r="Z136" s="22"/>
      <c r="AA136" s="22"/>
      <c r="AB136" s="46">
        <f>C136+D136+F136+H136+J136+L136+N136+P136+R136+T136+V136+X136+Z136</f>
        <v>100</v>
      </c>
      <c r="AC136" s="22">
        <f t="shared" si="9"/>
        <v>8.3333333333333304</v>
      </c>
      <c r="AD136" s="22">
        <f>AC136*V142</f>
        <v>1.02619380366279</v>
      </c>
      <c r="AE136" s="97"/>
      <c r="AF136" s="93"/>
      <c r="AG136" s="98"/>
      <c r="AH136" s="93"/>
    </row>
    <row r="137" spans="1:40">
      <c r="A137" s="29">
        <v>86</v>
      </c>
      <c r="B137" s="9" t="s">
        <v>111</v>
      </c>
      <c r="C137" s="136"/>
      <c r="D137" s="93"/>
      <c r="E137" s="93"/>
      <c r="F137" s="93"/>
      <c r="G137" s="9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>
        <v>7000</v>
      </c>
      <c r="W137" s="22"/>
      <c r="X137" s="22"/>
      <c r="Y137" s="22"/>
      <c r="Z137" s="22"/>
      <c r="AA137" s="22"/>
      <c r="AB137" s="46">
        <f>C137+D137+F137+H137+J137+L137+N137+P137+R137+T137+V137+X137+Z137</f>
        <v>7000</v>
      </c>
      <c r="AC137" s="22">
        <f t="shared" si="9"/>
        <v>583.33333333333303</v>
      </c>
      <c r="AD137" s="22">
        <f>AC137*V142</f>
        <v>71.833566256395301</v>
      </c>
      <c r="AE137" s="97"/>
      <c r="AF137" s="93"/>
      <c r="AG137" s="53">
        <f t="shared" ref="AG137" si="14">AD137+AF137</f>
        <v>71.833566256395301</v>
      </c>
      <c r="AH137" s="93"/>
    </row>
    <row r="138" spans="1:40" ht="5.25" customHeight="1">
      <c r="A138" s="85"/>
      <c r="B138" s="102"/>
      <c r="C138" s="89"/>
      <c r="D138" s="89"/>
      <c r="E138" s="89"/>
      <c r="F138" s="89"/>
      <c r="G138" s="8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89"/>
      <c r="Y138" s="89"/>
      <c r="Z138" s="38"/>
      <c r="AA138" s="38"/>
      <c r="AB138" s="89"/>
      <c r="AC138" s="89"/>
      <c r="AD138" s="89"/>
      <c r="AE138" s="100"/>
      <c r="AF138" s="89"/>
      <c r="AG138" s="89"/>
      <c r="AH138" s="89"/>
    </row>
    <row r="139" spans="1:40">
      <c r="A139" s="85"/>
      <c r="B139" s="103" t="s">
        <v>120</v>
      </c>
      <c r="C139" s="140">
        <f t="shared" ref="C139:AG139" si="15">SUM(C11:C138)</f>
        <v>139050.32999999999</v>
      </c>
      <c r="D139" s="105">
        <f t="shared" si="15"/>
        <v>7290</v>
      </c>
      <c r="E139" s="141">
        <f t="shared" si="15"/>
        <v>740</v>
      </c>
      <c r="F139" s="105">
        <f t="shared" si="15"/>
        <v>3446.8</v>
      </c>
      <c r="G139" s="141">
        <f t="shared" si="15"/>
        <v>740</v>
      </c>
      <c r="H139" s="105">
        <f t="shared" si="15"/>
        <v>4020</v>
      </c>
      <c r="I139" s="141">
        <f t="shared" si="15"/>
        <v>620</v>
      </c>
      <c r="J139" s="105">
        <f t="shared" si="15"/>
        <v>60</v>
      </c>
      <c r="K139" s="141">
        <f t="shared" si="15"/>
        <v>310</v>
      </c>
      <c r="L139" s="105">
        <f t="shared" si="15"/>
        <v>0</v>
      </c>
      <c r="M139" s="141">
        <f t="shared" si="15"/>
        <v>540</v>
      </c>
      <c r="N139" s="105">
        <f t="shared" si="15"/>
        <v>240</v>
      </c>
      <c r="O139" s="141">
        <f t="shared" si="15"/>
        <v>540</v>
      </c>
      <c r="P139" s="105">
        <f t="shared" si="15"/>
        <v>2040</v>
      </c>
      <c r="Q139" s="141">
        <f t="shared" si="15"/>
        <v>440</v>
      </c>
      <c r="R139" s="105">
        <f t="shared" si="15"/>
        <v>1260</v>
      </c>
      <c r="S139" s="141">
        <f t="shared" si="15"/>
        <v>352</v>
      </c>
      <c r="T139" s="105">
        <f t="shared" si="15"/>
        <v>2540</v>
      </c>
      <c r="U139" s="141">
        <f t="shared" si="15"/>
        <v>252</v>
      </c>
      <c r="V139" s="105">
        <f t="shared" si="15"/>
        <v>10350</v>
      </c>
      <c r="W139" s="141">
        <f t="shared" si="15"/>
        <v>210</v>
      </c>
      <c r="X139" s="105">
        <f t="shared" si="15"/>
        <v>1620</v>
      </c>
      <c r="Y139" s="105">
        <f t="shared" si="15"/>
        <v>0</v>
      </c>
      <c r="Z139" s="105">
        <f t="shared" si="15"/>
        <v>4160</v>
      </c>
      <c r="AA139" s="141">
        <f t="shared" si="15"/>
        <v>190</v>
      </c>
      <c r="AB139" s="105">
        <f t="shared" si="15"/>
        <v>181011.13</v>
      </c>
      <c r="AC139" s="114">
        <f t="shared" si="15"/>
        <v>15084.260833333299</v>
      </c>
      <c r="AD139" s="105">
        <f t="shared" si="15"/>
        <v>1857.5250000000001</v>
      </c>
      <c r="AE139" s="115">
        <f t="shared" si="15"/>
        <v>16540</v>
      </c>
      <c r="AF139" s="105">
        <f t="shared" si="15"/>
        <v>1857.5250000000003</v>
      </c>
      <c r="AG139" s="116">
        <f t="shared" si="15"/>
        <v>3462.2385364397187</v>
      </c>
      <c r="AH139" s="88"/>
    </row>
    <row r="140" spans="1:40" ht="6.75" customHeight="1"/>
    <row r="141" spans="1:40">
      <c r="E141" s="107" t="s">
        <v>208</v>
      </c>
      <c r="AN141" s="50">
        <f>AF139-AD139</f>
        <v>0</v>
      </c>
    </row>
    <row r="142" spans="1:40" ht="12.75" customHeight="1">
      <c r="H142" s="142" t="s">
        <v>209</v>
      </c>
      <c r="R142" s="151" t="s">
        <v>210</v>
      </c>
      <c r="S142" s="152"/>
      <c r="T142" s="4" t="s">
        <v>211</v>
      </c>
      <c r="U142" s="153">
        <f>0.5*(N161-N162)</f>
        <v>1857.5250000000001</v>
      </c>
      <c r="V142" s="154">
        <f>U142/U143</f>
        <v>0.123143256439535</v>
      </c>
      <c r="X142" s="4"/>
      <c r="Y142" s="4"/>
    </row>
    <row r="143" spans="1:40" ht="12.75" customHeight="1">
      <c r="M143" t="s">
        <v>212</v>
      </c>
      <c r="R143" s="351">
        <f>AC139</f>
        <v>15084.260833333299</v>
      </c>
      <c r="S143" s="351"/>
      <c r="U143" s="110">
        <f>R143</f>
        <v>15084.260833333299</v>
      </c>
      <c r="V143" s="6"/>
      <c r="W143" s="4"/>
    </row>
    <row r="144" spans="1:40" ht="12.75" customHeight="1">
      <c r="S144" s="4"/>
      <c r="U144" s="5"/>
      <c r="V144" s="6"/>
      <c r="W144" s="4"/>
    </row>
    <row r="145" spans="1:31" ht="12.75" customHeight="1">
      <c r="H145" s="142" t="s">
        <v>213</v>
      </c>
      <c r="I145" s="142"/>
      <c r="R145" s="151" t="s">
        <v>214</v>
      </c>
      <c r="S145" s="152"/>
      <c r="T145" s="4" t="s">
        <v>211</v>
      </c>
      <c r="U145" s="153">
        <f>0.5*(N161-N162)</f>
        <v>1857.5250000000001</v>
      </c>
      <c r="V145" s="154">
        <f>U145/U146</f>
        <v>0.11230501813784764</v>
      </c>
    </row>
    <row r="146" spans="1:31" ht="12.75" customHeight="1">
      <c r="N146" t="s">
        <v>215</v>
      </c>
      <c r="R146" s="352">
        <f>'[6]2020'!$H$72</f>
        <v>16540</v>
      </c>
      <c r="S146" s="352"/>
      <c r="U146" s="110">
        <f>R146</f>
        <v>16540</v>
      </c>
      <c r="W146" s="4"/>
    </row>
    <row r="147" spans="1:31" ht="12.75" customHeight="1">
      <c r="P147" s="4"/>
      <c r="Q147" s="4"/>
      <c r="R147" s="4"/>
      <c r="S147" s="4"/>
      <c r="T147" s="4"/>
      <c r="U147" s="4"/>
      <c r="V147" s="4"/>
      <c r="W147" s="4"/>
      <c r="AB147" s="109"/>
      <c r="AE147" s="110"/>
    </row>
    <row r="148" spans="1:31" ht="12.75" customHeight="1">
      <c r="P148" s="4"/>
      <c r="Q148" s="4"/>
      <c r="R148" s="4"/>
      <c r="S148" s="4"/>
      <c r="T148" s="4"/>
      <c r="U148" s="4"/>
      <c r="V148" s="4"/>
      <c r="W148" s="4"/>
      <c r="AB148" s="109"/>
      <c r="AE148" s="110"/>
    </row>
    <row r="149" spans="1:31">
      <c r="P149" s="4"/>
      <c r="Q149" s="4"/>
      <c r="R149" s="4"/>
      <c r="S149" s="4"/>
      <c r="T149" s="4"/>
      <c r="U149" s="4"/>
      <c r="V149" s="4"/>
      <c r="W149" s="4"/>
      <c r="AB149" s="67"/>
      <c r="AE149" s="117"/>
    </row>
    <row r="150" spans="1:31" ht="12" customHeight="1">
      <c r="A150" t="s">
        <v>121</v>
      </c>
      <c r="F150" t="s">
        <v>122</v>
      </c>
      <c r="R150" t="s">
        <v>123</v>
      </c>
      <c r="AB150" t="s">
        <v>124</v>
      </c>
      <c r="AE150"/>
    </row>
    <row r="151" spans="1:31">
      <c r="AE151"/>
    </row>
    <row r="152" spans="1:31">
      <c r="AE152"/>
    </row>
    <row r="153" spans="1:31" ht="12" customHeight="1">
      <c r="H153" s="107" t="s">
        <v>126</v>
      </c>
      <c r="I153" s="107"/>
      <c r="T153" s="308" t="s">
        <v>167</v>
      </c>
      <c r="U153" s="308"/>
      <c r="V153" s="308"/>
      <c r="W153" s="308"/>
      <c r="X153" s="308"/>
      <c r="Y153" s="7"/>
      <c r="AC153" s="308" t="s">
        <v>168</v>
      </c>
      <c r="AD153" s="308"/>
      <c r="AE153" s="308"/>
    </row>
    <row r="154" spans="1:31" ht="12" customHeight="1">
      <c r="B154" s="107" t="s">
        <v>125</v>
      </c>
      <c r="H154" s="311" t="s">
        <v>129</v>
      </c>
      <c r="I154" s="311"/>
      <c r="J154" s="311"/>
      <c r="K154" s="311"/>
      <c r="L154" s="311"/>
      <c r="M154" s="4"/>
      <c r="T154" s="313" t="s">
        <v>130</v>
      </c>
      <c r="U154" s="313"/>
      <c r="V154" s="313"/>
      <c r="W154" s="313"/>
      <c r="X154" s="313"/>
      <c r="Y154" s="4"/>
      <c r="AC154" s="313" t="s">
        <v>131</v>
      </c>
      <c r="AD154" s="313"/>
      <c r="AE154" s="313"/>
    </row>
    <row r="155" spans="1:31">
      <c r="B155" t="s">
        <v>169</v>
      </c>
    </row>
    <row r="161" spans="3:33">
      <c r="C161" t="s">
        <v>172</v>
      </c>
      <c r="E161">
        <v>41</v>
      </c>
      <c r="G161" s="143">
        <f>AB11+AB15+AB17+AB18+AB19+AB20+AB22+AB23+AB24+AB29+AB36+AB37+AB38+AB52+AB54+AB55+AB63+AB64+AB65+AB66+AB67+AB68+AB69+AB93+AB95+AB97+AB98+AB102+AB103+AB104+AB100+AB72+AB34+AB28+AB13+AB53+AB76+AB94+AB96+AB134+AB137</f>
        <v>156275.29</v>
      </c>
      <c r="H161" s="143"/>
      <c r="I161" s="143"/>
      <c r="J161" s="111"/>
      <c r="L161" t="s">
        <v>216</v>
      </c>
      <c r="N161" s="110">
        <v>12383.49</v>
      </c>
    </row>
    <row r="162" spans="3:33">
      <c r="C162" s="144" t="s">
        <v>173</v>
      </c>
      <c r="D162" s="144"/>
      <c r="E162" s="102">
        <v>45</v>
      </c>
      <c r="F162" s="102"/>
      <c r="G162" s="145">
        <f>AB139-G161</f>
        <v>24735.84</v>
      </c>
      <c r="H162" s="145"/>
      <c r="I162" s="145"/>
      <c r="J162" s="111"/>
      <c r="L162" s="102" t="s">
        <v>217</v>
      </c>
      <c r="M162" s="102"/>
      <c r="N162" s="150">
        <v>8668.44</v>
      </c>
    </row>
    <row r="163" spans="3:33">
      <c r="E163">
        <f>E161+E162</f>
        <v>86</v>
      </c>
      <c r="G163" s="146">
        <f>G161+G162</f>
        <v>181011.13</v>
      </c>
      <c r="H163" s="146"/>
      <c r="I163" s="146"/>
      <c r="J163" s="113"/>
      <c r="N163" s="110">
        <f>N161-N162</f>
        <v>3715.05</v>
      </c>
    </row>
    <row r="164" spans="3:33">
      <c r="AG164" s="60" t="s">
        <v>132</v>
      </c>
    </row>
    <row r="165" spans="3:33">
      <c r="D165" s="4">
        <v>2019</v>
      </c>
      <c r="E165" s="4">
        <v>2020</v>
      </c>
      <c r="AG165" s="60"/>
    </row>
    <row r="166" spans="3:33">
      <c r="C166" t="s">
        <v>218</v>
      </c>
      <c r="D166" s="147">
        <f>6300/2</f>
        <v>3150</v>
      </c>
      <c r="E166" s="147">
        <f>2700/2</f>
        <v>1350</v>
      </c>
    </row>
    <row r="167" spans="3:33">
      <c r="C167" s="102" t="s">
        <v>219</v>
      </c>
      <c r="D167" s="148">
        <f>6300/2</f>
        <v>3150</v>
      </c>
      <c r="E167" s="148">
        <f>2700/2</f>
        <v>1350</v>
      </c>
    </row>
    <row r="168" spans="3:33">
      <c r="D168" s="149">
        <f>D166+D167</f>
        <v>6300</v>
      </c>
      <c r="E168" s="149">
        <f>E166+E167</f>
        <v>2700</v>
      </c>
      <c r="N168">
        <v>19</v>
      </c>
    </row>
    <row r="169" spans="3:33">
      <c r="N169">
        <f>N168*20</f>
        <v>380</v>
      </c>
      <c r="O169">
        <f>N169/2</f>
        <v>190</v>
      </c>
    </row>
    <row r="170" spans="3:33">
      <c r="N170" s="50">
        <f>AF139-AD139</f>
        <v>0</v>
      </c>
    </row>
  </sheetData>
  <mergeCells count="111">
    <mergeCell ref="AH49:AH50"/>
    <mergeCell ref="AH90:AH91"/>
    <mergeCell ref="AH131:AH132"/>
    <mergeCell ref="A90:B91"/>
    <mergeCell ref="A49:B50"/>
    <mergeCell ref="A9:B10"/>
    <mergeCell ref="A131:B132"/>
    <mergeCell ref="AE49:AE50"/>
    <mergeCell ref="AE90:AE91"/>
    <mergeCell ref="AE131:AE132"/>
    <mergeCell ref="AF9:AF10"/>
    <mergeCell ref="AF49:AF50"/>
    <mergeCell ref="AF90:AF91"/>
    <mergeCell ref="AF131:AF132"/>
    <mergeCell ref="AG9:AG10"/>
    <mergeCell ref="AG49:AG50"/>
    <mergeCell ref="AG90:AG91"/>
    <mergeCell ref="AG131:AG132"/>
    <mergeCell ref="AB49:AB50"/>
    <mergeCell ref="AB90:AB91"/>
    <mergeCell ref="AB131:AB132"/>
    <mergeCell ref="AC9:AC10"/>
    <mergeCell ref="AC49:AC50"/>
    <mergeCell ref="AC90:AC91"/>
    <mergeCell ref="AD9:AD10"/>
    <mergeCell ref="AD49:AD50"/>
    <mergeCell ref="AD90:AD91"/>
    <mergeCell ref="AD131:AD132"/>
    <mergeCell ref="V49:V50"/>
    <mergeCell ref="V90:V91"/>
    <mergeCell ref="V131:V132"/>
    <mergeCell ref="X9:X10"/>
    <mergeCell ref="X49:X50"/>
    <mergeCell ref="X90:X91"/>
    <mergeCell ref="X131:X132"/>
    <mergeCell ref="Z9:Z10"/>
    <mergeCell ref="Z49:Z50"/>
    <mergeCell ref="Z90:Z91"/>
    <mergeCell ref="Z131:Z132"/>
    <mergeCell ref="P90:P91"/>
    <mergeCell ref="P131:P132"/>
    <mergeCell ref="R9:R10"/>
    <mergeCell ref="R49:R50"/>
    <mergeCell ref="R90:R91"/>
    <mergeCell ref="R131:R132"/>
    <mergeCell ref="T9:T10"/>
    <mergeCell ref="T49:T50"/>
    <mergeCell ref="T90:T91"/>
    <mergeCell ref="T131:T132"/>
    <mergeCell ref="A128:AH128"/>
    <mergeCell ref="A129:AH129"/>
    <mergeCell ref="A47:AH47"/>
    <mergeCell ref="A83:AH83"/>
    <mergeCell ref="A84:AH84"/>
    <mergeCell ref="A85:AH85"/>
    <mergeCell ref="A87:AH87"/>
    <mergeCell ref="A88:AH88"/>
    <mergeCell ref="A124:AH124"/>
    <mergeCell ref="A125:AH125"/>
    <mergeCell ref="A126:AH126"/>
    <mergeCell ref="C49:C50"/>
    <mergeCell ref="C90:C91"/>
    <mergeCell ref="D49:D50"/>
    <mergeCell ref="R143:S143"/>
    <mergeCell ref="R146:S146"/>
    <mergeCell ref="T153:X153"/>
    <mergeCell ref="AC153:AE153"/>
    <mergeCell ref="H154:L154"/>
    <mergeCell ref="T154:X154"/>
    <mergeCell ref="AC154:AE154"/>
    <mergeCell ref="C131:C132"/>
    <mergeCell ref="D131:D132"/>
    <mergeCell ref="F131:F132"/>
    <mergeCell ref="H131:H132"/>
    <mergeCell ref="J131:J132"/>
    <mergeCell ref="L131:L132"/>
    <mergeCell ref="N131:N132"/>
    <mergeCell ref="AC131:AC132"/>
    <mergeCell ref="D90:D91"/>
    <mergeCell ref="F49:F50"/>
    <mergeCell ref="F90:F91"/>
    <mergeCell ref="H49:H50"/>
    <mergeCell ref="H90:H91"/>
    <mergeCell ref="J49:J50"/>
    <mergeCell ref="J90:J91"/>
    <mergeCell ref="L49:L50"/>
    <mergeCell ref="L90:L91"/>
    <mergeCell ref="N49:N50"/>
    <mergeCell ref="N90:N91"/>
    <mergeCell ref="P49:P50"/>
    <mergeCell ref="A2:AH2"/>
    <mergeCell ref="A3:AH3"/>
    <mergeCell ref="A4:AH4"/>
    <mergeCell ref="A6:AH6"/>
    <mergeCell ref="A7:AH7"/>
    <mergeCell ref="A42:AH42"/>
    <mergeCell ref="A43:AH43"/>
    <mergeCell ref="A44:AH44"/>
    <mergeCell ref="A46:AH46"/>
    <mergeCell ref="C9:C10"/>
    <mergeCell ref="D9:D10"/>
    <mergeCell ref="F9:F10"/>
    <mergeCell ref="H9:H10"/>
    <mergeCell ref="J9:J10"/>
    <mergeCell ref="L9:L10"/>
    <mergeCell ref="N9:N10"/>
    <mergeCell ref="P9:P10"/>
    <mergeCell ref="V9:V10"/>
    <mergeCell ref="AB9:AB10"/>
    <mergeCell ref="AE9:AE10"/>
    <mergeCell ref="AH9:AH10"/>
  </mergeCells>
  <pageMargins left="0.25" right="0.25" top="0.25" bottom="0.25" header="0.3" footer="0.3"/>
  <pageSetup paperSize="5"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P179"/>
  <sheetViews>
    <sheetView zoomScale="110" zoomScaleNormal="110" workbookViewId="0">
      <selection activeCell="C51" sqref="C51"/>
    </sheetView>
  </sheetViews>
  <sheetFormatPr defaultColWidth="9" defaultRowHeight="14.4"/>
  <cols>
    <col min="1" max="1" width="2.77734375" style="3" customWidth="1"/>
    <col min="2" max="2" width="18.21875" customWidth="1"/>
    <col min="3" max="3" width="9.5546875" customWidth="1"/>
    <col min="4" max="6" width="7.21875" customWidth="1"/>
    <col min="7" max="7" width="8.77734375" customWidth="1"/>
    <col min="8" max="8" width="7.21875" customWidth="1"/>
    <col min="9" max="9" width="6.21875" customWidth="1"/>
    <col min="10" max="10" width="6.44140625" customWidth="1"/>
    <col min="11" max="11" width="6" customWidth="1"/>
    <col min="12" max="12" width="5.77734375" customWidth="1"/>
    <col min="13" max="13" width="6.44140625" customWidth="1"/>
    <col min="14" max="14" width="9.21875" customWidth="1"/>
    <col min="15" max="15" width="6.21875" customWidth="1"/>
    <col min="16" max="16" width="7.77734375" customWidth="1"/>
    <col min="17" max="17" width="6.21875" customWidth="1"/>
    <col min="18" max="18" width="11.77734375" customWidth="1"/>
    <col min="19" max="19" width="9.44140625" customWidth="1"/>
    <col min="20" max="20" width="7.21875" customWidth="1"/>
    <col min="21" max="21" width="9.21875" customWidth="1"/>
    <col min="22" max="22" width="8.21875" customWidth="1"/>
    <col min="23" max="23" width="6" customWidth="1"/>
    <col min="24" max="24" width="9.21875" customWidth="1"/>
    <col min="25" max="25" width="6.21875" customWidth="1"/>
    <col min="26" max="26" width="7.21875" customWidth="1"/>
    <col min="27" max="27" width="6.21875" customWidth="1"/>
    <col min="28" max="28" width="8.77734375" customWidth="1"/>
    <col min="29" max="29" width="8" customWidth="1"/>
    <col min="30" max="30" width="7.21875" customWidth="1"/>
    <col min="31" max="31" width="7.77734375" style="5" customWidth="1"/>
    <col min="32" max="32" width="7.21875" customWidth="1"/>
    <col min="33" max="33" width="7.44140625" customWidth="1"/>
    <col min="34" max="34" width="7.77734375" customWidth="1"/>
    <col min="37" max="38" width="9" style="6"/>
  </cols>
  <sheetData>
    <row r="2" spans="1:42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</row>
    <row r="3" spans="1:42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</row>
    <row r="4" spans="1:42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313"/>
      <c r="AB4" s="313"/>
      <c r="AC4" s="313"/>
      <c r="AD4" s="313"/>
      <c r="AE4" s="313"/>
      <c r="AF4" s="313"/>
      <c r="AG4" s="313"/>
      <c r="AH4" s="313"/>
    </row>
    <row r="5" spans="1:42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51"/>
      <c r="AF5" s="9"/>
      <c r="AG5" s="9"/>
      <c r="AH5" s="9"/>
      <c r="AI5" s="9"/>
      <c r="AJ5" s="9"/>
      <c r="AK5" s="62"/>
      <c r="AL5" s="62"/>
      <c r="AM5" s="9"/>
      <c r="AN5" s="9"/>
      <c r="AO5" s="9"/>
      <c r="AP5" s="9"/>
    </row>
    <row r="6" spans="1:42" ht="18">
      <c r="A6" s="316" t="s">
        <v>3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  <c r="AG6" s="316"/>
      <c r="AH6" s="316"/>
    </row>
    <row r="7" spans="1:42" ht="12.75" customHeight="1">
      <c r="A7" s="313" t="s">
        <v>145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</row>
    <row r="8" spans="1:42" ht="7.5" customHeight="1">
      <c r="A8" s="10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42" s="1" customFormat="1" ht="26.25" customHeight="1">
      <c r="A9" s="336" t="s">
        <v>5</v>
      </c>
      <c r="B9" s="337"/>
      <c r="C9" s="332" t="s">
        <v>220</v>
      </c>
      <c r="D9" s="319" t="s">
        <v>7</v>
      </c>
      <c r="E9" s="123" t="s">
        <v>202</v>
      </c>
      <c r="F9" s="319" t="s">
        <v>8</v>
      </c>
      <c r="G9" s="123" t="s">
        <v>202</v>
      </c>
      <c r="H9" s="319" t="s">
        <v>9</v>
      </c>
      <c r="I9" s="123" t="s">
        <v>202</v>
      </c>
      <c r="J9" s="319" t="s">
        <v>10</v>
      </c>
      <c r="K9" s="123" t="s">
        <v>202</v>
      </c>
      <c r="L9" s="319" t="s">
        <v>11</v>
      </c>
      <c r="M9" s="123" t="s">
        <v>202</v>
      </c>
      <c r="N9" s="319" t="s">
        <v>12</v>
      </c>
      <c r="O9" s="123" t="s">
        <v>202</v>
      </c>
      <c r="P9" s="319" t="s">
        <v>13</v>
      </c>
      <c r="Q9" s="123" t="s">
        <v>202</v>
      </c>
      <c r="R9" s="319" t="s">
        <v>14</v>
      </c>
      <c r="S9" s="123" t="s">
        <v>202</v>
      </c>
      <c r="T9" s="319" t="s">
        <v>15</v>
      </c>
      <c r="U9" s="123" t="s">
        <v>202</v>
      </c>
      <c r="V9" s="319" t="s">
        <v>16</v>
      </c>
      <c r="W9" s="123" t="s">
        <v>202</v>
      </c>
      <c r="X9" s="319" t="s">
        <v>17</v>
      </c>
      <c r="Y9" s="123" t="s">
        <v>202</v>
      </c>
      <c r="Z9" s="319" t="s">
        <v>18</v>
      </c>
      <c r="AA9" s="123" t="s">
        <v>202</v>
      </c>
      <c r="AB9" s="319" t="s">
        <v>19</v>
      </c>
      <c r="AC9" s="319" t="s">
        <v>20</v>
      </c>
      <c r="AD9" s="327" t="s">
        <v>21</v>
      </c>
      <c r="AE9" s="323" t="s">
        <v>22</v>
      </c>
      <c r="AF9" s="340" t="s">
        <v>23</v>
      </c>
      <c r="AG9" s="329" t="s">
        <v>24</v>
      </c>
      <c r="AH9" s="321" t="s">
        <v>25</v>
      </c>
      <c r="AK9" s="63"/>
      <c r="AL9" s="64"/>
    </row>
    <row r="10" spans="1:42" s="1" customFormat="1" ht="18" customHeight="1">
      <c r="A10" s="338"/>
      <c r="B10" s="339"/>
      <c r="C10" s="333"/>
      <c r="D10" s="320"/>
      <c r="E10" s="11" t="s">
        <v>203</v>
      </c>
      <c r="F10" s="320"/>
      <c r="G10" s="11" t="s">
        <v>203</v>
      </c>
      <c r="H10" s="320"/>
      <c r="I10" s="11" t="s">
        <v>203</v>
      </c>
      <c r="J10" s="320"/>
      <c r="K10" s="11" t="s">
        <v>203</v>
      </c>
      <c r="L10" s="320"/>
      <c r="M10" s="11" t="s">
        <v>203</v>
      </c>
      <c r="N10" s="320"/>
      <c r="O10" s="11" t="s">
        <v>203</v>
      </c>
      <c r="P10" s="320"/>
      <c r="Q10" s="11" t="s">
        <v>203</v>
      </c>
      <c r="R10" s="320"/>
      <c r="S10" s="11" t="s">
        <v>203</v>
      </c>
      <c r="T10" s="320"/>
      <c r="U10" s="11" t="s">
        <v>203</v>
      </c>
      <c r="V10" s="320"/>
      <c r="W10" s="11" t="s">
        <v>203</v>
      </c>
      <c r="X10" s="320"/>
      <c r="Y10" s="11" t="s">
        <v>203</v>
      </c>
      <c r="Z10" s="320"/>
      <c r="AA10" s="133" t="s">
        <v>203</v>
      </c>
      <c r="AB10" s="320"/>
      <c r="AC10" s="320"/>
      <c r="AD10" s="328"/>
      <c r="AE10" s="324"/>
      <c r="AF10" s="341"/>
      <c r="AG10" s="330"/>
      <c r="AH10" s="322"/>
      <c r="AK10" s="63"/>
      <c r="AL10" s="64"/>
    </row>
    <row r="11" spans="1:42" s="2" customFormat="1">
      <c r="A11" s="15">
        <v>1</v>
      </c>
      <c r="B11" s="16" t="s">
        <v>26</v>
      </c>
      <c r="C11" s="124">
        <v>2148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25"/>
      <c r="AB11" s="46">
        <f>C11+D11+F11+H11+J11+L11+N11+P11+R11+T11+V11+X11+Z11+E11</f>
        <v>2148</v>
      </c>
      <c r="AC11" s="22">
        <f>AB11/12</f>
        <v>179</v>
      </c>
      <c r="AD11" s="22">
        <f>AC11*V151</f>
        <v>20.439222394747699</v>
      </c>
      <c r="AE11" s="52"/>
      <c r="AF11" s="22">
        <v>0</v>
      </c>
      <c r="AG11" s="53">
        <f>AD11+AF11</f>
        <v>20.439222394747699</v>
      </c>
      <c r="AH11" s="26"/>
      <c r="AK11" s="62"/>
      <c r="AL11" s="65"/>
    </row>
    <row r="12" spans="1:42">
      <c r="A12" s="19">
        <v>2</v>
      </c>
      <c r="B12" s="20" t="s">
        <v>27</v>
      </c>
      <c r="C12" s="125">
        <v>1300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46">
        <f>C12+D12+F12+H12+J12+L12+N12+P12+R12+T12+V12+X12+Z12</f>
        <v>1300</v>
      </c>
      <c r="AC12" s="22">
        <f t="shared" ref="AC12:AC38" si="0">AB12/12</f>
        <v>108.333333333333</v>
      </c>
      <c r="AD12" s="22">
        <f>AC12*V151</f>
        <v>12.370106663487899</v>
      </c>
      <c r="AE12" s="52"/>
      <c r="AF12" s="22">
        <v>0</v>
      </c>
      <c r="AG12" s="53"/>
      <c r="AH12" s="22"/>
    </row>
    <row r="13" spans="1:42" s="2" customFormat="1">
      <c r="A13" s="23">
        <v>3</v>
      </c>
      <c r="B13" s="24" t="s">
        <v>28</v>
      </c>
      <c r="C13" s="125">
        <v>2208</v>
      </c>
      <c r="D13" s="25"/>
      <c r="E13" s="25"/>
      <c r="F13" s="25"/>
      <c r="G13" s="25"/>
      <c r="H13" s="26"/>
      <c r="I13" s="2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46">
        <f>C13+D13+F13+H13+J13+L13+N13+P13+R13+T13+V13+X13+Z13+E13</f>
        <v>2208</v>
      </c>
      <c r="AC13" s="22">
        <f t="shared" si="0"/>
        <v>184</v>
      </c>
      <c r="AD13" s="22">
        <f>AC13*V151</f>
        <v>21.010150394600998</v>
      </c>
      <c r="AE13" s="52">
        <f>200</f>
        <v>200</v>
      </c>
      <c r="AF13" s="22">
        <f>AE13*V154</f>
        <v>22.461003627569529</v>
      </c>
      <c r="AG13" s="53">
        <f>AF13+AD13</f>
        <v>43.471154022170523</v>
      </c>
      <c r="AH13" s="26"/>
      <c r="AJ13" s="54"/>
      <c r="AK13" s="66"/>
      <c r="AL13" s="65"/>
    </row>
    <row r="14" spans="1:42">
      <c r="A14" s="19">
        <v>4</v>
      </c>
      <c r="B14" s="27" t="s">
        <v>29</v>
      </c>
      <c r="C14" s="125">
        <v>750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46">
        <f>C14+D14+F14+H14+J14+L14+N14+P14+R14+T14+V14+X14+Z14</f>
        <v>750</v>
      </c>
      <c r="AC14" s="22">
        <f t="shared" si="0"/>
        <v>62.5</v>
      </c>
      <c r="AD14" s="22">
        <f>AC14*V151</f>
        <v>7.1365999981660897</v>
      </c>
      <c r="AE14" s="52"/>
      <c r="AF14" s="22">
        <v>0</v>
      </c>
      <c r="AG14" s="53"/>
      <c r="AH14" s="22"/>
    </row>
    <row r="15" spans="1:42">
      <c r="A15" s="23">
        <v>5</v>
      </c>
      <c r="B15" s="27" t="s">
        <v>30</v>
      </c>
      <c r="C15" s="125">
        <v>6310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45"/>
      <c r="Q15" s="45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46">
        <f>C15+D15+F15+H15+J15+L15+N15+P15+R15+T15+V15+X15+Z15+K15</f>
        <v>6310</v>
      </c>
      <c r="AC15" s="22">
        <f t="shared" si="0"/>
        <v>525.83333333333303</v>
      </c>
      <c r="AD15" s="22">
        <f>AC15*V151</f>
        <v>60.042594651237302</v>
      </c>
      <c r="AE15" s="52"/>
      <c r="AF15" s="22">
        <v>0</v>
      </c>
      <c r="AG15" s="53">
        <f t="shared" ref="AG15:AG24" si="1">AD15+AF15</f>
        <v>60.042594651237302</v>
      </c>
      <c r="AH15" s="45"/>
      <c r="AL15" s="65"/>
    </row>
    <row r="16" spans="1:42" s="2" customFormat="1">
      <c r="A16" s="19">
        <v>6</v>
      </c>
      <c r="B16" s="20" t="s">
        <v>31</v>
      </c>
      <c r="C16" s="126">
        <v>150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46">
        <f t="shared" ref="AB16:AB23" si="2">C16+D16+F16+H16+J16+L16+N16+P16+R16+T16+V16+X16+Z16</f>
        <v>150</v>
      </c>
      <c r="AC16" s="22">
        <f t="shared" si="0"/>
        <v>12.5</v>
      </c>
      <c r="AD16" s="22">
        <f>AC16*V151</f>
        <v>1.42731999963322</v>
      </c>
      <c r="AE16" s="52"/>
      <c r="AF16" s="22">
        <v>0</v>
      </c>
      <c r="AG16" s="53"/>
      <c r="AH16" s="25"/>
      <c r="AK16" s="62"/>
      <c r="AL16" s="62"/>
    </row>
    <row r="17" spans="1:38">
      <c r="A17" s="29">
        <v>7</v>
      </c>
      <c r="B17" s="20" t="s">
        <v>32</v>
      </c>
      <c r="C17" s="125">
        <v>7000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46">
        <f t="shared" si="2"/>
        <v>7000</v>
      </c>
      <c r="AC17" s="22">
        <f t="shared" si="0"/>
        <v>583.33333333333303</v>
      </c>
      <c r="AD17" s="22">
        <f>AC17*V151</f>
        <v>66.608266649550103</v>
      </c>
      <c r="AE17" s="52">
        <f>600+600+600</f>
        <v>1800</v>
      </c>
      <c r="AF17" s="22">
        <f>AE17*V154</f>
        <v>202.14903264812577</v>
      </c>
      <c r="AG17" s="53">
        <f>AD17+AF17</f>
        <v>268.7572992976759</v>
      </c>
      <c r="AH17" s="22"/>
      <c r="AJ17" s="55"/>
      <c r="AL17" s="65"/>
    </row>
    <row r="18" spans="1:38" s="2" customFormat="1">
      <c r="A18" s="29">
        <v>8</v>
      </c>
      <c r="B18" s="20" t="s">
        <v>33</v>
      </c>
      <c r="C18" s="125">
        <v>7000</v>
      </c>
      <c r="D18" s="26"/>
      <c r="E18" s="26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46">
        <f t="shared" si="2"/>
        <v>7000</v>
      </c>
      <c r="AC18" s="25">
        <f t="shared" si="0"/>
        <v>583.33333333333303</v>
      </c>
      <c r="AD18" s="25">
        <f>AC18*V151</f>
        <v>66.608266649550103</v>
      </c>
      <c r="AE18" s="56">
        <f>200+400</f>
        <v>600</v>
      </c>
      <c r="AF18" s="25">
        <f>AE18*V154</f>
        <v>67.383010882708589</v>
      </c>
      <c r="AG18" s="57">
        <f t="shared" si="1"/>
        <v>133.99127753225869</v>
      </c>
      <c r="AH18" s="25"/>
      <c r="AJ18" s="55"/>
      <c r="AK18" s="62"/>
      <c r="AL18" s="65"/>
    </row>
    <row r="19" spans="1:38">
      <c r="A19" s="23">
        <v>9</v>
      </c>
      <c r="B19" s="20" t="s">
        <v>34</v>
      </c>
      <c r="C19" s="125">
        <v>2000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46">
        <f t="shared" si="2"/>
        <v>2000</v>
      </c>
      <c r="AC19" s="22">
        <f t="shared" si="0"/>
        <v>166.666666666667</v>
      </c>
      <c r="AD19" s="22">
        <f>AC19*V151</f>
        <v>19.030933328442899</v>
      </c>
      <c r="AE19" s="52">
        <v>0</v>
      </c>
      <c r="AF19" s="22">
        <f>AE19*V154</f>
        <v>0</v>
      </c>
      <c r="AG19" s="53">
        <f t="shared" si="1"/>
        <v>19.030933328442899</v>
      </c>
      <c r="AH19" s="22"/>
      <c r="AJ19" s="55"/>
      <c r="AL19" s="65"/>
    </row>
    <row r="20" spans="1:38">
      <c r="A20" s="23">
        <v>10</v>
      </c>
      <c r="B20" s="27" t="s">
        <v>35</v>
      </c>
      <c r="C20" s="125">
        <v>2728.71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46">
        <f t="shared" si="2"/>
        <v>2728.71</v>
      </c>
      <c r="AC20" s="22">
        <f t="shared" si="0"/>
        <v>227.39250000000001</v>
      </c>
      <c r="AD20" s="22">
        <f>AC20*V151</f>
        <v>25.964949041327699</v>
      </c>
      <c r="AE20" s="52">
        <v>0</v>
      </c>
      <c r="AF20" s="22">
        <f>AE20*V154</f>
        <v>0</v>
      </c>
      <c r="AG20" s="53">
        <f t="shared" si="1"/>
        <v>25.964949041327699</v>
      </c>
      <c r="AH20" s="22"/>
      <c r="AJ20" s="55"/>
      <c r="AL20" s="65"/>
    </row>
    <row r="21" spans="1:38">
      <c r="A21" s="19">
        <v>11</v>
      </c>
      <c r="B21" s="30" t="s">
        <v>36</v>
      </c>
      <c r="C21" s="125">
        <v>700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46">
        <f t="shared" si="2"/>
        <v>700</v>
      </c>
      <c r="AC21" s="22">
        <f t="shared" si="0"/>
        <v>58.3333333333333</v>
      </c>
      <c r="AD21" s="22">
        <f>AC21*V151</f>
        <v>6.6608266649550103</v>
      </c>
      <c r="AE21" s="52">
        <v>0</v>
      </c>
      <c r="AF21" s="22">
        <f>AE21*V154</f>
        <v>0</v>
      </c>
      <c r="AG21" s="53">
        <f>AF21</f>
        <v>0</v>
      </c>
      <c r="AH21" s="22"/>
      <c r="AJ21" s="54"/>
      <c r="AK21" s="67"/>
      <c r="AL21" s="65"/>
    </row>
    <row r="22" spans="1:38">
      <c r="A22" s="23">
        <v>12</v>
      </c>
      <c r="B22" s="31" t="s">
        <v>37</v>
      </c>
      <c r="C22" s="125">
        <v>2060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46">
        <f t="shared" si="2"/>
        <v>2060</v>
      </c>
      <c r="AC22" s="22">
        <f t="shared" si="0"/>
        <v>171.666666666667</v>
      </c>
      <c r="AD22" s="22">
        <f>AC22*V151</f>
        <v>19.601861328296199</v>
      </c>
      <c r="AE22" s="52">
        <f>200</f>
        <v>200</v>
      </c>
      <c r="AF22" s="22">
        <f>AE22*V154</f>
        <v>22.461003627569529</v>
      </c>
      <c r="AG22" s="53">
        <f t="shared" si="1"/>
        <v>42.062864955865727</v>
      </c>
      <c r="AH22" s="22"/>
      <c r="AJ22" s="55"/>
      <c r="AK22" s="67"/>
      <c r="AL22" s="65"/>
    </row>
    <row r="23" spans="1:38">
      <c r="A23" s="23">
        <v>13</v>
      </c>
      <c r="B23" s="27" t="s">
        <v>38</v>
      </c>
      <c r="C23" s="125">
        <v>2000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46">
        <f t="shared" si="2"/>
        <v>2000</v>
      </c>
      <c r="AC23" s="22">
        <f t="shared" si="0"/>
        <v>166.666666666667</v>
      </c>
      <c r="AD23" s="22">
        <f>AC23*V151</f>
        <v>19.030933328442899</v>
      </c>
      <c r="AE23" s="58">
        <v>0</v>
      </c>
      <c r="AF23" s="22">
        <f>AE23*V154</f>
        <v>0</v>
      </c>
      <c r="AG23" s="53">
        <f t="shared" si="1"/>
        <v>19.030933328442899</v>
      </c>
      <c r="AH23" s="22"/>
      <c r="AJ23" s="55"/>
      <c r="AK23" s="67"/>
      <c r="AL23" s="65"/>
    </row>
    <row r="24" spans="1:38">
      <c r="A24" s="23">
        <v>14</v>
      </c>
      <c r="B24" s="27" t="s">
        <v>39</v>
      </c>
      <c r="C24" s="125">
        <v>3740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46">
        <f>C24+D24+F24+H24+J24+L24+N24+P24+R24+T24+V24+X24+Z24+O24</f>
        <v>3740</v>
      </c>
      <c r="AC24" s="22">
        <f t="shared" si="0"/>
        <v>311.66666666666703</v>
      </c>
      <c r="AD24" s="22">
        <f>AC24*V151</f>
        <v>35.587845324188201</v>
      </c>
      <c r="AE24" s="52">
        <f>200</f>
        <v>200</v>
      </c>
      <c r="AF24" s="22">
        <f>AE24*V154</f>
        <v>22.461003627569529</v>
      </c>
      <c r="AG24" s="53">
        <f t="shared" si="1"/>
        <v>58.048848951757734</v>
      </c>
      <c r="AH24" s="22"/>
      <c r="AK24" s="67"/>
      <c r="AL24" s="65"/>
    </row>
    <row r="25" spans="1:38" s="2" customFormat="1">
      <c r="A25" s="19">
        <v>15</v>
      </c>
      <c r="B25" s="20" t="s">
        <v>40</v>
      </c>
      <c r="C25" s="126">
        <v>150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46">
        <f>C25+D25+F25+H25+J25+L25+N25+P25+R25+T25+V25+X25+Z25</f>
        <v>150</v>
      </c>
      <c r="AC25" s="22">
        <f t="shared" si="0"/>
        <v>12.5</v>
      </c>
      <c r="AD25" s="22">
        <f>AC25*V151</f>
        <v>1.42731999963322</v>
      </c>
      <c r="AE25" s="56"/>
      <c r="AF25" s="25"/>
      <c r="AG25" s="57"/>
      <c r="AH25" s="25"/>
      <c r="AK25" s="62"/>
      <c r="AL25" s="62"/>
    </row>
    <row r="26" spans="1:38">
      <c r="A26" s="19">
        <v>16</v>
      </c>
      <c r="B26" s="27" t="s">
        <v>41</v>
      </c>
      <c r="C26" s="125">
        <v>1200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46">
        <f>C26+D26+F26+H26+J26+L26+N26+P26+R26+T26+V26+X26+Z26</f>
        <v>1200</v>
      </c>
      <c r="AC26" s="22">
        <f t="shared" si="0"/>
        <v>100</v>
      </c>
      <c r="AD26" s="22">
        <f>AC26*V151</f>
        <v>11.418559997065699</v>
      </c>
      <c r="AE26" s="52"/>
      <c r="AF26" s="22"/>
      <c r="AG26" s="53"/>
      <c r="AH26" s="22"/>
    </row>
    <row r="27" spans="1:38">
      <c r="A27" s="19">
        <v>17</v>
      </c>
      <c r="B27" s="27" t="s">
        <v>42</v>
      </c>
      <c r="C27" s="126">
        <v>200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46">
        <f>C27+D27+F27+H27+J27+L27+N27+P27+R27+T27+V27+X27+Z27</f>
        <v>200</v>
      </c>
      <c r="AC27" s="22">
        <f t="shared" si="0"/>
        <v>16.6666666666667</v>
      </c>
      <c r="AD27" s="22">
        <f>AC27*V151</f>
        <v>1.9030933328442901</v>
      </c>
      <c r="AE27" s="52">
        <v>0</v>
      </c>
      <c r="AF27" s="22">
        <f>AE27*V154</f>
        <v>0</v>
      </c>
      <c r="AG27" s="53">
        <f>AF27</f>
        <v>0</v>
      </c>
      <c r="AH27" s="22"/>
      <c r="AJ27" s="54"/>
      <c r="AK27" s="67"/>
      <c r="AL27" s="65"/>
    </row>
    <row r="28" spans="1:38" s="2" customFormat="1">
      <c r="A28" s="23">
        <v>18</v>
      </c>
      <c r="B28" s="20" t="s">
        <v>43</v>
      </c>
      <c r="C28" s="125">
        <v>2568</v>
      </c>
      <c r="D28" s="25"/>
      <c r="E28" s="25"/>
      <c r="F28" s="25"/>
      <c r="G28" s="25"/>
      <c r="H28" s="26"/>
      <c r="I28" s="26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46">
        <f>C28+D28+F28+H28+J28+L28+N28+P28+R28+T28+V28+X28+Z28+E28</f>
        <v>2568</v>
      </c>
      <c r="AC28" s="22">
        <f t="shared" si="0"/>
        <v>214</v>
      </c>
      <c r="AD28" s="22">
        <f>AC28*V151</f>
        <v>24.435718393720698</v>
      </c>
      <c r="AE28" s="56">
        <f>200</f>
        <v>200</v>
      </c>
      <c r="AF28" s="25">
        <f>AE28*V154</f>
        <v>22.461003627569529</v>
      </c>
      <c r="AG28" s="57">
        <f>AD28+AF28</f>
        <v>46.89672202129023</v>
      </c>
      <c r="AH28" s="25"/>
      <c r="AK28" s="62"/>
      <c r="AL28" s="62"/>
    </row>
    <row r="29" spans="1:38">
      <c r="A29" s="29">
        <v>19</v>
      </c>
      <c r="B29" s="30" t="s">
        <v>44</v>
      </c>
      <c r="C29" s="125">
        <v>7000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46">
        <f>C29+D29+F29+H29+J29+L29+N29+P29+R29+T29+V29+X29+Z29</f>
        <v>7000</v>
      </c>
      <c r="AC29" s="22">
        <f t="shared" si="0"/>
        <v>583.33333333333303</v>
      </c>
      <c r="AD29" s="22">
        <f>AC29*V151</f>
        <v>66.608266649550103</v>
      </c>
      <c r="AE29" s="52">
        <f>200</f>
        <v>200</v>
      </c>
      <c r="AF29" s="22">
        <f>AE29*V154</f>
        <v>22.461003627569529</v>
      </c>
      <c r="AG29" s="53">
        <f>AD29+AF29</f>
        <v>89.069270277119628</v>
      </c>
      <c r="AH29" s="22"/>
      <c r="AJ29" s="55"/>
      <c r="AK29" s="67"/>
      <c r="AL29" s="65"/>
    </row>
    <row r="30" spans="1:38" s="2" customFormat="1">
      <c r="A30" s="19">
        <v>20</v>
      </c>
      <c r="B30" s="20" t="s">
        <v>45</v>
      </c>
      <c r="C30" s="125">
        <v>1300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46">
        <f>C30+D30+F30+H30+J30+L30+N30+P30+R30+T30+V30+X30+Z30</f>
        <v>1300</v>
      </c>
      <c r="AC30" s="22">
        <f t="shared" si="0"/>
        <v>108.333333333333</v>
      </c>
      <c r="AD30" s="22">
        <f>AC30*V151</f>
        <v>12.370106663487899</v>
      </c>
      <c r="AE30" s="56"/>
      <c r="AF30" s="25"/>
      <c r="AG30" s="57"/>
      <c r="AH30" s="25"/>
      <c r="AK30" s="62"/>
      <c r="AL30" s="62"/>
    </row>
    <row r="31" spans="1:38">
      <c r="A31" s="19">
        <v>21</v>
      </c>
      <c r="B31" s="20" t="s">
        <v>46</v>
      </c>
      <c r="C31" s="127">
        <v>750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46">
        <f>C31+D31+F31+H31+J31+L31+N31+P31+R31+T31+V31+X31+Z31</f>
        <v>750</v>
      </c>
      <c r="AC31" s="22">
        <f t="shared" si="0"/>
        <v>62.5</v>
      </c>
      <c r="AD31" s="22">
        <f>AC31*V151</f>
        <v>7.1365999981660897</v>
      </c>
      <c r="AE31" s="52"/>
      <c r="AF31" s="22"/>
      <c r="AG31" s="53"/>
      <c r="AH31" s="22"/>
    </row>
    <row r="32" spans="1:38">
      <c r="A32" s="19">
        <v>22</v>
      </c>
      <c r="B32" s="27" t="s">
        <v>47</v>
      </c>
      <c r="C32" s="127">
        <v>1200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46">
        <f>C32+D32+F32+H32+J32+L32+N32+P32+R32+T32+V32+X32+Z32</f>
        <v>1200</v>
      </c>
      <c r="AC32" s="22">
        <f t="shared" si="0"/>
        <v>100</v>
      </c>
      <c r="AD32" s="22">
        <f>AC32*V151</f>
        <v>11.418559997065699</v>
      </c>
      <c r="AE32" s="52">
        <v>0</v>
      </c>
      <c r="AF32" s="22">
        <f>AE32*V154</f>
        <v>0</v>
      </c>
      <c r="AG32" s="53">
        <f>AF32</f>
        <v>0</v>
      </c>
      <c r="AH32" s="22"/>
      <c r="AJ32" s="54"/>
      <c r="AK32" s="67"/>
      <c r="AL32" s="65"/>
    </row>
    <row r="33" spans="1:38" s="2" customFormat="1" ht="18" customHeight="1">
      <c r="A33" s="19">
        <v>23</v>
      </c>
      <c r="B33" s="20" t="s">
        <v>48</v>
      </c>
      <c r="C33" s="126">
        <v>100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48">
        <f>C33+D33+F33+H33+J33+L33+N33+P33+R33+T33+V33+X33+Z33</f>
        <v>100</v>
      </c>
      <c r="AC33" s="25">
        <f t="shared" si="0"/>
        <v>8.3333333333333304</v>
      </c>
      <c r="AD33" s="25">
        <f>AC33*V151</f>
        <v>0.95154666642214503</v>
      </c>
      <c r="AE33" s="56"/>
      <c r="AF33" s="25"/>
      <c r="AG33" s="57"/>
      <c r="AH33" s="25"/>
      <c r="AK33" s="62"/>
      <c r="AL33" s="62"/>
    </row>
    <row r="34" spans="1:38">
      <c r="A34" s="23">
        <v>24</v>
      </c>
      <c r="B34" s="20" t="s">
        <v>49</v>
      </c>
      <c r="C34" s="127">
        <v>2114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46">
        <f>C34+D34+F34+H34+J34+L34+N34+P34+R34+T34+V34+X34+Z34+W34</f>
        <v>2114</v>
      </c>
      <c r="AC34" s="22">
        <f t="shared" si="0"/>
        <v>176.166666666667</v>
      </c>
      <c r="AD34" s="22">
        <f>AC34*V151</f>
        <v>20.115696528164101</v>
      </c>
      <c r="AE34" s="52">
        <v>0</v>
      </c>
      <c r="AF34" s="22">
        <f>AE34*V154</f>
        <v>0</v>
      </c>
      <c r="AG34" s="53">
        <f>AD34+AF34</f>
        <v>20.115696528164101</v>
      </c>
      <c r="AH34" s="22"/>
      <c r="AJ34" s="54"/>
      <c r="AK34" s="67"/>
      <c r="AL34" s="65"/>
    </row>
    <row r="35" spans="1:38" s="2" customFormat="1">
      <c r="A35" s="19">
        <v>25</v>
      </c>
      <c r="B35" s="20" t="s">
        <v>50</v>
      </c>
      <c r="C35" s="127">
        <v>600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46">
        <f>C35+D35+F35+H35+J35+L35+N35+P35+R35+T35+V35+X35+Z35</f>
        <v>600</v>
      </c>
      <c r="AC35" s="22">
        <f t="shared" si="0"/>
        <v>50</v>
      </c>
      <c r="AD35" s="22">
        <f>AC35*V151</f>
        <v>5.7092799985328702</v>
      </c>
      <c r="AE35" s="56"/>
      <c r="AF35" s="25"/>
      <c r="AG35" s="57"/>
      <c r="AH35" s="25"/>
      <c r="AK35" s="62"/>
      <c r="AL35" s="62"/>
    </row>
    <row r="36" spans="1:38">
      <c r="A36" s="23">
        <v>26</v>
      </c>
      <c r="B36" s="20" t="s">
        <v>51</v>
      </c>
      <c r="C36" s="125">
        <v>3105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46">
        <f>C36+D36+F36+H36+J36+L36+N36+P36+R36+T36+V36+X36+Z36+Q36</f>
        <v>3105</v>
      </c>
      <c r="AC36" s="22">
        <f t="shared" si="0"/>
        <v>258.75</v>
      </c>
      <c r="AD36" s="22">
        <f>AC36*V151</f>
        <v>29.545523992407599</v>
      </c>
      <c r="AE36" s="52">
        <v>0</v>
      </c>
      <c r="AF36" s="22">
        <f>AE36*V154</f>
        <v>0</v>
      </c>
      <c r="AG36" s="53">
        <f>AD36+AF36</f>
        <v>29.545523992407599</v>
      </c>
      <c r="AH36" s="22"/>
      <c r="AJ36" s="55"/>
      <c r="AK36" s="67"/>
      <c r="AL36" s="65"/>
    </row>
    <row r="37" spans="1:38" s="2" customFormat="1">
      <c r="A37" s="23">
        <v>27</v>
      </c>
      <c r="B37" s="20" t="s">
        <v>52</v>
      </c>
      <c r="C37" s="125">
        <v>2225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46">
        <f>C37+D37+F37+H37+J37+L37+N37+P37+R37+T37+V37+X37+Z37+W37</f>
        <v>2225</v>
      </c>
      <c r="AC37" s="22">
        <f t="shared" si="0"/>
        <v>185.416666666667</v>
      </c>
      <c r="AD37" s="22">
        <f>AC37*V151</f>
        <v>21.1719133278927</v>
      </c>
      <c r="AE37" s="56">
        <v>0</v>
      </c>
      <c r="AF37" s="22">
        <f>AE37*V154</f>
        <v>0</v>
      </c>
      <c r="AG37" s="53">
        <f>AD37+AF37</f>
        <v>21.1719133278927</v>
      </c>
      <c r="AH37" s="25"/>
      <c r="AJ37" s="55"/>
      <c r="AK37" s="67"/>
      <c r="AL37" s="65"/>
    </row>
    <row r="38" spans="1:38">
      <c r="A38" s="23">
        <v>28</v>
      </c>
      <c r="B38" s="20" t="s">
        <v>53</v>
      </c>
      <c r="C38" s="125">
        <v>2381.27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46">
        <f>C38+D38+F38+H38+J38+L38+N38+P38+R38+T38+V38+X38+Z38</f>
        <v>2381.27</v>
      </c>
      <c r="AC38" s="22">
        <f t="shared" si="0"/>
        <v>198.43916666666701</v>
      </c>
      <c r="AD38" s="22">
        <f>AC38*V151</f>
        <v>22.658895303510601</v>
      </c>
      <c r="AE38" s="52"/>
      <c r="AF38" s="22"/>
      <c r="AG38" s="53">
        <f>AD38+AF38</f>
        <v>22.658895303510601</v>
      </c>
      <c r="AH38" s="22"/>
      <c r="AK38" s="67"/>
      <c r="AL38" s="65"/>
    </row>
    <row r="39" spans="1:38" ht="5.25" customHeight="1">
      <c r="A39" s="35"/>
      <c r="B39" s="36"/>
      <c r="C39" s="12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49"/>
      <c r="AC39" s="39"/>
      <c r="AD39" s="39"/>
      <c r="AE39" s="59"/>
      <c r="AF39" s="39"/>
      <c r="AG39" s="39"/>
      <c r="AH39" s="39"/>
    </row>
    <row r="40" spans="1:38">
      <c r="A40" s="31"/>
      <c r="B40" s="20"/>
      <c r="C40" s="20"/>
      <c r="AG40" s="60" t="s">
        <v>54</v>
      </c>
    </row>
    <row r="41" spans="1:38">
      <c r="A41" s="31"/>
      <c r="B41" s="20"/>
      <c r="C41" s="20"/>
    </row>
    <row r="42" spans="1:38">
      <c r="A42" s="308" t="s">
        <v>0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  <c r="AA42" s="308"/>
      <c r="AB42" s="308"/>
      <c r="AC42" s="308"/>
      <c r="AD42" s="308"/>
      <c r="AE42" s="308"/>
      <c r="AF42" s="308"/>
      <c r="AG42" s="308"/>
      <c r="AH42" s="308"/>
    </row>
    <row r="43" spans="1:38">
      <c r="A43" s="315" t="s">
        <v>1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  <c r="AA43" s="315"/>
      <c r="AB43" s="315"/>
      <c r="AC43" s="315"/>
      <c r="AD43" s="315"/>
      <c r="AE43" s="315"/>
      <c r="AF43" s="315"/>
      <c r="AG43" s="315"/>
      <c r="AH43" s="315"/>
    </row>
    <row r="44" spans="1:38">
      <c r="A44" s="313" t="s">
        <v>2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3"/>
      <c r="X44" s="313"/>
      <c r="Y44" s="313"/>
      <c r="Z44" s="313"/>
      <c r="AA44" s="313"/>
      <c r="AB44" s="313"/>
      <c r="AC44" s="313"/>
      <c r="AD44" s="313"/>
      <c r="AE44" s="313"/>
      <c r="AF44" s="313"/>
      <c r="AG44" s="313"/>
      <c r="AH44" s="313"/>
    </row>
    <row r="45" spans="1:38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51"/>
      <c r="AF45" s="9"/>
      <c r="AG45" s="9"/>
      <c r="AH45" s="9"/>
    </row>
    <row r="46" spans="1:38" ht="18">
      <c r="A46" s="316" t="s">
        <v>3</v>
      </c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  <c r="Z46" s="316"/>
      <c r="AA46" s="316"/>
      <c r="AB46" s="316"/>
      <c r="AC46" s="316"/>
      <c r="AD46" s="316"/>
      <c r="AE46" s="316"/>
      <c r="AF46" s="316"/>
      <c r="AG46" s="316"/>
      <c r="AH46" s="316"/>
    </row>
    <row r="47" spans="1:38" ht="12.75" customHeight="1">
      <c r="A47" s="313" t="s">
        <v>145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/>
      <c r="W47" s="313"/>
      <c r="X47" s="313"/>
      <c r="Y47" s="313"/>
      <c r="Z47" s="313"/>
      <c r="AA47" s="313"/>
      <c r="AB47" s="313"/>
      <c r="AC47" s="313"/>
      <c r="AD47" s="313"/>
      <c r="AE47" s="313"/>
      <c r="AF47" s="313"/>
      <c r="AG47" s="313"/>
      <c r="AH47" s="313"/>
    </row>
    <row r="48" spans="1:38" ht="6" customHeight="1">
      <c r="A48" s="1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38" ht="24.75" customHeight="1">
      <c r="A49" s="336" t="s">
        <v>5</v>
      </c>
      <c r="B49" s="337"/>
      <c r="C49" s="332" t="s">
        <v>220</v>
      </c>
      <c r="D49" s="319" t="s">
        <v>7</v>
      </c>
      <c r="E49" s="123" t="s">
        <v>202</v>
      </c>
      <c r="F49" s="319" t="s">
        <v>8</v>
      </c>
      <c r="G49" s="123" t="s">
        <v>202</v>
      </c>
      <c r="H49" s="319" t="s">
        <v>9</v>
      </c>
      <c r="I49" s="123" t="s">
        <v>202</v>
      </c>
      <c r="J49" s="319" t="s">
        <v>10</v>
      </c>
      <c r="K49" s="123" t="s">
        <v>202</v>
      </c>
      <c r="L49" s="319" t="s">
        <v>11</v>
      </c>
      <c r="M49" s="123" t="s">
        <v>202</v>
      </c>
      <c r="N49" s="319" t="s">
        <v>12</v>
      </c>
      <c r="O49" s="123" t="s">
        <v>202</v>
      </c>
      <c r="P49" s="319" t="s">
        <v>13</v>
      </c>
      <c r="Q49" s="123" t="s">
        <v>202</v>
      </c>
      <c r="R49" s="319" t="s">
        <v>14</v>
      </c>
      <c r="S49" s="123" t="s">
        <v>202</v>
      </c>
      <c r="T49" s="319" t="s">
        <v>15</v>
      </c>
      <c r="U49" s="123" t="s">
        <v>202</v>
      </c>
      <c r="V49" s="319" t="s">
        <v>16</v>
      </c>
      <c r="W49" s="123" t="s">
        <v>202</v>
      </c>
      <c r="X49" s="319" t="s">
        <v>17</v>
      </c>
      <c r="Y49" s="123" t="s">
        <v>202</v>
      </c>
      <c r="Z49" s="319" t="s">
        <v>18</v>
      </c>
      <c r="AA49" s="123" t="s">
        <v>202</v>
      </c>
      <c r="AB49" s="319" t="s">
        <v>19</v>
      </c>
      <c r="AC49" s="319" t="s">
        <v>20</v>
      </c>
      <c r="AD49" s="327" t="s">
        <v>21</v>
      </c>
      <c r="AE49" s="323" t="s">
        <v>22</v>
      </c>
      <c r="AF49" s="340" t="s">
        <v>23</v>
      </c>
      <c r="AG49" s="329" t="s">
        <v>24</v>
      </c>
      <c r="AH49" s="321" t="s">
        <v>25</v>
      </c>
    </row>
    <row r="50" spans="1:38" ht="16.5" customHeight="1">
      <c r="A50" s="338"/>
      <c r="B50" s="339"/>
      <c r="C50" s="333"/>
      <c r="D50" s="320"/>
      <c r="E50" s="11" t="s">
        <v>203</v>
      </c>
      <c r="F50" s="320"/>
      <c r="G50" s="11" t="s">
        <v>203</v>
      </c>
      <c r="H50" s="320"/>
      <c r="I50" s="11" t="s">
        <v>203</v>
      </c>
      <c r="J50" s="320"/>
      <c r="K50" s="11" t="s">
        <v>203</v>
      </c>
      <c r="L50" s="320"/>
      <c r="M50" s="11" t="s">
        <v>203</v>
      </c>
      <c r="N50" s="320"/>
      <c r="O50" s="11" t="s">
        <v>203</v>
      </c>
      <c r="P50" s="320"/>
      <c r="Q50" s="11" t="s">
        <v>203</v>
      </c>
      <c r="R50" s="320"/>
      <c r="S50" s="11" t="s">
        <v>203</v>
      </c>
      <c r="T50" s="320"/>
      <c r="U50" s="11" t="s">
        <v>203</v>
      </c>
      <c r="V50" s="320"/>
      <c r="W50" s="11" t="s">
        <v>203</v>
      </c>
      <c r="X50" s="320"/>
      <c r="Y50" s="11" t="s">
        <v>203</v>
      </c>
      <c r="Z50" s="320"/>
      <c r="AA50" s="133" t="s">
        <v>203</v>
      </c>
      <c r="AB50" s="320"/>
      <c r="AC50" s="320"/>
      <c r="AD50" s="328"/>
      <c r="AE50" s="324"/>
      <c r="AF50" s="341"/>
      <c r="AG50" s="330"/>
      <c r="AH50" s="322"/>
    </row>
    <row r="51" spans="1:38" ht="5.25" customHeight="1">
      <c r="A51" s="41"/>
      <c r="B51" s="16"/>
      <c r="C51" s="129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61"/>
      <c r="AF51" s="44"/>
      <c r="AG51" s="44"/>
      <c r="AH51" s="44"/>
    </row>
    <row r="52" spans="1:38">
      <c r="A52" s="23">
        <v>29</v>
      </c>
      <c r="B52" s="27" t="s">
        <v>57</v>
      </c>
      <c r="C52" s="130">
        <v>2021.27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46">
        <f>C52+D52+F52+H52+J52+L52+N52+P52+R52+T52+V52+X52+Z52</f>
        <v>2021.27</v>
      </c>
      <c r="AC52" s="22">
        <f>AB52/12</f>
        <v>168.43916666666701</v>
      </c>
      <c r="AD52" s="22">
        <f>AC52*V151</f>
        <v>19.233327304390901</v>
      </c>
      <c r="AE52" s="52"/>
      <c r="AF52" s="22"/>
      <c r="AG52" s="53">
        <f>AD52+AF52</f>
        <v>19.233327304390901</v>
      </c>
      <c r="AH52" s="22"/>
      <c r="AK52" s="67"/>
      <c r="AL52" s="65"/>
    </row>
    <row r="53" spans="1:38" s="2" customFormat="1">
      <c r="A53" s="23">
        <v>30</v>
      </c>
      <c r="B53" s="20" t="s">
        <v>58</v>
      </c>
      <c r="C53" s="130">
        <v>2100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46">
        <f>C53+D53+F53+H53+J53+L53+N53+P53+R53+T53+V53+X53+Z53</f>
        <v>2100</v>
      </c>
      <c r="AC53" s="22">
        <f t="shared" ref="AC53:AC78" si="3">AB53/12</f>
        <v>175</v>
      </c>
      <c r="AD53" s="22">
        <f>AC53*V151</f>
        <v>19.982479994864999</v>
      </c>
      <c r="AE53" s="56"/>
      <c r="AF53" s="25"/>
      <c r="AG53" s="53">
        <f>AD53+AF53</f>
        <v>19.982479994864999</v>
      </c>
      <c r="AH53" s="25"/>
      <c r="AK53" s="62"/>
      <c r="AL53" s="62"/>
    </row>
    <row r="54" spans="1:38">
      <c r="A54" s="23">
        <v>31</v>
      </c>
      <c r="B54" s="20" t="s">
        <v>59</v>
      </c>
      <c r="C54" s="130">
        <v>2622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46">
        <f>C54+D54+F54+H54+J54+L54+N54+P54+R54+T54+V54+X54+Z54+S54</f>
        <v>2622</v>
      </c>
      <c r="AC54" s="22">
        <f t="shared" si="3"/>
        <v>218.5</v>
      </c>
      <c r="AD54" s="22">
        <f>AC54*V151</f>
        <v>24.9495535935886</v>
      </c>
      <c r="AE54" s="52">
        <v>0</v>
      </c>
      <c r="AF54" s="22">
        <f>AE54*V154</f>
        <v>0</v>
      </c>
      <c r="AG54" s="53">
        <f>AD54+AF54</f>
        <v>24.9495535935886</v>
      </c>
      <c r="AH54" s="22"/>
      <c r="AJ54" s="55"/>
      <c r="AK54" s="67"/>
      <c r="AL54" s="65"/>
    </row>
    <row r="55" spans="1:38">
      <c r="A55" s="23">
        <v>32</v>
      </c>
      <c r="B55" s="27" t="s">
        <v>60</v>
      </c>
      <c r="C55" s="130">
        <v>2764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46">
        <f>C55+D55+F55+H55+J55+L55+N55+P55+R55+T55+V55+X55+Z55+I55</f>
        <v>2764</v>
      </c>
      <c r="AC55" s="22">
        <f t="shared" si="3"/>
        <v>230.333333333333</v>
      </c>
      <c r="AD55" s="22">
        <f>AC55*V151</f>
        <v>26.300749859908102</v>
      </c>
      <c r="AE55" s="52">
        <v>0</v>
      </c>
      <c r="AF55" s="22">
        <f>AE55*V154</f>
        <v>0</v>
      </c>
      <c r="AG55" s="53">
        <f>AD55+AF55</f>
        <v>26.300749859908102</v>
      </c>
      <c r="AH55" s="22"/>
      <c r="AJ55" s="55"/>
      <c r="AK55" s="67"/>
      <c r="AL55" s="65"/>
    </row>
    <row r="56" spans="1:38" s="2" customFormat="1">
      <c r="A56" s="19">
        <v>33</v>
      </c>
      <c r="B56" s="20" t="s">
        <v>61</v>
      </c>
      <c r="C56" s="130">
        <v>1100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46">
        <f>C56+D56+F56+H56+J56+L56+N56+P56+R56+T56+V56+X56+Z56</f>
        <v>1100</v>
      </c>
      <c r="AC56" s="22">
        <f t="shared" si="3"/>
        <v>91.6666666666667</v>
      </c>
      <c r="AD56" s="22">
        <f>AC56*V151</f>
        <v>10.467013330643599</v>
      </c>
      <c r="AE56" s="56"/>
      <c r="AF56" s="25"/>
      <c r="AG56" s="57"/>
      <c r="AH56" s="25"/>
      <c r="AK56" s="62"/>
      <c r="AL56" s="62"/>
    </row>
    <row r="57" spans="1:38">
      <c r="A57" s="19">
        <v>34</v>
      </c>
      <c r="B57" s="27" t="s">
        <v>62</v>
      </c>
      <c r="C57" s="131">
        <v>1000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46">
        <f>C57+D57+F57+H57+J57+L57+N57+P57+R57+T57+V57+X57+Z57</f>
        <v>1000</v>
      </c>
      <c r="AC57" s="22">
        <f t="shared" si="3"/>
        <v>83.3333333333333</v>
      </c>
      <c r="AD57" s="22">
        <f>AC57*V151</f>
        <v>9.5154666642214494</v>
      </c>
      <c r="AE57" s="52"/>
      <c r="AF57" s="22"/>
      <c r="AG57" s="53"/>
      <c r="AH57" s="22"/>
    </row>
    <row r="58" spans="1:38" s="2" customFormat="1">
      <c r="A58" s="19">
        <v>35</v>
      </c>
      <c r="B58" s="20" t="s">
        <v>63</v>
      </c>
      <c r="C58" s="131">
        <v>1019.84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46">
        <f>C58+D58+F58+H58+J58+L58+N58+P58+R58+T58+V58+X58+Z58+U58</f>
        <v>1019.84</v>
      </c>
      <c r="AC58" s="22">
        <f t="shared" si="3"/>
        <v>84.986666666666693</v>
      </c>
      <c r="AD58" s="22">
        <f>AC58*V151</f>
        <v>9.7042535228396005</v>
      </c>
      <c r="AE58" s="56">
        <v>0</v>
      </c>
      <c r="AF58" s="25">
        <f>AE58*V154</f>
        <v>0</v>
      </c>
      <c r="AG58" s="53">
        <f>AF58</f>
        <v>0</v>
      </c>
      <c r="AH58" s="25"/>
      <c r="AJ58" s="54"/>
      <c r="AK58" s="67"/>
      <c r="AL58" s="65"/>
    </row>
    <row r="59" spans="1:38">
      <c r="A59" s="19">
        <v>36</v>
      </c>
      <c r="B59" s="20" t="s">
        <v>64</v>
      </c>
      <c r="C59" s="131">
        <v>300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46">
        <f>C59+D59+F59+H59+J59+L59+N59+P59+R59+T59+V59+X59+Z59</f>
        <v>300</v>
      </c>
      <c r="AC59" s="22">
        <f t="shared" si="3"/>
        <v>25</v>
      </c>
      <c r="AD59" s="22">
        <f>AC59*V151</f>
        <v>2.8546399992664302</v>
      </c>
      <c r="AE59" s="52">
        <v>0</v>
      </c>
      <c r="AF59" s="22">
        <f>AE59*V154</f>
        <v>0</v>
      </c>
      <c r="AG59" s="53">
        <f>AF59</f>
        <v>0</v>
      </c>
      <c r="AH59" s="22"/>
      <c r="AJ59" s="54"/>
      <c r="AK59" s="67"/>
      <c r="AL59" s="65"/>
    </row>
    <row r="60" spans="1:38">
      <c r="A60" s="19">
        <v>37</v>
      </c>
      <c r="B60" s="20" t="s">
        <v>65</v>
      </c>
      <c r="C60" s="131">
        <v>650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46">
        <f>C60+D60+F60+H60+J60+L60+N60+P60+R60+T60+V60+X60+Z60</f>
        <v>650</v>
      </c>
      <c r="AC60" s="22">
        <f t="shared" si="3"/>
        <v>54.1666666666667</v>
      </c>
      <c r="AD60" s="22">
        <f>AC60*V151</f>
        <v>6.1850533317439398</v>
      </c>
      <c r="AE60" s="52"/>
      <c r="AF60" s="22"/>
      <c r="AG60" s="53"/>
      <c r="AH60" s="22"/>
      <c r="AJ60" s="54"/>
    </row>
    <row r="61" spans="1:38">
      <c r="A61" s="19">
        <v>38</v>
      </c>
      <c r="B61" s="20" t="s">
        <v>66</v>
      </c>
      <c r="C61" s="131">
        <v>350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46">
        <f>C61+D61+F61+H61+J61+L61+N61+P61+R61+T61+V61+X61+Z61</f>
        <v>350</v>
      </c>
      <c r="AC61" s="22">
        <f t="shared" si="3"/>
        <v>29.1666666666667</v>
      </c>
      <c r="AD61" s="22">
        <f>AC61*V151</f>
        <v>3.33041333247751</v>
      </c>
      <c r="AE61" s="52"/>
      <c r="AF61" s="22"/>
      <c r="AG61" s="53"/>
      <c r="AH61" s="22"/>
      <c r="AJ61" s="54"/>
    </row>
    <row r="62" spans="1:38">
      <c r="A62" s="19">
        <v>39</v>
      </c>
      <c r="B62" s="20" t="s">
        <v>67</v>
      </c>
      <c r="C62" s="132">
        <v>150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46">
        <f>C62+D62+F62+H62+J62+L62+N62+P62+R62+T62+V62+X62+Z62</f>
        <v>150</v>
      </c>
      <c r="AC62" s="22">
        <f t="shared" si="3"/>
        <v>12.5</v>
      </c>
      <c r="AD62" s="22">
        <f>AC62*V151</f>
        <v>1.42731999963322</v>
      </c>
      <c r="AE62" s="52"/>
      <c r="AF62" s="22"/>
      <c r="AG62" s="53"/>
      <c r="AH62" s="22"/>
      <c r="AJ62" s="54"/>
    </row>
    <row r="63" spans="1:38">
      <c r="A63" s="23">
        <v>40</v>
      </c>
      <c r="B63" s="20" t="s">
        <v>68</v>
      </c>
      <c r="C63" s="130">
        <v>2624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46">
        <f>C63+D63+F63+H63+J63+L63+N63+P63+R63+T63+V63+X63+Z63+U63</f>
        <v>2624</v>
      </c>
      <c r="AC63" s="22">
        <f t="shared" si="3"/>
        <v>218.666666666667</v>
      </c>
      <c r="AD63" s="22">
        <f>AC63*V151</f>
        <v>24.968584526917098</v>
      </c>
      <c r="AE63" s="52">
        <f>200</f>
        <v>200</v>
      </c>
      <c r="AF63" s="22">
        <f>AE63*V154</f>
        <v>22.461003627569529</v>
      </c>
      <c r="AG63" s="53">
        <f t="shared" ref="AG63:AG69" si="4">AD63+AF63</f>
        <v>47.429588154486623</v>
      </c>
      <c r="AH63" s="22"/>
      <c r="AJ63" s="55"/>
      <c r="AK63" s="67"/>
      <c r="AL63" s="65"/>
    </row>
    <row r="64" spans="1:38">
      <c r="A64" s="29">
        <v>41</v>
      </c>
      <c r="B64" s="20" t="s">
        <v>69</v>
      </c>
      <c r="C64" s="130">
        <v>7000</v>
      </c>
      <c r="D64" s="45"/>
      <c r="E64" s="45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46">
        <f>C64+D64+F64+H64+J64+L64+N64+P64+R64+T64+V64+X64+Z64</f>
        <v>7000</v>
      </c>
      <c r="AC64" s="22">
        <f t="shared" si="3"/>
        <v>583.33333333333303</v>
      </c>
      <c r="AD64" s="22">
        <f>AC64*V151</f>
        <v>66.608266649550103</v>
      </c>
      <c r="AE64" s="52">
        <f>200</f>
        <v>200</v>
      </c>
      <c r="AF64" s="22">
        <f>AE64*V154</f>
        <v>22.461003627569529</v>
      </c>
      <c r="AG64" s="53">
        <f t="shared" si="4"/>
        <v>89.069270277119628</v>
      </c>
      <c r="AH64" s="22"/>
      <c r="AJ64" s="55"/>
      <c r="AK64" s="67"/>
      <c r="AL64" s="65"/>
    </row>
    <row r="65" spans="1:38">
      <c r="A65" s="29">
        <v>42</v>
      </c>
      <c r="B65" s="20" t="s">
        <v>70</v>
      </c>
      <c r="C65" s="130">
        <v>7000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46">
        <f>C65+D65+F65+H65+J65+L65+N65+P65+R65+T65+V65+X65+Z65</f>
        <v>7000</v>
      </c>
      <c r="AC65" s="22">
        <f t="shared" si="3"/>
        <v>583.33333333333303</v>
      </c>
      <c r="AD65" s="22">
        <f>AC65*V151</f>
        <v>66.608266649550103</v>
      </c>
      <c r="AE65" s="52">
        <f>400+600+400+240</f>
        <v>1640</v>
      </c>
      <c r="AF65" s="22">
        <f>AE65*V154</f>
        <v>184.18022974607013</v>
      </c>
      <c r="AG65" s="53">
        <f t="shared" si="4"/>
        <v>250.78849639562023</v>
      </c>
      <c r="AH65" s="22"/>
      <c r="AJ65" s="55"/>
      <c r="AK65" s="67"/>
      <c r="AL65" s="65"/>
    </row>
    <row r="66" spans="1:38">
      <c r="A66" s="29">
        <v>43</v>
      </c>
      <c r="B66" s="20" t="s">
        <v>71</v>
      </c>
      <c r="C66" s="130">
        <v>7000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46">
        <f>C66+D66+F66+H66+J66+L66+N66+P66+R66+T66+V66+X66+Z66</f>
        <v>7000</v>
      </c>
      <c r="AC66" s="22">
        <f t="shared" si="3"/>
        <v>583.33333333333303</v>
      </c>
      <c r="AD66" s="22">
        <f>AC66*V151</f>
        <v>66.608266649550103</v>
      </c>
      <c r="AE66" s="52">
        <f>400</f>
        <v>400</v>
      </c>
      <c r="AF66" s="22">
        <f>AE66*V154</f>
        <v>44.922007255139057</v>
      </c>
      <c r="AG66" s="53">
        <f t="shared" si="4"/>
        <v>111.53027390468915</v>
      </c>
      <c r="AH66" s="22"/>
      <c r="AJ66" s="55"/>
      <c r="AK66" s="67"/>
      <c r="AL66" s="65"/>
    </row>
    <row r="67" spans="1:38">
      <c r="A67" s="23">
        <v>44</v>
      </c>
      <c r="B67" s="20" t="s">
        <v>72</v>
      </c>
      <c r="C67" s="130">
        <v>2000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46">
        <f>C67+D67+F67+H67+J67+L67+N67+P67+R67+T67+V67+X67+Z67</f>
        <v>2000</v>
      </c>
      <c r="AC67" s="22">
        <f t="shared" si="3"/>
        <v>166.666666666667</v>
      </c>
      <c r="AD67" s="22">
        <f>AC67*V151</f>
        <v>19.030933328442899</v>
      </c>
      <c r="AE67" s="52"/>
      <c r="AF67" s="22"/>
      <c r="AG67" s="53">
        <f t="shared" si="4"/>
        <v>19.030933328442899</v>
      </c>
      <c r="AH67" s="22"/>
      <c r="AK67" s="67"/>
      <c r="AL67" s="65"/>
    </row>
    <row r="68" spans="1:38">
      <c r="A68" s="23">
        <v>45</v>
      </c>
      <c r="B68" s="20" t="s">
        <v>73</v>
      </c>
      <c r="C68" s="130">
        <v>3206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46">
        <f>C68+D68+F68+H68+J68+L68+N68+P68+R68+T68+V68+X68+Z68+S68</f>
        <v>3206</v>
      </c>
      <c r="AC68" s="22">
        <f t="shared" si="3"/>
        <v>267.16666666666703</v>
      </c>
      <c r="AD68" s="22">
        <f>AC68*V151</f>
        <v>30.506586125494</v>
      </c>
      <c r="AE68" s="52">
        <v>0</v>
      </c>
      <c r="AF68" s="22">
        <f>AE68*V154</f>
        <v>0</v>
      </c>
      <c r="AG68" s="53">
        <f t="shared" si="4"/>
        <v>30.506586125494</v>
      </c>
      <c r="AH68" s="93"/>
      <c r="AJ68" s="55"/>
      <c r="AK68" s="67"/>
      <c r="AL68" s="65"/>
    </row>
    <row r="69" spans="1:38">
      <c r="A69" s="23">
        <v>46</v>
      </c>
      <c r="B69" s="20" t="s">
        <v>74</v>
      </c>
      <c r="C69" s="130">
        <v>5220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45"/>
      <c r="Q69" s="45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46">
        <f>C69+D69+F69+H69+J69+L69+N69+P69+R69+T69+V69+X69+Z69+M69</f>
        <v>5220</v>
      </c>
      <c r="AC69" s="22">
        <f t="shared" si="3"/>
        <v>435</v>
      </c>
      <c r="AD69" s="22">
        <f>AC69*V151</f>
        <v>49.670735987236</v>
      </c>
      <c r="AE69" s="52">
        <f>400+400</f>
        <v>800</v>
      </c>
      <c r="AF69" s="22">
        <f>AE69*V154</f>
        <v>89.844014510278114</v>
      </c>
      <c r="AG69" s="53">
        <f t="shared" si="4"/>
        <v>139.51475049751411</v>
      </c>
      <c r="AH69" s="93"/>
      <c r="AJ69" s="55"/>
      <c r="AK69" s="67"/>
      <c r="AL69" s="65"/>
    </row>
    <row r="70" spans="1:38" s="2" customFormat="1" ht="16.5" customHeight="1">
      <c r="A70" s="19">
        <v>47</v>
      </c>
      <c r="B70" s="68" t="s">
        <v>75</v>
      </c>
      <c r="C70" s="131">
        <v>550</v>
      </c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46">
        <f>C70+D70+F70+H70+J70+L70+N70+P70+R70+T70+V70+X70+Z70</f>
        <v>550</v>
      </c>
      <c r="AC70" s="25">
        <f t="shared" si="3"/>
        <v>45.8333333333333</v>
      </c>
      <c r="AD70" s="22">
        <f>AC70*V151</f>
        <v>5.2335066653217996</v>
      </c>
      <c r="AE70" s="56"/>
      <c r="AF70" s="25"/>
      <c r="AG70" s="57"/>
      <c r="AH70" s="94"/>
      <c r="AK70" s="62"/>
      <c r="AL70" s="62"/>
    </row>
    <row r="71" spans="1:38">
      <c r="A71" s="19">
        <v>48</v>
      </c>
      <c r="B71" s="20" t="s">
        <v>76</v>
      </c>
      <c r="C71" s="131">
        <v>800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46">
        <f>C71+D71+F71+H71+J71+L71+N71+P71+R71+T71+V71+X71+Z71</f>
        <v>800</v>
      </c>
      <c r="AC71" s="22">
        <f t="shared" si="3"/>
        <v>66.6666666666667</v>
      </c>
      <c r="AD71" s="22">
        <f>AC71*V151</f>
        <v>7.6123733313771602</v>
      </c>
      <c r="AE71" s="52"/>
      <c r="AF71" s="22"/>
      <c r="AG71" s="53"/>
      <c r="AH71" s="93"/>
    </row>
    <row r="72" spans="1:38">
      <c r="A72" s="23">
        <v>49</v>
      </c>
      <c r="B72" s="20" t="s">
        <v>77</v>
      </c>
      <c r="C72" s="131">
        <v>5740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46">
        <f>C72+D72+F72+H72+J72+L72+N72+P72+R72+T72+V72+X72+Z72+Q72</f>
        <v>5740</v>
      </c>
      <c r="AC72" s="22">
        <f t="shared" si="3"/>
        <v>478.33333333333297</v>
      </c>
      <c r="AD72" s="22">
        <f>AC72*V151</f>
        <v>54.6187786526311</v>
      </c>
      <c r="AE72" s="52">
        <f>200+200</f>
        <v>400</v>
      </c>
      <c r="AF72" s="22">
        <f>AE72*V154</f>
        <v>44.922007255139057</v>
      </c>
      <c r="AG72" s="53">
        <f t="shared" ref="AG72" si="5">AD72+AF72</f>
        <v>99.540785907770157</v>
      </c>
      <c r="AH72" s="93"/>
    </row>
    <row r="73" spans="1:38">
      <c r="A73" s="19">
        <v>50</v>
      </c>
      <c r="B73" s="20" t="s">
        <v>78</v>
      </c>
      <c r="C73" s="132">
        <v>200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46">
        <f>C73+D73+F73+H73+J73+L73+N73+P73+R73+T73+V73+X73+Z73</f>
        <v>200</v>
      </c>
      <c r="AC73" s="22">
        <f t="shared" si="3"/>
        <v>16.6666666666667</v>
      </c>
      <c r="AD73" s="22">
        <f>AC73*V151</f>
        <v>1.9030933328442901</v>
      </c>
      <c r="AE73" s="52">
        <v>0</v>
      </c>
      <c r="AF73" s="22">
        <f>AE73*V154</f>
        <v>0</v>
      </c>
      <c r="AG73" s="53">
        <f>AF73</f>
        <v>0</v>
      </c>
      <c r="AH73" s="93"/>
      <c r="AJ73" s="54"/>
      <c r="AK73" s="67"/>
      <c r="AL73" s="65"/>
    </row>
    <row r="74" spans="1:38">
      <c r="A74" s="19">
        <v>51</v>
      </c>
      <c r="B74" s="69" t="s">
        <v>79</v>
      </c>
      <c r="C74" s="132">
        <v>200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46">
        <f>C74+D74+F74+H74+J74+L74+N74+P74+R74+T74+V74+X74+Z74</f>
        <v>200</v>
      </c>
      <c r="AC74" s="22">
        <f t="shared" si="3"/>
        <v>16.6666666666667</v>
      </c>
      <c r="AD74" s="22">
        <f>AC74*V151</f>
        <v>1.9030933328442901</v>
      </c>
      <c r="AE74" s="52">
        <v>0</v>
      </c>
      <c r="AF74" s="22">
        <f>AE74*V154</f>
        <v>0</v>
      </c>
      <c r="AG74" s="53">
        <f>AF74</f>
        <v>0</v>
      </c>
      <c r="AH74" s="93"/>
      <c r="AJ74" s="54"/>
      <c r="AK74" s="67"/>
      <c r="AL74" s="65"/>
    </row>
    <row r="75" spans="1:38">
      <c r="A75" s="19">
        <v>52</v>
      </c>
      <c r="B75" s="20" t="s">
        <v>80</v>
      </c>
      <c r="C75" s="131">
        <v>1550</v>
      </c>
      <c r="D75" s="52"/>
      <c r="E75" s="5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46">
        <f>C75+D75+F75+H75+J75+L75+N75+P75+R75+T75+V75+X75+Z75</f>
        <v>1550</v>
      </c>
      <c r="AC75" s="22">
        <f t="shared" si="3"/>
        <v>129.166666666667</v>
      </c>
      <c r="AD75" s="22">
        <f>AC75*V151</f>
        <v>14.748973329543199</v>
      </c>
      <c r="AE75" s="52">
        <v>0</v>
      </c>
      <c r="AF75" s="22">
        <f>AE75*0.08</f>
        <v>0</v>
      </c>
      <c r="AG75" s="53"/>
      <c r="AH75" s="93"/>
    </row>
    <row r="76" spans="1:38">
      <c r="A76" s="23">
        <v>53</v>
      </c>
      <c r="B76" s="20" t="s">
        <v>81</v>
      </c>
      <c r="C76" s="131">
        <v>2000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46">
        <f>C76+D76+F76+H76+J76+L76+N76+P76+R76+T76+V76+X76+Z76</f>
        <v>2000</v>
      </c>
      <c r="AC76" s="22">
        <f t="shared" si="3"/>
        <v>166.666666666667</v>
      </c>
      <c r="AD76" s="22">
        <f>AC76*V151</f>
        <v>19.030933328442899</v>
      </c>
      <c r="AE76" s="52"/>
      <c r="AF76" s="22">
        <f>AE76*0.08</f>
        <v>0</v>
      </c>
      <c r="AG76" s="53">
        <f t="shared" ref="AG76" si="6">AD76+AF76</f>
        <v>19.030933328442899</v>
      </c>
      <c r="AH76" s="95"/>
    </row>
    <row r="77" spans="1:38">
      <c r="A77" s="19">
        <v>54</v>
      </c>
      <c r="B77" s="70" t="s">
        <v>82</v>
      </c>
      <c r="C77" s="131">
        <v>1580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46">
        <f>C77+D77+F77+H77+J77+L77+N77+P77+R77+T77+V77+X77+Z77+O77</f>
        <v>1580</v>
      </c>
      <c r="AC77" s="22">
        <f t="shared" si="3"/>
        <v>131.666666666667</v>
      </c>
      <c r="AD77" s="22">
        <f>AC77*V151</f>
        <v>15.034437329469901</v>
      </c>
      <c r="AE77" s="52">
        <f>400+200</f>
        <v>600</v>
      </c>
      <c r="AF77" s="22">
        <f>AE77*V154</f>
        <v>67.383010882708589</v>
      </c>
      <c r="AG77" s="53">
        <f>AF77</f>
        <v>67.383010882708589</v>
      </c>
      <c r="AH77" s="93"/>
      <c r="AJ77" s="54"/>
      <c r="AK77" s="67"/>
      <c r="AL77" s="65"/>
    </row>
    <row r="78" spans="1:38">
      <c r="A78" s="19">
        <v>55</v>
      </c>
      <c r="B78" s="70" t="s">
        <v>83</v>
      </c>
      <c r="C78" s="131">
        <v>1738</v>
      </c>
      <c r="D78" s="22"/>
      <c r="E78" s="22"/>
      <c r="F78" s="22"/>
      <c r="G78" s="22"/>
      <c r="H78" s="58"/>
      <c r="I78" s="58"/>
      <c r="J78" s="52"/>
      <c r="K78" s="5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46">
        <f>C78+D78+F78+H78+J78+L78+N78+P78+R78+T78+V78+X78+Z78+S78</f>
        <v>1738</v>
      </c>
      <c r="AC78" s="22">
        <f t="shared" si="3"/>
        <v>144.833333333333</v>
      </c>
      <c r="AD78" s="22">
        <f>AC78*V151</f>
        <v>16.537881062416901</v>
      </c>
      <c r="AE78" s="52">
        <f>80+200+200+200</f>
        <v>680</v>
      </c>
      <c r="AF78" s="22">
        <f>AE78*V154</f>
        <v>76.367412333736397</v>
      </c>
      <c r="AG78" s="53">
        <f>AF78</f>
        <v>76.367412333736397</v>
      </c>
      <c r="AH78" s="93"/>
      <c r="AJ78" s="54"/>
      <c r="AK78" s="67"/>
      <c r="AL78" s="65"/>
    </row>
    <row r="79" spans="1:38" ht="7.5" customHeight="1">
      <c r="A79" s="35"/>
      <c r="B79" s="73"/>
      <c r="C79" s="134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90"/>
      <c r="AC79" s="38"/>
      <c r="AD79" s="38"/>
      <c r="AE79" s="96"/>
      <c r="AF79" s="38"/>
      <c r="AG79" s="38"/>
      <c r="AH79" s="89"/>
    </row>
    <row r="80" spans="1:38">
      <c r="A80" s="31"/>
      <c r="B80" s="70"/>
      <c r="C80" s="70"/>
      <c r="AG80" s="60" t="s">
        <v>84</v>
      </c>
    </row>
    <row r="81" spans="1:38">
      <c r="A81" s="31"/>
      <c r="B81" s="70"/>
      <c r="C81" s="70"/>
      <c r="AG81" s="3"/>
    </row>
    <row r="82" spans="1:38">
      <c r="A82" s="31"/>
      <c r="B82" s="70"/>
      <c r="C82" s="70"/>
    </row>
    <row r="83" spans="1:38">
      <c r="A83" s="308" t="s">
        <v>0</v>
      </c>
      <c r="B83" s="308"/>
      <c r="C83" s="308"/>
      <c r="D83" s="308"/>
      <c r="E83" s="308"/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  <c r="W83" s="308"/>
      <c r="X83" s="308"/>
      <c r="Y83" s="308"/>
      <c r="Z83" s="308"/>
      <c r="AA83" s="308"/>
      <c r="AB83" s="308"/>
      <c r="AC83" s="308"/>
      <c r="AD83" s="308"/>
      <c r="AE83" s="308"/>
      <c r="AF83" s="308"/>
      <c r="AG83" s="308"/>
      <c r="AH83" s="308"/>
    </row>
    <row r="84" spans="1:38">
      <c r="A84" s="315" t="s">
        <v>1</v>
      </c>
      <c r="B84" s="315"/>
      <c r="C84" s="315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  <c r="AA84" s="315"/>
      <c r="AB84" s="315"/>
      <c r="AC84" s="315"/>
      <c r="AD84" s="315"/>
      <c r="AE84" s="315"/>
      <c r="AF84" s="315"/>
      <c r="AG84" s="315"/>
      <c r="AH84" s="315"/>
    </row>
    <row r="85" spans="1:38">
      <c r="A85" s="313" t="s">
        <v>2</v>
      </c>
      <c r="B85" s="313"/>
      <c r="C85" s="313"/>
      <c r="D85" s="313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  <c r="Y85" s="313"/>
      <c r="Z85" s="313"/>
      <c r="AA85" s="313"/>
      <c r="AB85" s="313"/>
      <c r="AC85" s="313"/>
      <c r="AD85" s="313"/>
      <c r="AE85" s="313"/>
      <c r="AF85" s="313"/>
      <c r="AG85" s="313"/>
      <c r="AH85" s="313"/>
    </row>
    <row r="86" spans="1:38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51"/>
      <c r="AF86" s="9"/>
      <c r="AG86" s="9"/>
      <c r="AH86" s="9"/>
    </row>
    <row r="87" spans="1:38" ht="18">
      <c r="A87" s="316" t="s">
        <v>3</v>
      </c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  <c r="AG87" s="316"/>
      <c r="AH87" s="316"/>
    </row>
    <row r="88" spans="1:38" ht="12.75" customHeight="1">
      <c r="A88" s="313" t="s">
        <v>145</v>
      </c>
      <c r="B88" s="313"/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  <c r="W88" s="313"/>
      <c r="X88" s="313"/>
      <c r="Y88" s="313"/>
      <c r="Z88" s="313"/>
      <c r="AA88" s="313"/>
      <c r="AB88" s="313"/>
      <c r="AC88" s="313"/>
      <c r="AD88" s="313"/>
      <c r="AE88" s="313"/>
      <c r="AF88" s="313"/>
      <c r="AG88" s="313"/>
      <c r="AH88" s="313"/>
    </row>
    <row r="89" spans="1:38" ht="3.75" customHeight="1">
      <c r="A89" s="1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38" ht="24.75" customHeight="1">
      <c r="A90" s="336" t="s">
        <v>5</v>
      </c>
      <c r="B90" s="337"/>
      <c r="C90" s="332" t="s">
        <v>220</v>
      </c>
      <c r="D90" s="319" t="s">
        <v>7</v>
      </c>
      <c r="E90" s="123" t="s">
        <v>202</v>
      </c>
      <c r="F90" s="319" t="s">
        <v>8</v>
      </c>
      <c r="G90" s="123" t="s">
        <v>202</v>
      </c>
      <c r="H90" s="319" t="s">
        <v>9</v>
      </c>
      <c r="I90" s="123" t="s">
        <v>202</v>
      </c>
      <c r="J90" s="319" t="s">
        <v>10</v>
      </c>
      <c r="K90" s="123" t="s">
        <v>202</v>
      </c>
      <c r="L90" s="319" t="s">
        <v>11</v>
      </c>
      <c r="M90" s="123" t="s">
        <v>202</v>
      </c>
      <c r="N90" s="319" t="s">
        <v>12</v>
      </c>
      <c r="O90" s="123" t="s">
        <v>202</v>
      </c>
      <c r="P90" s="319" t="s">
        <v>13</v>
      </c>
      <c r="Q90" s="123" t="s">
        <v>202</v>
      </c>
      <c r="R90" s="319" t="s">
        <v>14</v>
      </c>
      <c r="S90" s="123" t="s">
        <v>202</v>
      </c>
      <c r="T90" s="319" t="s">
        <v>15</v>
      </c>
      <c r="U90" s="123" t="s">
        <v>202</v>
      </c>
      <c r="V90" s="319" t="s">
        <v>16</v>
      </c>
      <c r="W90" s="123" t="s">
        <v>202</v>
      </c>
      <c r="X90" s="319" t="s">
        <v>17</v>
      </c>
      <c r="Y90" s="123" t="s">
        <v>202</v>
      </c>
      <c r="Z90" s="319" t="s">
        <v>18</v>
      </c>
      <c r="AA90" s="123" t="s">
        <v>202</v>
      </c>
      <c r="AB90" s="319" t="s">
        <v>19</v>
      </c>
      <c r="AC90" s="319" t="s">
        <v>20</v>
      </c>
      <c r="AD90" s="327" t="s">
        <v>21</v>
      </c>
      <c r="AE90" s="323" t="s">
        <v>22</v>
      </c>
      <c r="AF90" s="340" t="s">
        <v>23</v>
      </c>
      <c r="AG90" s="329" t="s">
        <v>24</v>
      </c>
      <c r="AH90" s="321" t="s">
        <v>25</v>
      </c>
    </row>
    <row r="91" spans="1:38" ht="16.5" customHeight="1">
      <c r="A91" s="338"/>
      <c r="B91" s="339"/>
      <c r="C91" s="333"/>
      <c r="D91" s="320"/>
      <c r="E91" s="11" t="s">
        <v>203</v>
      </c>
      <c r="F91" s="320"/>
      <c r="G91" s="11" t="s">
        <v>203</v>
      </c>
      <c r="H91" s="320"/>
      <c r="I91" s="11" t="s">
        <v>203</v>
      </c>
      <c r="J91" s="320"/>
      <c r="K91" s="11" t="s">
        <v>203</v>
      </c>
      <c r="L91" s="320"/>
      <c r="M91" s="11" t="s">
        <v>203</v>
      </c>
      <c r="N91" s="320"/>
      <c r="O91" s="11" t="s">
        <v>203</v>
      </c>
      <c r="P91" s="320"/>
      <c r="Q91" s="11" t="s">
        <v>203</v>
      </c>
      <c r="R91" s="320"/>
      <c r="S91" s="11" t="s">
        <v>203</v>
      </c>
      <c r="T91" s="320"/>
      <c r="U91" s="11" t="s">
        <v>203</v>
      </c>
      <c r="V91" s="320"/>
      <c r="W91" s="11" t="s">
        <v>203</v>
      </c>
      <c r="X91" s="320"/>
      <c r="Y91" s="11" t="s">
        <v>203</v>
      </c>
      <c r="Z91" s="320"/>
      <c r="AA91" s="133" t="s">
        <v>203</v>
      </c>
      <c r="AB91" s="320"/>
      <c r="AC91" s="320"/>
      <c r="AD91" s="328"/>
      <c r="AE91" s="324"/>
      <c r="AF91" s="341"/>
      <c r="AG91" s="330"/>
      <c r="AH91" s="322"/>
    </row>
    <row r="92" spans="1:38" ht="4.5" customHeight="1">
      <c r="A92" s="41"/>
      <c r="B92" s="75"/>
      <c r="C92" s="135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61"/>
      <c r="AF92" s="44"/>
      <c r="AG92" s="44"/>
      <c r="AH92" s="44"/>
    </row>
    <row r="93" spans="1:38">
      <c r="A93" s="23">
        <v>56</v>
      </c>
      <c r="B93" s="70" t="s">
        <v>85</v>
      </c>
      <c r="C93" s="136">
        <v>2280.1</v>
      </c>
      <c r="D93" s="93"/>
      <c r="E93" s="93"/>
      <c r="F93" s="93"/>
      <c r="G93" s="9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46">
        <f>C93+D93+F93+H93+J93+L93+N93+P93+R93+T93+V93+X93+Z93+O93</f>
        <v>2280.1</v>
      </c>
      <c r="AC93" s="22">
        <f t="shared" ref="AC93:AC137" si="7">AB93/12</f>
        <v>190.00833333333301</v>
      </c>
      <c r="AD93" s="22">
        <f>AC93*V151</f>
        <v>21.696215541091298</v>
      </c>
      <c r="AE93" s="97"/>
      <c r="AF93" s="93"/>
      <c r="AG93" s="53">
        <f t="shared" ref="AG93:AG100" si="8">AD93+AF93</f>
        <v>21.696215541091298</v>
      </c>
      <c r="AH93" s="93"/>
      <c r="AK93" s="67"/>
      <c r="AL93" s="65"/>
    </row>
    <row r="94" spans="1:38">
      <c r="A94" s="23">
        <v>57</v>
      </c>
      <c r="B94" s="70" t="s">
        <v>86</v>
      </c>
      <c r="C94" s="136">
        <v>2122.33</v>
      </c>
      <c r="D94" s="93"/>
      <c r="E94" s="93"/>
      <c r="F94" s="93"/>
      <c r="G94" s="9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46">
        <f>C94+D94+F94+H94+J94+L94+N94+P94+R94+T94+V94+X94+Z94</f>
        <v>2122.33</v>
      </c>
      <c r="AC94" s="22">
        <f t="shared" si="7"/>
        <v>176.86083333333301</v>
      </c>
      <c r="AD94" s="22">
        <f>AC94*V151</f>
        <v>20.194960365477101</v>
      </c>
      <c r="AE94" s="97"/>
      <c r="AF94" s="93"/>
      <c r="AG94" s="53">
        <f t="shared" si="8"/>
        <v>20.194960365477101</v>
      </c>
      <c r="AH94" s="93"/>
    </row>
    <row r="95" spans="1:38">
      <c r="A95" s="23">
        <v>58</v>
      </c>
      <c r="B95" s="70" t="s">
        <v>87</v>
      </c>
      <c r="C95" s="136">
        <v>2613</v>
      </c>
      <c r="D95" s="93"/>
      <c r="E95" s="22"/>
      <c r="F95" s="93"/>
      <c r="G95" s="9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46">
        <f>C95+D95+F95+H95+J95+L95+N95+P95+R95+T95+V95+X95+Z95+E95</f>
        <v>2613</v>
      </c>
      <c r="AC95" s="22">
        <f t="shared" si="7"/>
        <v>217.75</v>
      </c>
      <c r="AD95" s="22">
        <f>AC95*V151</f>
        <v>24.8639143936106</v>
      </c>
      <c r="AE95" s="52">
        <v>0</v>
      </c>
      <c r="AF95" s="22">
        <f>AE95*V154</f>
        <v>0</v>
      </c>
      <c r="AG95" s="53">
        <f t="shared" si="8"/>
        <v>24.8639143936106</v>
      </c>
      <c r="AH95" s="93"/>
      <c r="AJ95" s="55"/>
      <c r="AK95" s="67"/>
      <c r="AL95" s="65"/>
    </row>
    <row r="96" spans="1:38">
      <c r="A96" s="29">
        <v>59</v>
      </c>
      <c r="B96" s="70" t="str">
        <f>[1]Membership!$B$71</f>
        <v>Concepcion B. Cruz</v>
      </c>
      <c r="C96" s="136">
        <v>7000</v>
      </c>
      <c r="D96" s="45"/>
      <c r="E96" s="45"/>
      <c r="F96" s="93"/>
      <c r="G96" s="93"/>
      <c r="H96" s="45"/>
      <c r="I96" s="45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46">
        <f>C96+D96+F96+H96+J96+L96+N96+P96+R96+T96+V96+X96+Z96</f>
        <v>7000</v>
      </c>
      <c r="AC96" s="22">
        <f t="shared" si="7"/>
        <v>583.33333333333303</v>
      </c>
      <c r="AD96" s="22">
        <f>AC96*V151</f>
        <v>66.608266649550103</v>
      </c>
      <c r="AE96" s="52">
        <f>400</f>
        <v>400</v>
      </c>
      <c r="AF96" s="22">
        <f>AE96*V154</f>
        <v>44.922007255139057</v>
      </c>
      <c r="AG96" s="53">
        <f t="shared" si="8"/>
        <v>111.53027390468915</v>
      </c>
      <c r="AH96" s="93"/>
    </row>
    <row r="97" spans="1:38">
      <c r="A97" s="23">
        <v>60</v>
      </c>
      <c r="B97" s="70" t="str">
        <f>[1]Membership!$B$72</f>
        <v>Leonardo B. Cruz</v>
      </c>
      <c r="C97" s="136">
        <v>2523</v>
      </c>
      <c r="D97" s="22"/>
      <c r="E97" s="22"/>
      <c r="F97" s="93"/>
      <c r="G97" s="9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46">
        <f>C97+D97+F97+H97+J97+L97+N97+P97+R97+T97+V97+X97+Z97+S97</f>
        <v>2523</v>
      </c>
      <c r="AC97" s="22">
        <f t="shared" si="7"/>
        <v>210.25</v>
      </c>
      <c r="AD97" s="22">
        <f>AC97*V151</f>
        <v>24.007522393830701</v>
      </c>
      <c r="AE97" s="52">
        <f>400</f>
        <v>400</v>
      </c>
      <c r="AF97" s="22">
        <f>AE97*V154</f>
        <v>44.922007255139057</v>
      </c>
      <c r="AG97" s="53">
        <f t="shared" si="8"/>
        <v>68.929529648969762</v>
      </c>
      <c r="AH97" s="93"/>
      <c r="AJ97" s="55"/>
      <c r="AK97" s="67"/>
      <c r="AL97" s="65"/>
    </row>
    <row r="98" spans="1:38">
      <c r="A98" s="23">
        <v>61</v>
      </c>
      <c r="B98" s="70" t="str">
        <f>[1]Membership!$B$73</f>
        <v>Annalyn B. Cruz</v>
      </c>
      <c r="C98" s="136">
        <v>2534.8000000000002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46">
        <f>C98+D98+F98+H98+J98+L98+N98+P98+R98+T98+V98+X98+Z98+U98</f>
        <v>2534.8000000000002</v>
      </c>
      <c r="AC98" s="22">
        <f t="shared" si="7"/>
        <v>211.23333333333301</v>
      </c>
      <c r="AD98" s="22">
        <f>AC98*V151</f>
        <v>24.119804900468498</v>
      </c>
      <c r="AE98" s="52">
        <f>80+120</f>
        <v>200</v>
      </c>
      <c r="AF98" s="22">
        <f>AE98*V154</f>
        <v>22.461003627569529</v>
      </c>
      <c r="AG98" s="53">
        <f t="shared" si="8"/>
        <v>46.580808528038027</v>
      </c>
      <c r="AH98" s="93"/>
      <c r="AK98" s="67"/>
      <c r="AL98" s="65"/>
    </row>
    <row r="99" spans="1:38">
      <c r="A99" s="19">
        <v>62</v>
      </c>
      <c r="B99" s="51" t="s">
        <v>204</v>
      </c>
      <c r="C99" s="137">
        <v>100</v>
      </c>
      <c r="D99" s="93"/>
      <c r="E99" s="93"/>
      <c r="F99" s="93"/>
      <c r="G99" s="9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46">
        <f>C99+D99+F99+H99+J99+L99+N99+P99+R99+T99+V99+X99+Z99+U99</f>
        <v>100</v>
      </c>
      <c r="AC99" s="22">
        <f t="shared" si="7"/>
        <v>8.3333333333333304</v>
      </c>
      <c r="AD99" s="22">
        <f>AC99*V151</f>
        <v>0.95154666642214503</v>
      </c>
      <c r="AE99" s="97"/>
      <c r="AF99" s="93"/>
      <c r="AG99" s="53">
        <f t="shared" si="8"/>
        <v>0.95154666642214503</v>
      </c>
      <c r="AH99" s="93"/>
    </row>
    <row r="100" spans="1:38">
      <c r="A100" s="23">
        <v>63</v>
      </c>
      <c r="B100" s="70" t="str">
        <f>[1]Membership!$B$75</f>
        <v>Milben Rex P. Balao</v>
      </c>
      <c r="C100" s="136">
        <v>3590</v>
      </c>
      <c r="D100" s="22"/>
      <c r="E100" s="22"/>
      <c r="F100" s="93"/>
      <c r="G100" s="93"/>
      <c r="H100" s="45"/>
      <c r="I100" s="45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46">
        <f>C100+D100+F100+H100+J100+L100+N100+P100+R100+T100+V100+X100+Z100</f>
        <v>3590</v>
      </c>
      <c r="AC100" s="22">
        <f t="shared" si="7"/>
        <v>299.16666666666703</v>
      </c>
      <c r="AD100" s="22">
        <f>AC100*V151</f>
        <v>34.160525324555003</v>
      </c>
      <c r="AE100" s="52">
        <f>600+400</f>
        <v>1000</v>
      </c>
      <c r="AF100" s="22">
        <f>AE100*V154</f>
        <v>112.30501813784764</v>
      </c>
      <c r="AG100" s="53">
        <f t="shared" si="8"/>
        <v>146.46554346240265</v>
      </c>
      <c r="AH100" s="93"/>
    </row>
    <row r="101" spans="1:38">
      <c r="A101" s="19">
        <v>64</v>
      </c>
      <c r="B101" s="79"/>
      <c r="C101" s="138"/>
      <c r="D101" s="121"/>
      <c r="E101" s="121"/>
      <c r="F101" s="121"/>
      <c r="G101" s="12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122">
        <f>C101+D101+F101+H101+J101+L101+N101+P101+R101+T101+V101+X101+Z101</f>
        <v>0</v>
      </c>
      <c r="AC101" s="71">
        <f t="shared" si="7"/>
        <v>0</v>
      </c>
      <c r="AD101" s="71">
        <f>AC101*V151</f>
        <v>0</v>
      </c>
      <c r="AE101" s="71">
        <v>0</v>
      </c>
      <c r="AF101" s="45">
        <f>AE101*V154</f>
        <v>0</v>
      </c>
      <c r="AG101" s="99">
        <f>AF101</f>
        <v>0</v>
      </c>
      <c r="AH101" s="93"/>
      <c r="AJ101" s="54"/>
      <c r="AK101" s="67"/>
      <c r="AL101" s="65"/>
    </row>
    <row r="102" spans="1:38">
      <c r="A102" s="23">
        <v>65</v>
      </c>
      <c r="B102" s="70" t="s">
        <v>89</v>
      </c>
      <c r="C102" s="136">
        <v>2465</v>
      </c>
      <c r="D102" s="93"/>
      <c r="E102" s="93"/>
      <c r="F102" s="93"/>
      <c r="G102" s="9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46">
        <f>C102+D102+F102+H102+J102+L102+N102+P102+R102+T102+V102+X102+Z102</f>
        <v>2465</v>
      </c>
      <c r="AC102" s="22">
        <f t="shared" si="7"/>
        <v>205.416666666667</v>
      </c>
      <c r="AD102" s="22">
        <f>AC102*V151</f>
        <v>23.455625327305899</v>
      </c>
      <c r="AE102" s="52">
        <v>0</v>
      </c>
      <c r="AF102" s="22">
        <f>AE102*V154</f>
        <v>0</v>
      </c>
      <c r="AG102" s="53">
        <f>AD102+AF102</f>
        <v>23.455625327305899</v>
      </c>
      <c r="AH102" s="93"/>
      <c r="AJ102" s="55"/>
      <c r="AK102" s="67"/>
      <c r="AL102" s="65"/>
    </row>
    <row r="103" spans="1:38">
      <c r="A103" s="29">
        <v>66</v>
      </c>
      <c r="B103" s="70" t="s">
        <v>90</v>
      </c>
      <c r="C103" s="136">
        <v>7000</v>
      </c>
      <c r="D103" s="93"/>
      <c r="E103" s="93"/>
      <c r="F103" s="93"/>
      <c r="G103" s="9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46">
        <f>C103</f>
        <v>7000</v>
      </c>
      <c r="AC103" s="22">
        <f t="shared" si="7"/>
        <v>583.33333333333303</v>
      </c>
      <c r="AD103" s="22">
        <f>AC103*V151</f>
        <v>66.608266649550103</v>
      </c>
      <c r="AE103" s="52">
        <f>200+200+200+200+200+200</f>
        <v>1200</v>
      </c>
      <c r="AF103" s="22">
        <f>AE103*V154</f>
        <v>134.76602176541718</v>
      </c>
      <c r="AG103" s="53">
        <f t="shared" ref="AG103:AG104" si="9">AD103+AF103</f>
        <v>201.37428841496728</v>
      </c>
      <c r="AH103" s="93"/>
    </row>
    <row r="104" spans="1:38">
      <c r="A104" s="23">
        <v>67</v>
      </c>
      <c r="B104" s="9" t="s">
        <v>91</v>
      </c>
      <c r="C104" s="136">
        <f>2220+41.81</f>
        <v>2261.81</v>
      </c>
      <c r="D104" s="93"/>
      <c r="E104" s="93"/>
      <c r="F104" s="93"/>
      <c r="G104" s="9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46">
        <f>C104+D104+F104+H104+J104+L104+N104+P104+R104+T104+V104+X104+Z104</f>
        <v>2261.81</v>
      </c>
      <c r="AC104" s="22">
        <f t="shared" si="7"/>
        <v>188.48416666666699</v>
      </c>
      <c r="AD104" s="22">
        <f>AC104*V151</f>
        <v>21.5221776558027</v>
      </c>
      <c r="AE104" s="52">
        <f>120+120+120</f>
        <v>360</v>
      </c>
      <c r="AF104" s="22">
        <f>AE104*V154</f>
        <v>40.429806529625154</v>
      </c>
      <c r="AG104" s="53">
        <f t="shared" si="9"/>
        <v>61.951984185427854</v>
      </c>
      <c r="AH104" s="93"/>
    </row>
    <row r="105" spans="1:38">
      <c r="A105" s="19">
        <v>68</v>
      </c>
      <c r="B105" s="70" t="s">
        <v>92</v>
      </c>
      <c r="C105" s="139">
        <v>220</v>
      </c>
      <c r="D105" s="93"/>
      <c r="E105" s="93"/>
      <c r="F105" s="93"/>
      <c r="G105" s="9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46">
        <f>C105+D105+F105+H105+J105+L105+N105+P105+R105+T105+V105+X105+Z105</f>
        <v>220</v>
      </c>
      <c r="AC105" s="22">
        <f t="shared" si="7"/>
        <v>18.3333333333333</v>
      </c>
      <c r="AD105" s="22">
        <f>AC105*V151</f>
        <v>2.0934026661287199</v>
      </c>
      <c r="AE105" s="52">
        <f>280+240</f>
        <v>520</v>
      </c>
      <c r="AF105" s="22">
        <f>AE105*V154</f>
        <v>58.398609431680775</v>
      </c>
      <c r="AG105" s="53">
        <f>AF105</f>
        <v>58.398609431680775</v>
      </c>
      <c r="AH105" s="93"/>
    </row>
    <row r="106" spans="1:38">
      <c r="A106" s="19">
        <v>69</v>
      </c>
      <c r="B106" s="70" t="s">
        <v>93</v>
      </c>
      <c r="C106" s="137">
        <v>100</v>
      </c>
      <c r="D106" s="93"/>
      <c r="E106" s="93"/>
      <c r="F106" s="93"/>
      <c r="G106" s="9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46">
        <f>C106+D106+F106+H106+J106+L106+N106+P106+R106+T106+V106+X106+Z106</f>
        <v>100</v>
      </c>
      <c r="AC106" s="22">
        <f t="shared" si="7"/>
        <v>8.3333333333333304</v>
      </c>
      <c r="AD106" s="22">
        <f>AC106*V151</f>
        <v>0.95154666642214503</v>
      </c>
      <c r="AE106" s="97"/>
      <c r="AF106" s="93"/>
      <c r="AG106" s="98"/>
      <c r="AH106" s="93"/>
    </row>
    <row r="107" spans="1:38">
      <c r="A107" s="19">
        <v>70</v>
      </c>
      <c r="B107" s="70" t="s">
        <v>94</v>
      </c>
      <c r="C107" s="137">
        <v>100</v>
      </c>
      <c r="D107" s="93"/>
      <c r="E107" s="93"/>
      <c r="F107" s="93"/>
      <c r="G107" s="9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46">
        <f>C107+D107+F107+H107+J107+L107+N107+P107+R107+T107+V107+X107+Z107</f>
        <v>100</v>
      </c>
      <c r="AC107" s="22">
        <f t="shared" si="7"/>
        <v>8.3333333333333304</v>
      </c>
      <c r="AD107" s="22">
        <f>AC107*V151</f>
        <v>0.95154666642214503</v>
      </c>
      <c r="AE107" s="97"/>
      <c r="AF107" s="93"/>
      <c r="AG107" s="98"/>
      <c r="AH107" s="93"/>
    </row>
    <row r="108" spans="1:38">
      <c r="A108" s="19">
        <v>71</v>
      </c>
      <c r="B108" s="70" t="s">
        <v>95</v>
      </c>
      <c r="C108" s="137">
        <v>568</v>
      </c>
      <c r="D108" s="93"/>
      <c r="E108" s="22"/>
      <c r="F108" s="93"/>
      <c r="G108" s="93"/>
      <c r="H108" s="22"/>
      <c r="I108" s="22"/>
      <c r="J108" s="22"/>
      <c r="K108" s="22"/>
      <c r="L108" s="22"/>
      <c r="M108" s="22"/>
      <c r="N108" s="22"/>
      <c r="O108" s="22"/>
      <c r="P108" s="45"/>
      <c r="Q108" s="45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46">
        <f>C108+D108+F108+H108+J108+L108+N108+P108+R108+T108+V108+X108+Z108+E108</f>
        <v>568</v>
      </c>
      <c r="AC108" s="22">
        <f t="shared" si="7"/>
        <v>47.3333333333333</v>
      </c>
      <c r="AD108" s="22">
        <f>AC108*V151</f>
        <v>5.40478506527778</v>
      </c>
      <c r="AE108" s="52">
        <f>280+600+600</f>
        <v>1480</v>
      </c>
      <c r="AF108" s="22">
        <f>AE108*V154</f>
        <v>166.21142684401451</v>
      </c>
      <c r="AG108" s="53">
        <f>AF108</f>
        <v>166.21142684401451</v>
      </c>
      <c r="AH108" s="93"/>
    </row>
    <row r="109" spans="1:38">
      <c r="A109" s="19">
        <v>72</v>
      </c>
      <c r="B109" s="70" t="s">
        <v>96</v>
      </c>
      <c r="C109" s="137">
        <v>1080</v>
      </c>
      <c r="D109" s="22"/>
      <c r="E109" s="22"/>
      <c r="F109" s="93"/>
      <c r="G109" s="22"/>
      <c r="H109" s="22"/>
      <c r="I109" s="22"/>
      <c r="J109" s="22"/>
      <c r="K109" s="22"/>
      <c r="L109" s="22"/>
      <c r="M109" s="22"/>
      <c r="N109" s="22"/>
      <c r="O109" s="22"/>
      <c r="P109" s="45"/>
      <c r="Q109" s="45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46">
        <f>C109+D109+F109+H109+J109+L109+N109+P109+R109+T109+V109+X109+Z109+G109</f>
        <v>1080</v>
      </c>
      <c r="AC109" s="22">
        <f t="shared" si="7"/>
        <v>90</v>
      </c>
      <c r="AD109" s="22">
        <f>AC109*V151</f>
        <v>10.276703997359199</v>
      </c>
      <c r="AE109" s="52">
        <f>200+200+200</f>
        <v>600</v>
      </c>
      <c r="AF109" s="22">
        <f>AE109*V154</f>
        <v>67.383010882708589</v>
      </c>
      <c r="AG109" s="53">
        <f>AF109</f>
        <v>67.383010882708589</v>
      </c>
      <c r="AH109" s="93"/>
    </row>
    <row r="110" spans="1:38">
      <c r="A110" s="19">
        <v>73</v>
      </c>
      <c r="B110" s="70" t="s">
        <v>97</v>
      </c>
      <c r="C110" s="136">
        <v>750</v>
      </c>
      <c r="D110" s="22"/>
      <c r="E110" s="22"/>
      <c r="F110" s="93"/>
      <c r="G110" s="9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46">
        <f>C110+D110+F110+H110+J110+L110+N110+P110+R110+T110+V110+X110+Z110+I110</f>
        <v>750</v>
      </c>
      <c r="AC110" s="22">
        <f t="shared" si="7"/>
        <v>62.5</v>
      </c>
      <c r="AD110" s="22">
        <f>AC110*V151</f>
        <v>7.1365999981660897</v>
      </c>
      <c r="AE110" s="97"/>
      <c r="AF110" s="93"/>
      <c r="AG110" s="98"/>
      <c r="AH110" s="93"/>
    </row>
    <row r="111" spans="1:38">
      <c r="A111" s="19">
        <v>74</v>
      </c>
      <c r="B111" s="70" t="s">
        <v>98</v>
      </c>
      <c r="C111" s="137">
        <v>710</v>
      </c>
      <c r="D111" s="22"/>
      <c r="E111" s="22"/>
      <c r="F111" s="93"/>
      <c r="G111" s="93"/>
      <c r="H111" s="45"/>
      <c r="I111" s="45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46">
        <f>C111+D111+F111+H111+J111+L111+N111+P111+R111+T111+V111+X111+Z111+AA111</f>
        <v>710</v>
      </c>
      <c r="AC111" s="22">
        <f t="shared" si="7"/>
        <v>59.1666666666667</v>
      </c>
      <c r="AD111" s="22">
        <f>AC111*V151</f>
        <v>6.7559813315972299</v>
      </c>
      <c r="AE111" s="52">
        <f>280+200+200+200+200</f>
        <v>1080</v>
      </c>
      <c r="AF111" s="22">
        <f>AE111*V154</f>
        <v>121.28941958887546</v>
      </c>
      <c r="AG111" s="53">
        <f>AF111</f>
        <v>121.28941958887546</v>
      </c>
      <c r="AH111" s="93"/>
    </row>
    <row r="112" spans="1:38">
      <c r="A112" s="19">
        <v>75</v>
      </c>
      <c r="B112" s="9" t="s">
        <v>206</v>
      </c>
      <c r="C112" s="137">
        <v>100</v>
      </c>
      <c r="D112" s="93"/>
      <c r="E112" s="93"/>
      <c r="F112" s="93"/>
      <c r="G112" s="9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46">
        <f t="shared" ref="AB112:AB119" si="10">C112+D112+F112+H112+J112+L112+N112+P112+R112+T112+V112+X112+Z112</f>
        <v>100</v>
      </c>
      <c r="AC112" s="22">
        <f t="shared" si="7"/>
        <v>8.3333333333333304</v>
      </c>
      <c r="AD112" s="22">
        <f>AC112*V151</f>
        <v>0.95154666642214503</v>
      </c>
      <c r="AE112" s="97"/>
      <c r="AF112" s="93"/>
      <c r="AG112" s="98"/>
      <c r="AH112" s="93"/>
    </row>
    <row r="113" spans="1:34">
      <c r="A113" s="84">
        <v>76</v>
      </c>
      <c r="B113" s="70" t="s">
        <v>100</v>
      </c>
      <c r="C113" s="136">
        <v>200</v>
      </c>
      <c r="D113" s="93"/>
      <c r="E113" s="93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46">
        <f t="shared" si="10"/>
        <v>200</v>
      </c>
      <c r="AC113" s="22">
        <f t="shared" si="7"/>
        <v>16.6666666666667</v>
      </c>
      <c r="AD113" s="22">
        <f>AC113*V151</f>
        <v>1.9030933328442901</v>
      </c>
      <c r="AE113" s="52">
        <f>120</f>
        <v>120</v>
      </c>
      <c r="AF113" s="22">
        <f>AE113*V154</f>
        <v>13.476602176541718</v>
      </c>
      <c r="AG113" s="53">
        <f>AF113</f>
        <v>13.476602176541718</v>
      </c>
      <c r="AH113" s="93"/>
    </row>
    <row r="114" spans="1:34">
      <c r="A114" s="84">
        <v>77</v>
      </c>
      <c r="B114" s="70" t="s">
        <v>207</v>
      </c>
      <c r="C114" s="136">
        <v>340</v>
      </c>
      <c r="D114" s="93"/>
      <c r="E114" s="93"/>
      <c r="F114" s="93"/>
      <c r="G114" s="93"/>
      <c r="H114" s="45"/>
      <c r="I114" s="45"/>
      <c r="J114" s="22"/>
      <c r="K114" s="22"/>
      <c r="L114" s="22"/>
      <c r="M114" s="22"/>
      <c r="N114" s="22"/>
      <c r="O114" s="22"/>
      <c r="P114" s="45"/>
      <c r="Q114" s="45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46">
        <f t="shared" si="10"/>
        <v>340</v>
      </c>
      <c r="AC114" s="22">
        <f t="shared" si="7"/>
        <v>28.3333333333333</v>
      </c>
      <c r="AD114" s="22">
        <f>AC114*V151</f>
        <v>3.23525866583529</v>
      </c>
      <c r="AE114" s="52">
        <f>80+120+160+220</f>
        <v>580</v>
      </c>
      <c r="AF114" s="22">
        <f>AE114*V154</f>
        <v>65.136910519951627</v>
      </c>
      <c r="AG114" s="53">
        <f>AF114</f>
        <v>65.136910519951627</v>
      </c>
      <c r="AH114" s="93"/>
    </row>
    <row r="115" spans="1:34">
      <c r="A115" s="84">
        <v>78</v>
      </c>
      <c r="B115" s="70" t="s">
        <v>102</v>
      </c>
      <c r="C115" s="136">
        <v>100</v>
      </c>
      <c r="D115" s="93"/>
      <c r="E115" s="93"/>
      <c r="F115" s="93"/>
      <c r="G115" s="93"/>
      <c r="H115" s="22"/>
      <c r="I115" s="22"/>
      <c r="J115" s="22"/>
      <c r="K115" s="22"/>
      <c r="L115" s="22"/>
      <c r="M115" s="22"/>
      <c r="N115" s="22"/>
      <c r="O115" s="22"/>
      <c r="P115" s="45"/>
      <c r="Q115" s="45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46">
        <f t="shared" si="10"/>
        <v>100</v>
      </c>
      <c r="AC115" s="22">
        <f t="shared" si="7"/>
        <v>8.3333333333333304</v>
      </c>
      <c r="AD115" s="22">
        <f>AC115*V151</f>
        <v>0.95154666642214503</v>
      </c>
      <c r="AE115" s="97"/>
      <c r="AF115" s="93"/>
      <c r="AG115" s="98"/>
      <c r="AH115" s="93"/>
    </row>
    <row r="116" spans="1:34">
      <c r="A116" s="84">
        <v>79</v>
      </c>
      <c r="B116" s="70" t="s">
        <v>103</v>
      </c>
      <c r="C116" s="136">
        <v>100</v>
      </c>
      <c r="D116" s="93"/>
      <c r="E116" s="93"/>
      <c r="F116" s="93"/>
      <c r="G116" s="93"/>
      <c r="H116" s="22"/>
      <c r="I116" s="22"/>
      <c r="J116" s="22"/>
      <c r="K116" s="22"/>
      <c r="L116" s="22"/>
      <c r="M116" s="22"/>
      <c r="N116" s="22"/>
      <c r="O116" s="22"/>
      <c r="P116" s="45"/>
      <c r="Q116" s="45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46">
        <f t="shared" si="10"/>
        <v>100</v>
      </c>
      <c r="AC116" s="22">
        <f t="shared" si="7"/>
        <v>8.3333333333333304</v>
      </c>
      <c r="AD116" s="22">
        <f>AC116*V151</f>
        <v>0.95154666642214503</v>
      </c>
      <c r="AE116" s="97"/>
      <c r="AF116" s="93"/>
      <c r="AG116" s="98"/>
      <c r="AH116" s="93"/>
    </row>
    <row r="117" spans="1:34">
      <c r="A117" s="84">
        <v>80</v>
      </c>
      <c r="B117" s="9" t="s">
        <v>104</v>
      </c>
      <c r="C117" s="136">
        <v>100</v>
      </c>
      <c r="D117" s="93"/>
      <c r="E117" s="93"/>
      <c r="F117" s="93"/>
      <c r="G117" s="93"/>
      <c r="H117" s="22"/>
      <c r="I117" s="22"/>
      <c r="J117" s="22"/>
      <c r="K117" s="22"/>
      <c r="L117" s="22"/>
      <c r="M117" s="22"/>
      <c r="N117" s="22"/>
      <c r="O117" s="22"/>
      <c r="P117" s="45"/>
      <c r="Q117" s="45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46">
        <f t="shared" si="10"/>
        <v>100</v>
      </c>
      <c r="AC117" s="22">
        <f t="shared" si="7"/>
        <v>8.3333333333333304</v>
      </c>
      <c r="AD117" s="22">
        <f>AC117*V151</f>
        <v>0.95154666642214503</v>
      </c>
      <c r="AE117" s="97"/>
      <c r="AF117" s="93"/>
      <c r="AG117" s="98"/>
      <c r="AH117" s="93"/>
    </row>
    <row r="118" spans="1:34">
      <c r="A118" s="84">
        <v>81</v>
      </c>
      <c r="B118" s="70" t="s">
        <v>105</v>
      </c>
      <c r="C118" s="136">
        <v>220</v>
      </c>
      <c r="D118" s="93"/>
      <c r="E118" s="93"/>
      <c r="F118" s="93"/>
      <c r="G118" s="93"/>
      <c r="H118" s="22"/>
      <c r="I118" s="22"/>
      <c r="J118" s="22"/>
      <c r="K118" s="22"/>
      <c r="L118" s="22"/>
      <c r="M118" s="22"/>
      <c r="N118" s="22"/>
      <c r="O118" s="22"/>
      <c r="P118" s="45"/>
      <c r="Q118" s="45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46">
        <f t="shared" si="10"/>
        <v>220</v>
      </c>
      <c r="AC118" s="22">
        <f t="shared" si="7"/>
        <v>18.3333333333333</v>
      </c>
      <c r="AD118" s="22">
        <f>AC118*V151</f>
        <v>2.0934026661287199</v>
      </c>
      <c r="AE118" s="52">
        <f>80+120</f>
        <v>200</v>
      </c>
      <c r="AF118" s="22">
        <f>AE118*V154</f>
        <v>22.461003627569529</v>
      </c>
      <c r="AG118" s="53">
        <f>AF118</f>
        <v>22.461003627569529</v>
      </c>
      <c r="AH118" s="93"/>
    </row>
    <row r="119" spans="1:34">
      <c r="A119" s="84">
        <v>82</v>
      </c>
      <c r="B119" s="70" t="s">
        <v>106</v>
      </c>
      <c r="C119" s="136">
        <v>160</v>
      </c>
      <c r="D119" s="93"/>
      <c r="E119" s="93"/>
      <c r="F119" s="93"/>
      <c r="G119" s="9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46">
        <f t="shared" si="10"/>
        <v>160</v>
      </c>
      <c r="AC119" s="22">
        <f t="shared" si="7"/>
        <v>13.3333333333333</v>
      </c>
      <c r="AD119" s="22">
        <f>AC119*V151</f>
        <v>1.52247466627543</v>
      </c>
      <c r="AE119" s="52">
        <f>80</f>
        <v>80</v>
      </c>
      <c r="AF119" s="22">
        <f>AE119*V154</f>
        <v>8.9844014510278107</v>
      </c>
      <c r="AG119" s="53">
        <f>AF119</f>
        <v>8.9844014510278107</v>
      </c>
      <c r="AH119" s="93"/>
    </row>
    <row r="120" spans="1:34" ht="6" customHeight="1">
      <c r="A120" s="85"/>
      <c r="B120" s="86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100"/>
      <c r="AF120" s="89"/>
      <c r="AG120" s="89"/>
      <c r="AH120" s="89"/>
    </row>
    <row r="121" spans="1:34">
      <c r="AG121" s="60" t="s">
        <v>107</v>
      </c>
    </row>
    <row r="122" spans="1:34">
      <c r="A122" s="31"/>
      <c r="B122" s="70"/>
      <c r="C122" s="70"/>
      <c r="AG122" s="3"/>
    </row>
    <row r="123" spans="1:34">
      <c r="A123" s="31"/>
      <c r="B123" s="70"/>
      <c r="C123" s="70"/>
    </row>
    <row r="124" spans="1:34">
      <c r="A124" s="308" t="s">
        <v>0</v>
      </c>
      <c r="B124" s="308"/>
      <c r="C124" s="308"/>
      <c r="D124" s="308"/>
      <c r="E124" s="308"/>
      <c r="F124" s="308"/>
      <c r="G124" s="308"/>
      <c r="H124" s="308"/>
      <c r="I124" s="308"/>
      <c r="J124" s="308"/>
      <c r="K124" s="308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  <c r="W124" s="308"/>
      <c r="X124" s="308"/>
      <c r="Y124" s="308"/>
      <c r="Z124" s="308"/>
      <c r="AA124" s="308"/>
      <c r="AB124" s="308"/>
      <c r="AC124" s="308"/>
      <c r="AD124" s="308"/>
      <c r="AE124" s="308"/>
      <c r="AF124" s="308"/>
      <c r="AG124" s="308"/>
      <c r="AH124" s="308"/>
    </row>
    <row r="125" spans="1:34">
      <c r="A125" s="315" t="s">
        <v>1</v>
      </c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  <c r="Z125" s="315"/>
      <c r="AA125" s="315"/>
      <c r="AB125" s="315"/>
      <c r="AC125" s="315"/>
      <c r="AD125" s="315"/>
      <c r="AE125" s="315"/>
      <c r="AF125" s="315"/>
      <c r="AG125" s="315"/>
      <c r="AH125" s="315"/>
    </row>
    <row r="126" spans="1:34">
      <c r="A126" s="313" t="s">
        <v>2</v>
      </c>
      <c r="B126" s="313"/>
      <c r="C126" s="313"/>
      <c r="D126" s="313"/>
      <c r="E126" s="313"/>
      <c r="F126" s="313"/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  <c r="T126" s="313"/>
      <c r="U126" s="313"/>
      <c r="V126" s="313"/>
      <c r="W126" s="313"/>
      <c r="X126" s="313"/>
      <c r="Y126" s="313"/>
      <c r="Z126" s="313"/>
      <c r="AA126" s="313"/>
      <c r="AB126" s="313"/>
      <c r="AC126" s="313"/>
      <c r="AD126" s="313"/>
      <c r="AE126" s="313"/>
      <c r="AF126" s="313"/>
      <c r="AG126" s="313"/>
      <c r="AH126" s="313"/>
    </row>
    <row r="127" spans="1:34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51"/>
      <c r="AF127" s="9"/>
      <c r="AG127" s="9"/>
      <c r="AH127" s="9"/>
    </row>
    <row r="128" spans="1:34" ht="18">
      <c r="A128" s="316" t="s">
        <v>3</v>
      </c>
      <c r="B128" s="316"/>
      <c r="C128" s="316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  <c r="W128" s="316"/>
      <c r="X128" s="316"/>
      <c r="Y128" s="316"/>
      <c r="Z128" s="316"/>
      <c r="AA128" s="316"/>
      <c r="AB128" s="316"/>
      <c r="AC128" s="316"/>
      <c r="AD128" s="316"/>
      <c r="AE128" s="316"/>
      <c r="AF128" s="316"/>
      <c r="AG128" s="316"/>
      <c r="AH128" s="316"/>
    </row>
    <row r="129" spans="1:34">
      <c r="A129" s="313" t="s">
        <v>145</v>
      </c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  <c r="W129" s="313"/>
      <c r="X129" s="313"/>
      <c r="Y129" s="313"/>
      <c r="Z129" s="313"/>
      <c r="AA129" s="313"/>
      <c r="AB129" s="313"/>
      <c r="AC129" s="313"/>
      <c r="AD129" s="313"/>
      <c r="AE129" s="313"/>
      <c r="AF129" s="313"/>
      <c r="AG129" s="313"/>
      <c r="AH129" s="313"/>
    </row>
    <row r="130" spans="1:34" ht="5.25" customHeight="1"/>
    <row r="131" spans="1:34" ht="25.5" customHeight="1">
      <c r="A131" s="336" t="s">
        <v>5</v>
      </c>
      <c r="B131" s="337"/>
      <c r="C131" s="332" t="s">
        <v>220</v>
      </c>
      <c r="D131" s="319" t="s">
        <v>7</v>
      </c>
      <c r="E131" s="123" t="s">
        <v>202</v>
      </c>
      <c r="F131" s="319" t="s">
        <v>8</v>
      </c>
      <c r="G131" s="123" t="s">
        <v>202</v>
      </c>
      <c r="H131" s="319" t="s">
        <v>9</v>
      </c>
      <c r="I131" s="123" t="s">
        <v>202</v>
      </c>
      <c r="J131" s="319" t="s">
        <v>10</v>
      </c>
      <c r="K131" s="123" t="s">
        <v>202</v>
      </c>
      <c r="L131" s="319" t="s">
        <v>11</v>
      </c>
      <c r="M131" s="123" t="s">
        <v>202</v>
      </c>
      <c r="N131" s="319" t="s">
        <v>12</v>
      </c>
      <c r="O131" s="123" t="s">
        <v>202</v>
      </c>
      <c r="P131" s="319" t="s">
        <v>13</v>
      </c>
      <c r="Q131" s="123" t="s">
        <v>202</v>
      </c>
      <c r="R131" s="319" t="s">
        <v>14</v>
      </c>
      <c r="S131" s="123" t="s">
        <v>202</v>
      </c>
      <c r="T131" s="319" t="s">
        <v>15</v>
      </c>
      <c r="U131" s="123" t="s">
        <v>202</v>
      </c>
      <c r="V131" s="319" t="s">
        <v>16</v>
      </c>
      <c r="W131" s="123" t="s">
        <v>202</v>
      </c>
      <c r="X131" s="319" t="s">
        <v>17</v>
      </c>
      <c r="Y131" s="123" t="s">
        <v>202</v>
      </c>
      <c r="Z131" s="319" t="s">
        <v>18</v>
      </c>
      <c r="AA131" s="123" t="s">
        <v>202</v>
      </c>
      <c r="AB131" s="319" t="s">
        <v>19</v>
      </c>
      <c r="AC131" s="319" t="s">
        <v>20</v>
      </c>
      <c r="AD131" s="327" t="s">
        <v>21</v>
      </c>
      <c r="AE131" s="323" t="s">
        <v>22</v>
      </c>
      <c r="AF131" s="340" t="s">
        <v>23</v>
      </c>
      <c r="AG131" s="329" t="s">
        <v>24</v>
      </c>
      <c r="AH131" s="321" t="s">
        <v>25</v>
      </c>
    </row>
    <row r="132" spans="1:34" ht="18" customHeight="1">
      <c r="A132" s="338"/>
      <c r="B132" s="339"/>
      <c r="C132" s="333"/>
      <c r="D132" s="320"/>
      <c r="E132" s="133" t="s">
        <v>203</v>
      </c>
      <c r="F132" s="320"/>
      <c r="G132" s="133" t="s">
        <v>203</v>
      </c>
      <c r="H132" s="320"/>
      <c r="I132" s="133" t="s">
        <v>203</v>
      </c>
      <c r="J132" s="320"/>
      <c r="K132" s="133" t="s">
        <v>203</v>
      </c>
      <c r="L132" s="320"/>
      <c r="M132" s="133" t="s">
        <v>203</v>
      </c>
      <c r="N132" s="320"/>
      <c r="O132" s="133" t="s">
        <v>203</v>
      </c>
      <c r="P132" s="320"/>
      <c r="Q132" s="133" t="s">
        <v>203</v>
      </c>
      <c r="R132" s="320"/>
      <c r="S132" s="133" t="s">
        <v>203</v>
      </c>
      <c r="T132" s="320"/>
      <c r="U132" s="133" t="s">
        <v>203</v>
      </c>
      <c r="V132" s="320"/>
      <c r="W132" s="133" t="s">
        <v>203</v>
      </c>
      <c r="X132" s="320"/>
      <c r="Y132" s="133" t="s">
        <v>203</v>
      </c>
      <c r="Z132" s="320"/>
      <c r="AA132" s="133" t="s">
        <v>203</v>
      </c>
      <c r="AB132" s="320"/>
      <c r="AC132" s="320"/>
      <c r="AD132" s="328"/>
      <c r="AE132" s="324"/>
      <c r="AF132" s="341"/>
      <c r="AG132" s="330"/>
      <c r="AH132" s="322"/>
    </row>
    <row r="133" spans="1:34" ht="3.75" customHeight="1"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61"/>
      <c r="AF133" s="44"/>
      <c r="AG133" s="44"/>
      <c r="AH133" s="44"/>
    </row>
    <row r="134" spans="1:34">
      <c r="A134" s="29">
        <v>83</v>
      </c>
      <c r="B134" s="70" t="s">
        <v>108</v>
      </c>
      <c r="C134" s="136">
        <v>7000</v>
      </c>
      <c r="D134" s="93"/>
      <c r="E134" s="93"/>
      <c r="F134" s="93"/>
      <c r="G134" s="9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45">
        <v>2750</v>
      </c>
      <c r="W134" s="45"/>
      <c r="X134" s="22">
        <v>1000</v>
      </c>
      <c r="Y134" s="22"/>
      <c r="Z134" s="22">
        <v>3250</v>
      </c>
      <c r="AA134" s="22"/>
      <c r="AB134" s="46">
        <f>C134+D134+F134+H134+J134+L134+N134+P134+R134+T134+V134+X134+Z134</f>
        <v>14000</v>
      </c>
      <c r="AC134" s="22">
        <f>AB134/12</f>
        <v>1166.6666666666699</v>
      </c>
      <c r="AD134" s="22">
        <f>AC134*V151</f>
        <v>133.21653329910001</v>
      </c>
      <c r="AE134" s="97"/>
      <c r="AF134" s="93"/>
      <c r="AG134" s="53">
        <f t="shared" ref="AG134" si="11">AD134+AF134</f>
        <v>133.21653329910001</v>
      </c>
      <c r="AH134" s="93"/>
    </row>
    <row r="135" spans="1:34">
      <c r="A135" s="84">
        <v>84</v>
      </c>
      <c r="B135" s="70" t="s">
        <v>109</v>
      </c>
      <c r="C135" s="136">
        <v>100</v>
      </c>
      <c r="D135" s="93"/>
      <c r="E135" s="93"/>
      <c r="F135" s="93"/>
      <c r="G135" s="9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>
        <v>100</v>
      </c>
      <c r="W135" s="22"/>
      <c r="X135" s="22"/>
      <c r="Y135" s="22"/>
      <c r="Z135" s="22"/>
      <c r="AA135" s="22"/>
      <c r="AB135" s="46">
        <f>C135+D135+F135+H135+J135+L135+N135+P135+R135+T135+V135+X135+Z135</f>
        <v>200</v>
      </c>
      <c r="AC135" s="22">
        <f>AB135/12</f>
        <v>16.6666666666667</v>
      </c>
      <c r="AD135" s="22">
        <f>AC135*V151</f>
        <v>1.9030933328442901</v>
      </c>
      <c r="AE135" s="97"/>
      <c r="AF135" s="93"/>
      <c r="AG135" s="98"/>
      <c r="AH135" s="93"/>
    </row>
    <row r="136" spans="1:34">
      <c r="A136" s="84">
        <v>85</v>
      </c>
      <c r="B136" s="9" t="s">
        <v>110</v>
      </c>
      <c r="C136" s="136">
        <v>100</v>
      </c>
      <c r="D136" s="93"/>
      <c r="E136" s="93"/>
      <c r="F136" s="93"/>
      <c r="G136" s="9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>
        <v>100</v>
      </c>
      <c r="W136" s="22"/>
      <c r="X136" s="22"/>
      <c r="Y136" s="22"/>
      <c r="Z136" s="22"/>
      <c r="AA136" s="22"/>
      <c r="AB136" s="46">
        <f>C136+D136+F136+H136+J136+L136+N136+P136+R136+T136+V136+X136+Z136</f>
        <v>200</v>
      </c>
      <c r="AC136" s="22">
        <f t="shared" si="7"/>
        <v>16.6666666666667</v>
      </c>
      <c r="AD136" s="22">
        <f>AC136*V151</f>
        <v>1.9030933328442901</v>
      </c>
      <c r="AE136" s="97"/>
      <c r="AF136" s="93"/>
      <c r="AG136" s="98"/>
      <c r="AH136" s="93"/>
    </row>
    <row r="137" spans="1:34">
      <c r="A137" s="29">
        <v>86</v>
      </c>
      <c r="B137" s="9" t="s">
        <v>111</v>
      </c>
      <c r="C137" s="136">
        <v>7000</v>
      </c>
      <c r="D137" s="93"/>
      <c r="E137" s="93"/>
      <c r="F137" s="93"/>
      <c r="G137" s="9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>
        <v>7000</v>
      </c>
      <c r="W137" s="22"/>
      <c r="X137" s="22"/>
      <c r="Y137" s="22"/>
      <c r="Z137" s="22"/>
      <c r="AA137" s="22"/>
      <c r="AB137" s="46">
        <f>C137+D137+F137+H137+J137+L137+N137+P137+R137+T137+V137+X137+Z137</f>
        <v>14000</v>
      </c>
      <c r="AC137" s="22">
        <f t="shared" si="7"/>
        <v>1166.6666666666699</v>
      </c>
      <c r="AD137" s="22">
        <f>AC137*V151</f>
        <v>133.21653329910001</v>
      </c>
      <c r="AE137" s="97"/>
      <c r="AF137" s="93"/>
      <c r="AG137" s="53">
        <f t="shared" ref="AG137" si="12">AD137+AF137</f>
        <v>133.21653329910001</v>
      </c>
      <c r="AH137" s="93"/>
    </row>
    <row r="138" spans="1:34">
      <c r="A138" s="19">
        <v>87</v>
      </c>
      <c r="B138" s="9" t="s">
        <v>221</v>
      </c>
      <c r="C138" s="136"/>
      <c r="D138" s="93"/>
      <c r="E138" s="93"/>
      <c r="F138" s="93"/>
      <c r="G138" s="9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46"/>
      <c r="AC138" s="22"/>
      <c r="AD138" s="22"/>
      <c r="AE138" s="97"/>
      <c r="AF138" s="93"/>
      <c r="AG138" s="53"/>
      <c r="AH138" s="93"/>
    </row>
    <row r="139" spans="1:34">
      <c r="A139" s="19">
        <v>88</v>
      </c>
      <c r="B139" s="9" t="s">
        <v>222</v>
      </c>
      <c r="C139" s="136"/>
      <c r="D139" s="93"/>
      <c r="E139" s="93"/>
      <c r="F139" s="93"/>
      <c r="G139" s="9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46"/>
      <c r="AC139" s="22"/>
      <c r="AD139" s="22"/>
      <c r="AE139" s="97"/>
      <c r="AF139" s="93"/>
      <c r="AG139" s="53"/>
      <c r="AH139" s="93"/>
    </row>
    <row r="140" spans="1:34">
      <c r="A140" s="19">
        <v>89</v>
      </c>
      <c r="B140" s="9" t="s">
        <v>223</v>
      </c>
      <c r="C140" s="136"/>
      <c r="D140" s="93"/>
      <c r="E140" s="93"/>
      <c r="F140" s="93"/>
      <c r="G140" s="9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46"/>
      <c r="AC140" s="22"/>
      <c r="AD140" s="22"/>
      <c r="AE140" s="97"/>
      <c r="AF140" s="93"/>
      <c r="AG140" s="53"/>
      <c r="AH140" s="93"/>
    </row>
    <row r="141" spans="1:34">
      <c r="A141" s="19">
        <v>90</v>
      </c>
      <c r="B141" s="9" t="s">
        <v>115</v>
      </c>
      <c r="C141" s="136"/>
      <c r="D141" s="93"/>
      <c r="E141" s="93"/>
      <c r="F141" s="93"/>
      <c r="G141" s="9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46"/>
      <c r="AC141" s="22"/>
      <c r="AD141" s="22"/>
      <c r="AE141" s="97"/>
      <c r="AF141" s="93"/>
      <c r="AG141" s="53"/>
      <c r="AH141" s="93"/>
    </row>
    <row r="142" spans="1:34">
      <c r="A142" s="19">
        <v>91</v>
      </c>
      <c r="B142" s="9" t="s">
        <v>116</v>
      </c>
      <c r="C142" s="136"/>
      <c r="D142" s="93"/>
      <c r="E142" s="93"/>
      <c r="F142" s="93"/>
      <c r="G142" s="9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46"/>
      <c r="AC142" s="22"/>
      <c r="AD142" s="22"/>
      <c r="AE142" s="97"/>
      <c r="AF142" s="93"/>
      <c r="AG142" s="53"/>
      <c r="AH142" s="93"/>
    </row>
    <row r="143" spans="1:34">
      <c r="A143" s="19">
        <v>92</v>
      </c>
      <c r="B143" s="9" t="s">
        <v>117</v>
      </c>
      <c r="C143" s="136"/>
      <c r="D143" s="93"/>
      <c r="E143" s="93"/>
      <c r="F143" s="93"/>
      <c r="G143" s="9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46"/>
      <c r="AC143" s="22"/>
      <c r="AD143" s="22"/>
      <c r="AE143" s="97"/>
      <c r="AF143" s="93"/>
      <c r="AG143" s="53"/>
      <c r="AH143" s="93"/>
    </row>
    <row r="144" spans="1:34">
      <c r="A144" s="19">
        <v>93</v>
      </c>
      <c r="B144" s="9"/>
      <c r="C144" s="136"/>
      <c r="D144" s="93"/>
      <c r="E144" s="93"/>
      <c r="F144" s="93"/>
      <c r="G144" s="9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46"/>
      <c r="AC144" s="22"/>
      <c r="AD144" s="22"/>
      <c r="AE144" s="97"/>
      <c r="AF144" s="93"/>
      <c r="AG144" s="53"/>
      <c r="AH144" s="93"/>
    </row>
    <row r="145" spans="1:40">
      <c r="A145" s="19"/>
      <c r="B145" s="9"/>
      <c r="C145" s="136"/>
      <c r="D145" s="93"/>
      <c r="E145" s="93"/>
      <c r="F145" s="93"/>
      <c r="G145" s="9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46"/>
      <c r="AC145" s="22"/>
      <c r="AD145" s="22"/>
      <c r="AE145" s="97"/>
      <c r="AF145" s="93"/>
      <c r="AG145" s="53"/>
      <c r="AH145" s="93"/>
    </row>
    <row r="146" spans="1:40">
      <c r="A146" s="19"/>
      <c r="B146" s="9"/>
      <c r="C146" s="136"/>
      <c r="D146" s="93"/>
      <c r="E146" s="93"/>
      <c r="F146" s="93"/>
      <c r="G146" s="9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46"/>
      <c r="AC146" s="22"/>
      <c r="AD146" s="22"/>
      <c r="AE146" s="97"/>
      <c r="AF146" s="93"/>
      <c r="AG146" s="53"/>
      <c r="AH146" s="93"/>
    </row>
    <row r="147" spans="1:40" ht="5.25" customHeight="1">
      <c r="A147" s="85"/>
      <c r="B147" s="102"/>
      <c r="C147" s="89"/>
      <c r="D147" s="89"/>
      <c r="E147" s="89"/>
      <c r="F147" s="89"/>
      <c r="G147" s="8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89"/>
      <c r="Y147" s="89"/>
      <c r="Z147" s="38"/>
      <c r="AA147" s="38"/>
      <c r="AB147" s="89"/>
      <c r="AC147" s="89"/>
      <c r="AD147" s="89"/>
      <c r="AE147" s="100"/>
      <c r="AF147" s="89"/>
      <c r="AG147" s="89"/>
      <c r="AH147" s="89"/>
    </row>
    <row r="148" spans="1:40">
      <c r="A148" s="85"/>
      <c r="B148" s="103" t="s">
        <v>120</v>
      </c>
      <c r="C148" s="140">
        <f t="shared" ref="C148:AG148" si="13">SUM(C11:C147)</f>
        <v>181011.13</v>
      </c>
      <c r="D148" s="105">
        <f t="shared" si="13"/>
        <v>0</v>
      </c>
      <c r="E148" s="141">
        <f t="shared" si="13"/>
        <v>0</v>
      </c>
      <c r="F148" s="105">
        <f t="shared" si="13"/>
        <v>0</v>
      </c>
      <c r="G148" s="141">
        <f t="shared" si="13"/>
        <v>0</v>
      </c>
      <c r="H148" s="105">
        <f t="shared" si="13"/>
        <v>0</v>
      </c>
      <c r="I148" s="141">
        <f t="shared" si="13"/>
        <v>0</v>
      </c>
      <c r="J148" s="105">
        <f t="shared" si="13"/>
        <v>0</v>
      </c>
      <c r="K148" s="141">
        <f t="shared" si="13"/>
        <v>0</v>
      </c>
      <c r="L148" s="105">
        <f t="shared" si="13"/>
        <v>0</v>
      </c>
      <c r="M148" s="141">
        <f t="shared" si="13"/>
        <v>0</v>
      </c>
      <c r="N148" s="105">
        <f t="shared" si="13"/>
        <v>0</v>
      </c>
      <c r="O148" s="141">
        <f t="shared" si="13"/>
        <v>0</v>
      </c>
      <c r="P148" s="105">
        <f t="shared" si="13"/>
        <v>0</v>
      </c>
      <c r="Q148" s="141">
        <f t="shared" si="13"/>
        <v>0</v>
      </c>
      <c r="R148" s="105">
        <f t="shared" si="13"/>
        <v>0</v>
      </c>
      <c r="S148" s="141">
        <f t="shared" si="13"/>
        <v>0</v>
      </c>
      <c r="T148" s="105">
        <f t="shared" si="13"/>
        <v>0</v>
      </c>
      <c r="U148" s="141">
        <f t="shared" si="13"/>
        <v>0</v>
      </c>
      <c r="V148" s="105">
        <f t="shared" si="13"/>
        <v>9950</v>
      </c>
      <c r="W148" s="141">
        <f t="shared" si="13"/>
        <v>0</v>
      </c>
      <c r="X148" s="105">
        <f t="shared" si="13"/>
        <v>1000</v>
      </c>
      <c r="Y148" s="105">
        <f t="shared" si="13"/>
        <v>0</v>
      </c>
      <c r="Z148" s="105">
        <f t="shared" si="13"/>
        <v>3250</v>
      </c>
      <c r="AA148" s="141">
        <f t="shared" si="13"/>
        <v>0</v>
      </c>
      <c r="AB148" s="105">
        <f t="shared" si="13"/>
        <v>195211.13</v>
      </c>
      <c r="AC148" s="114">
        <f t="shared" si="13"/>
        <v>16267.5941666667</v>
      </c>
      <c r="AD148" s="105">
        <f t="shared" si="13"/>
        <v>1857.5250000000001</v>
      </c>
      <c r="AE148" s="115">
        <f t="shared" si="13"/>
        <v>16540</v>
      </c>
      <c r="AF148" s="105">
        <f t="shared" si="13"/>
        <v>1857.5250000000003</v>
      </c>
      <c r="AG148" s="116">
        <f t="shared" si="13"/>
        <v>3478.7253924020611</v>
      </c>
      <c r="AH148" s="88"/>
    </row>
    <row r="149" spans="1:40" ht="6.75" customHeight="1"/>
    <row r="150" spans="1:40">
      <c r="E150" s="107" t="s">
        <v>208</v>
      </c>
      <c r="AN150" s="50">
        <f>AF148-AD148</f>
        <v>0</v>
      </c>
    </row>
    <row r="151" spans="1:40" ht="12.75" customHeight="1">
      <c r="H151" s="142" t="s">
        <v>209</v>
      </c>
      <c r="R151" s="151" t="s">
        <v>210</v>
      </c>
      <c r="S151" s="152"/>
      <c r="T151" s="4" t="s">
        <v>211</v>
      </c>
      <c r="U151" s="153">
        <f>0.5*(N170-N171)</f>
        <v>1857.5250000000001</v>
      </c>
      <c r="V151" s="154">
        <f>U151/U152</f>
        <v>0.114185599970657</v>
      </c>
      <c r="X151" s="4"/>
      <c r="Y151" s="4"/>
    </row>
    <row r="152" spans="1:40" ht="12.75" customHeight="1">
      <c r="M152" t="s">
        <v>212</v>
      </c>
      <c r="R152" s="351">
        <f>AC148</f>
        <v>16267.5941666667</v>
      </c>
      <c r="S152" s="351"/>
      <c r="U152" s="110">
        <f>R152</f>
        <v>16267.5941666667</v>
      </c>
      <c r="V152" s="6"/>
      <c r="W152" s="4"/>
    </row>
    <row r="153" spans="1:40" ht="12.75" customHeight="1">
      <c r="S153" s="4"/>
      <c r="U153" s="5"/>
      <c r="V153" s="6"/>
      <c r="W153" s="4"/>
    </row>
    <row r="154" spans="1:40" ht="12.75" customHeight="1">
      <c r="H154" s="142" t="s">
        <v>213</v>
      </c>
      <c r="I154" s="142"/>
      <c r="R154" s="151" t="s">
        <v>214</v>
      </c>
      <c r="S154" s="152"/>
      <c r="T154" s="4" t="s">
        <v>211</v>
      </c>
      <c r="U154" s="153">
        <f>0.5*(N170-N171)</f>
        <v>1857.5250000000001</v>
      </c>
      <c r="V154" s="154">
        <f>U154/U155</f>
        <v>0.11230501813784764</v>
      </c>
    </row>
    <row r="155" spans="1:40" ht="12.75" customHeight="1">
      <c r="N155" t="s">
        <v>215</v>
      </c>
      <c r="R155" s="352">
        <f>'[6]2020'!$H$72</f>
        <v>16540</v>
      </c>
      <c r="S155" s="352"/>
      <c r="U155" s="110">
        <f>R155</f>
        <v>16540</v>
      </c>
      <c r="W155" s="4"/>
    </row>
    <row r="156" spans="1:40" ht="12.75" customHeight="1">
      <c r="P156" s="4"/>
      <c r="Q156" s="4"/>
      <c r="R156" s="4"/>
      <c r="S156" s="4"/>
      <c r="T156" s="4"/>
      <c r="U156" s="4"/>
      <c r="V156" s="4"/>
      <c r="W156" s="4"/>
      <c r="AB156" s="109"/>
      <c r="AE156" s="110"/>
    </row>
    <row r="157" spans="1:40" ht="12.75" customHeight="1">
      <c r="P157" s="4"/>
      <c r="Q157" s="4"/>
      <c r="R157" s="4"/>
      <c r="S157" s="4"/>
      <c r="T157" s="4"/>
      <c r="U157" s="4"/>
      <c r="V157" s="4"/>
      <c r="W157" s="4"/>
      <c r="AB157" s="109"/>
      <c r="AE157" s="110"/>
    </row>
    <row r="158" spans="1:40">
      <c r="P158" s="4"/>
      <c r="Q158" s="4"/>
      <c r="R158" s="4"/>
      <c r="S158" s="4"/>
      <c r="T158" s="4"/>
      <c r="U158" s="4"/>
      <c r="V158" s="4"/>
      <c r="W158" s="4"/>
      <c r="AB158" s="67"/>
      <c r="AE158" s="117"/>
    </row>
    <row r="159" spans="1:40" ht="12" customHeight="1">
      <c r="A159" t="s">
        <v>121</v>
      </c>
      <c r="F159" t="s">
        <v>122</v>
      </c>
      <c r="R159" t="s">
        <v>123</v>
      </c>
      <c r="AB159" t="s">
        <v>124</v>
      </c>
      <c r="AE159"/>
    </row>
    <row r="160" spans="1:40">
      <c r="AE160"/>
    </row>
    <row r="161" spans="2:33">
      <c r="AE161"/>
    </row>
    <row r="162" spans="2:33" ht="12" customHeight="1">
      <c r="H162" s="107" t="s">
        <v>126</v>
      </c>
      <c r="I162" s="107"/>
      <c r="T162" s="308" t="s">
        <v>167</v>
      </c>
      <c r="U162" s="308"/>
      <c r="V162" s="308"/>
      <c r="W162" s="308"/>
      <c r="X162" s="308"/>
      <c r="Y162" s="7"/>
      <c r="AC162" s="308" t="s">
        <v>168</v>
      </c>
      <c r="AD162" s="308"/>
      <c r="AE162" s="308"/>
    </row>
    <row r="163" spans="2:33" ht="12" customHeight="1">
      <c r="B163" s="107" t="s">
        <v>125</v>
      </c>
      <c r="H163" s="311" t="s">
        <v>129</v>
      </c>
      <c r="I163" s="311"/>
      <c r="J163" s="311"/>
      <c r="K163" s="311"/>
      <c r="L163" s="311"/>
      <c r="M163" s="4"/>
      <c r="T163" s="313" t="s">
        <v>130</v>
      </c>
      <c r="U163" s="313"/>
      <c r="V163" s="313"/>
      <c r="W163" s="313"/>
      <c r="X163" s="313"/>
      <c r="Y163" s="4"/>
      <c r="AC163" s="313" t="s">
        <v>131</v>
      </c>
      <c r="AD163" s="313"/>
      <c r="AE163" s="313"/>
    </row>
    <row r="164" spans="2:33">
      <c r="B164" t="s">
        <v>169</v>
      </c>
    </row>
    <row r="170" spans="2:33">
      <c r="C170" t="s">
        <v>172</v>
      </c>
      <c r="E170">
        <v>41</v>
      </c>
      <c r="G170" s="143">
        <f>AB11+AB15+AB17+AB18+AB19+AB20+AB22+AB23+AB24+AB29+AB36+AB37+AB38+AB52+AB54+AB55+AB63+AB64+AB65+AB66+AB67+AB68+AB69+AB93+AB95+AB97+AB98+AB102+AB103+AB104+AB100+AB72+AB34+AB28+AB13+AB53+AB76+AB94+AB96+AB134+AB137</f>
        <v>170275.29</v>
      </c>
      <c r="H170" s="143"/>
      <c r="I170" s="143"/>
      <c r="J170" s="111"/>
      <c r="L170" t="s">
        <v>216</v>
      </c>
      <c r="N170" s="110">
        <v>12383.49</v>
      </c>
    </row>
    <row r="171" spans="2:33">
      <c r="C171" s="144" t="s">
        <v>173</v>
      </c>
      <c r="D171" s="144"/>
      <c r="E171" s="102">
        <v>45</v>
      </c>
      <c r="F171" s="102"/>
      <c r="G171" s="145">
        <f>AB148-G170</f>
        <v>24935.84</v>
      </c>
      <c r="H171" s="145"/>
      <c r="I171" s="145"/>
      <c r="J171" s="111"/>
      <c r="L171" s="102" t="s">
        <v>217</v>
      </c>
      <c r="M171" s="102"/>
      <c r="N171" s="150">
        <v>8668.44</v>
      </c>
    </row>
    <row r="172" spans="2:33">
      <c r="E172">
        <f>E170+E171</f>
        <v>86</v>
      </c>
      <c r="G172" s="146">
        <f>G170+G171</f>
        <v>195211.13</v>
      </c>
      <c r="H172" s="146"/>
      <c r="I172" s="146"/>
      <c r="J172" s="113"/>
      <c r="N172" s="110">
        <f>N170-N171</f>
        <v>3715.05</v>
      </c>
    </row>
    <row r="173" spans="2:33">
      <c r="AG173" s="60" t="s">
        <v>132</v>
      </c>
    </row>
    <row r="174" spans="2:33">
      <c r="D174" s="4">
        <v>2019</v>
      </c>
      <c r="E174" s="4">
        <v>2020</v>
      </c>
      <c r="AG174" s="60"/>
    </row>
    <row r="175" spans="2:33">
      <c r="C175" t="s">
        <v>218</v>
      </c>
      <c r="D175" s="147">
        <f>6300/2</f>
        <v>3150</v>
      </c>
      <c r="E175" s="147">
        <f>2700/2</f>
        <v>1350</v>
      </c>
    </row>
    <row r="176" spans="2:33">
      <c r="C176" s="102" t="s">
        <v>219</v>
      </c>
      <c r="D176" s="148">
        <f>6300/2</f>
        <v>3150</v>
      </c>
      <c r="E176" s="148">
        <f>2700/2</f>
        <v>1350</v>
      </c>
    </row>
    <row r="177" spans="4:15">
      <c r="D177" s="149">
        <f>D175+D176</f>
        <v>6300</v>
      </c>
      <c r="E177" s="149">
        <f>E175+E176</f>
        <v>2700</v>
      </c>
      <c r="N177">
        <v>19</v>
      </c>
    </row>
    <row r="178" spans="4:15">
      <c r="N178">
        <f>N177*20</f>
        <v>380</v>
      </c>
      <c r="O178">
        <f>N178/2</f>
        <v>190</v>
      </c>
    </row>
    <row r="179" spans="4:15">
      <c r="N179" s="50">
        <f>AF148-AD148</f>
        <v>0</v>
      </c>
    </row>
  </sheetData>
  <mergeCells count="111">
    <mergeCell ref="AH49:AH50"/>
    <mergeCell ref="AH90:AH91"/>
    <mergeCell ref="AH131:AH132"/>
    <mergeCell ref="A9:B10"/>
    <mergeCell ref="A49:B50"/>
    <mergeCell ref="A90:B91"/>
    <mergeCell ref="A131:B132"/>
    <mergeCell ref="AE49:AE50"/>
    <mergeCell ref="AE90:AE91"/>
    <mergeCell ref="AE131:AE132"/>
    <mergeCell ref="AF9:AF10"/>
    <mergeCell ref="AF49:AF50"/>
    <mergeCell ref="AF90:AF91"/>
    <mergeCell ref="AF131:AF132"/>
    <mergeCell ref="AG9:AG10"/>
    <mergeCell ref="AG49:AG50"/>
    <mergeCell ref="AG90:AG91"/>
    <mergeCell ref="AG131:AG132"/>
    <mergeCell ref="AB49:AB50"/>
    <mergeCell ref="AB90:AB91"/>
    <mergeCell ref="AB131:AB132"/>
    <mergeCell ref="AC9:AC10"/>
    <mergeCell ref="AC49:AC50"/>
    <mergeCell ref="AC90:AC91"/>
    <mergeCell ref="AD9:AD10"/>
    <mergeCell ref="AD49:AD50"/>
    <mergeCell ref="AD90:AD91"/>
    <mergeCell ref="AD131:AD132"/>
    <mergeCell ref="V49:V50"/>
    <mergeCell ref="V90:V91"/>
    <mergeCell ref="V131:V132"/>
    <mergeCell ref="X9:X10"/>
    <mergeCell ref="X49:X50"/>
    <mergeCell ref="X90:X91"/>
    <mergeCell ref="X131:X132"/>
    <mergeCell ref="Z9:Z10"/>
    <mergeCell ref="Z49:Z50"/>
    <mergeCell ref="Z90:Z91"/>
    <mergeCell ref="Z131:Z132"/>
    <mergeCell ref="P90:P91"/>
    <mergeCell ref="P131:P132"/>
    <mergeCell ref="R9:R10"/>
    <mergeCell ref="R49:R50"/>
    <mergeCell ref="R90:R91"/>
    <mergeCell ref="R131:R132"/>
    <mergeCell ref="T9:T10"/>
    <mergeCell ref="T49:T50"/>
    <mergeCell ref="T90:T91"/>
    <mergeCell ref="T131:T132"/>
    <mergeCell ref="A128:AH128"/>
    <mergeCell ref="A129:AH129"/>
    <mergeCell ref="A47:AH47"/>
    <mergeCell ref="A83:AH83"/>
    <mergeCell ref="A84:AH84"/>
    <mergeCell ref="A85:AH85"/>
    <mergeCell ref="A87:AH87"/>
    <mergeCell ref="A88:AH88"/>
    <mergeCell ref="A124:AH124"/>
    <mergeCell ref="A125:AH125"/>
    <mergeCell ref="A126:AH126"/>
    <mergeCell ref="C49:C50"/>
    <mergeCell ref="C90:C91"/>
    <mergeCell ref="D49:D50"/>
    <mergeCell ref="R152:S152"/>
    <mergeCell ref="R155:S155"/>
    <mergeCell ref="T162:X162"/>
    <mergeCell ref="AC162:AE162"/>
    <mergeCell ref="H163:L163"/>
    <mergeCell ref="T163:X163"/>
    <mergeCell ref="AC163:AE163"/>
    <mergeCell ref="C131:C132"/>
    <mergeCell ref="D131:D132"/>
    <mergeCell ref="F131:F132"/>
    <mergeCell ref="H131:H132"/>
    <mergeCell ref="J131:J132"/>
    <mergeCell ref="L131:L132"/>
    <mergeCell ref="N131:N132"/>
    <mergeCell ref="AC131:AC132"/>
    <mergeCell ref="D90:D91"/>
    <mergeCell ref="F49:F50"/>
    <mergeCell ref="F90:F91"/>
    <mergeCell ref="H49:H50"/>
    <mergeCell ref="H90:H91"/>
    <mergeCell ref="J49:J50"/>
    <mergeCell ref="J90:J91"/>
    <mergeCell ref="L49:L50"/>
    <mergeCell ref="L90:L91"/>
    <mergeCell ref="N49:N50"/>
    <mergeCell ref="N90:N91"/>
    <mergeCell ref="P49:P50"/>
    <mergeCell ref="A2:AH2"/>
    <mergeCell ref="A3:AH3"/>
    <mergeCell ref="A4:AH4"/>
    <mergeCell ref="A6:AH6"/>
    <mergeCell ref="A7:AH7"/>
    <mergeCell ref="A42:AH42"/>
    <mergeCell ref="A43:AH43"/>
    <mergeCell ref="A44:AH44"/>
    <mergeCell ref="A46:AH46"/>
    <mergeCell ref="C9:C10"/>
    <mergeCell ref="D9:D10"/>
    <mergeCell ref="F9:F10"/>
    <mergeCell ref="H9:H10"/>
    <mergeCell ref="J9:J10"/>
    <mergeCell ref="L9:L10"/>
    <mergeCell ref="N9:N10"/>
    <mergeCell ref="P9:P10"/>
    <mergeCell ref="V9:V10"/>
    <mergeCell ref="AB9:AB10"/>
    <mergeCell ref="AE9:AE10"/>
    <mergeCell ref="AH9:AH10"/>
  </mergeCells>
  <pageMargins left="0.25" right="0.25" top="0.25" bottom="0.25" header="0.3" footer="0.3"/>
  <pageSetup paperSize="5"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D164"/>
  <sheetViews>
    <sheetView topLeftCell="A132" zoomScale="110" zoomScaleNormal="110" workbookViewId="0">
      <selection activeCell="J35" sqref="J35"/>
    </sheetView>
  </sheetViews>
  <sheetFormatPr defaultColWidth="9" defaultRowHeight="14.4"/>
  <cols>
    <col min="1" max="1" width="2.77734375" style="3" customWidth="1"/>
    <col min="2" max="2" width="17" customWidth="1"/>
    <col min="3" max="3" width="9" style="4" customWidth="1"/>
    <col min="4" max="6" width="6.77734375" customWidth="1"/>
    <col min="7" max="7" width="5" customWidth="1"/>
    <col min="8" max="8" width="4" customWidth="1"/>
    <col min="9" max="9" width="6.21875" customWidth="1"/>
    <col min="10" max="11" width="6.77734375" customWidth="1"/>
    <col min="12" max="12" width="7" customWidth="1"/>
    <col min="13" max="13" width="7.77734375" customWidth="1"/>
    <col min="14" max="15" width="6.77734375" customWidth="1"/>
    <col min="16" max="16" width="8.77734375" customWidth="1"/>
    <col min="17" max="17" width="7.77734375" customWidth="1"/>
    <col min="18" max="18" width="7.21875" customWidth="1"/>
    <col min="19" max="19" width="7.77734375" style="5" customWidth="1"/>
    <col min="20" max="20" width="7.21875" customWidth="1"/>
    <col min="21" max="21" width="7.44140625" customWidth="1"/>
    <col min="22" max="22" width="7.21875" customWidth="1"/>
    <col min="25" max="26" width="9" style="6"/>
  </cols>
  <sheetData>
    <row r="2" spans="1:30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</row>
    <row r="3" spans="1:30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</row>
    <row r="4" spans="1:30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</row>
    <row r="5" spans="1:30">
      <c r="B5" s="9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51"/>
      <c r="T5" s="9"/>
      <c r="U5" s="9"/>
      <c r="V5" s="9"/>
      <c r="W5" s="9"/>
      <c r="X5" s="9"/>
      <c r="Y5" s="62"/>
      <c r="Z5" s="62"/>
      <c r="AA5" s="9"/>
      <c r="AB5" s="9"/>
      <c r="AC5" s="9"/>
      <c r="AD5" s="9"/>
    </row>
    <row r="6" spans="1:30" ht="18">
      <c r="A6" s="316" t="s">
        <v>3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</row>
    <row r="7" spans="1:30" ht="12.75" customHeight="1">
      <c r="A7" s="313" t="s">
        <v>145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</row>
    <row r="8" spans="1:30" ht="7.5" customHeight="1">
      <c r="A8" s="10"/>
      <c r="B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30" s="1" customFormat="1" ht="16.5" customHeight="1">
      <c r="A9" s="336" t="s">
        <v>5</v>
      </c>
      <c r="B9" s="337"/>
      <c r="C9" s="332" t="s">
        <v>201</v>
      </c>
      <c r="D9" s="319" t="s">
        <v>7</v>
      </c>
      <c r="E9" s="319" t="s">
        <v>8</v>
      </c>
      <c r="F9" s="319" t="s">
        <v>9</v>
      </c>
      <c r="G9" s="319" t="s">
        <v>10</v>
      </c>
      <c r="H9" s="321" t="s">
        <v>11</v>
      </c>
      <c r="I9" s="319" t="s">
        <v>12</v>
      </c>
      <c r="J9" s="319" t="s">
        <v>13</v>
      </c>
      <c r="K9" s="319" t="s">
        <v>14</v>
      </c>
      <c r="L9" s="319" t="s">
        <v>15</v>
      </c>
      <c r="M9" s="319" t="s">
        <v>16</v>
      </c>
      <c r="N9" s="319" t="s">
        <v>17</v>
      </c>
      <c r="O9" s="319" t="s">
        <v>18</v>
      </c>
      <c r="P9" s="319" t="s">
        <v>19</v>
      </c>
      <c r="Q9" s="319" t="s">
        <v>20</v>
      </c>
      <c r="R9" s="327" t="s">
        <v>21</v>
      </c>
      <c r="S9" s="323" t="s">
        <v>22</v>
      </c>
      <c r="T9" s="340" t="s">
        <v>23</v>
      </c>
      <c r="U9" s="329" t="s">
        <v>24</v>
      </c>
      <c r="V9" s="325" t="s">
        <v>25</v>
      </c>
      <c r="Y9" s="63"/>
      <c r="Z9" s="64"/>
    </row>
    <row r="10" spans="1:30" s="1" customFormat="1" ht="18" customHeight="1">
      <c r="A10" s="338"/>
      <c r="B10" s="339"/>
      <c r="C10" s="333"/>
      <c r="D10" s="320"/>
      <c r="E10" s="320"/>
      <c r="F10" s="320"/>
      <c r="G10" s="320"/>
      <c r="H10" s="322"/>
      <c r="I10" s="320"/>
      <c r="J10" s="320"/>
      <c r="K10" s="320"/>
      <c r="L10" s="320"/>
      <c r="M10" s="320"/>
      <c r="N10" s="320"/>
      <c r="O10" s="320"/>
      <c r="P10" s="320"/>
      <c r="Q10" s="320"/>
      <c r="R10" s="328"/>
      <c r="S10" s="324"/>
      <c r="T10" s="341"/>
      <c r="U10" s="330"/>
      <c r="V10" s="326"/>
      <c r="Y10" s="63"/>
      <c r="Z10" s="64"/>
    </row>
    <row r="11" spans="1:30" s="2" customFormat="1">
      <c r="A11" s="15">
        <v>1</v>
      </c>
      <c r="B11" s="16" t="s">
        <v>26</v>
      </c>
      <c r="C11" s="17">
        <v>2120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46">
        <f t="shared" ref="P11:P38" si="0">C11+D11+E11+F11+G11+H11+I11+J11+K11+L11+M11+N11+O11</f>
        <v>2120</v>
      </c>
      <c r="Q11" s="22">
        <f>P11/12</f>
        <v>176.666666666667</v>
      </c>
      <c r="R11" s="22">
        <f>SCPR2020!AD11</f>
        <v>22.0426429026767</v>
      </c>
      <c r="S11" s="52"/>
      <c r="T11" s="22">
        <v>0</v>
      </c>
      <c r="U11" s="53">
        <f>R11+T11</f>
        <v>22.0426429026767</v>
      </c>
      <c r="V11" s="26"/>
      <c r="Y11" s="62"/>
      <c r="Z11" s="65"/>
    </row>
    <row r="12" spans="1:30">
      <c r="A12" s="19">
        <v>2</v>
      </c>
      <c r="B12" s="20" t="s">
        <v>27</v>
      </c>
      <c r="C12" s="21">
        <v>1300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46">
        <f t="shared" si="0"/>
        <v>1300</v>
      </c>
      <c r="Q12" s="22">
        <f t="shared" ref="Q12:Q38" si="1">P12/12</f>
        <v>108.333333333333</v>
      </c>
      <c r="R12" s="22">
        <f>SCPR2020!AD12</f>
        <v>13.3405194476163</v>
      </c>
      <c r="S12" s="52"/>
      <c r="T12" s="22">
        <v>0</v>
      </c>
      <c r="U12" s="53"/>
      <c r="V12" s="22"/>
    </row>
    <row r="13" spans="1:30" s="2" customFormat="1">
      <c r="A13" s="23">
        <v>3</v>
      </c>
      <c r="B13" s="24" t="s">
        <v>28</v>
      </c>
      <c r="C13" s="21">
        <v>2120</v>
      </c>
      <c r="D13" s="25"/>
      <c r="E13" s="25"/>
      <c r="F13" s="26">
        <v>60</v>
      </c>
      <c r="G13" s="25"/>
      <c r="H13" s="25"/>
      <c r="I13" s="25"/>
      <c r="J13" s="25"/>
      <c r="K13" s="25"/>
      <c r="L13" s="25"/>
      <c r="M13" s="25"/>
      <c r="N13" s="25"/>
      <c r="O13" s="25"/>
      <c r="P13" s="46">
        <f t="shared" si="0"/>
        <v>2180</v>
      </c>
      <c r="Q13" s="22">
        <f t="shared" si="1"/>
        <v>181.666666666667</v>
      </c>
      <c r="R13" s="22">
        <f>SCPR2020!AD13</f>
        <v>22.658359184874399</v>
      </c>
      <c r="S13" s="52">
        <f>200</f>
        <v>200</v>
      </c>
      <c r="T13" s="22">
        <f>SCPR2020!AF13</f>
        <v>22.461003627569529</v>
      </c>
      <c r="U13" s="53">
        <f>T13+R13</f>
        <v>45.119362812443924</v>
      </c>
      <c r="V13" s="26"/>
      <c r="X13" s="54"/>
      <c r="Y13" s="66"/>
      <c r="Z13" s="65"/>
    </row>
    <row r="14" spans="1:30">
      <c r="A14" s="19">
        <v>4</v>
      </c>
      <c r="B14" s="27" t="s">
        <v>29</v>
      </c>
      <c r="C14" s="21">
        <v>750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46">
        <f t="shared" si="0"/>
        <v>750</v>
      </c>
      <c r="Q14" s="22">
        <f t="shared" si="1"/>
        <v>62.5</v>
      </c>
      <c r="R14" s="22">
        <f>SCPR2020!AD14</f>
        <v>7.69645352747093</v>
      </c>
      <c r="S14" s="52"/>
      <c r="T14" s="22">
        <f>SCPR2020!AF14</f>
        <v>0</v>
      </c>
      <c r="U14" s="53"/>
      <c r="V14" s="22"/>
    </row>
    <row r="15" spans="1:30">
      <c r="A15" s="23">
        <v>5</v>
      </c>
      <c r="B15" s="27" t="s">
        <v>30</v>
      </c>
      <c r="C15" s="21">
        <v>2680</v>
      </c>
      <c r="D15" s="22"/>
      <c r="E15" s="22"/>
      <c r="F15" s="22"/>
      <c r="G15" s="22"/>
      <c r="H15" s="22"/>
      <c r="I15" s="22"/>
      <c r="J15" s="47">
        <v>1000</v>
      </c>
      <c r="K15" s="22"/>
      <c r="L15" s="33">
        <v>2320</v>
      </c>
      <c r="M15" s="22"/>
      <c r="N15" s="22"/>
      <c r="O15" s="22"/>
      <c r="P15" s="46">
        <f t="shared" si="0"/>
        <v>6000</v>
      </c>
      <c r="Q15" s="22">
        <f t="shared" si="1"/>
        <v>500</v>
      </c>
      <c r="R15" s="22">
        <f>SCPR2020!AD15</f>
        <v>64.752829011122103</v>
      </c>
      <c r="S15" s="52"/>
      <c r="T15" s="22">
        <f>SCPR2020!AF15</f>
        <v>0</v>
      </c>
      <c r="U15" s="53">
        <f t="shared" ref="U15:U24" si="2">R15+T15</f>
        <v>64.752829011122103</v>
      </c>
      <c r="V15" s="45"/>
      <c r="Z15" s="65"/>
    </row>
    <row r="16" spans="1:30" s="2" customFormat="1">
      <c r="A16" s="19">
        <v>6</v>
      </c>
      <c r="B16" s="20" t="s">
        <v>31</v>
      </c>
      <c r="C16" s="28">
        <v>150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46">
        <f t="shared" si="0"/>
        <v>150</v>
      </c>
      <c r="Q16" s="22">
        <f t="shared" si="1"/>
        <v>12.5</v>
      </c>
      <c r="R16" s="22">
        <f>SCPR2020!AD16</f>
        <v>1.53929070549419</v>
      </c>
      <c r="S16" s="52"/>
      <c r="T16" s="22">
        <f>SCPR2020!AF16</f>
        <v>0</v>
      </c>
      <c r="U16" s="53"/>
      <c r="V16" s="25"/>
      <c r="Y16" s="62"/>
      <c r="Z16" s="62"/>
    </row>
    <row r="17" spans="1:26">
      <c r="A17" s="29">
        <v>7</v>
      </c>
      <c r="B17" s="20" t="s">
        <v>32</v>
      </c>
      <c r="C17" s="21">
        <v>7000</v>
      </c>
      <c r="D17" s="22"/>
      <c r="E17" s="22"/>
      <c r="F17" s="22"/>
      <c r="G17" s="22">
        <v>0</v>
      </c>
      <c r="H17" s="22">
        <v>0</v>
      </c>
      <c r="I17" s="22">
        <v>0</v>
      </c>
      <c r="J17" s="22">
        <v>0</v>
      </c>
      <c r="K17" s="22"/>
      <c r="L17" s="22"/>
      <c r="M17" s="22">
        <v>0</v>
      </c>
      <c r="N17" s="22">
        <v>0</v>
      </c>
      <c r="O17" s="22">
        <v>0</v>
      </c>
      <c r="P17" s="46">
        <f t="shared" si="0"/>
        <v>7000</v>
      </c>
      <c r="Q17" s="22">
        <f t="shared" si="1"/>
        <v>583.33333333333303</v>
      </c>
      <c r="R17" s="22">
        <f>SCPR2020!AD17</f>
        <v>71.833566256395301</v>
      </c>
      <c r="S17" s="52">
        <f>600+600+600</f>
        <v>1800</v>
      </c>
      <c r="T17" s="22">
        <f>SCPR2020!AF17</f>
        <v>202.14903264812577</v>
      </c>
      <c r="U17" s="53">
        <f>R17+T17</f>
        <v>273.98259890452107</v>
      </c>
      <c r="V17" s="22"/>
      <c r="X17" s="55"/>
      <c r="Z17" s="65"/>
    </row>
    <row r="18" spans="1:26" s="2" customFormat="1">
      <c r="A18" s="29">
        <v>8</v>
      </c>
      <c r="B18" s="20" t="s">
        <v>33</v>
      </c>
      <c r="C18" s="21">
        <v>5250</v>
      </c>
      <c r="D18" s="118">
        <v>1750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>
        <v>0</v>
      </c>
      <c r="P18" s="46">
        <f t="shared" si="0"/>
        <v>7000</v>
      </c>
      <c r="Q18" s="25">
        <f t="shared" si="1"/>
        <v>583.33333333333303</v>
      </c>
      <c r="R18" s="22">
        <f>SCPR2020!AD18</f>
        <v>71.833566256395301</v>
      </c>
      <c r="S18" s="56">
        <f>200+400</f>
        <v>600</v>
      </c>
      <c r="T18" s="22">
        <f>SCPR2020!AF18</f>
        <v>67.383010882708589</v>
      </c>
      <c r="U18" s="57">
        <f t="shared" si="2"/>
        <v>139.21657713910389</v>
      </c>
      <c r="V18" s="25"/>
      <c r="X18" s="55"/>
      <c r="Y18" s="62"/>
      <c r="Z18" s="65"/>
    </row>
    <row r="19" spans="1:26">
      <c r="A19" s="23">
        <v>9</v>
      </c>
      <c r="B19" s="20" t="s">
        <v>34</v>
      </c>
      <c r="C19" s="21">
        <v>2021.27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46">
        <f t="shared" si="0"/>
        <v>2021.27</v>
      </c>
      <c r="Q19" s="22">
        <f t="shared" si="1"/>
        <v>168.43916666666701</v>
      </c>
      <c r="R19" s="22">
        <f>SCPR2020!AD19</f>
        <v>20.523876073255799</v>
      </c>
      <c r="S19" s="52">
        <v>0</v>
      </c>
      <c r="T19" s="22">
        <f>SCPR2020!AF19</f>
        <v>0</v>
      </c>
      <c r="U19" s="53">
        <f t="shared" si="2"/>
        <v>20.523876073255799</v>
      </c>
      <c r="V19" s="22"/>
      <c r="X19" s="55"/>
      <c r="Z19" s="65"/>
    </row>
    <row r="20" spans="1:26">
      <c r="A20" s="23">
        <v>10</v>
      </c>
      <c r="B20" s="27" t="s">
        <v>35</v>
      </c>
      <c r="C20" s="21">
        <v>2728.71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46">
        <f t="shared" si="0"/>
        <v>2728.71</v>
      </c>
      <c r="Q20" s="22">
        <f t="shared" si="1"/>
        <v>227.39250000000001</v>
      </c>
      <c r="R20" s="22">
        <f>SCPR2020!AD20</f>
        <v>28.001852939926899</v>
      </c>
      <c r="S20" s="52">
        <v>0</v>
      </c>
      <c r="T20" s="22">
        <f>SCPR2020!AF20</f>
        <v>0</v>
      </c>
      <c r="U20" s="53">
        <f t="shared" si="2"/>
        <v>28.001852939926899</v>
      </c>
      <c r="V20" s="22"/>
      <c r="X20" s="55"/>
      <c r="Z20" s="65"/>
    </row>
    <row r="21" spans="1:26">
      <c r="A21" s="19">
        <v>11</v>
      </c>
      <c r="B21" s="30" t="s">
        <v>36</v>
      </c>
      <c r="C21" s="21">
        <v>700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46">
        <f t="shared" si="0"/>
        <v>700</v>
      </c>
      <c r="Q21" s="22">
        <f t="shared" si="1"/>
        <v>58.3333333333333</v>
      </c>
      <c r="R21" s="22">
        <f>SCPR2020!AD21</f>
        <v>7.1833566256395303</v>
      </c>
      <c r="S21" s="52">
        <v>0</v>
      </c>
      <c r="T21" s="22">
        <f>SCPR2020!AF21</f>
        <v>0</v>
      </c>
      <c r="U21" s="53">
        <f>T21</f>
        <v>0</v>
      </c>
      <c r="V21" s="22"/>
      <c r="X21" s="54"/>
      <c r="Y21" s="67"/>
      <c r="Z21" s="65"/>
    </row>
    <row r="22" spans="1:26">
      <c r="A22" s="23">
        <v>12</v>
      </c>
      <c r="B22" s="31" t="s">
        <v>37</v>
      </c>
      <c r="C22" s="21">
        <v>2021.27</v>
      </c>
      <c r="D22" s="22">
        <f>60</f>
        <v>60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46">
        <f t="shared" si="0"/>
        <v>2081.27</v>
      </c>
      <c r="Q22" s="22">
        <f t="shared" si="1"/>
        <v>173.43916666666701</v>
      </c>
      <c r="R22" s="22">
        <f>SCPR2020!AD22</f>
        <v>21.139592355453502</v>
      </c>
      <c r="S22" s="52">
        <f>200</f>
        <v>200</v>
      </c>
      <c r="T22" s="22">
        <f>SCPR2020!AF22</f>
        <v>22.461003627569529</v>
      </c>
      <c r="U22" s="53">
        <f t="shared" si="2"/>
        <v>43.600595983023027</v>
      </c>
      <c r="V22" s="22"/>
      <c r="X22" s="55"/>
      <c r="Y22" s="67"/>
      <c r="Z22" s="65"/>
    </row>
    <row r="23" spans="1:26">
      <c r="A23" s="23">
        <v>13</v>
      </c>
      <c r="B23" s="27" t="s">
        <v>38</v>
      </c>
      <c r="C23" s="21">
        <v>2122.33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46">
        <f t="shared" si="0"/>
        <v>2122.33</v>
      </c>
      <c r="Q23" s="22">
        <f t="shared" si="1"/>
        <v>176.86083333333301</v>
      </c>
      <c r="R23" s="22">
        <f>SCPR2020!AD23</f>
        <v>20.523876073255799</v>
      </c>
      <c r="S23" s="58">
        <v>0</v>
      </c>
      <c r="T23" s="22">
        <f>SCPR2020!AF23</f>
        <v>0</v>
      </c>
      <c r="U23" s="53">
        <f t="shared" si="2"/>
        <v>20.523876073255799</v>
      </c>
      <c r="V23" s="22"/>
      <c r="X23" s="55"/>
      <c r="Y23" s="67"/>
      <c r="Z23" s="65"/>
    </row>
    <row r="24" spans="1:26">
      <c r="A24" s="23">
        <v>14</v>
      </c>
      <c r="B24" s="27" t="s">
        <v>39</v>
      </c>
      <c r="C24" s="21">
        <v>3260</v>
      </c>
      <c r="D24" s="22">
        <v>100</v>
      </c>
      <c r="E24" s="22"/>
      <c r="F24" s="22"/>
      <c r="G24" s="22"/>
      <c r="H24" s="22"/>
      <c r="I24" s="22"/>
      <c r="J24" s="22"/>
      <c r="K24" s="22">
        <v>0</v>
      </c>
      <c r="L24" s="22"/>
      <c r="M24" s="22">
        <v>0</v>
      </c>
      <c r="N24" s="22">
        <v>0</v>
      </c>
      <c r="O24" s="22">
        <v>200</v>
      </c>
      <c r="P24" s="46">
        <f t="shared" si="0"/>
        <v>3560</v>
      </c>
      <c r="Q24" s="22">
        <f t="shared" si="1"/>
        <v>296.66666666666703</v>
      </c>
      <c r="R24" s="22">
        <f>SCPR2020!AD24</f>
        <v>38.379648256988403</v>
      </c>
      <c r="S24" s="52">
        <f>200</f>
        <v>200</v>
      </c>
      <c r="T24" s="22">
        <f>SCPR2020!AF24</f>
        <v>22.461003627569529</v>
      </c>
      <c r="U24" s="53">
        <f t="shared" si="2"/>
        <v>60.840651884557928</v>
      </c>
      <c r="V24" s="22"/>
      <c r="Y24" s="67"/>
      <c r="Z24" s="65"/>
    </row>
    <row r="25" spans="1:26" s="2" customFormat="1">
      <c r="A25" s="19">
        <v>15</v>
      </c>
      <c r="B25" s="20" t="s">
        <v>40</v>
      </c>
      <c r="C25" s="28">
        <v>150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46">
        <f t="shared" si="0"/>
        <v>150</v>
      </c>
      <c r="Q25" s="22">
        <f t="shared" si="1"/>
        <v>12.5</v>
      </c>
      <c r="R25" s="22">
        <f>SCPR2020!AD25</f>
        <v>1.53929070549419</v>
      </c>
      <c r="S25" s="56"/>
      <c r="T25" s="22">
        <f>SCPR2020!AF25</f>
        <v>0</v>
      </c>
      <c r="U25" s="57"/>
      <c r="V25" s="25"/>
      <c r="Y25" s="62"/>
      <c r="Z25" s="62"/>
    </row>
    <row r="26" spans="1:26">
      <c r="A26" s="19">
        <v>16</v>
      </c>
      <c r="B26" s="27" t="s">
        <v>41</v>
      </c>
      <c r="C26" s="21">
        <v>1200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46">
        <f t="shared" si="0"/>
        <v>1200</v>
      </c>
      <c r="Q26" s="22">
        <f t="shared" si="1"/>
        <v>100</v>
      </c>
      <c r="R26" s="22">
        <f>SCPR2020!AD26</f>
        <v>12.3143256439535</v>
      </c>
      <c r="S26" s="52"/>
      <c r="T26" s="22">
        <f>SCPR2020!AF26</f>
        <v>0</v>
      </c>
      <c r="U26" s="53"/>
      <c r="V26" s="22"/>
    </row>
    <row r="27" spans="1:26">
      <c r="A27" s="19">
        <v>17</v>
      </c>
      <c r="B27" s="27" t="s">
        <v>42</v>
      </c>
      <c r="C27" s="28">
        <v>200</v>
      </c>
      <c r="D27" s="22"/>
      <c r="E27" s="22"/>
      <c r="F27" s="22"/>
      <c r="G27" s="22"/>
      <c r="H27" s="22">
        <v>0</v>
      </c>
      <c r="I27" s="22"/>
      <c r="J27" s="22"/>
      <c r="K27" s="22"/>
      <c r="L27" s="22"/>
      <c r="M27" s="22"/>
      <c r="N27" s="22"/>
      <c r="O27" s="22"/>
      <c r="P27" s="46">
        <f t="shared" si="0"/>
        <v>200</v>
      </c>
      <c r="Q27" s="22">
        <f t="shared" si="1"/>
        <v>16.6666666666667</v>
      </c>
      <c r="R27" s="22">
        <f>SCPR2020!AD27</f>
        <v>2.05238760732558</v>
      </c>
      <c r="S27" s="52">
        <v>0</v>
      </c>
      <c r="T27" s="22">
        <f>SCPR2020!AF27</f>
        <v>0</v>
      </c>
      <c r="U27" s="53">
        <f>T27</f>
        <v>0</v>
      </c>
      <c r="V27" s="22"/>
      <c r="X27" s="54"/>
      <c r="Y27" s="67"/>
      <c r="Z27" s="65"/>
    </row>
    <row r="28" spans="1:26" s="2" customFormat="1">
      <c r="A28" s="23">
        <v>18</v>
      </c>
      <c r="B28" s="20" t="s">
        <v>43</v>
      </c>
      <c r="C28" s="21">
        <v>2120</v>
      </c>
      <c r="D28" s="25">
        <f>240</f>
        <v>240</v>
      </c>
      <c r="E28" s="25"/>
      <c r="F28" s="26">
        <v>60</v>
      </c>
      <c r="G28" s="25"/>
      <c r="H28" s="25"/>
      <c r="I28" s="25"/>
      <c r="J28" s="25"/>
      <c r="K28" s="25"/>
      <c r="L28" s="25"/>
      <c r="M28" s="25"/>
      <c r="N28" s="25"/>
      <c r="O28" s="25"/>
      <c r="P28" s="46">
        <f t="shared" si="0"/>
        <v>2420</v>
      </c>
      <c r="Q28" s="22">
        <f t="shared" si="1"/>
        <v>201.666666666667</v>
      </c>
      <c r="R28" s="22">
        <f>SCPR2020!AD28</f>
        <v>26.3526568780605</v>
      </c>
      <c r="S28" s="56">
        <f>200</f>
        <v>200</v>
      </c>
      <c r="T28" s="22">
        <f>SCPR2020!AF28</f>
        <v>22.461003627569529</v>
      </c>
      <c r="U28" s="57">
        <f>R28+T28</f>
        <v>48.813660505630025</v>
      </c>
      <c r="V28" s="25"/>
      <c r="Y28" s="62"/>
      <c r="Z28" s="62"/>
    </row>
    <row r="29" spans="1:26">
      <c r="A29" s="29">
        <v>19</v>
      </c>
      <c r="B29" s="30" t="s">
        <v>44</v>
      </c>
      <c r="C29" s="21">
        <v>4530</v>
      </c>
      <c r="D29" s="22"/>
      <c r="E29" s="22">
        <f>570+200</f>
        <v>770</v>
      </c>
      <c r="F29" s="33">
        <f>300+300+1320</f>
        <v>1920</v>
      </c>
      <c r="G29" s="22"/>
      <c r="H29" s="22"/>
      <c r="I29" s="22"/>
      <c r="J29" s="22"/>
      <c r="K29" s="22"/>
      <c r="L29" s="22"/>
      <c r="M29" s="22"/>
      <c r="N29" s="22"/>
      <c r="O29" s="22"/>
      <c r="P29" s="120">
        <f t="shared" si="0"/>
        <v>7220</v>
      </c>
      <c r="Q29" s="22">
        <f t="shared" si="1"/>
        <v>601.66666666666697</v>
      </c>
      <c r="R29" s="22">
        <f>SCPR2020!AD29</f>
        <v>71.833566256395301</v>
      </c>
      <c r="S29" s="52">
        <f>200</f>
        <v>200</v>
      </c>
      <c r="T29" s="22">
        <f>SCPR2020!AF29</f>
        <v>22.461003627569529</v>
      </c>
      <c r="U29" s="53">
        <f>R29+T29</f>
        <v>94.294569883964826</v>
      </c>
      <c r="V29" s="22"/>
      <c r="X29" s="55"/>
      <c r="Y29" s="67"/>
      <c r="Z29" s="65"/>
    </row>
    <row r="30" spans="1:26" s="2" customFormat="1">
      <c r="A30" s="19">
        <v>20</v>
      </c>
      <c r="B30" s="20" t="s">
        <v>45</v>
      </c>
      <c r="C30" s="21">
        <v>1300</v>
      </c>
      <c r="D30" s="25"/>
      <c r="E30" s="25"/>
      <c r="F30" s="25">
        <v>0</v>
      </c>
      <c r="G30" s="25"/>
      <c r="H30" s="25"/>
      <c r="I30" s="25">
        <v>0</v>
      </c>
      <c r="J30" s="25">
        <v>0</v>
      </c>
      <c r="K30" s="25"/>
      <c r="L30" s="25"/>
      <c r="M30" s="25"/>
      <c r="N30" s="25"/>
      <c r="O30" s="25"/>
      <c r="P30" s="46">
        <f t="shared" si="0"/>
        <v>1300</v>
      </c>
      <c r="Q30" s="22">
        <f t="shared" si="1"/>
        <v>108.333333333333</v>
      </c>
      <c r="R30" s="22">
        <f>SCPR2020!AD30</f>
        <v>13.3405194476163</v>
      </c>
      <c r="S30" s="56"/>
      <c r="T30" s="22">
        <f>SCPR2020!AF30</f>
        <v>0</v>
      </c>
      <c r="U30" s="57"/>
      <c r="V30" s="25"/>
      <c r="Y30" s="62"/>
      <c r="Z30" s="62"/>
    </row>
    <row r="31" spans="1:26">
      <c r="A31" s="19">
        <v>21</v>
      </c>
      <c r="B31" s="20" t="s">
        <v>46</v>
      </c>
      <c r="C31" s="34">
        <v>750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46">
        <f t="shared" si="0"/>
        <v>750</v>
      </c>
      <c r="Q31" s="22">
        <f t="shared" si="1"/>
        <v>62.5</v>
      </c>
      <c r="R31" s="22">
        <f>SCPR2020!AD31</f>
        <v>7.69645352747093</v>
      </c>
      <c r="S31" s="52"/>
      <c r="T31" s="22">
        <f>SCPR2020!AF31</f>
        <v>0</v>
      </c>
      <c r="U31" s="53"/>
      <c r="V31" s="22"/>
    </row>
    <row r="32" spans="1:26">
      <c r="A32" s="19">
        <v>22</v>
      </c>
      <c r="B32" s="27" t="s">
        <v>47</v>
      </c>
      <c r="C32" s="34">
        <v>1200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46">
        <f t="shared" si="0"/>
        <v>1200</v>
      </c>
      <c r="Q32" s="22">
        <f t="shared" si="1"/>
        <v>100</v>
      </c>
      <c r="R32" s="22">
        <f>SCPR2020!AD32</f>
        <v>12.3143256439535</v>
      </c>
      <c r="S32" s="52">
        <v>0</v>
      </c>
      <c r="T32" s="22">
        <f>SCPR2020!AF32</f>
        <v>0</v>
      </c>
      <c r="U32" s="53">
        <f>T32</f>
        <v>0</v>
      </c>
      <c r="V32" s="22"/>
      <c r="X32" s="54"/>
      <c r="Y32" s="67"/>
      <c r="Z32" s="65"/>
    </row>
    <row r="33" spans="1:26" s="2" customFormat="1" ht="18" customHeight="1">
      <c r="A33" s="19">
        <v>23</v>
      </c>
      <c r="B33" s="20" t="s">
        <v>48</v>
      </c>
      <c r="C33" s="28">
        <v>100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48">
        <f t="shared" si="0"/>
        <v>100</v>
      </c>
      <c r="Q33" s="25">
        <f t="shared" si="1"/>
        <v>8.3333333333333304</v>
      </c>
      <c r="R33" s="22">
        <f>SCPR2020!AD33</f>
        <v>1.02619380366279</v>
      </c>
      <c r="S33" s="56"/>
      <c r="T33" s="22">
        <f>SCPR2020!AF33</f>
        <v>0</v>
      </c>
      <c r="U33" s="57"/>
      <c r="V33" s="25"/>
      <c r="Y33" s="62"/>
      <c r="Z33" s="62"/>
    </row>
    <row r="34" spans="1:26">
      <c r="A34" s="23">
        <v>24</v>
      </c>
      <c r="B34" s="20" t="s">
        <v>49</v>
      </c>
      <c r="C34" s="34">
        <v>2009</v>
      </c>
      <c r="D34" s="22"/>
      <c r="E34" s="22"/>
      <c r="F34" s="22"/>
      <c r="G34" s="22"/>
      <c r="H34" s="22">
        <v>0</v>
      </c>
      <c r="I34" s="22"/>
      <c r="J34" s="22"/>
      <c r="K34" s="22"/>
      <c r="L34" s="22"/>
      <c r="M34" s="22"/>
      <c r="N34" s="22"/>
      <c r="O34" s="22"/>
      <c r="P34" s="46">
        <f t="shared" si="0"/>
        <v>2009</v>
      </c>
      <c r="Q34" s="22">
        <f t="shared" si="1"/>
        <v>167.416666666667</v>
      </c>
      <c r="R34" s="22">
        <f>SCPR2020!AD34</f>
        <v>21.693737009431398</v>
      </c>
      <c r="S34" s="52">
        <v>0</v>
      </c>
      <c r="T34" s="22">
        <f>SCPR2020!AF34</f>
        <v>0</v>
      </c>
      <c r="U34" s="53">
        <f>R34+T34</f>
        <v>21.693737009431398</v>
      </c>
      <c r="V34" s="22"/>
      <c r="X34" s="54"/>
      <c r="Y34" s="67"/>
      <c r="Z34" s="65"/>
    </row>
    <row r="35" spans="1:26" s="2" customFormat="1">
      <c r="A35" s="19">
        <v>25</v>
      </c>
      <c r="B35" s="20" t="s">
        <v>50</v>
      </c>
      <c r="C35" s="34">
        <v>600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46">
        <f t="shared" si="0"/>
        <v>600</v>
      </c>
      <c r="Q35" s="22">
        <f t="shared" si="1"/>
        <v>50</v>
      </c>
      <c r="R35" s="22">
        <f>SCPR2020!AD35</f>
        <v>6.1571628219767396</v>
      </c>
      <c r="S35" s="56"/>
      <c r="T35" s="22">
        <f>SCPR2020!AF35</f>
        <v>0</v>
      </c>
      <c r="U35" s="57"/>
      <c r="V35" s="25"/>
      <c r="Y35" s="62"/>
      <c r="Z35" s="62"/>
    </row>
    <row r="36" spans="1:26">
      <c r="A36" s="23">
        <v>26</v>
      </c>
      <c r="B36" s="20" t="s">
        <v>51</v>
      </c>
      <c r="C36" s="21">
        <v>2885</v>
      </c>
      <c r="D36" s="22"/>
      <c r="E36" s="22"/>
      <c r="F36" s="22"/>
      <c r="G36" s="22"/>
      <c r="H36" s="22"/>
      <c r="I36" s="22"/>
      <c r="J36" s="22"/>
      <c r="K36" s="22"/>
      <c r="L36" s="22">
        <v>0</v>
      </c>
      <c r="M36" s="22"/>
      <c r="N36" s="22">
        <v>0</v>
      </c>
      <c r="O36" s="22"/>
      <c r="P36" s="46">
        <f t="shared" si="0"/>
        <v>2885</v>
      </c>
      <c r="Q36" s="22">
        <f t="shared" si="1"/>
        <v>240.416666666667</v>
      </c>
      <c r="R36" s="22">
        <f>SCPR2020!AD36</f>
        <v>31.863317603729602</v>
      </c>
      <c r="S36" s="52">
        <v>0</v>
      </c>
      <c r="T36" s="22">
        <f>SCPR2020!AF36</f>
        <v>0</v>
      </c>
      <c r="U36" s="53">
        <f>R36+T36</f>
        <v>31.863317603729602</v>
      </c>
      <c r="V36" s="22"/>
      <c r="X36" s="55"/>
      <c r="Y36" s="67"/>
      <c r="Z36" s="65"/>
    </row>
    <row r="37" spans="1:26" s="2" customFormat="1">
      <c r="A37" s="23">
        <v>27</v>
      </c>
      <c r="B37" s="20" t="s">
        <v>52</v>
      </c>
      <c r="C37" s="21">
        <v>2120</v>
      </c>
      <c r="D37" s="25"/>
      <c r="E37" s="25"/>
      <c r="F37" s="25"/>
      <c r="G37" s="25"/>
      <c r="H37" s="25"/>
      <c r="I37" s="25"/>
      <c r="J37" s="25">
        <v>0</v>
      </c>
      <c r="K37" s="25"/>
      <c r="L37" s="25"/>
      <c r="M37" s="25"/>
      <c r="N37" s="25"/>
      <c r="O37" s="25"/>
      <c r="P37" s="46">
        <f t="shared" si="0"/>
        <v>2120</v>
      </c>
      <c r="Q37" s="22">
        <f t="shared" si="1"/>
        <v>176.666666666667</v>
      </c>
      <c r="R37" s="22">
        <f>SCPR2020!AD37</f>
        <v>22.8328121314971</v>
      </c>
      <c r="S37" s="56">
        <v>0</v>
      </c>
      <c r="T37" s="22">
        <f>SCPR2020!AF37</f>
        <v>0</v>
      </c>
      <c r="U37" s="53">
        <f>R37+T37</f>
        <v>22.8328121314971</v>
      </c>
      <c r="V37" s="25"/>
      <c r="X37" s="55"/>
      <c r="Y37" s="67"/>
      <c r="Z37" s="65"/>
    </row>
    <row r="38" spans="1:26">
      <c r="A38" s="23">
        <v>28</v>
      </c>
      <c r="B38" s="20" t="s">
        <v>53</v>
      </c>
      <c r="C38" s="21">
        <v>2021.27</v>
      </c>
      <c r="D38" s="22">
        <f>360</f>
        <v>360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46">
        <f t="shared" si="0"/>
        <v>2381.27</v>
      </c>
      <c r="Q38" s="22">
        <f t="shared" si="1"/>
        <v>198.43916666666701</v>
      </c>
      <c r="R38" s="22">
        <f>SCPR2020!AD38</f>
        <v>24.436445188480899</v>
      </c>
      <c r="S38" s="52"/>
      <c r="T38" s="22"/>
      <c r="U38" s="53">
        <f>R38+T38</f>
        <v>24.436445188480899</v>
      </c>
      <c r="V38" s="22"/>
      <c r="Y38" s="67"/>
      <c r="Z38" s="65"/>
    </row>
    <row r="39" spans="1:26" ht="5.25" customHeight="1">
      <c r="A39" s="35"/>
      <c r="B39" s="36"/>
      <c r="C39" s="37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49"/>
      <c r="Q39" s="39"/>
      <c r="R39" s="39"/>
      <c r="S39" s="59"/>
      <c r="T39" s="39"/>
      <c r="U39" s="39"/>
      <c r="V39" s="39"/>
    </row>
    <row r="40" spans="1:26">
      <c r="A40" s="31"/>
      <c r="B40" s="20"/>
      <c r="C40" s="40"/>
      <c r="U40" s="60" t="s">
        <v>54</v>
      </c>
    </row>
    <row r="41" spans="1:26">
      <c r="A41" s="31"/>
      <c r="B41" s="20"/>
      <c r="C41" s="40"/>
    </row>
    <row r="42" spans="1:26">
      <c r="A42" s="308" t="s">
        <v>0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</row>
    <row r="43" spans="1:26">
      <c r="A43" s="315" t="s">
        <v>1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</row>
    <row r="44" spans="1:26">
      <c r="A44" s="313" t="s">
        <v>2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</row>
    <row r="45" spans="1:26">
      <c r="B45" s="9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51"/>
      <c r="T45" s="9"/>
      <c r="U45" s="9"/>
      <c r="V45" s="9"/>
    </row>
    <row r="46" spans="1:26" ht="18">
      <c r="A46" s="316" t="s">
        <v>3</v>
      </c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</row>
    <row r="47" spans="1:26" ht="12.75" customHeight="1">
      <c r="A47" s="313" t="s">
        <v>145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/>
    </row>
    <row r="48" spans="1:26" ht="6" customHeight="1">
      <c r="A48" s="10"/>
      <c r="B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26" ht="14.25" customHeight="1">
      <c r="A49" s="336" t="s">
        <v>5</v>
      </c>
      <c r="B49" s="337"/>
      <c r="C49" s="332" t="s">
        <v>201</v>
      </c>
      <c r="D49" s="319" t="s">
        <v>7</v>
      </c>
      <c r="E49" s="319" t="s">
        <v>8</v>
      </c>
      <c r="F49" s="319" t="s">
        <v>9</v>
      </c>
      <c r="G49" s="319" t="s">
        <v>10</v>
      </c>
      <c r="H49" s="321" t="s">
        <v>11</v>
      </c>
      <c r="I49" s="319" t="s">
        <v>12</v>
      </c>
      <c r="J49" s="319" t="s">
        <v>13</v>
      </c>
      <c r="K49" s="319" t="s">
        <v>14</v>
      </c>
      <c r="L49" s="319" t="s">
        <v>15</v>
      </c>
      <c r="M49" s="319" t="s">
        <v>16</v>
      </c>
      <c r="N49" s="319" t="s">
        <v>17</v>
      </c>
      <c r="O49" s="319" t="s">
        <v>18</v>
      </c>
      <c r="P49" s="319" t="s">
        <v>19</v>
      </c>
      <c r="Q49" s="319" t="s">
        <v>20</v>
      </c>
      <c r="R49" s="327" t="s">
        <v>21</v>
      </c>
      <c r="S49" s="323" t="s">
        <v>22</v>
      </c>
      <c r="T49" s="342" t="s">
        <v>23</v>
      </c>
      <c r="U49" s="329" t="s">
        <v>24</v>
      </c>
      <c r="V49" s="325" t="s">
        <v>25</v>
      </c>
    </row>
    <row r="50" spans="1:26" ht="16.5" customHeight="1">
      <c r="A50" s="338"/>
      <c r="B50" s="339"/>
      <c r="C50" s="333"/>
      <c r="D50" s="320"/>
      <c r="E50" s="320"/>
      <c r="F50" s="320"/>
      <c r="G50" s="320"/>
      <c r="H50" s="322"/>
      <c r="I50" s="320"/>
      <c r="J50" s="320"/>
      <c r="K50" s="320"/>
      <c r="L50" s="320"/>
      <c r="M50" s="320"/>
      <c r="N50" s="320"/>
      <c r="O50" s="320"/>
      <c r="P50" s="320"/>
      <c r="Q50" s="320"/>
      <c r="R50" s="328"/>
      <c r="S50" s="324"/>
      <c r="T50" s="343"/>
      <c r="U50" s="330"/>
      <c r="V50" s="326"/>
    </row>
    <row r="51" spans="1:26" ht="5.25" customHeight="1">
      <c r="A51" s="41"/>
      <c r="B51" s="16"/>
      <c r="C51" s="42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61"/>
      <c r="T51" s="44"/>
      <c r="U51" s="44"/>
      <c r="V51" s="44"/>
    </row>
    <row r="52" spans="1:26">
      <c r="A52" s="23">
        <v>29</v>
      </c>
      <c r="B52" s="27" t="s">
        <v>57</v>
      </c>
      <c r="C52" s="21">
        <v>2021.27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46">
        <f t="shared" ref="P52:P78" si="3">C52+D52+E52+F52+G52+H52+I52+J52+K52+L52+M52+N52+O52</f>
        <v>2021.27</v>
      </c>
      <c r="Q52" s="22">
        <f>P52/12</f>
        <v>168.43916666666701</v>
      </c>
      <c r="R52" s="22">
        <f>SCPR2020!AD52</f>
        <v>20.742147495294901</v>
      </c>
      <c r="S52" s="52"/>
      <c r="T52" s="22"/>
      <c r="U52" s="53">
        <f>R52+T52</f>
        <v>20.742147495294901</v>
      </c>
      <c r="V52" s="22"/>
      <c r="Y52" s="67"/>
      <c r="Z52" s="65"/>
    </row>
    <row r="53" spans="1:26" s="2" customFormat="1">
      <c r="A53" s="23">
        <v>30</v>
      </c>
      <c r="B53" s="20" t="s">
        <v>58</v>
      </c>
      <c r="C53" s="21">
        <v>800</v>
      </c>
      <c r="D53" s="119">
        <f>1300</f>
        <v>1300</v>
      </c>
      <c r="E53" s="25"/>
      <c r="F53" s="25"/>
      <c r="G53" s="25">
        <v>0</v>
      </c>
      <c r="H53" s="25"/>
      <c r="I53" s="25"/>
      <c r="J53" s="25"/>
      <c r="K53" s="25"/>
      <c r="L53" s="25"/>
      <c r="M53" s="25"/>
      <c r="N53" s="25"/>
      <c r="O53" s="25"/>
      <c r="P53" s="46">
        <f t="shared" si="3"/>
        <v>2100</v>
      </c>
      <c r="Q53" s="22">
        <f t="shared" ref="Q53:Q78" si="4">P53/12</f>
        <v>175</v>
      </c>
      <c r="R53" s="22">
        <f>SCPR2020!AD53</f>
        <v>21.550069876918599</v>
      </c>
      <c r="S53" s="56"/>
      <c r="T53" s="25"/>
      <c r="U53" s="53">
        <f>R53+T53</f>
        <v>21.550069876918599</v>
      </c>
      <c r="V53" s="25"/>
      <c r="Y53" s="62"/>
      <c r="Z53" s="62"/>
    </row>
    <row r="54" spans="1:26">
      <c r="A54" s="23">
        <v>31</v>
      </c>
      <c r="B54" s="20" t="s">
        <v>59</v>
      </c>
      <c r="C54" s="21">
        <v>2534</v>
      </c>
      <c r="D54" s="22"/>
      <c r="E54" s="22"/>
      <c r="F54" s="22"/>
      <c r="G54" s="22"/>
      <c r="H54" s="22"/>
      <c r="I54" s="22"/>
      <c r="J54" s="22"/>
      <c r="K54" s="22"/>
      <c r="L54" s="22">
        <v>0</v>
      </c>
      <c r="M54" s="22">
        <v>0</v>
      </c>
      <c r="N54" s="22"/>
      <c r="O54" s="22"/>
      <c r="P54" s="46">
        <f t="shared" si="3"/>
        <v>2534</v>
      </c>
      <c r="Q54" s="22">
        <f t="shared" si="4"/>
        <v>211.166666666667</v>
      </c>
      <c r="R54" s="22">
        <f>SCPR2020!AD54</f>
        <v>26.906801532038401</v>
      </c>
      <c r="S54" s="52">
        <v>0</v>
      </c>
      <c r="T54" s="22">
        <f>SCPR2020!AF54</f>
        <v>0</v>
      </c>
      <c r="U54" s="53">
        <f>R54+T54</f>
        <v>26.906801532038401</v>
      </c>
      <c r="V54" s="22"/>
      <c r="X54" s="55"/>
      <c r="Y54" s="67"/>
      <c r="Z54" s="65"/>
    </row>
    <row r="55" spans="1:26">
      <c r="A55" s="23">
        <v>32</v>
      </c>
      <c r="B55" s="27" t="s">
        <v>60</v>
      </c>
      <c r="C55" s="21">
        <v>2454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>
        <v>0</v>
      </c>
      <c r="O55" s="22"/>
      <c r="P55" s="46">
        <f t="shared" si="3"/>
        <v>2454</v>
      </c>
      <c r="Q55" s="22">
        <f t="shared" si="4"/>
        <v>204.5</v>
      </c>
      <c r="R55" s="22">
        <f>SCPR2020!AD55</f>
        <v>28.3639967332395</v>
      </c>
      <c r="S55" s="52">
        <v>0</v>
      </c>
      <c r="T55" s="22">
        <f>SCPR2020!AF55</f>
        <v>0</v>
      </c>
      <c r="U55" s="53">
        <f>R55+T55</f>
        <v>28.3639967332395</v>
      </c>
      <c r="V55" s="22"/>
      <c r="X55" s="55"/>
      <c r="Y55" s="67"/>
      <c r="Z55" s="65"/>
    </row>
    <row r="56" spans="1:26" s="2" customFormat="1">
      <c r="A56" s="19">
        <v>33</v>
      </c>
      <c r="B56" s="20" t="s">
        <v>61</v>
      </c>
      <c r="C56" s="21">
        <v>1100</v>
      </c>
      <c r="D56" s="25"/>
      <c r="E56" s="25">
        <v>0</v>
      </c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46">
        <f t="shared" si="3"/>
        <v>1100</v>
      </c>
      <c r="Q56" s="22">
        <f t="shared" si="4"/>
        <v>91.6666666666667</v>
      </c>
      <c r="R56" s="22">
        <f>SCPR2020!AD56</f>
        <v>11.288131840290699</v>
      </c>
      <c r="S56" s="56"/>
      <c r="T56" s="22">
        <f>SCPR2020!AF56</f>
        <v>0</v>
      </c>
      <c r="U56" s="57"/>
      <c r="V56" s="25"/>
      <c r="Y56" s="62"/>
      <c r="Z56" s="62"/>
    </row>
    <row r="57" spans="1:26">
      <c r="A57" s="19">
        <v>34</v>
      </c>
      <c r="B57" s="27" t="s">
        <v>62</v>
      </c>
      <c r="C57" s="34">
        <v>1000</v>
      </c>
      <c r="D57" s="22"/>
      <c r="E57" s="22">
        <v>0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46">
        <f t="shared" si="3"/>
        <v>1000</v>
      </c>
      <c r="Q57" s="22">
        <f t="shared" si="4"/>
        <v>83.3333333333333</v>
      </c>
      <c r="R57" s="22">
        <f>SCPR2020!AD57</f>
        <v>10.2619380366279</v>
      </c>
      <c r="S57" s="52"/>
      <c r="T57" s="22">
        <f>SCPR2020!AF57</f>
        <v>0</v>
      </c>
      <c r="U57" s="53"/>
      <c r="V57" s="22"/>
    </row>
    <row r="58" spans="1:26" s="2" customFormat="1">
      <c r="A58" s="19">
        <v>35</v>
      </c>
      <c r="B58" s="20" t="s">
        <v>63</v>
      </c>
      <c r="C58" s="34">
        <v>935.84</v>
      </c>
      <c r="D58" s="25"/>
      <c r="E58" s="25"/>
      <c r="F58" s="25"/>
      <c r="G58" s="25">
        <v>0</v>
      </c>
      <c r="H58" s="25"/>
      <c r="I58" s="25"/>
      <c r="J58" s="25">
        <v>0</v>
      </c>
      <c r="K58" s="25"/>
      <c r="L58" s="25"/>
      <c r="M58" s="25"/>
      <c r="N58" s="25"/>
      <c r="O58" s="25"/>
      <c r="P58" s="46">
        <f t="shared" si="3"/>
        <v>935.84</v>
      </c>
      <c r="Q58" s="22">
        <f t="shared" si="4"/>
        <v>77.986666666666693</v>
      </c>
      <c r="R58" s="22">
        <f>SCPR2020!AD58</f>
        <v>10.4655348872746</v>
      </c>
      <c r="S58" s="56">
        <v>0</v>
      </c>
      <c r="T58" s="22">
        <f>SCPR2020!AF58</f>
        <v>0</v>
      </c>
      <c r="U58" s="53">
        <f>T58</f>
        <v>0</v>
      </c>
      <c r="V58" s="25"/>
      <c r="X58" s="54"/>
      <c r="Y58" s="67"/>
      <c r="Z58" s="65"/>
    </row>
    <row r="59" spans="1:26" ht="27.6">
      <c r="A59" s="19">
        <v>36</v>
      </c>
      <c r="B59" s="20" t="s">
        <v>64</v>
      </c>
      <c r="C59" s="34">
        <v>300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46">
        <f t="shared" si="3"/>
        <v>300</v>
      </c>
      <c r="Q59" s="22">
        <f t="shared" si="4"/>
        <v>25</v>
      </c>
      <c r="R59" s="22">
        <f>SCPR2020!AD59</f>
        <v>3.0785814109883698</v>
      </c>
      <c r="S59" s="52">
        <v>0</v>
      </c>
      <c r="T59" s="22">
        <f>SCPR2020!AF59</f>
        <v>0</v>
      </c>
      <c r="U59" s="53">
        <f>T59</f>
        <v>0</v>
      </c>
      <c r="V59" s="22"/>
      <c r="X59" s="54"/>
      <c r="Y59" s="67"/>
      <c r="Z59" s="65"/>
    </row>
    <row r="60" spans="1:26">
      <c r="A60" s="19">
        <v>37</v>
      </c>
      <c r="B60" s="20" t="s">
        <v>65</v>
      </c>
      <c r="C60" s="34">
        <v>650</v>
      </c>
      <c r="D60" s="22">
        <v>0</v>
      </c>
      <c r="E60" s="22"/>
      <c r="F60" s="22">
        <v>0</v>
      </c>
      <c r="G60" s="22"/>
      <c r="H60" s="22">
        <v>0</v>
      </c>
      <c r="I60" s="22"/>
      <c r="J60" s="22"/>
      <c r="K60" s="22"/>
      <c r="L60" s="22"/>
      <c r="M60" s="22"/>
      <c r="N60" s="22"/>
      <c r="O60" s="22"/>
      <c r="P60" s="46">
        <f t="shared" si="3"/>
        <v>650</v>
      </c>
      <c r="Q60" s="22">
        <f t="shared" si="4"/>
        <v>54.1666666666667</v>
      </c>
      <c r="R60" s="22">
        <f>SCPR2020!AD60</f>
        <v>6.6702597238081403</v>
      </c>
      <c r="S60" s="52"/>
      <c r="T60" s="22">
        <f>SCPR2020!AF60</f>
        <v>0</v>
      </c>
      <c r="U60" s="53"/>
      <c r="V60" s="22"/>
      <c r="X60" s="54"/>
    </row>
    <row r="61" spans="1:26">
      <c r="A61" s="19">
        <v>38</v>
      </c>
      <c r="B61" s="20" t="s">
        <v>66</v>
      </c>
      <c r="C61" s="34">
        <v>350</v>
      </c>
      <c r="D61" s="22"/>
      <c r="E61" s="22"/>
      <c r="F61" s="22">
        <v>0</v>
      </c>
      <c r="G61" s="22"/>
      <c r="H61" s="22"/>
      <c r="I61" s="22"/>
      <c r="J61" s="22"/>
      <c r="K61" s="22"/>
      <c r="L61" s="22"/>
      <c r="M61" s="22"/>
      <c r="N61" s="22"/>
      <c r="O61" s="22"/>
      <c r="P61" s="46">
        <f t="shared" si="3"/>
        <v>350</v>
      </c>
      <c r="Q61" s="22">
        <f t="shared" si="4"/>
        <v>29.1666666666667</v>
      </c>
      <c r="R61" s="22">
        <f>SCPR2020!AD61</f>
        <v>3.59167831281977</v>
      </c>
      <c r="S61" s="52"/>
      <c r="T61" s="22">
        <f>SCPR2020!AF61</f>
        <v>0</v>
      </c>
      <c r="U61" s="53"/>
      <c r="V61" s="22"/>
      <c r="X61" s="54"/>
    </row>
    <row r="62" spans="1:26">
      <c r="A62" s="19">
        <v>39</v>
      </c>
      <c r="B62" s="20" t="s">
        <v>67</v>
      </c>
      <c r="C62" s="28">
        <v>150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46">
        <f t="shared" si="3"/>
        <v>150</v>
      </c>
      <c r="Q62" s="22">
        <f t="shared" si="4"/>
        <v>12.5</v>
      </c>
      <c r="R62" s="22">
        <f>SCPR2020!AD62</f>
        <v>1.53929070549419</v>
      </c>
      <c r="S62" s="52"/>
      <c r="T62" s="22">
        <f>SCPR2020!AF62</f>
        <v>0</v>
      </c>
      <c r="U62" s="53"/>
      <c r="V62" s="22"/>
      <c r="X62" s="54"/>
    </row>
    <row r="63" spans="1:26">
      <c r="A63" s="23">
        <v>40</v>
      </c>
      <c r="B63" s="20" t="s">
        <v>68</v>
      </c>
      <c r="C63" s="21">
        <v>2480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60</v>
      </c>
      <c r="M63" s="22">
        <v>0</v>
      </c>
      <c r="N63" s="22">
        <v>0</v>
      </c>
      <c r="O63" s="22">
        <v>0</v>
      </c>
      <c r="P63" s="46">
        <f t="shared" si="3"/>
        <v>2540</v>
      </c>
      <c r="Q63" s="22">
        <f t="shared" si="4"/>
        <v>211.666666666667</v>
      </c>
      <c r="R63" s="22">
        <f>SCPR2020!AD63</f>
        <v>26.927325408111599</v>
      </c>
      <c r="S63" s="52">
        <f>200</f>
        <v>200</v>
      </c>
      <c r="T63" s="22">
        <f>SCPR2020!AF63</f>
        <v>22.461003627569529</v>
      </c>
      <c r="U63" s="53">
        <f t="shared" ref="U63:U69" si="5">R63+T63</f>
        <v>49.388329035681124</v>
      </c>
      <c r="V63" s="22"/>
      <c r="X63" s="55"/>
      <c r="Y63" s="67"/>
      <c r="Z63" s="65"/>
    </row>
    <row r="64" spans="1:26">
      <c r="A64" s="29">
        <v>41</v>
      </c>
      <c r="B64" s="20" t="s">
        <v>69</v>
      </c>
      <c r="C64" s="21">
        <v>3660</v>
      </c>
      <c r="D64" s="47">
        <v>1000</v>
      </c>
      <c r="E64" s="33">
        <f>1000+1340</f>
        <v>2340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46">
        <f t="shared" si="3"/>
        <v>7000</v>
      </c>
      <c r="Q64" s="22">
        <f t="shared" si="4"/>
        <v>583.33333333333303</v>
      </c>
      <c r="R64" s="22">
        <f>SCPR2020!AD64</f>
        <v>71.833566256395301</v>
      </c>
      <c r="S64" s="52">
        <f>200</f>
        <v>200</v>
      </c>
      <c r="T64" s="22">
        <f>SCPR2020!AF64</f>
        <v>22.461003627569529</v>
      </c>
      <c r="U64" s="53">
        <f t="shared" si="5"/>
        <v>94.294569883964826</v>
      </c>
      <c r="V64" s="22"/>
      <c r="X64" s="55"/>
      <c r="Y64" s="67"/>
      <c r="Z64" s="65"/>
    </row>
    <row r="65" spans="1:26">
      <c r="A65" s="29">
        <v>42</v>
      </c>
      <c r="B65" s="20" t="s">
        <v>70</v>
      </c>
      <c r="C65" s="21">
        <v>7000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46">
        <f t="shared" si="3"/>
        <v>7000</v>
      </c>
      <c r="Q65" s="22">
        <f t="shared" si="4"/>
        <v>583.33333333333303</v>
      </c>
      <c r="R65" s="22">
        <f>SCPR2020!AD65</f>
        <v>71.833566256395301</v>
      </c>
      <c r="S65" s="52">
        <f>400+600+400+240</f>
        <v>1640</v>
      </c>
      <c r="T65" s="22">
        <f>SCPR2020!AF65</f>
        <v>184.18022974607013</v>
      </c>
      <c r="U65" s="53">
        <f t="shared" si="5"/>
        <v>256.01379600246543</v>
      </c>
      <c r="V65" s="22"/>
      <c r="X65" s="55"/>
      <c r="Y65" s="67"/>
      <c r="Z65" s="65"/>
    </row>
    <row r="66" spans="1:26">
      <c r="A66" s="29">
        <v>43</v>
      </c>
      <c r="B66" s="20" t="s">
        <v>71</v>
      </c>
      <c r="C66" s="21">
        <v>7000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46">
        <f t="shared" si="3"/>
        <v>7000</v>
      </c>
      <c r="Q66" s="22">
        <f t="shared" si="4"/>
        <v>583.33333333333303</v>
      </c>
      <c r="R66" s="22">
        <f>SCPR2020!AD66</f>
        <v>71.833566256395301</v>
      </c>
      <c r="S66" s="52">
        <f>400</f>
        <v>400</v>
      </c>
      <c r="T66" s="22">
        <f>SCPR2020!AF66</f>
        <v>44.922007255139057</v>
      </c>
      <c r="U66" s="53">
        <f t="shared" si="5"/>
        <v>116.75557351153435</v>
      </c>
      <c r="V66" s="22"/>
      <c r="X66" s="55"/>
      <c r="Y66" s="67"/>
      <c r="Z66" s="65"/>
    </row>
    <row r="67" spans="1:26">
      <c r="A67" s="23">
        <v>44</v>
      </c>
      <c r="B67" s="20" t="s">
        <v>72</v>
      </c>
      <c r="C67" s="21">
        <v>2021.27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46">
        <f t="shared" si="3"/>
        <v>2021.27</v>
      </c>
      <c r="Q67" s="22">
        <f t="shared" si="4"/>
        <v>168.43916666666701</v>
      </c>
      <c r="R67" s="22">
        <f>SCPR2020!AD67</f>
        <v>20.523876073255799</v>
      </c>
      <c r="S67" s="52"/>
      <c r="T67" s="22">
        <f>SCPR2020!AF67</f>
        <v>0</v>
      </c>
      <c r="U67" s="53">
        <f t="shared" si="5"/>
        <v>20.523876073255799</v>
      </c>
      <c r="V67" s="22"/>
      <c r="Y67" s="67"/>
      <c r="Z67" s="65"/>
    </row>
    <row r="68" spans="1:26">
      <c r="A68" s="23">
        <v>45</v>
      </c>
      <c r="B68" s="20" t="s">
        <v>73</v>
      </c>
      <c r="C68" s="21">
        <v>2818</v>
      </c>
      <c r="D68" s="22">
        <v>300</v>
      </c>
      <c r="E68" s="22">
        <v>0</v>
      </c>
      <c r="F68" s="22"/>
      <c r="G68" s="22">
        <v>0</v>
      </c>
      <c r="H68" s="22"/>
      <c r="I68" s="22">
        <v>0</v>
      </c>
      <c r="J68" s="22">
        <v>0</v>
      </c>
      <c r="K68" s="22">
        <v>0</v>
      </c>
      <c r="L68" s="22">
        <v>0</v>
      </c>
      <c r="M68" s="22"/>
      <c r="N68" s="22">
        <v>0</v>
      </c>
      <c r="O68" s="22">
        <v>0</v>
      </c>
      <c r="P68" s="46">
        <f t="shared" si="3"/>
        <v>3118</v>
      </c>
      <c r="Q68" s="22">
        <f t="shared" si="4"/>
        <v>259.83333333333297</v>
      </c>
      <c r="R68" s="22">
        <f>SCPR2020!AD68</f>
        <v>32.899773345429097</v>
      </c>
      <c r="S68" s="52">
        <v>0</v>
      </c>
      <c r="T68" s="22">
        <f>SCPR2020!AF68</f>
        <v>0</v>
      </c>
      <c r="U68" s="53">
        <f t="shared" si="5"/>
        <v>32.899773345429097</v>
      </c>
      <c r="V68" s="93"/>
      <c r="X68" s="55"/>
      <c r="Y68" s="67"/>
      <c r="Z68" s="65"/>
    </row>
    <row r="69" spans="1:26">
      <c r="A69" s="23">
        <v>46</v>
      </c>
      <c r="B69" s="20" t="s">
        <v>74</v>
      </c>
      <c r="C69" s="21">
        <v>2930</v>
      </c>
      <c r="D69" s="22">
        <f>500+100</f>
        <v>600</v>
      </c>
      <c r="E69" s="22">
        <v>0</v>
      </c>
      <c r="F69" s="22">
        <v>0</v>
      </c>
      <c r="G69" s="22">
        <v>0</v>
      </c>
      <c r="H69" s="22">
        <v>0</v>
      </c>
      <c r="I69" s="22"/>
      <c r="J69" s="45">
        <v>300</v>
      </c>
      <c r="K69" s="22"/>
      <c r="L69" s="22"/>
      <c r="M69" s="22"/>
      <c r="N69" s="22">
        <v>200</v>
      </c>
      <c r="O69" s="22">
        <v>650</v>
      </c>
      <c r="P69" s="46">
        <f t="shared" si="3"/>
        <v>4680</v>
      </c>
      <c r="Q69" s="22">
        <f t="shared" si="4"/>
        <v>390</v>
      </c>
      <c r="R69" s="22">
        <f>SCPR2020!AD69</f>
        <v>53.567316551197699</v>
      </c>
      <c r="S69" s="52">
        <f>400+400</f>
        <v>800</v>
      </c>
      <c r="T69" s="22">
        <f>SCPR2020!AF69</f>
        <v>89.844014510278114</v>
      </c>
      <c r="U69" s="53">
        <f t="shared" si="5"/>
        <v>143.41133106147581</v>
      </c>
      <c r="V69" s="93"/>
      <c r="X69" s="55"/>
      <c r="Y69" s="67"/>
      <c r="Z69" s="65"/>
    </row>
    <row r="70" spans="1:26" s="2" customFormat="1" ht="16.5" customHeight="1">
      <c r="A70" s="19">
        <v>47</v>
      </c>
      <c r="B70" s="68" t="s">
        <v>75</v>
      </c>
      <c r="C70" s="34">
        <v>550</v>
      </c>
      <c r="D70" s="25"/>
      <c r="E70" s="25"/>
      <c r="F70" s="25">
        <v>0</v>
      </c>
      <c r="G70" s="25"/>
      <c r="H70" s="25"/>
      <c r="I70" s="25">
        <v>0</v>
      </c>
      <c r="J70" s="25"/>
      <c r="K70" s="25"/>
      <c r="L70" s="25"/>
      <c r="M70" s="25"/>
      <c r="N70" s="25"/>
      <c r="O70" s="25"/>
      <c r="P70" s="46">
        <f t="shared" si="3"/>
        <v>550</v>
      </c>
      <c r="Q70" s="25">
        <f t="shared" si="4"/>
        <v>45.8333333333333</v>
      </c>
      <c r="R70" s="22">
        <f>SCPR2020!AD70</f>
        <v>5.6440659201453496</v>
      </c>
      <c r="S70" s="56"/>
      <c r="T70" s="22">
        <f>SCPR2020!AF70</f>
        <v>0</v>
      </c>
      <c r="U70" s="57"/>
      <c r="V70" s="94"/>
      <c r="Y70" s="62"/>
      <c r="Z70" s="62"/>
    </row>
    <row r="71" spans="1:26">
      <c r="A71" s="19">
        <v>48</v>
      </c>
      <c r="B71" s="20" t="s">
        <v>76</v>
      </c>
      <c r="C71" s="34">
        <v>800</v>
      </c>
      <c r="D71" s="22">
        <v>0</v>
      </c>
      <c r="E71" s="22"/>
      <c r="F71" s="22">
        <v>0</v>
      </c>
      <c r="G71" s="22"/>
      <c r="H71" s="22"/>
      <c r="I71" s="22"/>
      <c r="J71" s="22"/>
      <c r="K71" s="22">
        <v>0</v>
      </c>
      <c r="L71" s="22"/>
      <c r="M71" s="22"/>
      <c r="N71" s="22"/>
      <c r="O71" s="22"/>
      <c r="P71" s="46">
        <f t="shared" si="3"/>
        <v>800</v>
      </c>
      <c r="Q71" s="22">
        <f t="shared" si="4"/>
        <v>66.6666666666667</v>
      </c>
      <c r="R71" s="22">
        <f>SCPR2020!AD71</f>
        <v>8.2095504293023307</v>
      </c>
      <c r="S71" s="52"/>
      <c r="T71" s="22">
        <f>SCPR2020!AF71</f>
        <v>0</v>
      </c>
      <c r="U71" s="53"/>
      <c r="V71" s="93"/>
    </row>
    <row r="72" spans="1:26">
      <c r="A72" s="23">
        <v>49</v>
      </c>
      <c r="B72" s="20" t="s">
        <v>77</v>
      </c>
      <c r="C72" s="34">
        <v>5460</v>
      </c>
      <c r="D72" s="22">
        <v>60</v>
      </c>
      <c r="E72" s="22"/>
      <c r="F72" s="22"/>
      <c r="G72" s="22"/>
      <c r="H72" s="22"/>
      <c r="I72" s="22"/>
      <c r="J72" s="22"/>
      <c r="K72" s="22"/>
      <c r="L72" s="22"/>
      <c r="M72" s="22"/>
      <c r="N72" s="22">
        <v>0</v>
      </c>
      <c r="O72" s="22"/>
      <c r="P72" s="46">
        <f t="shared" si="3"/>
        <v>5520</v>
      </c>
      <c r="Q72" s="22">
        <f t="shared" si="4"/>
        <v>460</v>
      </c>
      <c r="R72" s="22">
        <f>SCPR2020!AD72</f>
        <v>58.903524330244203</v>
      </c>
      <c r="S72" s="52">
        <f>200+200</f>
        <v>400</v>
      </c>
      <c r="T72" s="22">
        <f>SCPR2020!AF72</f>
        <v>44.922007255139057</v>
      </c>
      <c r="U72" s="53">
        <f t="shared" ref="U72" si="6">R72+T72</f>
        <v>103.82553158538326</v>
      </c>
      <c r="V72" s="93"/>
    </row>
    <row r="73" spans="1:26">
      <c r="A73" s="19">
        <v>50</v>
      </c>
      <c r="B73" s="20" t="s">
        <v>78</v>
      </c>
      <c r="C73" s="28">
        <v>200</v>
      </c>
      <c r="D73" s="22">
        <v>0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46">
        <f t="shared" si="3"/>
        <v>200</v>
      </c>
      <c r="Q73" s="22">
        <f t="shared" si="4"/>
        <v>16.6666666666667</v>
      </c>
      <c r="R73" s="22">
        <f>SCPR2020!AD73</f>
        <v>2.05238760732558</v>
      </c>
      <c r="S73" s="52">
        <v>0</v>
      </c>
      <c r="T73" s="22">
        <f>SCPR2020!AF73</f>
        <v>0</v>
      </c>
      <c r="U73" s="53">
        <f>T73</f>
        <v>0</v>
      </c>
      <c r="V73" s="93"/>
      <c r="X73" s="54"/>
      <c r="Y73" s="67"/>
      <c r="Z73" s="65"/>
    </row>
    <row r="74" spans="1:26">
      <c r="A74" s="19">
        <v>51</v>
      </c>
      <c r="B74" s="69" t="s">
        <v>79</v>
      </c>
      <c r="C74" s="28">
        <v>200</v>
      </c>
      <c r="D74" s="22">
        <v>0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46">
        <f t="shared" si="3"/>
        <v>200</v>
      </c>
      <c r="Q74" s="22">
        <f t="shared" si="4"/>
        <v>16.6666666666667</v>
      </c>
      <c r="R74" s="22">
        <f>SCPR2020!AD74</f>
        <v>2.05238760732558</v>
      </c>
      <c r="S74" s="52">
        <v>0</v>
      </c>
      <c r="T74" s="22">
        <f>SCPR2020!AF74</f>
        <v>0</v>
      </c>
      <c r="U74" s="53">
        <f>T74</f>
        <v>0</v>
      </c>
      <c r="V74" s="93"/>
      <c r="X74" s="54"/>
      <c r="Y74" s="67"/>
      <c r="Z74" s="65"/>
    </row>
    <row r="75" spans="1:26">
      <c r="A75" s="19">
        <v>52</v>
      </c>
      <c r="B75" s="20" t="s">
        <v>80</v>
      </c>
      <c r="C75" s="34">
        <v>1550</v>
      </c>
      <c r="D75" s="5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/>
      <c r="K75" s="22"/>
      <c r="L75" s="22">
        <v>0</v>
      </c>
      <c r="M75" s="22"/>
      <c r="N75" s="22">
        <v>0</v>
      </c>
      <c r="O75" s="22"/>
      <c r="P75" s="46">
        <f t="shared" si="3"/>
        <v>1550</v>
      </c>
      <c r="Q75" s="22">
        <f t="shared" si="4"/>
        <v>129.166666666667</v>
      </c>
      <c r="R75" s="22">
        <f>SCPR2020!AD75</f>
        <v>15.906003956773301</v>
      </c>
      <c r="S75" s="52">
        <v>0</v>
      </c>
      <c r="T75" s="22">
        <f>SCPR2020!AF75</f>
        <v>0</v>
      </c>
      <c r="U75" s="53"/>
      <c r="V75" s="93"/>
    </row>
    <row r="76" spans="1:26">
      <c r="A76" s="23">
        <v>53</v>
      </c>
      <c r="B76" s="20" t="s">
        <v>81</v>
      </c>
      <c r="C76" s="34">
        <v>800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/>
      <c r="K76" s="33">
        <v>1200</v>
      </c>
      <c r="L76" s="22"/>
      <c r="M76" s="22"/>
      <c r="N76" s="22"/>
      <c r="O76" s="22"/>
      <c r="P76" s="46">
        <f t="shared" si="3"/>
        <v>2000</v>
      </c>
      <c r="Q76" s="22">
        <f t="shared" si="4"/>
        <v>166.666666666667</v>
      </c>
      <c r="R76" s="22">
        <f>SCPR2020!AD76</f>
        <v>20.523876073255799</v>
      </c>
      <c r="S76" s="52"/>
      <c r="T76" s="22">
        <f>SCPR2020!AF76</f>
        <v>0</v>
      </c>
      <c r="U76" s="53">
        <f t="shared" ref="U76" si="7">R76+T76</f>
        <v>20.523876073255799</v>
      </c>
      <c r="V76" s="95"/>
    </row>
    <row r="77" spans="1:26">
      <c r="A77" s="19">
        <v>54</v>
      </c>
      <c r="B77" s="70" t="s">
        <v>82</v>
      </c>
      <c r="C77" s="34">
        <v>1400</v>
      </c>
      <c r="D77" s="22"/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/>
      <c r="M77" s="22">
        <v>0</v>
      </c>
      <c r="N77" s="22"/>
      <c r="O77" s="22"/>
      <c r="P77" s="46">
        <f t="shared" si="3"/>
        <v>1400</v>
      </c>
      <c r="Q77" s="22">
        <f t="shared" si="4"/>
        <v>116.666666666667</v>
      </c>
      <c r="R77" s="22">
        <f>SCPR2020!AD77</f>
        <v>16.213862097872099</v>
      </c>
      <c r="S77" s="52">
        <f>400+200</f>
        <v>600</v>
      </c>
      <c r="T77" s="22">
        <f>SCPR2020!AF77</f>
        <v>67.383010882708589</v>
      </c>
      <c r="U77" s="53">
        <f>T77</f>
        <v>67.383010882708589</v>
      </c>
      <c r="V77" s="93"/>
      <c r="X77" s="54"/>
      <c r="Y77" s="67"/>
      <c r="Z77" s="65"/>
    </row>
    <row r="78" spans="1:26">
      <c r="A78" s="19">
        <v>55</v>
      </c>
      <c r="B78" s="70" t="s">
        <v>83</v>
      </c>
      <c r="C78" s="34">
        <v>1370</v>
      </c>
      <c r="D78" s="22"/>
      <c r="E78" s="22"/>
      <c r="F78" s="58">
        <v>100</v>
      </c>
      <c r="G78" s="72">
        <v>60</v>
      </c>
      <c r="H78" s="22">
        <v>0</v>
      </c>
      <c r="I78" s="22">
        <v>60</v>
      </c>
      <c r="J78" s="22"/>
      <c r="K78" s="22">
        <v>0</v>
      </c>
      <c r="L78" s="22">
        <v>0</v>
      </c>
      <c r="M78" s="22">
        <v>60</v>
      </c>
      <c r="N78" s="22"/>
      <c r="O78" s="22">
        <v>0</v>
      </c>
      <c r="P78" s="46">
        <f t="shared" si="3"/>
        <v>1650</v>
      </c>
      <c r="Q78" s="22">
        <f t="shared" si="4"/>
        <v>137.5</v>
      </c>
      <c r="R78" s="22">
        <f>SCPR2020!AD78</f>
        <v>17.835248307659299</v>
      </c>
      <c r="S78" s="52">
        <f>80+200+200+200</f>
        <v>680</v>
      </c>
      <c r="T78" s="22">
        <f>SCPR2020!AF78</f>
        <v>76.367412333736397</v>
      </c>
      <c r="U78" s="53">
        <f>T78</f>
        <v>76.367412333736397</v>
      </c>
      <c r="V78" s="93"/>
      <c r="X78" s="54"/>
      <c r="Y78" s="67"/>
      <c r="Z78" s="65"/>
    </row>
    <row r="79" spans="1:26" ht="7.5" customHeight="1">
      <c r="A79" s="35"/>
      <c r="B79" s="73"/>
      <c r="C79" s="74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90"/>
      <c r="Q79" s="38"/>
      <c r="R79" s="38"/>
      <c r="S79" s="96"/>
      <c r="T79" s="38"/>
      <c r="U79" s="38"/>
      <c r="V79" s="89"/>
    </row>
    <row r="80" spans="1:26">
      <c r="A80" s="31"/>
      <c r="B80" s="70"/>
      <c r="C80" s="40"/>
      <c r="U80" s="60" t="s">
        <v>84</v>
      </c>
    </row>
    <row r="81" spans="1:26">
      <c r="A81" s="31"/>
      <c r="B81" s="70"/>
      <c r="C81" s="40"/>
      <c r="U81" s="3"/>
    </row>
    <row r="82" spans="1:26">
      <c r="A82" s="31"/>
      <c r="B82" s="70"/>
      <c r="C82" s="40"/>
    </row>
    <row r="83" spans="1:26">
      <c r="A83" s="308" t="s">
        <v>0</v>
      </c>
      <c r="B83" s="308"/>
      <c r="C83" s="308"/>
      <c r="D83" s="308"/>
      <c r="E83" s="308"/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</row>
    <row r="84" spans="1:26">
      <c r="A84" s="315" t="s">
        <v>1</v>
      </c>
      <c r="B84" s="315"/>
      <c r="C84" s="315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</row>
    <row r="85" spans="1:26">
      <c r="A85" s="313" t="s">
        <v>2</v>
      </c>
      <c r="B85" s="313"/>
      <c r="C85" s="313"/>
      <c r="D85" s="313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</row>
    <row r="86" spans="1:26">
      <c r="B86" s="9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51"/>
      <c r="T86" s="9"/>
      <c r="U86" s="9"/>
      <c r="V86" s="9"/>
    </row>
    <row r="87" spans="1:26" ht="18">
      <c r="A87" s="316" t="s">
        <v>3</v>
      </c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</row>
    <row r="88" spans="1:26" ht="12.75" customHeight="1">
      <c r="A88" s="313" t="s">
        <v>145</v>
      </c>
      <c r="B88" s="313"/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</row>
    <row r="89" spans="1:26" ht="3.75" customHeight="1">
      <c r="A89" s="10"/>
      <c r="B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26" ht="17.25" customHeight="1">
      <c r="A90" s="336" t="s">
        <v>5</v>
      </c>
      <c r="B90" s="337"/>
      <c r="C90" s="332" t="s">
        <v>201</v>
      </c>
      <c r="D90" s="319" t="s">
        <v>7</v>
      </c>
      <c r="E90" s="319" t="s">
        <v>8</v>
      </c>
      <c r="F90" s="319" t="s">
        <v>9</v>
      </c>
      <c r="G90" s="319" t="s">
        <v>10</v>
      </c>
      <c r="H90" s="321" t="s">
        <v>11</v>
      </c>
      <c r="I90" s="319" t="s">
        <v>12</v>
      </c>
      <c r="J90" s="319" t="s">
        <v>13</v>
      </c>
      <c r="K90" s="319" t="s">
        <v>14</v>
      </c>
      <c r="L90" s="319" t="s">
        <v>15</v>
      </c>
      <c r="M90" s="319" t="s">
        <v>16</v>
      </c>
      <c r="N90" s="319" t="s">
        <v>17</v>
      </c>
      <c r="O90" s="319" t="s">
        <v>18</v>
      </c>
      <c r="P90" s="319" t="s">
        <v>19</v>
      </c>
      <c r="Q90" s="319" t="s">
        <v>20</v>
      </c>
      <c r="R90" s="327" t="s">
        <v>21</v>
      </c>
      <c r="S90" s="323" t="s">
        <v>22</v>
      </c>
      <c r="T90" s="342" t="s">
        <v>23</v>
      </c>
      <c r="U90" s="329" t="s">
        <v>24</v>
      </c>
      <c r="V90" s="325" t="s">
        <v>25</v>
      </c>
    </row>
    <row r="91" spans="1:26" ht="16.5" customHeight="1">
      <c r="A91" s="338"/>
      <c r="B91" s="339"/>
      <c r="C91" s="333"/>
      <c r="D91" s="320"/>
      <c r="E91" s="320"/>
      <c r="F91" s="320"/>
      <c r="G91" s="320"/>
      <c r="H91" s="322"/>
      <c r="I91" s="320"/>
      <c r="J91" s="320"/>
      <c r="K91" s="320"/>
      <c r="L91" s="320"/>
      <c r="M91" s="320"/>
      <c r="N91" s="320"/>
      <c r="O91" s="320"/>
      <c r="P91" s="320"/>
      <c r="Q91" s="320"/>
      <c r="R91" s="328"/>
      <c r="S91" s="324"/>
      <c r="T91" s="343"/>
      <c r="U91" s="330"/>
      <c r="V91" s="326"/>
    </row>
    <row r="92" spans="1:26" ht="4.5" customHeight="1">
      <c r="A92" s="41"/>
      <c r="B92" s="75"/>
      <c r="C92" s="42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61"/>
      <c r="T92" s="44"/>
      <c r="U92" s="44"/>
      <c r="V92" s="44"/>
    </row>
    <row r="93" spans="1:26">
      <c r="A93" s="23">
        <v>56</v>
      </c>
      <c r="B93" s="70" t="s">
        <v>85</v>
      </c>
      <c r="C93" s="76">
        <v>2100.1</v>
      </c>
      <c r="D93" s="93"/>
      <c r="E93" s="93"/>
      <c r="F93" s="22"/>
      <c r="G93" s="22">
        <v>0</v>
      </c>
      <c r="H93" s="22"/>
      <c r="I93" s="22">
        <v>0</v>
      </c>
      <c r="J93" s="22"/>
      <c r="K93" s="22"/>
      <c r="L93" s="22"/>
      <c r="M93" s="22"/>
      <c r="N93" s="22"/>
      <c r="O93" s="22"/>
      <c r="P93" s="46">
        <f t="shared" ref="P93:P98" si="8">C93+D93+E93+F93+G93+H93+I93+J93+K93+L93+M93+N93+O93</f>
        <v>2100.1</v>
      </c>
      <c r="Q93" s="22">
        <f t="shared" ref="Q93:Q137" si="9">P93/12</f>
        <v>175.00833333333301</v>
      </c>
      <c r="R93" s="22">
        <f>SCPR2020!AD93</f>
        <v>23.398244917315299</v>
      </c>
      <c r="S93" s="97"/>
      <c r="T93" s="93"/>
      <c r="U93" s="53">
        <f t="shared" ref="U93:U100" si="10">R93+T93</f>
        <v>23.398244917315299</v>
      </c>
      <c r="V93" s="93"/>
      <c r="Y93" s="67"/>
      <c r="Z93" s="65"/>
    </row>
    <row r="94" spans="1:26">
      <c r="A94" s="23">
        <v>57</v>
      </c>
      <c r="B94" s="70" t="s">
        <v>86</v>
      </c>
      <c r="C94" s="76">
        <v>2122.33</v>
      </c>
      <c r="D94" s="93"/>
      <c r="E94" s="93"/>
      <c r="F94" s="22"/>
      <c r="G94" s="22">
        <v>0</v>
      </c>
      <c r="H94" s="22"/>
      <c r="I94" s="22"/>
      <c r="J94" s="22">
        <v>0</v>
      </c>
      <c r="K94" s="22">
        <v>0</v>
      </c>
      <c r="L94" s="22"/>
      <c r="M94" s="22"/>
      <c r="N94" s="22"/>
      <c r="O94" s="22"/>
      <c r="P94" s="46">
        <f t="shared" si="8"/>
        <v>2122.33</v>
      </c>
      <c r="Q94" s="22">
        <f t="shared" si="9"/>
        <v>176.86083333333301</v>
      </c>
      <c r="R94" s="22">
        <f>SCPR2020!AD94</f>
        <v>21.779218953276501</v>
      </c>
      <c r="S94" s="97"/>
      <c r="T94" s="93"/>
      <c r="U94" s="53">
        <f t="shared" si="10"/>
        <v>21.779218953276501</v>
      </c>
      <c r="V94" s="93"/>
    </row>
    <row r="95" spans="1:26">
      <c r="A95" s="23">
        <v>58</v>
      </c>
      <c r="B95" s="70" t="s">
        <v>87</v>
      </c>
      <c r="C95" s="76">
        <v>2465</v>
      </c>
      <c r="D95" s="93"/>
      <c r="E95" s="93"/>
      <c r="F95" s="22">
        <v>0</v>
      </c>
      <c r="G95" s="22"/>
      <c r="H95" s="22"/>
      <c r="I95" s="22"/>
      <c r="J95" s="22"/>
      <c r="K95" s="22"/>
      <c r="L95" s="22">
        <v>0</v>
      </c>
      <c r="M95" s="22"/>
      <c r="N95" s="22"/>
      <c r="O95" s="22"/>
      <c r="P95" s="46">
        <f t="shared" si="8"/>
        <v>2465</v>
      </c>
      <c r="Q95" s="22">
        <f t="shared" si="9"/>
        <v>205.416666666667</v>
      </c>
      <c r="R95" s="22">
        <f>SCPR2020!AD95</f>
        <v>26.814444089708701</v>
      </c>
      <c r="S95" s="52">
        <v>0</v>
      </c>
      <c r="T95" s="22">
        <f>SCPR2020!AF95</f>
        <v>0</v>
      </c>
      <c r="U95" s="53">
        <f t="shared" si="10"/>
        <v>26.814444089708701</v>
      </c>
      <c r="V95" s="93"/>
      <c r="X95" s="55"/>
      <c r="Y95" s="67"/>
      <c r="Z95" s="65"/>
    </row>
    <row r="96" spans="1:26">
      <c r="A96" s="29">
        <v>59</v>
      </c>
      <c r="B96" s="70" t="str">
        <f>[1]Membership!$B$71</f>
        <v>Concepcion B. Cruz</v>
      </c>
      <c r="C96" s="76">
        <v>5060</v>
      </c>
      <c r="D96" s="47">
        <v>1060</v>
      </c>
      <c r="E96" s="93"/>
      <c r="F96" s="45">
        <v>880</v>
      </c>
      <c r="G96" s="22"/>
      <c r="H96" s="22">
        <v>0</v>
      </c>
      <c r="I96" s="22">
        <v>0</v>
      </c>
      <c r="J96" s="22">
        <v>0</v>
      </c>
      <c r="K96" s="22"/>
      <c r="L96" s="22"/>
      <c r="M96" s="22"/>
      <c r="N96" s="22"/>
      <c r="O96" s="22"/>
      <c r="P96" s="46">
        <f t="shared" si="8"/>
        <v>7000</v>
      </c>
      <c r="Q96" s="22">
        <f t="shared" si="9"/>
        <v>583.33333333333303</v>
      </c>
      <c r="R96" s="22">
        <f>SCPR2020!AD96</f>
        <v>71.833566256395301</v>
      </c>
      <c r="S96" s="52">
        <f>400</f>
        <v>400</v>
      </c>
      <c r="T96" s="22">
        <f>SCPR2020!AF96</f>
        <v>44.922007255139057</v>
      </c>
      <c r="U96" s="53">
        <f t="shared" si="10"/>
        <v>116.75557351153435</v>
      </c>
      <c r="V96" s="93"/>
    </row>
    <row r="97" spans="1:26">
      <c r="A97" s="23">
        <v>60</v>
      </c>
      <c r="B97" s="70" t="str">
        <f>[1]Membership!$B$72</f>
        <v>Leonardo B. Cruz</v>
      </c>
      <c r="C97" s="76">
        <v>2275</v>
      </c>
      <c r="D97" s="22">
        <v>160</v>
      </c>
      <c r="E97" s="93"/>
      <c r="F97" s="22"/>
      <c r="G97" s="22"/>
      <c r="H97" s="22">
        <v>0</v>
      </c>
      <c r="I97" s="22">
        <v>0</v>
      </c>
      <c r="J97" s="22"/>
      <c r="K97" s="22"/>
      <c r="L97" s="22"/>
      <c r="M97" s="22"/>
      <c r="N97" s="22"/>
      <c r="O97" s="22"/>
      <c r="P97" s="46">
        <f t="shared" si="8"/>
        <v>2435</v>
      </c>
      <c r="Q97" s="22">
        <f t="shared" si="9"/>
        <v>202.916666666667</v>
      </c>
      <c r="R97" s="22">
        <f>SCPR2020!AD97</f>
        <v>25.8908696664122</v>
      </c>
      <c r="S97" s="52">
        <f>400</f>
        <v>400</v>
      </c>
      <c r="T97" s="22">
        <f>SCPR2020!AF97</f>
        <v>44.922007255139057</v>
      </c>
      <c r="U97" s="53">
        <f t="shared" si="10"/>
        <v>70.812876921551265</v>
      </c>
      <c r="V97" s="93"/>
      <c r="X97" s="55"/>
      <c r="Y97" s="67"/>
      <c r="Z97" s="65"/>
    </row>
    <row r="98" spans="1:26">
      <c r="A98" s="23">
        <v>61</v>
      </c>
      <c r="B98" s="70" t="str">
        <f>[1]Membership!$B$73</f>
        <v>Annalyn B. Cruz</v>
      </c>
      <c r="C98" s="76">
        <v>2214</v>
      </c>
      <c r="D98" s="22">
        <v>40</v>
      </c>
      <c r="E98" s="22">
        <f>136.8</f>
        <v>136.80000000000001</v>
      </c>
      <c r="F98" s="22"/>
      <c r="G98" s="22"/>
      <c r="H98" s="22"/>
      <c r="I98" s="22">
        <v>0</v>
      </c>
      <c r="J98" s="22"/>
      <c r="K98" s="22"/>
      <c r="L98" s="22"/>
      <c r="M98" s="22">
        <v>60</v>
      </c>
      <c r="N98" s="22">
        <v>0</v>
      </c>
      <c r="O98" s="22"/>
      <c r="P98" s="46">
        <f t="shared" si="8"/>
        <v>2450.8000000000002</v>
      </c>
      <c r="Q98" s="22">
        <f t="shared" si="9"/>
        <v>204.23333333333301</v>
      </c>
      <c r="R98" s="22">
        <f>SCPR2020!AD98</f>
        <v>26.011960535244398</v>
      </c>
      <c r="S98" s="52">
        <f>80+120</f>
        <v>200</v>
      </c>
      <c r="T98" s="22">
        <f>SCPR2020!AF98</f>
        <v>22.461003627569529</v>
      </c>
      <c r="U98" s="53">
        <f t="shared" si="10"/>
        <v>48.472964162813923</v>
      </c>
      <c r="V98" s="93"/>
      <c r="Y98" s="67"/>
      <c r="Z98" s="65"/>
    </row>
    <row r="99" spans="1:26">
      <c r="A99" s="19">
        <v>62</v>
      </c>
      <c r="B99" s="78"/>
      <c r="C99" s="76"/>
      <c r="D99" s="93"/>
      <c r="E99" s="93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46"/>
      <c r="Q99" s="22"/>
      <c r="R99" s="22">
        <f>SCPR2020!AD99</f>
        <v>1.02619380366279</v>
      </c>
      <c r="S99" s="97"/>
      <c r="T99" s="22">
        <f>SCPR2020!AF99</f>
        <v>0</v>
      </c>
      <c r="U99" s="98"/>
      <c r="V99" s="93"/>
    </row>
    <row r="100" spans="1:26">
      <c r="A100" s="23">
        <v>63</v>
      </c>
      <c r="B100" s="70" t="str">
        <f>[1]Membership!$B$75</f>
        <v>Milben Rex P. Balao</v>
      </c>
      <c r="C100" s="76">
        <v>2030</v>
      </c>
      <c r="D100" s="22">
        <v>140</v>
      </c>
      <c r="E100" s="93"/>
      <c r="F100" s="47">
        <v>1060</v>
      </c>
      <c r="G100" s="22"/>
      <c r="H100" s="22"/>
      <c r="I100" s="22">
        <v>0</v>
      </c>
      <c r="J100" s="22">
        <v>0</v>
      </c>
      <c r="K100" s="22"/>
      <c r="L100" s="22"/>
      <c r="M100" s="22"/>
      <c r="N100" s="22">
        <v>360</v>
      </c>
      <c r="O100" s="22">
        <v>0</v>
      </c>
      <c r="P100" s="46">
        <f>C100+D100+E100+F100+G100+H100+I100+J100+K100+L100+M100+N100+O100</f>
        <v>3590</v>
      </c>
      <c r="Q100" s="22">
        <f t="shared" si="9"/>
        <v>299.16666666666703</v>
      </c>
      <c r="R100" s="22">
        <f>SCPR2020!AD100</f>
        <v>36.840357551494201</v>
      </c>
      <c r="S100" s="52">
        <f>600+400</f>
        <v>1000</v>
      </c>
      <c r="T100" s="22">
        <f>SCPR2020!AF100</f>
        <v>112.30501813784764</v>
      </c>
      <c r="U100" s="53">
        <f t="shared" si="10"/>
        <v>149.14537568934185</v>
      </c>
      <c r="V100" s="93"/>
    </row>
    <row r="101" spans="1:26">
      <c r="A101" s="19">
        <v>64</v>
      </c>
      <c r="B101" s="79"/>
      <c r="C101" s="80"/>
      <c r="D101" s="121"/>
      <c r="E101" s="121"/>
      <c r="F101" s="71"/>
      <c r="G101" s="71"/>
      <c r="H101" s="71"/>
      <c r="I101" s="71"/>
      <c r="J101" s="71">
        <v>0</v>
      </c>
      <c r="K101" s="71">
        <v>0</v>
      </c>
      <c r="L101" s="71">
        <v>0</v>
      </c>
      <c r="M101" s="71"/>
      <c r="N101" s="71"/>
      <c r="O101" s="71"/>
      <c r="P101" s="122">
        <f>C101+D101+E101+F101+G101+H101+I101+J101+K101+L101+M101+N101+O101</f>
        <v>0</v>
      </c>
      <c r="Q101" s="71">
        <f t="shared" si="9"/>
        <v>0</v>
      </c>
      <c r="R101" s="22">
        <f>SCPR2020!AD101</f>
        <v>0</v>
      </c>
      <c r="S101" s="71">
        <v>0</v>
      </c>
      <c r="T101" s="22">
        <f>SCPR2020!AF101</f>
        <v>0</v>
      </c>
      <c r="U101" s="99">
        <f>T101</f>
        <v>0</v>
      </c>
      <c r="V101" s="93"/>
      <c r="X101" s="54"/>
      <c r="Y101" s="67"/>
      <c r="Z101" s="65"/>
    </row>
    <row r="102" spans="1:26">
      <c r="A102" s="23">
        <v>65</v>
      </c>
      <c r="B102" s="70" t="s">
        <v>89</v>
      </c>
      <c r="C102" s="76">
        <v>2465</v>
      </c>
      <c r="D102" s="93"/>
      <c r="E102" s="93"/>
      <c r="F102" s="22"/>
      <c r="G102" s="22"/>
      <c r="H102" s="22"/>
      <c r="I102" s="22"/>
      <c r="J102" s="22"/>
      <c r="K102" s="22"/>
      <c r="L102" s="22">
        <v>0</v>
      </c>
      <c r="M102" s="22"/>
      <c r="N102" s="22"/>
      <c r="O102" s="22"/>
      <c r="P102" s="46">
        <f>C102+D102+E102+F102+G102+H102+I102+J102+K102+L102+M102+N102+O102</f>
        <v>2465</v>
      </c>
      <c r="Q102" s="22">
        <f t="shared" si="9"/>
        <v>205.416666666667</v>
      </c>
      <c r="R102" s="22">
        <f>SCPR2020!AD102</f>
        <v>25.2956772602878</v>
      </c>
      <c r="S102" s="52">
        <v>0</v>
      </c>
      <c r="T102" s="22">
        <f>SCPR2020!AF102</f>
        <v>0</v>
      </c>
      <c r="U102" s="53">
        <f>R102+T102</f>
        <v>25.2956772602878</v>
      </c>
      <c r="V102" s="93"/>
      <c r="X102" s="55"/>
      <c r="Y102" s="67"/>
      <c r="Z102" s="65"/>
    </row>
    <row r="103" spans="1:26">
      <c r="A103" s="29">
        <v>66</v>
      </c>
      <c r="B103" s="70" t="s">
        <v>90</v>
      </c>
      <c r="C103" s="76">
        <v>7000</v>
      </c>
      <c r="D103" s="93"/>
      <c r="E103" s="93"/>
      <c r="F103" s="22"/>
      <c r="G103" s="22"/>
      <c r="H103" s="22"/>
      <c r="I103" s="22"/>
      <c r="J103" s="22"/>
      <c r="K103" s="22"/>
      <c r="L103" s="22"/>
      <c r="M103" s="22" t="s">
        <v>205</v>
      </c>
      <c r="N103" s="22"/>
      <c r="O103" s="22"/>
      <c r="P103" s="46">
        <f>C103</f>
        <v>7000</v>
      </c>
      <c r="Q103" s="22">
        <f t="shared" si="9"/>
        <v>583.33333333333303</v>
      </c>
      <c r="R103" s="22">
        <f>SCPR2020!AD103</f>
        <v>71.833566256395301</v>
      </c>
      <c r="S103" s="52">
        <f>200+200+200+200+200+200</f>
        <v>1200</v>
      </c>
      <c r="T103" s="22">
        <f>SCPR2020!AF103</f>
        <v>134.76602176541718</v>
      </c>
      <c r="U103" s="53">
        <f t="shared" ref="U103:U104" si="11">R103+T103</f>
        <v>206.59958802181248</v>
      </c>
      <c r="V103" s="93"/>
    </row>
    <row r="104" spans="1:26">
      <c r="A104" s="23">
        <v>67</v>
      </c>
      <c r="B104" s="9" t="s">
        <v>91</v>
      </c>
      <c r="C104" s="76">
        <f>2220+41.81</f>
        <v>2261.81</v>
      </c>
      <c r="D104" s="93"/>
      <c r="E104" s="93"/>
      <c r="F104" s="22"/>
      <c r="G104" s="22"/>
      <c r="H104" s="22"/>
      <c r="I104" s="22"/>
      <c r="J104" s="22"/>
      <c r="K104" s="22"/>
      <c r="L104" s="22"/>
      <c r="M104" s="22"/>
      <c r="N104" s="22">
        <v>0</v>
      </c>
      <c r="O104" s="22"/>
      <c r="P104" s="46">
        <f>C104+D104+E104+F104+G104+H104+I104+J104+K104+L104+M104+N104+O104</f>
        <v>2261.81</v>
      </c>
      <c r="Q104" s="22">
        <f t="shared" si="9"/>
        <v>188.48416666666699</v>
      </c>
      <c r="R104" s="22">
        <f>SCPR2020!AD104</f>
        <v>23.210554070625399</v>
      </c>
      <c r="S104" s="52">
        <f>120+120+120</f>
        <v>360</v>
      </c>
      <c r="T104" s="22">
        <f>SCPR2020!AF104</f>
        <v>40.429806529625154</v>
      </c>
      <c r="U104" s="53">
        <f t="shared" si="11"/>
        <v>63.640360600250553</v>
      </c>
      <c r="V104" s="93"/>
    </row>
    <row r="105" spans="1:26">
      <c r="A105" s="19">
        <v>68</v>
      </c>
      <c r="B105" s="70" t="s">
        <v>92</v>
      </c>
      <c r="C105" s="82">
        <v>100</v>
      </c>
      <c r="D105" s="93"/>
      <c r="E105" s="93"/>
      <c r="F105" s="22"/>
      <c r="G105" s="22"/>
      <c r="H105" s="22"/>
      <c r="I105" s="22">
        <v>60</v>
      </c>
      <c r="J105" s="22"/>
      <c r="K105" s="22"/>
      <c r="L105" s="22">
        <v>60</v>
      </c>
      <c r="M105" s="22"/>
      <c r="N105" s="22">
        <v>0</v>
      </c>
      <c r="O105" s="22"/>
      <c r="P105" s="46">
        <f t="shared" ref="P105:P119" si="12">C105+D105+E105+F105+G105+H105+I105+J105+K105+L105+M105+N105+O105</f>
        <v>220</v>
      </c>
      <c r="Q105" s="22">
        <f t="shared" si="9"/>
        <v>18.3333333333333</v>
      </c>
      <c r="R105" s="22">
        <f>SCPR2020!AD105</f>
        <v>2.2576263680581401</v>
      </c>
      <c r="S105" s="52">
        <f>280+240</f>
        <v>520</v>
      </c>
      <c r="T105" s="22">
        <f>SCPR2020!AF105</f>
        <v>58.398609431680775</v>
      </c>
      <c r="U105" s="53">
        <f>T105</f>
        <v>58.398609431680775</v>
      </c>
      <c r="V105" s="93"/>
    </row>
    <row r="106" spans="1:26">
      <c r="A106" s="19">
        <v>69</v>
      </c>
      <c r="B106" s="70" t="s">
        <v>93</v>
      </c>
      <c r="C106" s="83">
        <v>100</v>
      </c>
      <c r="D106" s="93"/>
      <c r="E106" s="93"/>
      <c r="F106" s="22"/>
      <c r="G106" s="22"/>
      <c r="H106" s="22"/>
      <c r="I106" s="22"/>
      <c r="J106" s="22"/>
      <c r="K106" s="22"/>
      <c r="L106" s="22"/>
      <c r="M106" s="22"/>
      <c r="N106" s="22">
        <v>0</v>
      </c>
      <c r="O106" s="22"/>
      <c r="P106" s="46">
        <f t="shared" si="12"/>
        <v>100</v>
      </c>
      <c r="Q106" s="22">
        <f t="shared" si="9"/>
        <v>8.3333333333333304</v>
      </c>
      <c r="R106" s="22">
        <f>SCPR2020!AD106</f>
        <v>1.02619380366279</v>
      </c>
      <c r="S106" s="97"/>
      <c r="T106" s="22">
        <f>SCPR2020!AF106</f>
        <v>0</v>
      </c>
      <c r="U106" s="98"/>
      <c r="V106" s="93"/>
    </row>
    <row r="107" spans="1:26">
      <c r="A107" s="19">
        <v>70</v>
      </c>
      <c r="B107" s="70" t="s">
        <v>94</v>
      </c>
      <c r="C107" s="83">
        <v>100</v>
      </c>
      <c r="D107" s="93"/>
      <c r="E107" s="93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46">
        <f t="shared" si="12"/>
        <v>100</v>
      </c>
      <c r="Q107" s="22">
        <f t="shared" si="9"/>
        <v>8.3333333333333304</v>
      </c>
      <c r="R107" s="22">
        <f>SCPR2020!AD107</f>
        <v>1.02619380366279</v>
      </c>
      <c r="S107" s="97"/>
      <c r="T107" s="22">
        <f>SCPR2020!AF107</f>
        <v>0</v>
      </c>
      <c r="U107" s="98"/>
      <c r="V107" s="93"/>
    </row>
    <row r="108" spans="1:26">
      <c r="A108" s="19">
        <v>71</v>
      </c>
      <c r="B108" s="70" t="s">
        <v>95</v>
      </c>
      <c r="C108" s="83">
        <v>220</v>
      </c>
      <c r="D108" s="93"/>
      <c r="E108" s="93"/>
      <c r="F108" s="22"/>
      <c r="G108" s="22"/>
      <c r="H108" s="22"/>
      <c r="I108" s="22"/>
      <c r="J108" s="45">
        <v>100</v>
      </c>
      <c r="K108" s="22"/>
      <c r="L108" s="22"/>
      <c r="M108" s="22">
        <v>100</v>
      </c>
      <c r="N108" s="22"/>
      <c r="O108" s="22"/>
      <c r="P108" s="46">
        <f t="shared" si="12"/>
        <v>420</v>
      </c>
      <c r="Q108" s="22">
        <f t="shared" si="9"/>
        <v>35</v>
      </c>
      <c r="R108" s="22">
        <f>SCPR2020!AD108</f>
        <v>5.8287808048046497</v>
      </c>
      <c r="S108" s="52">
        <f>280+600+600</f>
        <v>1480</v>
      </c>
      <c r="T108" s="22">
        <f>SCPR2020!AF108</f>
        <v>166.21142684401451</v>
      </c>
      <c r="U108" s="53">
        <f>T108</f>
        <v>166.21142684401451</v>
      </c>
      <c r="V108" s="93"/>
    </row>
    <row r="109" spans="1:26">
      <c r="A109" s="19">
        <v>72</v>
      </c>
      <c r="B109" s="70" t="s">
        <v>96</v>
      </c>
      <c r="C109" s="83">
        <v>220</v>
      </c>
      <c r="D109" s="22">
        <v>60</v>
      </c>
      <c r="E109" s="93"/>
      <c r="F109" s="22"/>
      <c r="G109" s="22"/>
      <c r="H109" s="22"/>
      <c r="I109" s="22"/>
      <c r="J109" s="45">
        <v>60</v>
      </c>
      <c r="K109" s="22"/>
      <c r="L109" s="22"/>
      <c r="M109" s="22"/>
      <c r="N109" s="22"/>
      <c r="O109" s="22"/>
      <c r="P109" s="46">
        <f t="shared" si="12"/>
        <v>340</v>
      </c>
      <c r="Q109" s="22">
        <f t="shared" si="9"/>
        <v>28.3333333333333</v>
      </c>
      <c r="R109" s="22">
        <f>SCPR2020!AD109</f>
        <v>11.082893079558101</v>
      </c>
      <c r="S109" s="52">
        <f>200+200+200</f>
        <v>600</v>
      </c>
      <c r="T109" s="22">
        <f>SCPR2020!AF109</f>
        <v>67.383010882708589</v>
      </c>
      <c r="U109" s="53">
        <f>T109</f>
        <v>67.383010882708589</v>
      </c>
      <c r="V109" s="93"/>
    </row>
    <row r="110" spans="1:26">
      <c r="A110" s="19">
        <v>73</v>
      </c>
      <c r="B110" s="70" t="s">
        <v>97</v>
      </c>
      <c r="C110" s="76">
        <v>440</v>
      </c>
      <c r="D110" s="22"/>
      <c r="E110" s="93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46">
        <f t="shared" si="12"/>
        <v>440</v>
      </c>
      <c r="Q110" s="22">
        <f t="shared" si="9"/>
        <v>36.6666666666667</v>
      </c>
      <c r="R110" s="22">
        <f>SCPR2020!AD110</f>
        <v>7.69645352747093</v>
      </c>
      <c r="S110" s="97"/>
      <c r="T110" s="22">
        <f>SCPR2020!AF110</f>
        <v>0</v>
      </c>
      <c r="U110" s="98"/>
      <c r="V110" s="93"/>
    </row>
    <row r="111" spans="1:26">
      <c r="A111" s="19">
        <v>74</v>
      </c>
      <c r="B111" s="70" t="s">
        <v>98</v>
      </c>
      <c r="C111" s="83">
        <v>160</v>
      </c>
      <c r="D111" s="22">
        <v>60</v>
      </c>
      <c r="E111" s="93"/>
      <c r="F111" s="45">
        <f>60</f>
        <v>60</v>
      </c>
      <c r="G111" s="22"/>
      <c r="H111" s="22"/>
      <c r="I111" s="22">
        <f>60+60</f>
        <v>120</v>
      </c>
      <c r="J111" s="22"/>
      <c r="K111" s="22">
        <v>60</v>
      </c>
      <c r="L111" s="22"/>
      <c r="M111" s="22"/>
      <c r="N111" s="22">
        <v>60</v>
      </c>
      <c r="O111" s="22"/>
      <c r="P111" s="46">
        <f t="shared" si="12"/>
        <v>520</v>
      </c>
      <c r="Q111" s="22">
        <f t="shared" si="9"/>
        <v>43.3333333333333</v>
      </c>
      <c r="R111" s="22">
        <f>SCPR2020!AD111</f>
        <v>7.2859760060058099</v>
      </c>
      <c r="S111" s="52">
        <f>280+200+200+200+200</f>
        <v>1080</v>
      </c>
      <c r="T111" s="22">
        <f>SCPR2020!AF111</f>
        <v>121.28941958887546</v>
      </c>
      <c r="U111" s="53">
        <f>T111</f>
        <v>121.28941958887546</v>
      </c>
      <c r="V111" s="93"/>
    </row>
    <row r="112" spans="1:26">
      <c r="A112" s="19">
        <v>75</v>
      </c>
      <c r="B112" s="9" t="s">
        <v>206</v>
      </c>
      <c r="C112" s="83">
        <v>100</v>
      </c>
      <c r="D112" s="93"/>
      <c r="E112" s="93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46">
        <f t="shared" si="12"/>
        <v>100</v>
      </c>
      <c r="Q112" s="22">
        <f t="shared" si="9"/>
        <v>8.3333333333333304</v>
      </c>
      <c r="R112" s="22">
        <f>SCPR2020!AD112</f>
        <v>1.02619380366279</v>
      </c>
      <c r="S112" s="97"/>
      <c r="T112" s="22">
        <f>SCPR2020!AF112</f>
        <v>0</v>
      </c>
      <c r="U112" s="98"/>
      <c r="V112" s="93"/>
    </row>
    <row r="113" spans="1:22">
      <c r="A113" s="84">
        <v>76</v>
      </c>
      <c r="B113" s="70" t="s">
        <v>100</v>
      </c>
      <c r="C113" s="76"/>
      <c r="D113" s="93"/>
      <c r="E113" s="22">
        <v>200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46">
        <f t="shared" si="12"/>
        <v>200</v>
      </c>
      <c r="Q113" s="22">
        <f t="shared" si="9"/>
        <v>16.6666666666667</v>
      </c>
      <c r="R113" s="22">
        <f>SCPR2020!AD113</f>
        <v>2.05238760732558</v>
      </c>
      <c r="S113" s="52">
        <f>120</f>
        <v>120</v>
      </c>
      <c r="T113" s="22">
        <f>SCPR2020!AF113</f>
        <v>13.476602176541718</v>
      </c>
      <c r="U113" s="53">
        <f>T113</f>
        <v>13.476602176541718</v>
      </c>
      <c r="V113" s="93"/>
    </row>
    <row r="114" spans="1:22">
      <c r="A114" s="84">
        <v>77</v>
      </c>
      <c r="B114" s="70" t="s">
        <v>101</v>
      </c>
      <c r="C114" s="76"/>
      <c r="D114" s="93"/>
      <c r="E114" s="93"/>
      <c r="F114" s="45">
        <v>100</v>
      </c>
      <c r="G114" s="22"/>
      <c r="H114" s="22"/>
      <c r="I114" s="22"/>
      <c r="J114" s="45">
        <f>60+60+60</f>
        <v>180</v>
      </c>
      <c r="K114" s="22"/>
      <c r="L114" s="22"/>
      <c r="M114" s="22">
        <v>60</v>
      </c>
      <c r="N114" s="22"/>
      <c r="O114" s="22"/>
      <c r="P114" s="46">
        <f t="shared" si="12"/>
        <v>340</v>
      </c>
      <c r="Q114" s="22">
        <f t="shared" si="9"/>
        <v>28.3333333333333</v>
      </c>
      <c r="R114" s="22">
        <f>SCPR2020!AD114</f>
        <v>3.48905893245349</v>
      </c>
      <c r="S114" s="52">
        <f>80+120+160+220</f>
        <v>580</v>
      </c>
      <c r="T114" s="22">
        <f>SCPR2020!AF114</f>
        <v>65.136910519951627</v>
      </c>
      <c r="U114" s="53">
        <f>T114</f>
        <v>65.136910519951627</v>
      </c>
      <c r="V114" s="93"/>
    </row>
    <row r="115" spans="1:22">
      <c r="A115" s="84">
        <v>78</v>
      </c>
      <c r="B115" s="70" t="s">
        <v>102</v>
      </c>
      <c r="C115" s="76"/>
      <c r="D115" s="93"/>
      <c r="E115" s="93"/>
      <c r="F115" s="22"/>
      <c r="G115" s="22"/>
      <c r="H115" s="22"/>
      <c r="I115" s="22"/>
      <c r="J115" s="45">
        <v>100</v>
      </c>
      <c r="K115" s="22"/>
      <c r="L115" s="22"/>
      <c r="M115" s="22"/>
      <c r="N115" s="22"/>
      <c r="O115" s="22"/>
      <c r="P115" s="46">
        <f t="shared" si="12"/>
        <v>100</v>
      </c>
      <c r="Q115" s="22">
        <f t="shared" si="9"/>
        <v>8.3333333333333304</v>
      </c>
      <c r="R115" s="22">
        <f>SCPR2020!AD115</f>
        <v>1.02619380366279</v>
      </c>
      <c r="S115" s="97"/>
      <c r="T115" s="22">
        <f>SCPR2020!AF115</f>
        <v>0</v>
      </c>
      <c r="U115" s="98"/>
      <c r="V115" s="93"/>
    </row>
    <row r="116" spans="1:22">
      <c r="A116" s="84">
        <v>79</v>
      </c>
      <c r="B116" s="70" t="s">
        <v>103</v>
      </c>
      <c r="C116" s="76"/>
      <c r="D116" s="93"/>
      <c r="E116" s="93"/>
      <c r="F116" s="22"/>
      <c r="G116" s="22"/>
      <c r="H116" s="22"/>
      <c r="I116" s="22"/>
      <c r="J116" s="45">
        <v>100</v>
      </c>
      <c r="K116" s="22"/>
      <c r="L116" s="22"/>
      <c r="M116" s="22"/>
      <c r="N116" s="22"/>
      <c r="O116" s="22"/>
      <c r="P116" s="46">
        <f t="shared" si="12"/>
        <v>100</v>
      </c>
      <c r="Q116" s="22">
        <f t="shared" si="9"/>
        <v>8.3333333333333304</v>
      </c>
      <c r="R116" s="22">
        <f>SCPR2020!AD116</f>
        <v>1.02619380366279</v>
      </c>
      <c r="S116" s="97"/>
      <c r="T116" s="22">
        <f>SCPR2020!AF116</f>
        <v>0</v>
      </c>
      <c r="U116" s="98"/>
      <c r="V116" s="93"/>
    </row>
    <row r="117" spans="1:22">
      <c r="A117" s="84">
        <v>80</v>
      </c>
      <c r="B117" s="9" t="s">
        <v>104</v>
      </c>
      <c r="C117" s="76"/>
      <c r="D117" s="93"/>
      <c r="E117" s="93"/>
      <c r="F117" s="22"/>
      <c r="G117" s="22"/>
      <c r="H117" s="22"/>
      <c r="I117" s="22"/>
      <c r="J117" s="45">
        <v>100</v>
      </c>
      <c r="K117" s="22"/>
      <c r="L117" s="22"/>
      <c r="M117" s="22"/>
      <c r="N117" s="22"/>
      <c r="O117" s="22"/>
      <c r="P117" s="46">
        <f t="shared" si="12"/>
        <v>100</v>
      </c>
      <c r="Q117" s="22">
        <f t="shared" si="9"/>
        <v>8.3333333333333304</v>
      </c>
      <c r="R117" s="22">
        <f>SCPR2020!AD117</f>
        <v>1.02619380366279</v>
      </c>
      <c r="S117" s="97"/>
      <c r="T117" s="22">
        <f>SCPR2020!AF117</f>
        <v>0</v>
      </c>
      <c r="U117" s="98"/>
      <c r="V117" s="93"/>
    </row>
    <row r="118" spans="1:22">
      <c r="A118" s="84">
        <v>81</v>
      </c>
      <c r="B118" s="70" t="s">
        <v>105</v>
      </c>
      <c r="C118" s="76"/>
      <c r="D118" s="93"/>
      <c r="E118" s="93"/>
      <c r="F118" s="22"/>
      <c r="G118" s="22"/>
      <c r="H118" s="22"/>
      <c r="I118" s="22"/>
      <c r="J118" s="45">
        <v>100</v>
      </c>
      <c r="K118" s="22"/>
      <c r="L118" s="22"/>
      <c r="M118" s="22">
        <v>60</v>
      </c>
      <c r="N118" s="22"/>
      <c r="O118" s="22">
        <v>60</v>
      </c>
      <c r="P118" s="46">
        <f t="shared" si="12"/>
        <v>220</v>
      </c>
      <c r="Q118" s="22">
        <f t="shared" si="9"/>
        <v>18.3333333333333</v>
      </c>
      <c r="R118" s="22">
        <f>SCPR2020!AD118</f>
        <v>2.2576263680581401</v>
      </c>
      <c r="S118" s="52">
        <f>80+120</f>
        <v>200</v>
      </c>
      <c r="T118" s="22">
        <f>SCPR2020!AF118</f>
        <v>22.461003627569529</v>
      </c>
      <c r="U118" s="53">
        <f>T118</f>
        <v>22.461003627569529</v>
      </c>
      <c r="V118" s="93"/>
    </row>
    <row r="119" spans="1:22">
      <c r="A119" s="84">
        <v>82</v>
      </c>
      <c r="B119" s="70" t="s">
        <v>106</v>
      </c>
      <c r="C119" s="76"/>
      <c r="D119" s="93"/>
      <c r="E119" s="93"/>
      <c r="F119" s="22"/>
      <c r="G119" s="22"/>
      <c r="H119" s="22"/>
      <c r="I119" s="22"/>
      <c r="J119" s="22"/>
      <c r="K119" s="22"/>
      <c r="L119" s="22">
        <f>50+50</f>
        <v>100</v>
      </c>
      <c r="M119" s="22">
        <v>60</v>
      </c>
      <c r="N119" s="22"/>
      <c r="O119" s="22"/>
      <c r="P119" s="46">
        <f t="shared" si="12"/>
        <v>160</v>
      </c>
      <c r="Q119" s="22">
        <f t="shared" si="9"/>
        <v>13.3333333333333</v>
      </c>
      <c r="R119" s="22">
        <f>SCPR2020!AD119</f>
        <v>1.6419100858604601</v>
      </c>
      <c r="S119" s="52">
        <f>80</f>
        <v>80</v>
      </c>
      <c r="T119" s="22">
        <f>SCPR2020!AF119</f>
        <v>8.9844014510278107</v>
      </c>
      <c r="U119" s="53">
        <f>T119</f>
        <v>8.9844014510278107</v>
      </c>
      <c r="V119" s="93"/>
    </row>
    <row r="120" spans="1:22" ht="6" customHeight="1">
      <c r="A120" s="85"/>
      <c r="B120" s="86"/>
      <c r="C120" s="87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100"/>
      <c r="T120" s="89"/>
      <c r="U120" s="89"/>
      <c r="V120" s="89"/>
    </row>
    <row r="121" spans="1:22">
      <c r="U121" s="60" t="s">
        <v>107</v>
      </c>
    </row>
    <row r="122" spans="1:22">
      <c r="A122" s="31"/>
      <c r="B122" s="70"/>
      <c r="C122" s="40"/>
      <c r="U122" s="3"/>
    </row>
    <row r="123" spans="1:22">
      <c r="A123" s="31"/>
      <c r="B123" s="70"/>
      <c r="C123" s="40"/>
    </row>
    <row r="124" spans="1:22">
      <c r="A124" s="308" t="s">
        <v>0</v>
      </c>
      <c r="B124" s="308"/>
      <c r="C124" s="308"/>
      <c r="D124" s="308"/>
      <c r="E124" s="308"/>
      <c r="F124" s="308"/>
      <c r="G124" s="308"/>
      <c r="H124" s="308"/>
      <c r="I124" s="308"/>
      <c r="J124" s="308"/>
      <c r="K124" s="308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</row>
    <row r="125" spans="1:22">
      <c r="A125" s="315" t="s">
        <v>1</v>
      </c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</row>
    <row r="126" spans="1:22">
      <c r="A126" s="313" t="s">
        <v>2</v>
      </c>
      <c r="B126" s="313"/>
      <c r="C126" s="313"/>
      <c r="D126" s="313"/>
      <c r="E126" s="313"/>
      <c r="F126" s="313"/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  <c r="T126" s="313"/>
      <c r="U126" s="313"/>
      <c r="V126" s="313"/>
    </row>
    <row r="127" spans="1:22">
      <c r="B127" s="9"/>
      <c r="C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51"/>
      <c r="T127" s="9"/>
      <c r="U127" s="9"/>
      <c r="V127" s="9"/>
    </row>
    <row r="128" spans="1:22" ht="18">
      <c r="A128" s="316" t="s">
        <v>3</v>
      </c>
      <c r="B128" s="316"/>
      <c r="C128" s="316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</row>
    <row r="129" spans="1:28">
      <c r="A129" s="313" t="s">
        <v>145</v>
      </c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</row>
    <row r="130" spans="1:28" ht="5.25" customHeight="1"/>
    <row r="131" spans="1:28" ht="15.75" customHeight="1">
      <c r="A131" s="336" t="s">
        <v>5</v>
      </c>
      <c r="B131" s="337"/>
      <c r="C131" s="334" t="s">
        <v>201</v>
      </c>
      <c r="D131" s="319" t="s">
        <v>7</v>
      </c>
      <c r="E131" s="319" t="s">
        <v>8</v>
      </c>
      <c r="F131" s="319" t="s">
        <v>9</v>
      </c>
      <c r="G131" s="319" t="s">
        <v>10</v>
      </c>
      <c r="H131" s="329" t="s">
        <v>11</v>
      </c>
      <c r="I131" s="319" t="s">
        <v>12</v>
      </c>
      <c r="J131" s="319" t="s">
        <v>13</v>
      </c>
      <c r="K131" s="319" t="s">
        <v>14</v>
      </c>
      <c r="L131" s="319" t="s">
        <v>15</v>
      </c>
      <c r="M131" s="319" t="s">
        <v>16</v>
      </c>
      <c r="N131" s="319" t="s">
        <v>17</v>
      </c>
      <c r="O131" s="319" t="s">
        <v>18</v>
      </c>
      <c r="P131" s="319" t="s">
        <v>19</v>
      </c>
      <c r="Q131" s="319" t="s">
        <v>20</v>
      </c>
      <c r="R131" s="327" t="s">
        <v>21</v>
      </c>
      <c r="S131" s="323" t="s">
        <v>22</v>
      </c>
      <c r="T131" s="342" t="s">
        <v>23</v>
      </c>
      <c r="U131" s="329" t="s">
        <v>24</v>
      </c>
      <c r="V131" s="325" t="s">
        <v>25</v>
      </c>
    </row>
    <row r="132" spans="1:28" ht="18" customHeight="1">
      <c r="A132" s="338"/>
      <c r="B132" s="339"/>
      <c r="C132" s="335"/>
      <c r="D132" s="320"/>
      <c r="E132" s="320"/>
      <c r="F132" s="320"/>
      <c r="G132" s="320"/>
      <c r="H132" s="330"/>
      <c r="I132" s="320"/>
      <c r="J132" s="320"/>
      <c r="K132" s="320"/>
      <c r="L132" s="320"/>
      <c r="M132" s="320"/>
      <c r="N132" s="320"/>
      <c r="O132" s="320"/>
      <c r="P132" s="320"/>
      <c r="Q132" s="320"/>
      <c r="R132" s="328"/>
      <c r="S132" s="324"/>
      <c r="T132" s="343"/>
      <c r="U132" s="330"/>
      <c r="V132" s="326"/>
    </row>
    <row r="133" spans="1:28" ht="3.75" customHeight="1">
      <c r="C133" s="101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61"/>
      <c r="T133" s="44"/>
      <c r="U133" s="44"/>
      <c r="V133" s="44"/>
    </row>
    <row r="134" spans="1:28">
      <c r="A134" s="29">
        <v>83</v>
      </c>
      <c r="B134" s="70" t="s">
        <v>108</v>
      </c>
      <c r="C134" s="76"/>
      <c r="D134" s="93"/>
      <c r="E134" s="93"/>
      <c r="F134" s="22"/>
      <c r="G134" s="22"/>
      <c r="H134" s="22"/>
      <c r="I134" s="22"/>
      <c r="J134" s="22"/>
      <c r="K134" s="22"/>
      <c r="L134" s="22"/>
      <c r="M134" s="47">
        <v>2750</v>
      </c>
      <c r="N134" s="33">
        <v>1000</v>
      </c>
      <c r="O134" s="33">
        <v>3250</v>
      </c>
      <c r="P134" s="46">
        <f>C134+D134+E134+F134+G134+H134+I134+J134+K134+L134+M134+N134+O134</f>
        <v>7000</v>
      </c>
      <c r="Q134" s="22">
        <f>P134/12</f>
        <v>583.33333333333303</v>
      </c>
      <c r="R134" s="22">
        <f>SCPR2020!AD134</f>
        <v>71.833566256395301</v>
      </c>
      <c r="S134" s="97"/>
      <c r="T134" s="93"/>
      <c r="U134" s="53">
        <f t="shared" ref="U134" si="13">R134+T134</f>
        <v>71.833566256395301</v>
      </c>
      <c r="V134" s="93"/>
    </row>
    <row r="135" spans="1:28">
      <c r="A135" s="84">
        <v>84</v>
      </c>
      <c r="B135" s="62" t="s">
        <v>109</v>
      </c>
      <c r="C135" s="76"/>
      <c r="D135" s="93"/>
      <c r="E135" s="93"/>
      <c r="F135" s="22"/>
      <c r="G135" s="22"/>
      <c r="H135" s="22"/>
      <c r="I135" s="22"/>
      <c r="J135" s="22"/>
      <c r="K135" s="22"/>
      <c r="L135" s="22"/>
      <c r="M135" s="22">
        <v>100</v>
      </c>
      <c r="N135" s="22"/>
      <c r="O135" s="22"/>
      <c r="P135" s="46">
        <f>C135+D135+E135+F135+G135+H135+I135+J135+K135+L135+M135+N135+O135</f>
        <v>100</v>
      </c>
      <c r="Q135" s="22">
        <f>P135/12</f>
        <v>8.3333333333333304</v>
      </c>
      <c r="R135" s="22">
        <f>SCPR2020!AD135</f>
        <v>1.02619380366279</v>
      </c>
      <c r="S135" s="97"/>
      <c r="T135" s="93"/>
      <c r="U135" s="98"/>
      <c r="V135" s="93"/>
    </row>
    <row r="136" spans="1:28">
      <c r="A136" s="84">
        <v>85</v>
      </c>
      <c r="B136" s="9" t="s">
        <v>110</v>
      </c>
      <c r="C136" s="76"/>
      <c r="D136" s="93"/>
      <c r="E136" s="93"/>
      <c r="F136" s="22"/>
      <c r="G136" s="22"/>
      <c r="H136" s="22"/>
      <c r="I136" s="22"/>
      <c r="J136" s="22"/>
      <c r="K136" s="22"/>
      <c r="L136" s="22"/>
      <c r="M136" s="22">
        <v>100</v>
      </c>
      <c r="N136" s="22"/>
      <c r="O136" s="22"/>
      <c r="P136" s="46">
        <f>C136+D136+E136+F136+G136+H136+I136+J136+K136+L136+M136+N136+O136</f>
        <v>100</v>
      </c>
      <c r="Q136" s="22">
        <f t="shared" si="9"/>
        <v>8.3333333333333304</v>
      </c>
      <c r="R136" s="22">
        <f>SCPR2020!AD136</f>
        <v>1.02619380366279</v>
      </c>
      <c r="S136" s="97"/>
      <c r="T136" s="93"/>
      <c r="U136" s="98"/>
      <c r="V136" s="93"/>
    </row>
    <row r="137" spans="1:28">
      <c r="A137" s="29">
        <v>86</v>
      </c>
      <c r="B137" s="9" t="s">
        <v>111</v>
      </c>
      <c r="C137" s="76"/>
      <c r="D137" s="93"/>
      <c r="E137" s="93"/>
      <c r="F137" s="22"/>
      <c r="G137" s="22"/>
      <c r="H137" s="22"/>
      <c r="I137" s="22"/>
      <c r="J137" s="22"/>
      <c r="K137" s="22"/>
      <c r="L137" s="22"/>
      <c r="M137" s="22">
        <v>7000</v>
      </c>
      <c r="N137" s="22"/>
      <c r="O137" s="22"/>
      <c r="P137" s="46">
        <f>C137+D137+E137+F137+G137+H137+I137+J137+K137+L137+M137+N137+O137</f>
        <v>7000</v>
      </c>
      <c r="Q137" s="22">
        <f t="shared" si="9"/>
        <v>583.33333333333303</v>
      </c>
      <c r="R137" s="22">
        <f>SCPR2020!AD137</f>
        <v>71.833566256395301</v>
      </c>
      <c r="S137" s="97"/>
      <c r="T137" s="93"/>
      <c r="U137" s="53">
        <f t="shared" ref="U137" si="14">R137+T137</f>
        <v>71.833566256395301</v>
      </c>
      <c r="V137" s="93"/>
    </row>
    <row r="138" spans="1:28" ht="5.25" customHeight="1">
      <c r="A138" s="85"/>
      <c r="B138" s="102"/>
      <c r="C138" s="87"/>
      <c r="D138" s="89"/>
      <c r="E138" s="89"/>
      <c r="F138" s="38"/>
      <c r="G138" s="38"/>
      <c r="H138" s="38"/>
      <c r="I138" s="38"/>
      <c r="J138" s="38"/>
      <c r="K138" s="38"/>
      <c r="L138" s="38"/>
      <c r="M138" s="38"/>
      <c r="N138" s="89"/>
      <c r="O138" s="38"/>
      <c r="P138" s="89"/>
      <c r="Q138" s="89"/>
      <c r="R138" s="89"/>
      <c r="S138" s="100"/>
      <c r="T138" s="89"/>
      <c r="U138" s="89"/>
      <c r="V138" s="89"/>
    </row>
    <row r="139" spans="1:28">
      <c r="A139" s="85"/>
      <c r="B139" s="103" t="s">
        <v>120</v>
      </c>
      <c r="C139" s="104">
        <f t="shared" ref="C139:O139" si="15">SUM(C11:C138)</f>
        <v>139376.47</v>
      </c>
      <c r="D139" s="106">
        <f t="shared" si="15"/>
        <v>7290</v>
      </c>
      <c r="E139" s="106">
        <f t="shared" si="15"/>
        <v>3446.8</v>
      </c>
      <c r="F139" s="106">
        <f t="shared" si="15"/>
        <v>4240</v>
      </c>
      <c r="G139" s="106">
        <f t="shared" si="15"/>
        <v>60</v>
      </c>
      <c r="H139" s="105">
        <f t="shared" si="15"/>
        <v>0</v>
      </c>
      <c r="I139" s="106">
        <f t="shared" si="15"/>
        <v>240</v>
      </c>
      <c r="J139" s="106">
        <f t="shared" si="15"/>
        <v>2040</v>
      </c>
      <c r="K139" s="106">
        <f t="shared" si="15"/>
        <v>1260</v>
      </c>
      <c r="L139" s="106">
        <f t="shared" si="15"/>
        <v>2540</v>
      </c>
      <c r="M139" s="106">
        <f t="shared" si="15"/>
        <v>10350</v>
      </c>
      <c r="N139" s="106">
        <f t="shared" si="15"/>
        <v>1620</v>
      </c>
      <c r="O139" s="106">
        <f t="shared" si="15"/>
        <v>4160</v>
      </c>
      <c r="P139" s="108">
        <v>155531.64000000001</v>
      </c>
      <c r="Q139" s="114">
        <f>SUM(Q11:Q138)</f>
        <v>14718.6058333333</v>
      </c>
      <c r="R139" s="105">
        <f>SUM(R11:R138)</f>
        <v>1857.5250000000001</v>
      </c>
      <c r="S139" s="115">
        <f>SUM(S11:S138)</f>
        <v>16540</v>
      </c>
      <c r="T139" s="105">
        <f>SUM(T11:T138)</f>
        <v>1857.5250000000003</v>
      </c>
      <c r="U139" s="116">
        <f>SUM(U11:U138)</f>
        <v>3461.2123426360558</v>
      </c>
      <c r="V139" s="88"/>
    </row>
    <row r="140" spans="1:28" ht="6.75" customHeight="1"/>
    <row r="141" spans="1:28">
      <c r="AB141" s="50"/>
    </row>
    <row r="142" spans="1:28" ht="12.75" customHeight="1">
      <c r="F142" s="313"/>
      <c r="G142" s="313"/>
      <c r="H142" s="313"/>
      <c r="I142" s="313"/>
      <c r="J142" s="109"/>
      <c r="K142" s="110"/>
    </row>
    <row r="143" spans="1:28" ht="12.75" customHeight="1">
      <c r="J143" s="4"/>
      <c r="K143" s="4"/>
      <c r="L143" s="4"/>
      <c r="M143" s="4"/>
      <c r="P143" s="109"/>
      <c r="S143" s="110"/>
    </row>
    <row r="144" spans="1:28" ht="12.75" customHeight="1">
      <c r="J144" s="4"/>
      <c r="K144" s="4"/>
      <c r="L144" s="4"/>
      <c r="M144" s="4"/>
      <c r="P144" s="109"/>
      <c r="S144" s="110"/>
    </row>
    <row r="145" spans="1:21">
      <c r="J145" s="4"/>
      <c r="K145" s="4"/>
      <c r="L145" s="4"/>
      <c r="M145" s="4"/>
      <c r="P145" s="67"/>
      <c r="S145" s="117"/>
    </row>
    <row r="146" spans="1:21" ht="12" customHeight="1">
      <c r="A146" t="s">
        <v>121</v>
      </c>
      <c r="E146" t="s">
        <v>122</v>
      </c>
      <c r="K146" t="s">
        <v>123</v>
      </c>
      <c r="P146" t="s">
        <v>124</v>
      </c>
      <c r="S146"/>
    </row>
    <row r="147" spans="1:21">
      <c r="S147"/>
    </row>
    <row r="148" spans="1:21">
      <c r="S148"/>
    </row>
    <row r="149" spans="1:21" ht="12" customHeight="1">
      <c r="B149" s="107" t="s">
        <v>125</v>
      </c>
      <c r="F149" s="107" t="s">
        <v>126</v>
      </c>
      <c r="L149" s="308" t="s">
        <v>167</v>
      </c>
      <c r="M149" s="308"/>
      <c r="N149" s="308"/>
      <c r="Q149" s="308" t="s">
        <v>168</v>
      </c>
      <c r="R149" s="308"/>
      <c r="S149" s="308"/>
    </row>
    <row r="150" spans="1:21" ht="12" customHeight="1">
      <c r="B150" t="s">
        <v>169</v>
      </c>
      <c r="F150" s="311" t="s">
        <v>129</v>
      </c>
      <c r="G150" s="311"/>
      <c r="H150" s="311"/>
      <c r="L150" s="313" t="s">
        <v>130</v>
      </c>
      <c r="M150" s="313"/>
      <c r="N150" s="313"/>
      <c r="Q150" s="313" t="s">
        <v>131</v>
      </c>
      <c r="R150" s="313"/>
      <c r="S150" s="313"/>
    </row>
    <row r="160" spans="1:21">
      <c r="U160" s="60" t="s">
        <v>132</v>
      </c>
    </row>
    <row r="161" spans="12:21">
      <c r="U161" s="60"/>
    </row>
    <row r="162" spans="12:21">
      <c r="N162" s="314"/>
      <c r="O162" s="314"/>
      <c r="S162" s="110"/>
    </row>
    <row r="163" spans="12:21">
      <c r="L163" s="112"/>
      <c r="N163" s="314"/>
      <c r="O163" s="314"/>
      <c r="S163" s="110"/>
    </row>
    <row r="164" spans="12:21">
      <c r="N164" s="331"/>
      <c r="O164" s="331"/>
      <c r="S164" s="110"/>
    </row>
  </sheetData>
  <mergeCells count="113">
    <mergeCell ref="V131:V132"/>
    <mergeCell ref="A9:B10"/>
    <mergeCell ref="A49:B50"/>
    <mergeCell ref="A90:B91"/>
    <mergeCell ref="A131:B132"/>
    <mergeCell ref="S49:S50"/>
    <mergeCell ref="S90:S91"/>
    <mergeCell ref="S131:S132"/>
    <mergeCell ref="T9:T10"/>
    <mergeCell ref="T49:T50"/>
    <mergeCell ref="T90:T91"/>
    <mergeCell ref="T131:T132"/>
    <mergeCell ref="U9:U10"/>
    <mergeCell ref="U49:U50"/>
    <mergeCell ref="U90:U91"/>
    <mergeCell ref="U131:U132"/>
    <mergeCell ref="P49:P50"/>
    <mergeCell ref="P90:P91"/>
    <mergeCell ref="P131:P132"/>
    <mergeCell ref="Q9:Q10"/>
    <mergeCell ref="A47:V47"/>
    <mergeCell ref="A83:V83"/>
    <mergeCell ref="A84:V84"/>
    <mergeCell ref="A85:V85"/>
    <mergeCell ref="N163:O163"/>
    <mergeCell ref="N164:O164"/>
    <mergeCell ref="C9:C10"/>
    <mergeCell ref="C49:C50"/>
    <mergeCell ref="C90:C91"/>
    <mergeCell ref="C131:C132"/>
    <mergeCell ref="D9:D10"/>
    <mergeCell ref="D49:D50"/>
    <mergeCell ref="D90:D91"/>
    <mergeCell ref="D131:D132"/>
    <mergeCell ref="E9:E10"/>
    <mergeCell ref="E49:E50"/>
    <mergeCell ref="E90:E91"/>
    <mergeCell ref="E131:E132"/>
    <mergeCell ref="F9:F10"/>
    <mergeCell ref="F49:F50"/>
    <mergeCell ref="F90:F91"/>
    <mergeCell ref="F131:F132"/>
    <mergeCell ref="G9:G10"/>
    <mergeCell ref="G49:G50"/>
    <mergeCell ref="M90:M91"/>
    <mergeCell ref="N49:N50"/>
    <mergeCell ref="A128:V128"/>
    <mergeCell ref="A129:V129"/>
    <mergeCell ref="V49:V50"/>
    <mergeCell ref="V90:V91"/>
    <mergeCell ref="A125:V125"/>
    <mergeCell ref="A126:V126"/>
    <mergeCell ref="H90:H91"/>
    <mergeCell ref="I49:I50"/>
    <mergeCell ref="I90:I91"/>
    <mergeCell ref="J49:J50"/>
    <mergeCell ref="J90:J91"/>
    <mergeCell ref="K49:K50"/>
    <mergeCell ref="K90:K91"/>
    <mergeCell ref="R49:R50"/>
    <mergeCell ref="R90:R91"/>
    <mergeCell ref="L49:L50"/>
    <mergeCell ref="L90:L91"/>
    <mergeCell ref="M49:M50"/>
    <mergeCell ref="N90:N91"/>
    <mergeCell ref="O49:O50"/>
    <mergeCell ref="O90:O91"/>
    <mergeCell ref="G90:G91"/>
    <mergeCell ref="H49:H50"/>
    <mergeCell ref="A87:V87"/>
    <mergeCell ref="A88:V88"/>
    <mergeCell ref="F150:H150"/>
    <mergeCell ref="L150:N150"/>
    <mergeCell ref="Q150:S150"/>
    <mergeCell ref="N162:O162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Q131:Q132"/>
    <mergeCell ref="G131:G132"/>
    <mergeCell ref="R131:R132"/>
    <mergeCell ref="F142:I142"/>
    <mergeCell ref="L149:N149"/>
    <mergeCell ref="Q149:S149"/>
    <mergeCell ref="A124:V124"/>
    <mergeCell ref="Q49:Q50"/>
    <mergeCell ref="A2:V2"/>
    <mergeCell ref="A3:V3"/>
    <mergeCell ref="A4:V4"/>
    <mergeCell ref="A6:V6"/>
    <mergeCell ref="A7:V7"/>
    <mergeCell ref="A42:V42"/>
    <mergeCell ref="A43:V43"/>
    <mergeCell ref="A44:V44"/>
    <mergeCell ref="A46:V46"/>
    <mergeCell ref="I9:I10"/>
    <mergeCell ref="J9:J10"/>
    <mergeCell ref="K9:K10"/>
    <mergeCell ref="L9:L10"/>
    <mergeCell ref="M9:M10"/>
    <mergeCell ref="N9:N10"/>
    <mergeCell ref="O9:O10"/>
    <mergeCell ref="H9:H10"/>
    <mergeCell ref="P9:P10"/>
    <mergeCell ref="S9:S10"/>
    <mergeCell ref="V9:V10"/>
    <mergeCell ref="R9:R10"/>
    <mergeCell ref="Q90:Q91"/>
  </mergeCells>
  <pageMargins left="1.18055555555556" right="0.25" top="0.25" bottom="0.25" header="0.3" footer="0.3"/>
  <pageSetup paperSize="5"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D173"/>
  <sheetViews>
    <sheetView topLeftCell="A139" zoomScale="110" zoomScaleNormal="110" workbookViewId="0">
      <selection activeCell="N73" sqref="N73"/>
    </sheetView>
  </sheetViews>
  <sheetFormatPr defaultColWidth="9" defaultRowHeight="14.4"/>
  <cols>
    <col min="1" max="1" width="2.77734375" style="3" customWidth="1"/>
    <col min="2" max="2" width="18.21875" customWidth="1"/>
    <col min="3" max="3" width="9" style="4" customWidth="1"/>
    <col min="4" max="5" width="6.77734375" style="3" customWidth="1"/>
    <col min="6" max="8" width="6.77734375" customWidth="1"/>
    <col min="9" max="9" width="6.21875" customWidth="1"/>
    <col min="10" max="11" width="6.77734375" customWidth="1"/>
    <col min="12" max="12" width="7" customWidth="1"/>
    <col min="13" max="13" width="7.77734375" customWidth="1"/>
    <col min="14" max="14" width="8.21875" customWidth="1"/>
    <col min="15" max="15" width="8.77734375" customWidth="1"/>
    <col min="16" max="16" width="10.5546875" customWidth="1"/>
    <col min="17" max="17" width="7.77734375" customWidth="1"/>
    <col min="18" max="18" width="7.21875" customWidth="1"/>
    <col min="19" max="19" width="7.77734375" style="5" customWidth="1"/>
    <col min="20" max="20" width="7.21875" customWidth="1"/>
    <col min="21" max="21" width="7.44140625" customWidth="1"/>
    <col min="22" max="22" width="7.21875" customWidth="1"/>
    <col min="25" max="26" width="9" style="6"/>
  </cols>
  <sheetData>
    <row r="2" spans="1:30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</row>
    <row r="3" spans="1:30">
      <c r="A3" s="315" t="s">
        <v>1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</row>
    <row r="4" spans="1:30">
      <c r="A4" s="313" t="s">
        <v>2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</row>
    <row r="5" spans="1:30">
      <c r="B5" s="9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51"/>
      <c r="T5" s="9"/>
      <c r="U5" s="9"/>
      <c r="V5" s="9"/>
      <c r="W5" s="9"/>
      <c r="X5" s="9"/>
      <c r="Y5" s="62"/>
      <c r="Z5" s="62"/>
      <c r="AA5" s="9"/>
      <c r="AB5" s="9"/>
      <c r="AC5" s="9"/>
      <c r="AD5" s="9"/>
    </row>
    <row r="6" spans="1:30" ht="18">
      <c r="A6" s="316" t="s">
        <v>3</v>
      </c>
      <c r="B6" s="316"/>
      <c r="C6" s="316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</row>
    <row r="7" spans="1:30" ht="12.75" customHeight="1">
      <c r="A7" s="313" t="s">
        <v>175</v>
      </c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</row>
    <row r="8" spans="1:30" ht="7.5" customHeight="1">
      <c r="A8" s="10"/>
      <c r="B8" s="4"/>
      <c r="D8" s="10"/>
      <c r="E8" s="1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30" s="1" customFormat="1" ht="16.5" customHeight="1">
      <c r="A9" s="336" t="s">
        <v>5</v>
      </c>
      <c r="B9" s="337"/>
      <c r="C9" s="332" t="s">
        <v>220</v>
      </c>
      <c r="D9" s="329" t="s">
        <v>7</v>
      </c>
      <c r="E9" s="329" t="s">
        <v>8</v>
      </c>
      <c r="F9" s="319" t="s">
        <v>9</v>
      </c>
      <c r="G9" s="319" t="s">
        <v>10</v>
      </c>
      <c r="H9" s="321" t="s">
        <v>11</v>
      </c>
      <c r="I9" s="319" t="s">
        <v>12</v>
      </c>
      <c r="J9" s="319" t="s">
        <v>13</v>
      </c>
      <c r="K9" s="319" t="s">
        <v>14</v>
      </c>
      <c r="L9" s="319" t="s">
        <v>15</v>
      </c>
      <c r="M9" s="319" t="s">
        <v>16</v>
      </c>
      <c r="N9" s="319" t="s">
        <v>17</v>
      </c>
      <c r="O9" s="319" t="s">
        <v>18</v>
      </c>
      <c r="P9" s="319" t="s">
        <v>19</v>
      </c>
      <c r="Q9" s="319" t="s">
        <v>20</v>
      </c>
      <c r="R9" s="327" t="s">
        <v>21</v>
      </c>
      <c r="S9" s="323" t="s">
        <v>22</v>
      </c>
      <c r="T9" s="340" t="s">
        <v>23</v>
      </c>
      <c r="U9" s="329" t="s">
        <v>24</v>
      </c>
      <c r="V9" s="325" t="s">
        <v>25</v>
      </c>
      <c r="Y9" s="63"/>
      <c r="Z9" s="64"/>
    </row>
    <row r="10" spans="1:30" s="1" customFormat="1" ht="18" customHeight="1">
      <c r="A10" s="338"/>
      <c r="B10" s="339"/>
      <c r="C10" s="333"/>
      <c r="D10" s="330"/>
      <c r="E10" s="330"/>
      <c r="F10" s="320"/>
      <c r="G10" s="320"/>
      <c r="H10" s="322"/>
      <c r="I10" s="320"/>
      <c r="J10" s="320"/>
      <c r="K10" s="320"/>
      <c r="L10" s="320"/>
      <c r="M10" s="320"/>
      <c r="N10" s="320"/>
      <c r="O10" s="320"/>
      <c r="P10" s="320"/>
      <c r="Q10" s="320"/>
      <c r="R10" s="328"/>
      <c r="S10" s="324"/>
      <c r="T10" s="341"/>
      <c r="U10" s="330"/>
      <c r="V10" s="326"/>
      <c r="Y10" s="63"/>
      <c r="Z10" s="64"/>
    </row>
    <row r="11" spans="1:30" s="2" customFormat="1">
      <c r="A11" s="15">
        <v>1</v>
      </c>
      <c r="B11" s="16" t="s">
        <v>26</v>
      </c>
      <c r="C11" s="17">
        <v>2120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46">
        <f t="shared" ref="P11:P38" si="0">C11+D11+E11+F11+G11+H11+I11+J11+K11+L11+M11+N11+O11</f>
        <v>2120</v>
      </c>
      <c r="Q11" s="22">
        <f>P11/12</f>
        <v>176.666666666667</v>
      </c>
      <c r="R11" s="22">
        <f>SCPR2020!AD11</f>
        <v>22.0426429026767</v>
      </c>
      <c r="S11" s="52"/>
      <c r="T11" s="22">
        <v>0</v>
      </c>
      <c r="U11" s="53">
        <f>R11+T11</f>
        <v>22.0426429026767</v>
      </c>
      <c r="V11" s="26"/>
      <c r="Y11" s="62"/>
      <c r="Z11" s="65"/>
    </row>
    <row r="12" spans="1:30">
      <c r="A12" s="19">
        <v>2</v>
      </c>
      <c r="B12" s="20" t="s">
        <v>27</v>
      </c>
      <c r="C12" s="21">
        <v>1300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46">
        <f t="shared" si="0"/>
        <v>1300</v>
      </c>
      <c r="Q12" s="22">
        <f t="shared" ref="Q12:Q38" si="1">P12/12</f>
        <v>108.333333333333</v>
      </c>
      <c r="R12" s="22">
        <f>SCPR2020!AD12</f>
        <v>13.3405194476163</v>
      </c>
      <c r="S12" s="52"/>
      <c r="T12" s="22">
        <v>0</v>
      </c>
      <c r="U12" s="53"/>
      <c r="V12" s="22"/>
    </row>
    <row r="13" spans="1:30" s="2" customFormat="1">
      <c r="A13" s="23">
        <v>3</v>
      </c>
      <c r="B13" s="24" t="s">
        <v>28</v>
      </c>
      <c r="C13" s="21">
        <v>2180</v>
      </c>
      <c r="D13" s="25"/>
      <c r="E13" s="25"/>
      <c r="F13" s="26"/>
      <c r="G13" s="25"/>
      <c r="H13" s="25"/>
      <c r="I13" s="25"/>
      <c r="J13" s="25"/>
      <c r="K13" s="25"/>
      <c r="L13" s="25"/>
      <c r="M13" s="25"/>
      <c r="N13" s="25"/>
      <c r="O13" s="25"/>
      <c r="P13" s="46">
        <f t="shared" si="0"/>
        <v>2180</v>
      </c>
      <c r="Q13" s="22">
        <f t="shared" si="1"/>
        <v>181.666666666667</v>
      </c>
      <c r="R13" s="22">
        <f>SCPR2020!AD13</f>
        <v>22.658359184874399</v>
      </c>
      <c r="S13" s="52">
        <f>200</f>
        <v>200</v>
      </c>
      <c r="T13" s="22">
        <f>SCPR2020!AF13</f>
        <v>22.461003627569529</v>
      </c>
      <c r="U13" s="53">
        <f>T13+R13</f>
        <v>45.119362812443924</v>
      </c>
      <c r="V13" s="26"/>
      <c r="X13" s="54"/>
      <c r="Y13" s="66"/>
      <c r="Z13" s="65"/>
    </row>
    <row r="14" spans="1:30">
      <c r="A14" s="19">
        <v>4</v>
      </c>
      <c r="B14" s="27" t="s">
        <v>29</v>
      </c>
      <c r="C14" s="21">
        <v>750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46">
        <f t="shared" si="0"/>
        <v>750</v>
      </c>
      <c r="Q14" s="22">
        <f t="shared" si="1"/>
        <v>62.5</v>
      </c>
      <c r="R14" s="22">
        <f>SCPR2020!AD14</f>
        <v>7.69645352747093</v>
      </c>
      <c r="S14" s="52"/>
      <c r="T14" s="22">
        <f>SCPR2020!AF14</f>
        <v>0</v>
      </c>
      <c r="U14" s="53"/>
      <c r="V14" s="22"/>
    </row>
    <row r="15" spans="1:30">
      <c r="A15" s="23">
        <v>5</v>
      </c>
      <c r="B15" s="27" t="s">
        <v>30</v>
      </c>
      <c r="C15" s="21">
        <v>6000</v>
      </c>
      <c r="D15" s="22"/>
      <c r="E15" s="22"/>
      <c r="F15" s="22"/>
      <c r="G15" s="22"/>
      <c r="H15" s="22"/>
      <c r="I15" s="22"/>
      <c r="J15" s="47"/>
      <c r="K15" s="22"/>
      <c r="L15" s="33"/>
      <c r="M15" s="22"/>
      <c r="N15" s="32">
        <v>996</v>
      </c>
      <c r="O15" s="22"/>
      <c r="P15" s="46">
        <f t="shared" si="0"/>
        <v>6996</v>
      </c>
      <c r="Q15" s="22">
        <f t="shared" si="1"/>
        <v>583</v>
      </c>
      <c r="R15" s="22">
        <f>SCPR2020!AD15</f>
        <v>64.752829011122103</v>
      </c>
      <c r="S15" s="52"/>
      <c r="T15" s="22">
        <f>SCPR2020!AF15</f>
        <v>0</v>
      </c>
      <c r="U15" s="53">
        <f t="shared" ref="U15:U24" si="2">R15+T15</f>
        <v>64.752829011122103</v>
      </c>
      <c r="V15" s="45"/>
      <c r="Z15" s="65"/>
    </row>
    <row r="16" spans="1:30" s="2" customFormat="1">
      <c r="A16" s="19">
        <v>6</v>
      </c>
      <c r="B16" s="20" t="s">
        <v>31</v>
      </c>
      <c r="C16" s="28">
        <v>150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46">
        <f t="shared" si="0"/>
        <v>150</v>
      </c>
      <c r="Q16" s="22">
        <f t="shared" si="1"/>
        <v>12.5</v>
      </c>
      <c r="R16" s="22">
        <f>SCPR2020!AD16</f>
        <v>1.53929070549419</v>
      </c>
      <c r="S16" s="52"/>
      <c r="T16" s="22">
        <f>SCPR2020!AF16</f>
        <v>0</v>
      </c>
      <c r="U16" s="53"/>
      <c r="V16" s="25"/>
      <c r="Y16" s="62"/>
      <c r="Z16" s="62"/>
    </row>
    <row r="17" spans="1:26">
      <c r="A17" s="29">
        <v>7</v>
      </c>
      <c r="B17" s="20" t="s">
        <v>32</v>
      </c>
      <c r="C17" s="21">
        <v>7000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46">
        <f t="shared" si="0"/>
        <v>7000</v>
      </c>
      <c r="Q17" s="22">
        <f t="shared" si="1"/>
        <v>583.33333333333303</v>
      </c>
      <c r="R17" s="22">
        <f>SCPR2020!AD17</f>
        <v>71.833566256395301</v>
      </c>
      <c r="S17" s="52">
        <f>600+600+600</f>
        <v>1800</v>
      </c>
      <c r="T17" s="22">
        <f>SCPR2020!AF17</f>
        <v>202.14903264812577</v>
      </c>
      <c r="U17" s="53">
        <f>R17+T17</f>
        <v>273.98259890452107</v>
      </c>
      <c r="V17" s="22"/>
      <c r="X17" s="55"/>
      <c r="Z17" s="65"/>
    </row>
    <row r="18" spans="1:26" s="2" customFormat="1">
      <c r="A18" s="29">
        <v>8</v>
      </c>
      <c r="B18" s="20" t="s">
        <v>33</v>
      </c>
      <c r="C18" s="21">
        <v>7000</v>
      </c>
      <c r="D18" s="26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46">
        <f t="shared" si="0"/>
        <v>7000</v>
      </c>
      <c r="Q18" s="25">
        <f t="shared" si="1"/>
        <v>583.33333333333303</v>
      </c>
      <c r="R18" s="22">
        <f>SCPR2020!AD18</f>
        <v>71.833566256395301</v>
      </c>
      <c r="S18" s="56">
        <f>200+400</f>
        <v>600</v>
      </c>
      <c r="T18" s="22">
        <f>SCPR2020!AF18</f>
        <v>67.383010882708589</v>
      </c>
      <c r="U18" s="57">
        <f t="shared" si="2"/>
        <v>139.21657713910389</v>
      </c>
      <c r="V18" s="25"/>
      <c r="X18" s="55"/>
      <c r="Y18" s="62"/>
      <c r="Z18" s="65"/>
    </row>
    <row r="19" spans="1:26">
      <c r="A19" s="23">
        <v>9</v>
      </c>
      <c r="B19" s="20" t="s">
        <v>34</v>
      </c>
      <c r="C19" s="21">
        <v>2021.27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46">
        <f t="shared" si="0"/>
        <v>2021.27</v>
      </c>
      <c r="Q19" s="22">
        <f t="shared" si="1"/>
        <v>168.43916666666701</v>
      </c>
      <c r="R19" s="22">
        <f>SCPR2020!AD19</f>
        <v>20.523876073255799</v>
      </c>
      <c r="S19" s="52">
        <v>0</v>
      </c>
      <c r="T19" s="22">
        <f>SCPR2020!AF19</f>
        <v>0</v>
      </c>
      <c r="U19" s="53">
        <f t="shared" si="2"/>
        <v>20.523876073255799</v>
      </c>
      <c r="V19" s="22"/>
      <c r="X19" s="55"/>
      <c r="Z19" s="65"/>
    </row>
    <row r="20" spans="1:26">
      <c r="A20" s="23">
        <v>10</v>
      </c>
      <c r="B20" s="27" t="s">
        <v>35</v>
      </c>
      <c r="C20" s="21">
        <v>2728.71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46">
        <f t="shared" si="0"/>
        <v>2728.71</v>
      </c>
      <c r="Q20" s="22">
        <f t="shared" si="1"/>
        <v>227.39250000000001</v>
      </c>
      <c r="R20" s="22">
        <f>SCPR2020!AD20</f>
        <v>28.001852939926899</v>
      </c>
      <c r="S20" s="52">
        <v>0</v>
      </c>
      <c r="T20" s="22">
        <f>SCPR2020!AF20</f>
        <v>0</v>
      </c>
      <c r="U20" s="53">
        <f t="shared" si="2"/>
        <v>28.001852939926899</v>
      </c>
      <c r="V20" s="22"/>
      <c r="X20" s="55"/>
      <c r="Z20" s="65"/>
    </row>
    <row r="21" spans="1:26">
      <c r="A21" s="19">
        <v>11</v>
      </c>
      <c r="B21" s="30" t="s">
        <v>36</v>
      </c>
      <c r="C21" s="21">
        <v>700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46">
        <f t="shared" si="0"/>
        <v>700</v>
      </c>
      <c r="Q21" s="22">
        <f t="shared" si="1"/>
        <v>58.3333333333333</v>
      </c>
      <c r="R21" s="22">
        <f>SCPR2020!AD21</f>
        <v>7.1833566256395303</v>
      </c>
      <c r="S21" s="52">
        <v>0</v>
      </c>
      <c r="T21" s="22">
        <f>SCPR2020!AF21</f>
        <v>0</v>
      </c>
      <c r="U21" s="53">
        <f>T21</f>
        <v>0</v>
      </c>
      <c r="V21" s="22"/>
      <c r="X21" s="54"/>
      <c r="Y21" s="67"/>
      <c r="Z21" s="65"/>
    </row>
    <row r="22" spans="1:26">
      <c r="A22" s="23">
        <v>12</v>
      </c>
      <c r="B22" s="31" t="s">
        <v>37</v>
      </c>
      <c r="C22" s="21">
        <v>2081.27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46">
        <f t="shared" si="0"/>
        <v>2081.27</v>
      </c>
      <c r="Q22" s="22">
        <f t="shared" si="1"/>
        <v>173.43916666666701</v>
      </c>
      <c r="R22" s="22">
        <f>SCPR2020!AD22</f>
        <v>21.139592355453502</v>
      </c>
      <c r="S22" s="52">
        <f>200</f>
        <v>200</v>
      </c>
      <c r="T22" s="22">
        <f>SCPR2020!AF22</f>
        <v>22.461003627569529</v>
      </c>
      <c r="U22" s="53">
        <f t="shared" si="2"/>
        <v>43.600595983023027</v>
      </c>
      <c r="V22" s="22"/>
      <c r="X22" s="55"/>
      <c r="Y22" s="67"/>
      <c r="Z22" s="65"/>
    </row>
    <row r="23" spans="1:26">
      <c r="A23" s="23">
        <v>13</v>
      </c>
      <c r="B23" s="27" t="s">
        <v>38</v>
      </c>
      <c r="C23" s="21">
        <v>2122.33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46">
        <f t="shared" si="0"/>
        <v>2122.33</v>
      </c>
      <c r="Q23" s="22">
        <f t="shared" si="1"/>
        <v>176.86083333333301</v>
      </c>
      <c r="R23" s="22">
        <f>SCPR2020!AD23</f>
        <v>20.523876073255799</v>
      </c>
      <c r="S23" s="58">
        <v>0</v>
      </c>
      <c r="T23" s="22">
        <f>SCPR2020!AF23</f>
        <v>0</v>
      </c>
      <c r="U23" s="53">
        <f t="shared" si="2"/>
        <v>20.523876073255799</v>
      </c>
      <c r="V23" s="22"/>
      <c r="X23" s="55"/>
      <c r="Y23" s="67"/>
      <c r="Z23" s="65"/>
    </row>
    <row r="24" spans="1:26">
      <c r="A24" s="23">
        <v>14</v>
      </c>
      <c r="B24" s="27" t="s">
        <v>39</v>
      </c>
      <c r="C24" s="21">
        <v>3560</v>
      </c>
      <c r="D24" s="22"/>
      <c r="E24" s="22"/>
      <c r="F24" s="22"/>
      <c r="G24" s="32">
        <v>1000</v>
      </c>
      <c r="H24" s="32">
        <v>1000</v>
      </c>
      <c r="I24" s="22"/>
      <c r="J24" s="22"/>
      <c r="K24" s="22"/>
      <c r="L24" s="22"/>
      <c r="M24" s="22"/>
      <c r="N24" s="22"/>
      <c r="O24" s="22"/>
      <c r="P24" s="46">
        <f t="shared" si="0"/>
        <v>5560</v>
      </c>
      <c r="Q24" s="22">
        <f t="shared" si="1"/>
        <v>463.33333333333297</v>
      </c>
      <c r="R24" s="22">
        <f>SCPR2020!AD24</f>
        <v>38.379648256988403</v>
      </c>
      <c r="S24" s="52">
        <f>200</f>
        <v>200</v>
      </c>
      <c r="T24" s="22">
        <f>SCPR2020!AF24</f>
        <v>22.461003627569529</v>
      </c>
      <c r="U24" s="53">
        <f t="shared" si="2"/>
        <v>60.840651884557928</v>
      </c>
      <c r="V24" s="22"/>
      <c r="Y24" s="67"/>
      <c r="Z24" s="65"/>
    </row>
    <row r="25" spans="1:26" s="2" customFormat="1">
      <c r="A25" s="19">
        <v>15</v>
      </c>
      <c r="B25" s="20" t="s">
        <v>40</v>
      </c>
      <c r="C25" s="28">
        <v>150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46">
        <f t="shared" si="0"/>
        <v>150</v>
      </c>
      <c r="Q25" s="22">
        <f t="shared" si="1"/>
        <v>12.5</v>
      </c>
      <c r="R25" s="22">
        <f>SCPR2020!AD25</f>
        <v>1.53929070549419</v>
      </c>
      <c r="S25" s="56"/>
      <c r="T25" s="22">
        <f>SCPR2020!AF25</f>
        <v>0</v>
      </c>
      <c r="U25" s="57"/>
      <c r="V25" s="25"/>
      <c r="Y25" s="62"/>
      <c r="Z25" s="62"/>
    </row>
    <row r="26" spans="1:26">
      <c r="A26" s="19">
        <v>16</v>
      </c>
      <c r="B26" s="27" t="s">
        <v>41</v>
      </c>
      <c r="C26" s="21">
        <v>1200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46">
        <f t="shared" si="0"/>
        <v>1200</v>
      </c>
      <c r="Q26" s="22">
        <f t="shared" si="1"/>
        <v>100</v>
      </c>
      <c r="R26" s="22">
        <f>SCPR2020!AD26</f>
        <v>12.3143256439535</v>
      </c>
      <c r="S26" s="52"/>
      <c r="T26" s="22">
        <f>SCPR2020!AF26</f>
        <v>0</v>
      </c>
      <c r="U26" s="53"/>
      <c r="V26" s="22"/>
    </row>
    <row r="27" spans="1:26">
      <c r="A27" s="19">
        <v>17</v>
      </c>
      <c r="B27" s="27" t="s">
        <v>42</v>
      </c>
      <c r="C27" s="28">
        <v>200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46">
        <f t="shared" si="0"/>
        <v>200</v>
      </c>
      <c r="Q27" s="22">
        <f t="shared" si="1"/>
        <v>16.6666666666667</v>
      </c>
      <c r="R27" s="22">
        <f>SCPR2020!AD27</f>
        <v>2.05238760732558</v>
      </c>
      <c r="S27" s="52">
        <v>0</v>
      </c>
      <c r="T27" s="22">
        <f>SCPR2020!AF27</f>
        <v>0</v>
      </c>
      <c r="U27" s="53">
        <f>T27</f>
        <v>0</v>
      </c>
      <c r="V27" s="22"/>
      <c r="X27" s="54"/>
      <c r="Y27" s="67"/>
      <c r="Z27" s="65"/>
    </row>
    <row r="28" spans="1:26" s="2" customFormat="1">
      <c r="A28" s="23">
        <v>18</v>
      </c>
      <c r="B28" s="20" t="s">
        <v>43</v>
      </c>
      <c r="C28" s="21">
        <v>2420</v>
      </c>
      <c r="D28" s="25"/>
      <c r="E28" s="25"/>
      <c r="F28" s="26"/>
      <c r="G28" s="25"/>
      <c r="H28" s="25"/>
      <c r="I28" s="25"/>
      <c r="J28" s="25"/>
      <c r="K28" s="25"/>
      <c r="L28" s="25"/>
      <c r="M28" s="25"/>
      <c r="N28" s="25"/>
      <c r="O28" s="25"/>
      <c r="P28" s="46">
        <f t="shared" si="0"/>
        <v>2420</v>
      </c>
      <c r="Q28" s="22">
        <f t="shared" si="1"/>
        <v>201.666666666667</v>
      </c>
      <c r="R28" s="22">
        <f>SCPR2020!AD28</f>
        <v>26.3526568780605</v>
      </c>
      <c r="S28" s="56">
        <f>200</f>
        <v>200</v>
      </c>
      <c r="T28" s="22">
        <f>SCPR2020!AF28</f>
        <v>22.461003627569529</v>
      </c>
      <c r="U28" s="57">
        <f>R28+T28</f>
        <v>48.813660505630025</v>
      </c>
      <c r="V28" s="25"/>
      <c r="Y28" s="62"/>
      <c r="Z28" s="62"/>
    </row>
    <row r="29" spans="1:26">
      <c r="A29" s="29">
        <v>19</v>
      </c>
      <c r="B29" s="30" t="s">
        <v>44</v>
      </c>
      <c r="C29" s="21">
        <v>7000</v>
      </c>
      <c r="D29" s="22"/>
      <c r="E29" s="22"/>
      <c r="F29" s="33"/>
      <c r="G29" s="22"/>
      <c r="H29" s="22"/>
      <c r="I29" s="22"/>
      <c r="J29" s="22"/>
      <c r="K29" s="22"/>
      <c r="L29" s="22"/>
      <c r="M29" s="22"/>
      <c r="N29" s="22"/>
      <c r="O29" s="22"/>
      <c r="P29" s="46">
        <f t="shared" si="0"/>
        <v>7000</v>
      </c>
      <c r="Q29" s="22">
        <f t="shared" si="1"/>
        <v>583.33333333333303</v>
      </c>
      <c r="R29" s="22">
        <f>SCPR2020!AD29</f>
        <v>71.833566256395301</v>
      </c>
      <c r="S29" s="52">
        <f>200</f>
        <v>200</v>
      </c>
      <c r="T29" s="22">
        <f>SCPR2020!AF29</f>
        <v>22.461003627569529</v>
      </c>
      <c r="U29" s="53">
        <f>R29+T29</f>
        <v>94.294569883964826</v>
      </c>
      <c r="V29" s="22"/>
      <c r="X29" s="55"/>
      <c r="Y29" s="67"/>
      <c r="Z29" s="65"/>
    </row>
    <row r="30" spans="1:26" s="2" customFormat="1">
      <c r="A30" s="19">
        <v>20</v>
      </c>
      <c r="B30" s="20" t="s">
        <v>45</v>
      </c>
      <c r="C30" s="21">
        <v>1300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46">
        <f t="shared" si="0"/>
        <v>1300</v>
      </c>
      <c r="Q30" s="22">
        <f t="shared" si="1"/>
        <v>108.333333333333</v>
      </c>
      <c r="R30" s="22">
        <f>SCPR2020!AD30</f>
        <v>13.3405194476163</v>
      </c>
      <c r="S30" s="56"/>
      <c r="T30" s="22">
        <f>SCPR2020!AF30</f>
        <v>0</v>
      </c>
      <c r="U30" s="57"/>
      <c r="V30" s="25"/>
      <c r="Y30" s="62"/>
      <c r="Z30" s="62"/>
    </row>
    <row r="31" spans="1:26">
      <c r="A31" s="19">
        <v>21</v>
      </c>
      <c r="B31" s="20" t="s">
        <v>46</v>
      </c>
      <c r="C31" s="34">
        <v>750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46">
        <f t="shared" si="0"/>
        <v>750</v>
      </c>
      <c r="Q31" s="22">
        <f t="shared" si="1"/>
        <v>62.5</v>
      </c>
      <c r="R31" s="22">
        <f>SCPR2020!AD31</f>
        <v>7.69645352747093</v>
      </c>
      <c r="S31" s="52"/>
      <c r="T31" s="22">
        <f>SCPR2020!AF31</f>
        <v>0</v>
      </c>
      <c r="U31" s="53"/>
      <c r="V31" s="22"/>
    </row>
    <row r="32" spans="1:26">
      <c r="A32" s="19">
        <v>22</v>
      </c>
      <c r="B32" s="27" t="s">
        <v>47</v>
      </c>
      <c r="C32" s="34">
        <v>1200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46">
        <f t="shared" si="0"/>
        <v>1200</v>
      </c>
      <c r="Q32" s="22">
        <f t="shared" si="1"/>
        <v>100</v>
      </c>
      <c r="R32" s="22">
        <f>SCPR2020!AD32</f>
        <v>12.3143256439535</v>
      </c>
      <c r="S32" s="52">
        <v>0</v>
      </c>
      <c r="T32" s="22">
        <f>SCPR2020!AF32</f>
        <v>0</v>
      </c>
      <c r="U32" s="53">
        <f>T32</f>
        <v>0</v>
      </c>
      <c r="V32" s="22"/>
      <c r="X32" s="54"/>
      <c r="Y32" s="67"/>
      <c r="Z32" s="65"/>
    </row>
    <row r="33" spans="1:26" s="2" customFormat="1" ht="18" customHeight="1">
      <c r="A33" s="19">
        <v>23</v>
      </c>
      <c r="B33" s="20" t="s">
        <v>48</v>
      </c>
      <c r="C33" s="28">
        <v>100</v>
      </c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48">
        <f t="shared" si="0"/>
        <v>100</v>
      </c>
      <c r="Q33" s="25">
        <f t="shared" si="1"/>
        <v>8.3333333333333304</v>
      </c>
      <c r="R33" s="22">
        <f>SCPR2020!AD33</f>
        <v>1.02619380366279</v>
      </c>
      <c r="S33" s="56"/>
      <c r="T33" s="22">
        <f>SCPR2020!AF33</f>
        <v>0</v>
      </c>
      <c r="U33" s="57"/>
      <c r="V33" s="25"/>
      <c r="Y33" s="62"/>
      <c r="Z33" s="62"/>
    </row>
    <row r="34" spans="1:26">
      <c r="A34" s="23">
        <v>24</v>
      </c>
      <c r="B34" s="20" t="s">
        <v>49</v>
      </c>
      <c r="C34" s="34">
        <v>2009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46">
        <f t="shared" si="0"/>
        <v>2009</v>
      </c>
      <c r="Q34" s="22">
        <f t="shared" si="1"/>
        <v>167.416666666667</v>
      </c>
      <c r="R34" s="22">
        <f>SCPR2020!AD34</f>
        <v>21.693737009431398</v>
      </c>
      <c r="S34" s="52">
        <v>0</v>
      </c>
      <c r="T34" s="22">
        <f>SCPR2020!AF34</f>
        <v>0</v>
      </c>
      <c r="U34" s="53">
        <f>R34+T34</f>
        <v>21.693737009431398</v>
      </c>
      <c r="V34" s="22"/>
      <c r="X34" s="54"/>
      <c r="Y34" s="67"/>
      <c r="Z34" s="65"/>
    </row>
    <row r="35" spans="1:26" s="2" customFormat="1">
      <c r="A35" s="19">
        <v>25</v>
      </c>
      <c r="B35" s="20" t="s">
        <v>50</v>
      </c>
      <c r="C35" s="34">
        <v>600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46">
        <f t="shared" si="0"/>
        <v>600</v>
      </c>
      <c r="Q35" s="22">
        <f t="shared" si="1"/>
        <v>50</v>
      </c>
      <c r="R35" s="22">
        <f>SCPR2020!AD35</f>
        <v>6.1571628219767396</v>
      </c>
      <c r="S35" s="56"/>
      <c r="T35" s="22">
        <f>SCPR2020!AF35</f>
        <v>0</v>
      </c>
      <c r="U35" s="57"/>
      <c r="V35" s="25"/>
      <c r="Y35" s="62"/>
      <c r="Z35" s="62"/>
    </row>
    <row r="36" spans="1:26">
      <c r="A36" s="23">
        <v>26</v>
      </c>
      <c r="B36" s="20" t="s">
        <v>51</v>
      </c>
      <c r="C36" s="21">
        <v>2885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46">
        <f t="shared" si="0"/>
        <v>2885</v>
      </c>
      <c r="Q36" s="22">
        <f t="shared" si="1"/>
        <v>240.416666666667</v>
      </c>
      <c r="R36" s="22">
        <f>SCPR2020!AD36</f>
        <v>31.863317603729602</v>
      </c>
      <c r="S36" s="52">
        <v>0</v>
      </c>
      <c r="T36" s="22">
        <f>SCPR2020!AF36</f>
        <v>0</v>
      </c>
      <c r="U36" s="53">
        <f>R36+T36</f>
        <v>31.863317603729602</v>
      </c>
      <c r="V36" s="22"/>
      <c r="X36" s="55"/>
      <c r="Y36" s="67"/>
      <c r="Z36" s="65"/>
    </row>
    <row r="37" spans="1:26" s="2" customFormat="1">
      <c r="A37" s="23">
        <v>27</v>
      </c>
      <c r="B37" s="20" t="s">
        <v>52</v>
      </c>
      <c r="C37" s="21">
        <v>2120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46">
        <f t="shared" si="0"/>
        <v>2120</v>
      </c>
      <c r="Q37" s="22">
        <f t="shared" si="1"/>
        <v>176.666666666667</v>
      </c>
      <c r="R37" s="22">
        <f>SCPR2020!AD37</f>
        <v>22.8328121314971</v>
      </c>
      <c r="S37" s="56">
        <v>0</v>
      </c>
      <c r="T37" s="22">
        <f>SCPR2020!AF37</f>
        <v>0</v>
      </c>
      <c r="U37" s="53">
        <f>R37+T37</f>
        <v>22.8328121314971</v>
      </c>
      <c r="V37" s="25"/>
      <c r="X37" s="55"/>
      <c r="Y37" s="67"/>
      <c r="Z37" s="65"/>
    </row>
    <row r="38" spans="1:26">
      <c r="A38" s="23">
        <v>28</v>
      </c>
      <c r="B38" s="20" t="s">
        <v>53</v>
      </c>
      <c r="C38" s="21">
        <v>2381.27</v>
      </c>
      <c r="D38" s="22"/>
      <c r="E38" s="22"/>
      <c r="F38" s="22"/>
      <c r="G38" s="22"/>
      <c r="H38" s="22"/>
      <c r="I38" s="32">
        <v>100</v>
      </c>
      <c r="J38" s="22">
        <v>100</v>
      </c>
      <c r="K38" s="22"/>
      <c r="L38" s="22"/>
      <c r="M38" s="22"/>
      <c r="N38" s="22"/>
      <c r="O38" s="22"/>
      <c r="P38" s="46">
        <f t="shared" si="0"/>
        <v>2581.27</v>
      </c>
      <c r="Q38" s="22">
        <f t="shared" si="1"/>
        <v>215.10583333333301</v>
      </c>
      <c r="R38" s="22">
        <f>SCPR2020!AD38</f>
        <v>24.436445188480899</v>
      </c>
      <c r="S38" s="52"/>
      <c r="T38" s="22"/>
      <c r="U38" s="53">
        <f>R38+T38</f>
        <v>24.436445188480899</v>
      </c>
      <c r="V38" s="22"/>
      <c r="Y38" s="67"/>
      <c r="Z38" s="65"/>
    </row>
    <row r="39" spans="1:26" ht="5.25" customHeight="1">
      <c r="A39" s="35"/>
      <c r="B39" s="36"/>
      <c r="C39" s="37"/>
      <c r="D39" s="38"/>
      <c r="E39" s="38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49"/>
      <c r="Q39" s="39"/>
      <c r="R39" s="39"/>
      <c r="S39" s="59"/>
      <c r="T39" s="39"/>
      <c r="U39" s="39"/>
      <c r="V39" s="39"/>
    </row>
    <row r="40" spans="1:26">
      <c r="A40" s="31"/>
      <c r="B40" s="20"/>
      <c r="C40" s="40"/>
      <c r="P40" s="50">
        <f>SUM(P11:P39)</f>
        <v>67224.850000000006</v>
      </c>
      <c r="U40" s="60" t="s">
        <v>54</v>
      </c>
    </row>
    <row r="41" spans="1:26">
      <c r="A41" s="31"/>
      <c r="B41" s="20"/>
      <c r="C41" s="40"/>
    </row>
    <row r="42" spans="1:26">
      <c r="A42" s="308" t="s">
        <v>0</v>
      </c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  <c r="U42" s="308"/>
      <c r="V42" s="308"/>
    </row>
    <row r="43" spans="1:26">
      <c r="A43" s="315" t="s">
        <v>1</v>
      </c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</row>
    <row r="44" spans="1:26">
      <c r="A44" s="313" t="s">
        <v>2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M44" s="313"/>
      <c r="N44" s="313"/>
      <c r="O44" s="313"/>
      <c r="P44" s="313"/>
      <c r="Q44" s="313"/>
      <c r="R44" s="313"/>
      <c r="S44" s="313"/>
      <c r="T44" s="313"/>
      <c r="U44" s="313"/>
      <c r="V44" s="313"/>
    </row>
    <row r="45" spans="1:26">
      <c r="B45" s="9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51"/>
      <c r="T45" s="9"/>
      <c r="U45" s="9"/>
      <c r="V45" s="9"/>
    </row>
    <row r="46" spans="1:26" ht="18">
      <c r="A46" s="316" t="s">
        <v>3</v>
      </c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</row>
    <row r="47" spans="1:26" ht="12.75" customHeight="1">
      <c r="A47" s="313" t="s">
        <v>145</v>
      </c>
      <c r="B47" s="313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/>
    </row>
    <row r="48" spans="1:26" ht="6" customHeight="1">
      <c r="A48" s="10"/>
      <c r="B48" s="4"/>
      <c r="D48" s="10"/>
      <c r="E48" s="10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26" ht="14.25" customHeight="1">
      <c r="A49" s="336" t="s">
        <v>5</v>
      </c>
      <c r="B49" s="337"/>
      <c r="C49" s="332" t="s">
        <v>220</v>
      </c>
      <c r="D49" s="329" t="s">
        <v>7</v>
      </c>
      <c r="E49" s="329" t="s">
        <v>8</v>
      </c>
      <c r="F49" s="319" t="s">
        <v>9</v>
      </c>
      <c r="G49" s="319" t="s">
        <v>10</v>
      </c>
      <c r="H49" s="321" t="s">
        <v>11</v>
      </c>
      <c r="I49" s="319" t="s">
        <v>12</v>
      </c>
      <c r="J49" s="319" t="s">
        <v>13</v>
      </c>
      <c r="K49" s="319" t="s">
        <v>14</v>
      </c>
      <c r="L49" s="319" t="s">
        <v>15</v>
      </c>
      <c r="M49" s="319" t="s">
        <v>16</v>
      </c>
      <c r="N49" s="319" t="s">
        <v>17</v>
      </c>
      <c r="O49" s="319" t="s">
        <v>18</v>
      </c>
      <c r="P49" s="319" t="s">
        <v>19</v>
      </c>
      <c r="Q49" s="319" t="s">
        <v>20</v>
      </c>
      <c r="R49" s="327" t="s">
        <v>21</v>
      </c>
      <c r="S49" s="323" t="s">
        <v>22</v>
      </c>
      <c r="T49" s="342" t="s">
        <v>23</v>
      </c>
      <c r="U49" s="329" t="s">
        <v>24</v>
      </c>
      <c r="V49" s="325" t="s">
        <v>25</v>
      </c>
    </row>
    <row r="50" spans="1:26" ht="16.5" customHeight="1">
      <c r="A50" s="338"/>
      <c r="B50" s="339"/>
      <c r="C50" s="333"/>
      <c r="D50" s="330"/>
      <c r="E50" s="330"/>
      <c r="F50" s="320"/>
      <c r="G50" s="320"/>
      <c r="H50" s="322"/>
      <c r="I50" s="320"/>
      <c r="J50" s="320"/>
      <c r="K50" s="320"/>
      <c r="L50" s="320"/>
      <c r="M50" s="320"/>
      <c r="N50" s="320"/>
      <c r="O50" s="320"/>
      <c r="P50" s="320"/>
      <c r="Q50" s="320"/>
      <c r="R50" s="328"/>
      <c r="S50" s="324"/>
      <c r="T50" s="343"/>
      <c r="U50" s="330"/>
      <c r="V50" s="326"/>
    </row>
    <row r="51" spans="1:26" ht="5.25" customHeight="1">
      <c r="A51" s="41"/>
      <c r="B51" s="16"/>
      <c r="C51" s="42"/>
      <c r="D51" s="43"/>
      <c r="E51" s="43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61"/>
      <c r="T51" s="44"/>
      <c r="U51" s="44"/>
      <c r="V51" s="44"/>
    </row>
    <row r="52" spans="1:26">
      <c r="A52" s="23">
        <v>29</v>
      </c>
      <c r="B52" s="27" t="s">
        <v>57</v>
      </c>
      <c r="C52" s="21">
        <v>2021.27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46">
        <f t="shared" ref="P52:P78" si="3">C52+D52+E52+F52+G52+H52+I52+J52+K52+L52+M52+N52+O52</f>
        <v>2021.27</v>
      </c>
      <c r="Q52" s="22">
        <f>P52/12</f>
        <v>168.43916666666701</v>
      </c>
      <c r="R52" s="22">
        <f>SCPR2020!AD52</f>
        <v>20.742147495294901</v>
      </c>
      <c r="S52" s="52"/>
      <c r="T52" s="22"/>
      <c r="U52" s="53">
        <f>R52+T52</f>
        <v>20.742147495294901</v>
      </c>
      <c r="V52" s="22"/>
      <c r="Y52" s="67"/>
      <c r="Z52" s="65"/>
    </row>
    <row r="53" spans="1:26" s="2" customFormat="1">
      <c r="A53" s="23">
        <v>30</v>
      </c>
      <c r="B53" s="20" t="s">
        <v>58</v>
      </c>
      <c r="C53" s="21">
        <v>2100</v>
      </c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46">
        <f t="shared" si="3"/>
        <v>2100</v>
      </c>
      <c r="Q53" s="22">
        <f t="shared" ref="Q53:Q78" si="4">P53/12</f>
        <v>175</v>
      </c>
      <c r="R53" s="22">
        <f>SCPR2020!AD53</f>
        <v>21.550069876918599</v>
      </c>
      <c r="S53" s="56"/>
      <c r="T53" s="25"/>
      <c r="U53" s="53">
        <f>R53+T53</f>
        <v>21.550069876918599</v>
      </c>
      <c r="V53" s="25"/>
      <c r="Y53" s="62"/>
      <c r="Z53" s="62"/>
    </row>
    <row r="54" spans="1:26">
      <c r="A54" s="23">
        <v>31</v>
      </c>
      <c r="B54" s="20" t="s">
        <v>59</v>
      </c>
      <c r="C54" s="21">
        <v>2534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46">
        <f t="shared" si="3"/>
        <v>2534</v>
      </c>
      <c r="Q54" s="22">
        <f t="shared" si="4"/>
        <v>211.166666666667</v>
      </c>
      <c r="R54" s="22">
        <f>SCPR2020!AD54</f>
        <v>26.906801532038401</v>
      </c>
      <c r="S54" s="52">
        <v>0</v>
      </c>
      <c r="T54" s="22">
        <f>SCPR2020!AF54</f>
        <v>0</v>
      </c>
      <c r="U54" s="53">
        <f>R54+T54</f>
        <v>26.906801532038401</v>
      </c>
      <c r="V54" s="22"/>
      <c r="X54" s="55"/>
      <c r="Y54" s="67"/>
      <c r="Z54" s="65"/>
    </row>
    <row r="55" spans="1:26">
      <c r="A55" s="23">
        <v>32</v>
      </c>
      <c r="B55" s="27" t="s">
        <v>60</v>
      </c>
      <c r="C55" s="21">
        <v>2454</v>
      </c>
      <c r="D55" s="22"/>
      <c r="E55" s="22"/>
      <c r="F55" s="22"/>
      <c r="G55" s="22"/>
      <c r="H55" s="22"/>
      <c r="I55" s="22"/>
      <c r="J55" s="22"/>
      <c r="K55" s="22"/>
      <c r="L55" s="32">
        <v>100</v>
      </c>
      <c r="M55" s="22"/>
      <c r="N55" s="22"/>
      <c r="O55" s="22"/>
      <c r="P55" s="46">
        <f t="shared" si="3"/>
        <v>2554</v>
      </c>
      <c r="Q55" s="22">
        <f t="shared" si="4"/>
        <v>212.833333333333</v>
      </c>
      <c r="R55" s="22">
        <f>SCPR2020!AD55</f>
        <v>28.3639967332395</v>
      </c>
      <c r="S55" s="52">
        <v>0</v>
      </c>
      <c r="T55" s="22">
        <f>SCPR2020!AF55</f>
        <v>0</v>
      </c>
      <c r="U55" s="53">
        <f>R55+T55</f>
        <v>28.3639967332395</v>
      </c>
      <c r="V55" s="22"/>
      <c r="X55" s="55"/>
      <c r="Y55" s="67"/>
      <c r="Z55" s="65"/>
    </row>
    <row r="56" spans="1:26" s="2" customFormat="1">
      <c r="A56" s="19">
        <v>33</v>
      </c>
      <c r="B56" s="20" t="s">
        <v>61</v>
      </c>
      <c r="C56" s="21">
        <v>1100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46">
        <f t="shared" si="3"/>
        <v>1100</v>
      </c>
      <c r="Q56" s="22">
        <f t="shared" si="4"/>
        <v>91.6666666666667</v>
      </c>
      <c r="R56" s="22">
        <f>SCPR2020!AD56</f>
        <v>11.288131840290699</v>
      </c>
      <c r="S56" s="56"/>
      <c r="T56" s="22">
        <f>SCPR2020!AF56</f>
        <v>0</v>
      </c>
      <c r="U56" s="57"/>
      <c r="V56" s="25"/>
      <c r="Y56" s="62"/>
      <c r="Z56" s="62"/>
    </row>
    <row r="57" spans="1:26">
      <c r="A57" s="19">
        <v>34</v>
      </c>
      <c r="B57" s="27" t="s">
        <v>62</v>
      </c>
      <c r="C57" s="34">
        <v>1000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46">
        <f t="shared" si="3"/>
        <v>1000</v>
      </c>
      <c r="Q57" s="22">
        <f t="shared" si="4"/>
        <v>83.3333333333333</v>
      </c>
      <c r="R57" s="22">
        <f>SCPR2020!AD57</f>
        <v>10.2619380366279</v>
      </c>
      <c r="S57" s="52"/>
      <c r="T57" s="22">
        <f>SCPR2020!AF57</f>
        <v>0</v>
      </c>
      <c r="U57" s="53"/>
      <c r="V57" s="22"/>
    </row>
    <row r="58" spans="1:26" s="2" customFormat="1">
      <c r="A58" s="19">
        <v>35</v>
      </c>
      <c r="B58" s="20" t="s">
        <v>63</v>
      </c>
      <c r="C58" s="34">
        <v>935.84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46">
        <f t="shared" si="3"/>
        <v>935.84</v>
      </c>
      <c r="Q58" s="22">
        <f t="shared" si="4"/>
        <v>77.986666666666693</v>
      </c>
      <c r="R58" s="22">
        <f>SCPR2020!AD58</f>
        <v>10.4655348872746</v>
      </c>
      <c r="S58" s="56">
        <v>0</v>
      </c>
      <c r="T58" s="22">
        <f>SCPR2020!AF58</f>
        <v>0</v>
      </c>
      <c r="U58" s="53">
        <f>T58</f>
        <v>0</v>
      </c>
      <c r="V58" s="25"/>
      <c r="X58" s="54"/>
      <c r="Y58" s="67"/>
      <c r="Z58" s="65"/>
    </row>
    <row r="59" spans="1:26">
      <c r="A59" s="19">
        <v>36</v>
      </c>
      <c r="B59" s="20" t="s">
        <v>64</v>
      </c>
      <c r="C59" s="34">
        <v>300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46">
        <f t="shared" si="3"/>
        <v>300</v>
      </c>
      <c r="Q59" s="22">
        <f t="shared" si="4"/>
        <v>25</v>
      </c>
      <c r="R59" s="22">
        <f>SCPR2020!AD59</f>
        <v>3.0785814109883698</v>
      </c>
      <c r="S59" s="52">
        <v>0</v>
      </c>
      <c r="T59" s="22">
        <f>SCPR2020!AF59</f>
        <v>0</v>
      </c>
      <c r="U59" s="53">
        <f>T59</f>
        <v>0</v>
      </c>
      <c r="V59" s="22"/>
      <c r="X59" s="54"/>
      <c r="Y59" s="67"/>
      <c r="Z59" s="65"/>
    </row>
    <row r="60" spans="1:26">
      <c r="A60" s="19">
        <v>37</v>
      </c>
      <c r="B60" s="20" t="s">
        <v>65</v>
      </c>
      <c r="C60" s="34">
        <v>650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46">
        <f t="shared" si="3"/>
        <v>650</v>
      </c>
      <c r="Q60" s="22">
        <f t="shared" si="4"/>
        <v>54.1666666666667</v>
      </c>
      <c r="R60" s="22">
        <f>SCPR2020!AD60</f>
        <v>6.6702597238081403</v>
      </c>
      <c r="S60" s="52"/>
      <c r="T60" s="22">
        <f>SCPR2020!AF60</f>
        <v>0</v>
      </c>
      <c r="U60" s="53"/>
      <c r="V60" s="22"/>
      <c r="X60" s="54"/>
    </row>
    <row r="61" spans="1:26">
      <c r="A61" s="19">
        <v>38</v>
      </c>
      <c r="B61" s="20" t="s">
        <v>66</v>
      </c>
      <c r="C61" s="34">
        <v>350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46">
        <f t="shared" si="3"/>
        <v>350</v>
      </c>
      <c r="Q61" s="22">
        <f t="shared" si="4"/>
        <v>29.1666666666667</v>
      </c>
      <c r="R61" s="22">
        <f>SCPR2020!AD61</f>
        <v>3.59167831281977</v>
      </c>
      <c r="S61" s="52"/>
      <c r="T61" s="22">
        <f>SCPR2020!AF61</f>
        <v>0</v>
      </c>
      <c r="U61" s="53"/>
      <c r="V61" s="22"/>
      <c r="X61" s="54"/>
    </row>
    <row r="62" spans="1:26">
      <c r="A62" s="19">
        <v>39</v>
      </c>
      <c r="B62" s="20" t="s">
        <v>67</v>
      </c>
      <c r="C62" s="28">
        <v>150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46">
        <f t="shared" si="3"/>
        <v>150</v>
      </c>
      <c r="Q62" s="22">
        <f t="shared" si="4"/>
        <v>12.5</v>
      </c>
      <c r="R62" s="22">
        <f>SCPR2020!AD62</f>
        <v>1.53929070549419</v>
      </c>
      <c r="S62" s="52"/>
      <c r="T62" s="22">
        <f>SCPR2020!AF62</f>
        <v>0</v>
      </c>
      <c r="U62" s="53"/>
      <c r="V62" s="22"/>
      <c r="X62" s="54"/>
    </row>
    <row r="63" spans="1:26">
      <c r="A63" s="23">
        <v>40</v>
      </c>
      <c r="B63" s="20" t="s">
        <v>68</v>
      </c>
      <c r="C63" s="21">
        <v>2540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46">
        <f t="shared" si="3"/>
        <v>2540</v>
      </c>
      <c r="Q63" s="22">
        <f t="shared" si="4"/>
        <v>211.666666666667</v>
      </c>
      <c r="R63" s="22">
        <f>SCPR2020!AD63</f>
        <v>26.927325408111599</v>
      </c>
      <c r="S63" s="52">
        <f>200</f>
        <v>200</v>
      </c>
      <c r="T63" s="22">
        <f>SCPR2020!AF63</f>
        <v>22.461003627569529</v>
      </c>
      <c r="U63" s="53">
        <f t="shared" ref="U63:U69" si="5">R63+T63</f>
        <v>49.388329035681124</v>
      </c>
      <c r="V63" s="22"/>
      <c r="X63" s="55"/>
      <c r="Y63" s="67"/>
      <c r="Z63" s="65"/>
    </row>
    <row r="64" spans="1:26">
      <c r="A64" s="29">
        <v>41</v>
      </c>
      <c r="B64" s="20" t="s">
        <v>69</v>
      </c>
      <c r="C64" s="21">
        <v>7000</v>
      </c>
      <c r="D64" s="45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46">
        <f t="shared" si="3"/>
        <v>7000</v>
      </c>
      <c r="Q64" s="22">
        <f t="shared" si="4"/>
        <v>583.33333333333303</v>
      </c>
      <c r="R64" s="22">
        <f>SCPR2020!AD64</f>
        <v>71.833566256395301</v>
      </c>
      <c r="S64" s="52">
        <f>200</f>
        <v>200</v>
      </c>
      <c r="T64" s="22">
        <f>SCPR2020!AF64</f>
        <v>22.461003627569529</v>
      </c>
      <c r="U64" s="53">
        <f t="shared" si="5"/>
        <v>94.294569883964826</v>
      </c>
      <c r="V64" s="22"/>
      <c r="X64" s="55"/>
      <c r="Y64" s="67"/>
      <c r="Z64" s="65"/>
    </row>
    <row r="65" spans="1:26">
      <c r="A65" s="29">
        <v>42</v>
      </c>
      <c r="B65" s="20" t="s">
        <v>70</v>
      </c>
      <c r="C65" s="21">
        <v>7000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46">
        <f t="shared" si="3"/>
        <v>7000</v>
      </c>
      <c r="Q65" s="22">
        <f t="shared" si="4"/>
        <v>583.33333333333303</v>
      </c>
      <c r="R65" s="22">
        <f>SCPR2020!AD65</f>
        <v>71.833566256395301</v>
      </c>
      <c r="S65" s="52">
        <f>400+600+400+240</f>
        <v>1640</v>
      </c>
      <c r="T65" s="22">
        <f>SCPR2020!AF65</f>
        <v>184.18022974607013</v>
      </c>
      <c r="U65" s="53">
        <f t="shared" si="5"/>
        <v>256.01379600246543</v>
      </c>
      <c r="V65" s="22"/>
      <c r="X65" s="55"/>
      <c r="Y65" s="67"/>
      <c r="Z65" s="65"/>
    </row>
    <row r="66" spans="1:26">
      <c r="A66" s="29">
        <v>43</v>
      </c>
      <c r="B66" s="20" t="s">
        <v>71</v>
      </c>
      <c r="C66" s="21">
        <v>7000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46">
        <f t="shared" si="3"/>
        <v>7000</v>
      </c>
      <c r="Q66" s="22">
        <f t="shared" si="4"/>
        <v>583.33333333333303</v>
      </c>
      <c r="R66" s="22">
        <f>SCPR2020!AD66</f>
        <v>71.833566256395301</v>
      </c>
      <c r="S66" s="52">
        <f>400</f>
        <v>400</v>
      </c>
      <c r="T66" s="22">
        <f>SCPR2020!AF66</f>
        <v>44.922007255139057</v>
      </c>
      <c r="U66" s="53">
        <f t="shared" si="5"/>
        <v>116.75557351153435</v>
      </c>
      <c r="V66" s="22"/>
      <c r="X66" s="55"/>
      <c r="Y66" s="67"/>
      <c r="Z66" s="65"/>
    </row>
    <row r="67" spans="1:26">
      <c r="A67" s="23">
        <v>44</v>
      </c>
      <c r="B67" s="20" t="s">
        <v>72</v>
      </c>
      <c r="C67" s="21">
        <v>2021.27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46">
        <f t="shared" si="3"/>
        <v>2021.27</v>
      </c>
      <c r="Q67" s="22">
        <f t="shared" si="4"/>
        <v>168.43916666666701</v>
      </c>
      <c r="R67" s="22">
        <f>SCPR2020!AD67</f>
        <v>20.523876073255799</v>
      </c>
      <c r="S67" s="52"/>
      <c r="T67" s="22">
        <f>SCPR2020!AF67</f>
        <v>0</v>
      </c>
      <c r="U67" s="53">
        <f t="shared" si="5"/>
        <v>20.523876073255799</v>
      </c>
      <c r="V67" s="22"/>
      <c r="Y67" s="67"/>
      <c r="Z67" s="65"/>
    </row>
    <row r="68" spans="1:26">
      <c r="A68" s="23">
        <v>45</v>
      </c>
      <c r="B68" s="20" t="s">
        <v>73</v>
      </c>
      <c r="C68" s="21">
        <v>3118</v>
      </c>
      <c r="D68" s="22"/>
      <c r="E68" s="22"/>
      <c r="F68" s="22"/>
      <c r="G68" s="22"/>
      <c r="H68" s="22"/>
      <c r="I68" s="22"/>
      <c r="J68" s="22"/>
      <c r="K68" s="22"/>
      <c r="L68" s="22"/>
      <c r="M68" s="32">
        <v>100</v>
      </c>
      <c r="N68" s="22"/>
      <c r="O68" s="22"/>
      <c r="P68" s="46">
        <f t="shared" si="3"/>
        <v>3218</v>
      </c>
      <c r="Q68" s="22">
        <f t="shared" si="4"/>
        <v>268.16666666666703</v>
      </c>
      <c r="R68" s="22">
        <f>SCPR2020!AD68</f>
        <v>32.899773345429097</v>
      </c>
      <c r="S68" s="52">
        <v>0</v>
      </c>
      <c r="T68" s="22">
        <f>SCPR2020!AF68</f>
        <v>0</v>
      </c>
      <c r="U68" s="53">
        <f t="shared" si="5"/>
        <v>32.899773345429097</v>
      </c>
      <c r="V68" s="93"/>
      <c r="X68" s="55"/>
      <c r="Y68" s="67"/>
      <c r="Z68" s="65"/>
    </row>
    <row r="69" spans="1:26">
      <c r="A69" s="23">
        <v>46</v>
      </c>
      <c r="B69" s="20" t="s">
        <v>74</v>
      </c>
      <c r="C69" s="21">
        <v>4680</v>
      </c>
      <c r="D69" s="32">
        <v>500</v>
      </c>
      <c r="E69" s="32">
        <v>390</v>
      </c>
      <c r="F69" s="22"/>
      <c r="G69" s="22"/>
      <c r="H69" s="22"/>
      <c r="I69" s="32">
        <v>500</v>
      </c>
      <c r="J69" s="45"/>
      <c r="K69" s="22"/>
      <c r="L69" s="22"/>
      <c r="M69" s="22"/>
      <c r="N69" s="32">
        <v>930</v>
      </c>
      <c r="O69" s="22"/>
      <c r="P69" s="46">
        <f t="shared" si="3"/>
        <v>7000</v>
      </c>
      <c r="Q69" s="22">
        <f t="shared" si="4"/>
        <v>583.33333333333303</v>
      </c>
      <c r="R69" s="22">
        <f>SCPR2020!AD69</f>
        <v>53.567316551197699</v>
      </c>
      <c r="S69" s="52">
        <f>400+400</f>
        <v>800</v>
      </c>
      <c r="T69" s="22">
        <f>SCPR2020!AF69</f>
        <v>89.844014510278114</v>
      </c>
      <c r="U69" s="53">
        <f t="shared" si="5"/>
        <v>143.41133106147581</v>
      </c>
      <c r="V69" s="93"/>
      <c r="X69" s="55"/>
      <c r="Y69" s="67"/>
      <c r="Z69" s="65"/>
    </row>
    <row r="70" spans="1:26" s="2" customFormat="1" ht="16.5" customHeight="1">
      <c r="A70" s="19">
        <v>47</v>
      </c>
      <c r="B70" s="68" t="s">
        <v>75</v>
      </c>
      <c r="C70" s="34">
        <v>550</v>
      </c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46">
        <f t="shared" si="3"/>
        <v>550</v>
      </c>
      <c r="Q70" s="25">
        <f t="shared" si="4"/>
        <v>45.8333333333333</v>
      </c>
      <c r="R70" s="22">
        <f>SCPR2020!AD70</f>
        <v>5.6440659201453496</v>
      </c>
      <c r="S70" s="56"/>
      <c r="T70" s="22">
        <f>SCPR2020!AF70</f>
        <v>0</v>
      </c>
      <c r="U70" s="57"/>
      <c r="V70" s="94"/>
      <c r="Y70" s="62"/>
      <c r="Z70" s="62"/>
    </row>
    <row r="71" spans="1:26">
      <c r="A71" s="19">
        <v>48</v>
      </c>
      <c r="B71" s="20" t="s">
        <v>76</v>
      </c>
      <c r="C71" s="34">
        <v>800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46">
        <f t="shared" si="3"/>
        <v>800</v>
      </c>
      <c r="Q71" s="22">
        <f t="shared" si="4"/>
        <v>66.6666666666667</v>
      </c>
      <c r="R71" s="22">
        <f>SCPR2020!AD71</f>
        <v>8.2095504293023307</v>
      </c>
      <c r="S71" s="52"/>
      <c r="T71" s="22">
        <f>SCPR2020!AF71</f>
        <v>0</v>
      </c>
      <c r="U71" s="53"/>
      <c r="V71" s="93"/>
    </row>
    <row r="72" spans="1:26">
      <c r="A72" s="23">
        <v>49</v>
      </c>
      <c r="B72" s="20" t="s">
        <v>77</v>
      </c>
      <c r="C72" s="34">
        <v>5520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46">
        <f t="shared" si="3"/>
        <v>5520</v>
      </c>
      <c r="Q72" s="22">
        <f t="shared" si="4"/>
        <v>460</v>
      </c>
      <c r="R72" s="22">
        <f>SCPR2020!AD72</f>
        <v>58.903524330244203</v>
      </c>
      <c r="S72" s="52">
        <f>200+200</f>
        <v>400</v>
      </c>
      <c r="T72" s="22">
        <f>SCPR2020!AF72</f>
        <v>44.922007255139057</v>
      </c>
      <c r="U72" s="53">
        <f t="shared" ref="U72" si="6">R72+T72</f>
        <v>103.82553158538326</v>
      </c>
      <c r="V72" s="93"/>
    </row>
    <row r="73" spans="1:26">
      <c r="A73" s="19">
        <v>50</v>
      </c>
      <c r="B73" s="20" t="s">
        <v>78</v>
      </c>
      <c r="C73" s="28">
        <v>200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46">
        <f t="shared" si="3"/>
        <v>200</v>
      </c>
      <c r="Q73" s="22">
        <f t="shared" si="4"/>
        <v>16.6666666666667</v>
      </c>
      <c r="R73" s="22">
        <f>SCPR2020!AD73</f>
        <v>2.05238760732558</v>
      </c>
      <c r="S73" s="52">
        <v>0</v>
      </c>
      <c r="T73" s="22">
        <f>SCPR2020!AF73</f>
        <v>0</v>
      </c>
      <c r="U73" s="53">
        <f>T73</f>
        <v>0</v>
      </c>
      <c r="V73" s="93"/>
      <c r="X73" s="54"/>
      <c r="Y73" s="67"/>
      <c r="Z73" s="65"/>
    </row>
    <row r="74" spans="1:26">
      <c r="A74" s="19">
        <v>51</v>
      </c>
      <c r="B74" s="69" t="s">
        <v>79</v>
      </c>
      <c r="C74" s="28">
        <v>200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46">
        <f t="shared" si="3"/>
        <v>200</v>
      </c>
      <c r="Q74" s="22">
        <f t="shared" si="4"/>
        <v>16.6666666666667</v>
      </c>
      <c r="R74" s="22">
        <f>SCPR2020!AD74</f>
        <v>2.05238760732558</v>
      </c>
      <c r="S74" s="52">
        <v>0</v>
      </c>
      <c r="T74" s="22">
        <f>SCPR2020!AF74</f>
        <v>0</v>
      </c>
      <c r="U74" s="53">
        <f>T74</f>
        <v>0</v>
      </c>
      <c r="V74" s="93"/>
      <c r="X74" s="54"/>
      <c r="Y74" s="67"/>
      <c r="Z74" s="65"/>
    </row>
    <row r="75" spans="1:26">
      <c r="A75" s="19">
        <v>52</v>
      </c>
      <c r="B75" s="20" t="s">
        <v>80</v>
      </c>
      <c r="C75" s="34">
        <v>1550</v>
      </c>
      <c r="D75" s="5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46">
        <f t="shared" si="3"/>
        <v>1550</v>
      </c>
      <c r="Q75" s="22">
        <f t="shared" si="4"/>
        <v>129.166666666667</v>
      </c>
      <c r="R75" s="22">
        <f>SCPR2020!AD75</f>
        <v>15.906003956773301</v>
      </c>
      <c r="S75" s="52">
        <v>0</v>
      </c>
      <c r="T75" s="22">
        <f>SCPR2020!AF75</f>
        <v>0</v>
      </c>
      <c r="U75" s="53"/>
      <c r="V75" s="93"/>
    </row>
    <row r="76" spans="1:26">
      <c r="A76" s="23">
        <v>53</v>
      </c>
      <c r="B76" s="20" t="s">
        <v>81</v>
      </c>
      <c r="C76" s="34">
        <v>2000</v>
      </c>
      <c r="D76" s="22"/>
      <c r="E76" s="22"/>
      <c r="F76" s="22"/>
      <c r="G76" s="22"/>
      <c r="H76" s="22"/>
      <c r="I76" s="22"/>
      <c r="J76" s="22"/>
      <c r="K76" s="33"/>
      <c r="L76" s="22"/>
      <c r="M76" s="22"/>
      <c r="N76" s="22"/>
      <c r="O76" s="22"/>
      <c r="P76" s="46">
        <f t="shared" si="3"/>
        <v>2000</v>
      </c>
      <c r="Q76" s="22">
        <f t="shared" si="4"/>
        <v>166.666666666667</v>
      </c>
      <c r="R76" s="22">
        <f>SCPR2020!AD76</f>
        <v>20.523876073255799</v>
      </c>
      <c r="S76" s="52"/>
      <c r="T76" s="22">
        <f>SCPR2020!AF76</f>
        <v>0</v>
      </c>
      <c r="U76" s="53">
        <f t="shared" ref="U76" si="7">R76+T76</f>
        <v>20.523876073255799</v>
      </c>
      <c r="V76" s="95"/>
    </row>
    <row r="77" spans="1:26">
      <c r="A77" s="19">
        <v>54</v>
      </c>
      <c r="B77" s="70" t="s">
        <v>82</v>
      </c>
      <c r="C77" s="34">
        <v>1400</v>
      </c>
      <c r="D77" s="32">
        <v>60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46">
        <f t="shared" si="3"/>
        <v>1460</v>
      </c>
      <c r="Q77" s="22">
        <f t="shared" si="4"/>
        <v>121.666666666667</v>
      </c>
      <c r="R77" s="22">
        <f>SCPR2020!AD77</f>
        <v>16.213862097872099</v>
      </c>
      <c r="S77" s="52">
        <f>400+200</f>
        <v>600</v>
      </c>
      <c r="T77" s="22">
        <f>SCPR2020!AF77</f>
        <v>67.383010882708589</v>
      </c>
      <c r="U77" s="53">
        <f>T77</f>
        <v>67.383010882708589</v>
      </c>
      <c r="V77" s="93"/>
      <c r="X77" s="54"/>
      <c r="Y77" s="67"/>
      <c r="Z77" s="65"/>
    </row>
    <row r="78" spans="1:26">
      <c r="A78" s="19">
        <v>55</v>
      </c>
      <c r="B78" s="70" t="s">
        <v>83</v>
      </c>
      <c r="C78" s="34">
        <v>1650</v>
      </c>
      <c r="D78" s="22"/>
      <c r="E78" s="22"/>
      <c r="F78" s="71">
        <v>60</v>
      </c>
      <c r="G78" s="72"/>
      <c r="H78" s="32">
        <v>50</v>
      </c>
      <c r="I78" s="22"/>
      <c r="J78" s="22"/>
      <c r="K78" s="22"/>
      <c r="L78" s="22"/>
      <c r="M78" s="22"/>
      <c r="N78" s="22"/>
      <c r="O78" s="22"/>
      <c r="P78" s="46">
        <f t="shared" si="3"/>
        <v>1760</v>
      </c>
      <c r="Q78" s="22">
        <f t="shared" si="4"/>
        <v>146.666666666667</v>
      </c>
      <c r="R78" s="22">
        <f>SCPR2020!AD78</f>
        <v>17.835248307659299</v>
      </c>
      <c r="S78" s="52">
        <f>80+200+200+200</f>
        <v>680</v>
      </c>
      <c r="T78" s="22">
        <f>SCPR2020!AF78</f>
        <v>76.367412333736397</v>
      </c>
      <c r="U78" s="53">
        <f>T78</f>
        <v>76.367412333736397</v>
      </c>
      <c r="V78" s="93"/>
      <c r="X78" s="54"/>
      <c r="Y78" s="67"/>
      <c r="Z78" s="65"/>
    </row>
    <row r="79" spans="1:26" ht="7.5" customHeight="1">
      <c r="A79" s="35"/>
      <c r="B79" s="73"/>
      <c r="C79" s="74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90"/>
      <c r="Q79" s="38"/>
      <c r="R79" s="38"/>
      <c r="S79" s="96"/>
      <c r="T79" s="38"/>
      <c r="U79" s="38"/>
      <c r="V79" s="89"/>
    </row>
    <row r="80" spans="1:26">
      <c r="A80" s="31"/>
      <c r="B80" s="70"/>
      <c r="C80" s="40"/>
      <c r="P80" s="50">
        <f>SUM(P52:P79)</f>
        <v>63514.38</v>
      </c>
      <c r="U80" s="60" t="s">
        <v>84</v>
      </c>
    </row>
    <row r="81" spans="1:26">
      <c r="A81" s="31"/>
      <c r="B81" s="70"/>
      <c r="C81" s="40"/>
      <c r="U81" s="3"/>
    </row>
    <row r="82" spans="1:26">
      <c r="A82" s="31"/>
      <c r="B82" s="70"/>
      <c r="C82" s="40"/>
    </row>
    <row r="83" spans="1:26">
      <c r="A83" s="308" t="s">
        <v>0</v>
      </c>
      <c r="B83" s="308"/>
      <c r="C83" s="308"/>
      <c r="D83" s="308"/>
      <c r="E83" s="308"/>
      <c r="F83" s="308"/>
      <c r="G83" s="308"/>
      <c r="H83" s="308"/>
      <c r="I83" s="308"/>
      <c r="J83" s="308"/>
      <c r="K83" s="308"/>
      <c r="L83" s="308"/>
      <c r="M83" s="308"/>
      <c r="N83" s="308"/>
      <c r="O83" s="308"/>
      <c r="P83" s="308"/>
      <c r="Q83" s="308"/>
      <c r="R83" s="308"/>
      <c r="S83" s="308"/>
      <c r="T83" s="308"/>
      <c r="U83" s="308"/>
      <c r="V83" s="308"/>
    </row>
    <row r="84" spans="1:26">
      <c r="A84" s="315" t="s">
        <v>1</v>
      </c>
      <c r="B84" s="315"/>
      <c r="C84" s="315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</row>
    <row r="85" spans="1:26">
      <c r="A85" s="313" t="s">
        <v>2</v>
      </c>
      <c r="B85" s="313"/>
      <c r="C85" s="313"/>
      <c r="D85" s="313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</row>
    <row r="86" spans="1:26">
      <c r="B86" s="9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51"/>
      <c r="T86" s="9"/>
      <c r="U86" s="9"/>
      <c r="V86" s="9"/>
    </row>
    <row r="87" spans="1:26" ht="18">
      <c r="A87" s="316" t="s">
        <v>3</v>
      </c>
      <c r="B87" s="316"/>
      <c r="C87" s="316"/>
      <c r="D87" s="316"/>
      <c r="E87" s="316"/>
      <c r="F87" s="316"/>
      <c r="G87" s="316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</row>
    <row r="88" spans="1:26" ht="12.75" customHeight="1">
      <c r="A88" s="313" t="s">
        <v>145</v>
      </c>
      <c r="B88" s="313"/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</row>
    <row r="89" spans="1:26" ht="3.75" customHeight="1">
      <c r="A89" s="10"/>
      <c r="B89" s="4"/>
      <c r="D89" s="10"/>
      <c r="E89" s="10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26" ht="17.25" customHeight="1">
      <c r="A90" s="336" t="s">
        <v>5</v>
      </c>
      <c r="B90" s="337"/>
      <c r="C90" s="332" t="s">
        <v>220</v>
      </c>
      <c r="D90" s="329" t="s">
        <v>7</v>
      </c>
      <c r="E90" s="329" t="s">
        <v>8</v>
      </c>
      <c r="F90" s="319" t="s">
        <v>9</v>
      </c>
      <c r="G90" s="319" t="s">
        <v>10</v>
      </c>
      <c r="H90" s="321" t="s">
        <v>11</v>
      </c>
      <c r="I90" s="319" t="s">
        <v>12</v>
      </c>
      <c r="J90" s="319" t="s">
        <v>13</v>
      </c>
      <c r="K90" s="319" t="s">
        <v>14</v>
      </c>
      <c r="L90" s="319" t="s">
        <v>15</v>
      </c>
      <c r="M90" s="319" t="s">
        <v>16</v>
      </c>
      <c r="N90" s="319" t="s">
        <v>17</v>
      </c>
      <c r="O90" s="319" t="s">
        <v>18</v>
      </c>
      <c r="P90" s="319" t="s">
        <v>19</v>
      </c>
      <c r="Q90" s="319" t="s">
        <v>20</v>
      </c>
      <c r="R90" s="327" t="s">
        <v>21</v>
      </c>
      <c r="S90" s="323" t="s">
        <v>22</v>
      </c>
      <c r="T90" s="342" t="s">
        <v>23</v>
      </c>
      <c r="U90" s="329" t="s">
        <v>24</v>
      </c>
      <c r="V90" s="325" t="s">
        <v>25</v>
      </c>
    </row>
    <row r="91" spans="1:26" ht="16.5" customHeight="1">
      <c r="A91" s="338"/>
      <c r="B91" s="339"/>
      <c r="C91" s="333"/>
      <c r="D91" s="330"/>
      <c r="E91" s="330"/>
      <c r="F91" s="320"/>
      <c r="G91" s="320"/>
      <c r="H91" s="322"/>
      <c r="I91" s="320"/>
      <c r="J91" s="320"/>
      <c r="K91" s="320"/>
      <c r="L91" s="320"/>
      <c r="M91" s="320"/>
      <c r="N91" s="320"/>
      <c r="O91" s="320"/>
      <c r="P91" s="320"/>
      <c r="Q91" s="320"/>
      <c r="R91" s="328"/>
      <c r="S91" s="324"/>
      <c r="T91" s="343"/>
      <c r="U91" s="330"/>
      <c r="V91" s="326"/>
    </row>
    <row r="92" spans="1:26" ht="4.5" customHeight="1">
      <c r="A92" s="41"/>
      <c r="B92" s="75"/>
      <c r="C92" s="42"/>
      <c r="D92" s="43"/>
      <c r="E92" s="43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61"/>
      <c r="T92" s="44"/>
      <c r="U92" s="44"/>
      <c r="V92" s="44"/>
    </row>
    <row r="93" spans="1:26">
      <c r="A93" s="23">
        <v>56</v>
      </c>
      <c r="B93" s="70" t="s">
        <v>85</v>
      </c>
      <c r="C93" s="76">
        <v>2100.1</v>
      </c>
      <c r="D93" s="77"/>
      <c r="E93" s="77"/>
      <c r="F93" s="32">
        <v>100</v>
      </c>
      <c r="G93" s="22"/>
      <c r="H93" s="22"/>
      <c r="I93" s="22"/>
      <c r="J93" s="22"/>
      <c r="K93" s="22"/>
      <c r="L93" s="22"/>
      <c r="M93" s="22"/>
      <c r="N93" s="22"/>
      <c r="O93" s="22"/>
      <c r="P93" s="46">
        <f t="shared" ref="P93:P98" si="8">C93+D93+E93+F93+G93+H93+I93+J93+K93+L93+M93+N93+O93</f>
        <v>2200.1</v>
      </c>
      <c r="Q93" s="22">
        <f t="shared" ref="Q93:Q137" si="9">P93/12</f>
        <v>183.34166666666701</v>
      </c>
      <c r="R93" s="22">
        <f>SCPR2020!AD93</f>
        <v>23.398244917315299</v>
      </c>
      <c r="S93" s="97"/>
      <c r="T93" s="93"/>
      <c r="U93" s="53">
        <f t="shared" ref="U93:U100" si="10">R93+T93</f>
        <v>23.398244917315299</v>
      </c>
      <c r="V93" s="93"/>
      <c r="Y93" s="67"/>
      <c r="Z93" s="65"/>
    </row>
    <row r="94" spans="1:26">
      <c r="A94" s="23">
        <v>57</v>
      </c>
      <c r="B94" s="70" t="s">
        <v>86</v>
      </c>
      <c r="C94" s="76">
        <v>2122.33</v>
      </c>
      <c r="D94" s="77"/>
      <c r="E94" s="77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46">
        <f t="shared" si="8"/>
        <v>2122.33</v>
      </c>
      <c r="Q94" s="22">
        <f t="shared" si="9"/>
        <v>176.86083333333301</v>
      </c>
      <c r="R94" s="22">
        <f>SCPR2020!AD94</f>
        <v>21.779218953276501</v>
      </c>
      <c r="S94" s="97"/>
      <c r="T94" s="93"/>
      <c r="U94" s="53">
        <f t="shared" si="10"/>
        <v>21.779218953276501</v>
      </c>
      <c r="V94" s="93"/>
    </row>
    <row r="95" spans="1:26">
      <c r="A95" s="23">
        <v>58</v>
      </c>
      <c r="B95" s="70" t="s">
        <v>87</v>
      </c>
      <c r="C95" s="76">
        <v>2465</v>
      </c>
      <c r="D95" s="77"/>
      <c r="E95" s="77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46">
        <f t="shared" si="8"/>
        <v>2465</v>
      </c>
      <c r="Q95" s="22">
        <f t="shared" si="9"/>
        <v>205.416666666667</v>
      </c>
      <c r="R95" s="22">
        <f>SCPR2020!AD95</f>
        <v>26.814444089708701</v>
      </c>
      <c r="S95" s="52">
        <v>0</v>
      </c>
      <c r="T95" s="22">
        <f>SCPR2020!AF95</f>
        <v>0</v>
      </c>
      <c r="U95" s="53">
        <f t="shared" si="10"/>
        <v>26.814444089708701</v>
      </c>
      <c r="V95" s="93"/>
      <c r="X95" s="55"/>
      <c r="Y95" s="67"/>
      <c r="Z95" s="65"/>
    </row>
    <row r="96" spans="1:26">
      <c r="A96" s="29">
        <v>59</v>
      </c>
      <c r="B96" s="70" t="str">
        <f>[1]Membership!$B$71</f>
        <v>Concepcion B. Cruz</v>
      </c>
      <c r="C96" s="76">
        <v>7000</v>
      </c>
      <c r="D96" s="45"/>
      <c r="E96" s="77"/>
      <c r="F96" s="45"/>
      <c r="G96" s="22"/>
      <c r="H96" s="22"/>
      <c r="I96" s="22"/>
      <c r="J96" s="22"/>
      <c r="K96" s="22"/>
      <c r="L96" s="22"/>
      <c r="M96" s="22"/>
      <c r="N96" s="22"/>
      <c r="O96" s="22"/>
      <c r="P96" s="46">
        <f t="shared" si="8"/>
        <v>7000</v>
      </c>
      <c r="Q96" s="22">
        <f t="shared" si="9"/>
        <v>583.33333333333303</v>
      </c>
      <c r="R96" s="22">
        <f>SCPR2020!AD96</f>
        <v>71.833566256395301</v>
      </c>
      <c r="S96" s="52">
        <f>400</f>
        <v>400</v>
      </c>
      <c r="T96" s="22">
        <f>SCPR2020!AF96</f>
        <v>44.922007255139057</v>
      </c>
      <c r="U96" s="53">
        <f t="shared" si="10"/>
        <v>116.75557351153435</v>
      </c>
      <c r="V96" s="93"/>
    </row>
    <row r="97" spans="1:26">
      <c r="A97" s="23">
        <v>60</v>
      </c>
      <c r="B97" s="70" t="str">
        <f>[1]Membership!$B$72</f>
        <v>Leonardo B. Cruz</v>
      </c>
      <c r="C97" s="76">
        <v>2435</v>
      </c>
      <c r="D97" s="22"/>
      <c r="E97" s="77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46">
        <f t="shared" si="8"/>
        <v>2435</v>
      </c>
      <c r="Q97" s="22">
        <f t="shared" si="9"/>
        <v>202.916666666667</v>
      </c>
      <c r="R97" s="22">
        <f>SCPR2020!AD97</f>
        <v>25.8908696664122</v>
      </c>
      <c r="S97" s="52">
        <f>400</f>
        <v>400</v>
      </c>
      <c r="T97" s="22">
        <f>SCPR2020!AF97</f>
        <v>44.922007255139057</v>
      </c>
      <c r="U97" s="53">
        <f t="shared" si="10"/>
        <v>70.812876921551265</v>
      </c>
      <c r="V97" s="93"/>
      <c r="X97" s="55"/>
      <c r="Y97" s="67"/>
      <c r="Z97" s="65"/>
    </row>
    <row r="98" spans="1:26">
      <c r="A98" s="23">
        <v>61</v>
      </c>
      <c r="B98" s="70" t="str">
        <f>[1]Membership!$B$73</f>
        <v>Annalyn B. Cruz</v>
      </c>
      <c r="C98" s="76">
        <v>2450.8000000000002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46">
        <f t="shared" si="8"/>
        <v>2450.8000000000002</v>
      </c>
      <c r="Q98" s="22">
        <f t="shared" si="9"/>
        <v>204.23333333333301</v>
      </c>
      <c r="R98" s="22">
        <f>SCPR2020!AD98</f>
        <v>26.011960535244398</v>
      </c>
      <c r="S98" s="52">
        <f>80+120</f>
        <v>200</v>
      </c>
      <c r="T98" s="22">
        <f>SCPR2020!AF98</f>
        <v>22.461003627569529</v>
      </c>
      <c r="U98" s="53">
        <f t="shared" si="10"/>
        <v>48.472964162813923</v>
      </c>
      <c r="V98" s="93"/>
      <c r="Y98" s="67"/>
      <c r="Z98" s="65"/>
    </row>
    <row r="99" spans="1:26">
      <c r="A99" s="19">
        <v>62</v>
      </c>
      <c r="B99" s="78"/>
      <c r="C99" s="76"/>
      <c r="D99" s="77"/>
      <c r="E99" s="77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46"/>
      <c r="Q99" s="22"/>
      <c r="R99" s="22">
        <f>SCPR2020!AD99</f>
        <v>1.02619380366279</v>
      </c>
      <c r="S99" s="97"/>
      <c r="T99" s="22">
        <f>SCPR2020!AF99</f>
        <v>0</v>
      </c>
      <c r="U99" s="98"/>
      <c r="V99" s="93"/>
    </row>
    <row r="100" spans="1:26">
      <c r="A100" s="23">
        <v>63</v>
      </c>
      <c r="B100" s="70" t="str">
        <f>[1]Membership!$B$75</f>
        <v>Milben Rex P. Balao</v>
      </c>
      <c r="C100" s="76">
        <v>3590</v>
      </c>
      <c r="D100" s="22"/>
      <c r="E100" s="77"/>
      <c r="F100" s="47"/>
      <c r="G100" s="22"/>
      <c r="H100" s="22"/>
      <c r="I100" s="22"/>
      <c r="J100" s="22"/>
      <c r="K100" s="22"/>
      <c r="L100" s="22"/>
      <c r="M100" s="22"/>
      <c r="N100" s="22"/>
      <c r="O100" s="22"/>
      <c r="P100" s="46">
        <f>C100+D100+E100+F100+G100+H100+I100+J100+K100+L100+M100+N100+O100</f>
        <v>3590</v>
      </c>
      <c r="Q100" s="22">
        <f t="shared" si="9"/>
        <v>299.16666666666703</v>
      </c>
      <c r="R100" s="22">
        <f>SCPR2020!AD100</f>
        <v>36.840357551494201</v>
      </c>
      <c r="S100" s="52">
        <f>600+400</f>
        <v>1000</v>
      </c>
      <c r="T100" s="22">
        <f>SCPR2020!AF100</f>
        <v>112.30501813784764</v>
      </c>
      <c r="U100" s="53">
        <f t="shared" si="10"/>
        <v>149.14537568934185</v>
      </c>
      <c r="V100" s="93"/>
    </row>
    <row r="101" spans="1:26">
      <c r="A101" s="19">
        <v>64</v>
      </c>
      <c r="B101" s="79" t="s">
        <v>88</v>
      </c>
      <c r="C101" s="80"/>
      <c r="D101" s="81"/>
      <c r="E101" s="81"/>
      <c r="F101" s="71"/>
      <c r="G101" s="71"/>
      <c r="H101" s="71"/>
      <c r="I101" s="71">
        <v>100</v>
      </c>
      <c r="J101" s="71"/>
      <c r="K101" s="71"/>
      <c r="L101" s="71"/>
      <c r="M101" s="71"/>
      <c r="N101" s="71"/>
      <c r="O101" s="71"/>
      <c r="P101" s="91">
        <f>C101+D101+E101+F101+G101+H101+I101+J101+K101+L101+M101+N101+O101</f>
        <v>100</v>
      </c>
      <c r="Q101" s="58">
        <f t="shared" si="9"/>
        <v>8.3333333333333304</v>
      </c>
      <c r="R101" s="22">
        <f>SCPR2020!AD101</f>
        <v>0</v>
      </c>
      <c r="S101" s="71">
        <v>0</v>
      </c>
      <c r="T101" s="22">
        <f>SCPR2020!AF101</f>
        <v>0</v>
      </c>
      <c r="U101" s="99">
        <f>T101</f>
        <v>0</v>
      </c>
      <c r="V101" s="93"/>
      <c r="X101" s="54"/>
      <c r="Y101" s="67"/>
      <c r="Z101" s="65"/>
    </row>
    <row r="102" spans="1:26">
      <c r="A102" s="23">
        <v>65</v>
      </c>
      <c r="B102" s="70" t="s">
        <v>89</v>
      </c>
      <c r="C102" s="76">
        <v>2465</v>
      </c>
      <c r="D102" s="77"/>
      <c r="E102" s="77"/>
      <c r="F102" s="22"/>
      <c r="G102" s="22"/>
      <c r="H102" s="32">
        <v>250</v>
      </c>
      <c r="I102" s="22"/>
      <c r="J102" s="22"/>
      <c r="K102" s="22"/>
      <c r="L102" s="22"/>
      <c r="M102" s="22"/>
      <c r="N102" s="22"/>
      <c r="O102" s="22"/>
      <c r="P102" s="46">
        <f>C102+D102+E102+F102+G102+H102+I102+J102+K102+L102+M102+N102+O102</f>
        <v>2715</v>
      </c>
      <c r="Q102" s="22">
        <f t="shared" si="9"/>
        <v>226.25</v>
      </c>
      <c r="R102" s="22">
        <f>SCPR2020!AD102</f>
        <v>25.2956772602878</v>
      </c>
      <c r="S102" s="52">
        <v>0</v>
      </c>
      <c r="T102" s="22">
        <f>SCPR2020!AF102</f>
        <v>0</v>
      </c>
      <c r="U102" s="53">
        <f>R102+T102</f>
        <v>25.2956772602878</v>
      </c>
      <c r="V102" s="93"/>
      <c r="X102" s="55"/>
      <c r="Y102" s="67"/>
      <c r="Z102" s="65"/>
    </row>
    <row r="103" spans="1:26">
      <c r="A103" s="29">
        <v>66</v>
      </c>
      <c r="B103" s="70" t="s">
        <v>90</v>
      </c>
      <c r="C103" s="76">
        <v>7000</v>
      </c>
      <c r="D103" s="77"/>
      <c r="E103" s="77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46">
        <f>C103</f>
        <v>7000</v>
      </c>
      <c r="Q103" s="22">
        <f t="shared" si="9"/>
        <v>583.33333333333303</v>
      </c>
      <c r="R103" s="22">
        <f>SCPR2020!AD103</f>
        <v>71.833566256395301</v>
      </c>
      <c r="S103" s="52">
        <f>200+200+200+200+200+200</f>
        <v>1200</v>
      </c>
      <c r="T103" s="22">
        <f>SCPR2020!AF103</f>
        <v>134.76602176541718</v>
      </c>
      <c r="U103" s="53">
        <f t="shared" ref="U103:U104" si="11">R103+T103</f>
        <v>206.59958802181248</v>
      </c>
      <c r="V103" s="93"/>
    </row>
    <row r="104" spans="1:26">
      <c r="A104" s="23">
        <v>67</v>
      </c>
      <c r="B104" s="9" t="s">
        <v>91</v>
      </c>
      <c r="C104" s="76">
        <f>2220+41.81</f>
        <v>2261.81</v>
      </c>
      <c r="D104" s="77"/>
      <c r="E104" s="77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46">
        <f t="shared" ref="P104:P119" si="12">C104+D104+E104+F104+G104+H104+I104+J104+K104+L104+M104+N104+O104</f>
        <v>2261.81</v>
      </c>
      <c r="Q104" s="22">
        <f t="shared" si="9"/>
        <v>188.48416666666699</v>
      </c>
      <c r="R104" s="22">
        <f>SCPR2020!AD104</f>
        <v>23.210554070625399</v>
      </c>
      <c r="S104" s="52">
        <f>120+120+120</f>
        <v>360</v>
      </c>
      <c r="T104" s="22">
        <f>SCPR2020!AF104</f>
        <v>40.429806529625154</v>
      </c>
      <c r="U104" s="53">
        <f t="shared" si="11"/>
        <v>63.640360600250553</v>
      </c>
      <c r="V104" s="93"/>
    </row>
    <row r="105" spans="1:26">
      <c r="A105" s="19">
        <v>68</v>
      </c>
      <c r="B105" s="70" t="s">
        <v>92</v>
      </c>
      <c r="C105" s="82">
        <v>220</v>
      </c>
      <c r="D105" s="77"/>
      <c r="E105" s="77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46">
        <f t="shared" si="12"/>
        <v>220</v>
      </c>
      <c r="Q105" s="22">
        <f t="shared" si="9"/>
        <v>18.3333333333333</v>
      </c>
      <c r="R105" s="22">
        <f>SCPR2020!AD105</f>
        <v>2.2576263680581401</v>
      </c>
      <c r="S105" s="52">
        <f>280+240</f>
        <v>520</v>
      </c>
      <c r="T105" s="22">
        <f>SCPR2020!AF105</f>
        <v>58.398609431680775</v>
      </c>
      <c r="U105" s="53">
        <f>T105</f>
        <v>58.398609431680775</v>
      </c>
      <c r="V105" s="93"/>
    </row>
    <row r="106" spans="1:26">
      <c r="A106" s="19">
        <v>69</v>
      </c>
      <c r="B106" s="70" t="s">
        <v>93</v>
      </c>
      <c r="C106" s="83">
        <v>100</v>
      </c>
      <c r="D106" s="77"/>
      <c r="E106" s="77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46">
        <f t="shared" si="12"/>
        <v>100</v>
      </c>
      <c r="Q106" s="22">
        <f t="shared" si="9"/>
        <v>8.3333333333333304</v>
      </c>
      <c r="R106" s="22">
        <f>SCPR2020!AD106</f>
        <v>1.02619380366279</v>
      </c>
      <c r="S106" s="97"/>
      <c r="T106" s="22">
        <f>SCPR2020!AF106</f>
        <v>0</v>
      </c>
      <c r="U106" s="98"/>
      <c r="V106" s="93"/>
    </row>
    <row r="107" spans="1:26">
      <c r="A107" s="19">
        <v>70</v>
      </c>
      <c r="B107" s="70" t="s">
        <v>94</v>
      </c>
      <c r="C107" s="83">
        <v>100</v>
      </c>
      <c r="D107" s="77"/>
      <c r="E107" s="77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46">
        <f t="shared" si="12"/>
        <v>100</v>
      </c>
      <c r="Q107" s="22">
        <f t="shared" si="9"/>
        <v>8.3333333333333304</v>
      </c>
      <c r="R107" s="22">
        <f>SCPR2020!AD107</f>
        <v>1.02619380366279</v>
      </c>
      <c r="S107" s="97"/>
      <c r="T107" s="22">
        <f>SCPR2020!AF107</f>
        <v>0</v>
      </c>
      <c r="U107" s="98"/>
      <c r="V107" s="93"/>
    </row>
    <row r="108" spans="1:26">
      <c r="A108" s="19">
        <v>71</v>
      </c>
      <c r="B108" s="70" t="s">
        <v>95</v>
      </c>
      <c r="C108" s="83">
        <v>420</v>
      </c>
      <c r="D108" s="77"/>
      <c r="E108" s="77"/>
      <c r="F108" s="22"/>
      <c r="G108" s="22"/>
      <c r="H108" s="22"/>
      <c r="I108" s="22"/>
      <c r="J108" s="45"/>
      <c r="K108" s="22"/>
      <c r="L108" s="22"/>
      <c r="M108" s="22"/>
      <c r="N108" s="22"/>
      <c r="O108" s="22"/>
      <c r="P108" s="46">
        <f t="shared" si="12"/>
        <v>420</v>
      </c>
      <c r="Q108" s="22">
        <f t="shared" si="9"/>
        <v>35</v>
      </c>
      <c r="R108" s="22">
        <f>SCPR2020!AD108</f>
        <v>5.8287808048046497</v>
      </c>
      <c r="S108" s="52">
        <f>280+600+600</f>
        <v>1480</v>
      </c>
      <c r="T108" s="22">
        <f>SCPR2020!AF108</f>
        <v>166.21142684401451</v>
      </c>
      <c r="U108" s="53">
        <f>T108</f>
        <v>166.21142684401451</v>
      </c>
      <c r="V108" s="93"/>
    </row>
    <row r="109" spans="1:26">
      <c r="A109" s="19">
        <v>72</v>
      </c>
      <c r="B109" s="70" t="s">
        <v>96</v>
      </c>
      <c r="C109" s="83">
        <v>340</v>
      </c>
      <c r="D109" s="22"/>
      <c r="E109" s="77"/>
      <c r="F109" s="22"/>
      <c r="G109" s="22"/>
      <c r="H109" s="22"/>
      <c r="I109" s="22"/>
      <c r="J109" s="45"/>
      <c r="K109" s="22"/>
      <c r="L109" s="22"/>
      <c r="M109" s="22"/>
      <c r="N109" s="22"/>
      <c r="O109" s="22"/>
      <c r="P109" s="46">
        <f t="shared" si="12"/>
        <v>340</v>
      </c>
      <c r="Q109" s="22">
        <f t="shared" si="9"/>
        <v>28.3333333333333</v>
      </c>
      <c r="R109" s="22">
        <f>SCPR2020!AD109</f>
        <v>11.082893079558101</v>
      </c>
      <c r="S109" s="52">
        <f>200+200+200</f>
        <v>600</v>
      </c>
      <c r="T109" s="22">
        <f>SCPR2020!AF109</f>
        <v>67.383010882708589</v>
      </c>
      <c r="U109" s="53">
        <f>T109</f>
        <v>67.383010882708589</v>
      </c>
      <c r="V109" s="93"/>
    </row>
    <row r="110" spans="1:26">
      <c r="A110" s="19">
        <v>73</v>
      </c>
      <c r="B110" s="70" t="s">
        <v>97</v>
      </c>
      <c r="C110" s="76">
        <v>440</v>
      </c>
      <c r="D110" s="22"/>
      <c r="E110" s="77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46">
        <f t="shared" si="12"/>
        <v>440</v>
      </c>
      <c r="Q110" s="22">
        <f t="shared" si="9"/>
        <v>36.6666666666667</v>
      </c>
      <c r="R110" s="22">
        <f>SCPR2020!AD110</f>
        <v>7.69645352747093</v>
      </c>
      <c r="S110" s="97"/>
      <c r="T110" s="22">
        <f>SCPR2020!AF110</f>
        <v>0</v>
      </c>
      <c r="U110" s="98"/>
      <c r="V110" s="93"/>
    </row>
    <row r="111" spans="1:26">
      <c r="A111" s="19">
        <v>74</v>
      </c>
      <c r="B111" s="70" t="s">
        <v>98</v>
      </c>
      <c r="C111" s="83">
        <v>520</v>
      </c>
      <c r="D111" s="22"/>
      <c r="E111" s="77"/>
      <c r="F111" s="45"/>
      <c r="G111" s="22"/>
      <c r="H111" s="22"/>
      <c r="I111" s="22"/>
      <c r="J111" s="22"/>
      <c r="K111" s="22"/>
      <c r="L111" s="22"/>
      <c r="M111" s="22"/>
      <c r="N111" s="22"/>
      <c r="O111" s="22"/>
      <c r="P111" s="46">
        <f t="shared" si="12"/>
        <v>520</v>
      </c>
      <c r="Q111" s="22">
        <f t="shared" si="9"/>
        <v>43.3333333333333</v>
      </c>
      <c r="R111" s="22">
        <f>SCPR2020!AD111</f>
        <v>7.2859760060058099</v>
      </c>
      <c r="S111" s="52">
        <f>280+200+200+200+200</f>
        <v>1080</v>
      </c>
      <c r="T111" s="22">
        <f>SCPR2020!AF111</f>
        <v>121.28941958887546</v>
      </c>
      <c r="U111" s="53">
        <f>T111</f>
        <v>121.28941958887546</v>
      </c>
      <c r="V111" s="93"/>
    </row>
    <row r="112" spans="1:26">
      <c r="A112" s="19">
        <v>75</v>
      </c>
      <c r="B112" s="70" t="s">
        <v>99</v>
      </c>
      <c r="C112" s="83">
        <v>100</v>
      </c>
      <c r="D112" s="22"/>
      <c r="E112" s="81">
        <v>500</v>
      </c>
      <c r="F112" s="71">
        <f>500+500</f>
        <v>1000</v>
      </c>
      <c r="G112" s="32">
        <f>500+500</f>
        <v>1000</v>
      </c>
      <c r="H112" s="22"/>
      <c r="I112" s="32">
        <v>500</v>
      </c>
      <c r="J112" s="32">
        <v>500</v>
      </c>
      <c r="K112" s="32">
        <v>500</v>
      </c>
      <c r="L112" s="32">
        <v>1500</v>
      </c>
      <c r="M112" s="32">
        <f>500+500</f>
        <v>1000</v>
      </c>
      <c r="N112" s="32">
        <v>900</v>
      </c>
      <c r="O112" s="22"/>
      <c r="P112" s="92">
        <f t="shared" si="12"/>
        <v>7500</v>
      </c>
      <c r="Q112" s="22">
        <f t="shared" si="9"/>
        <v>625</v>
      </c>
      <c r="R112" s="22"/>
      <c r="S112" s="52"/>
      <c r="T112" s="22"/>
      <c r="U112" s="53"/>
      <c r="V112" s="93"/>
    </row>
    <row r="113" spans="1:22">
      <c r="A113" s="84">
        <v>76</v>
      </c>
      <c r="B113" s="70" t="s">
        <v>100</v>
      </c>
      <c r="C113" s="76">
        <v>200</v>
      </c>
      <c r="D113" s="77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46">
        <f t="shared" si="12"/>
        <v>200</v>
      </c>
      <c r="Q113" s="22">
        <f t="shared" si="9"/>
        <v>16.6666666666667</v>
      </c>
      <c r="R113" s="22">
        <f>SCPR2020!AD113</f>
        <v>2.05238760732558</v>
      </c>
      <c r="S113" s="52">
        <f>120</f>
        <v>120</v>
      </c>
      <c r="T113" s="22">
        <f>SCPR2020!AF113</f>
        <v>13.476602176541718</v>
      </c>
      <c r="U113" s="53">
        <f>T113</f>
        <v>13.476602176541718</v>
      </c>
      <c r="V113" s="93"/>
    </row>
    <row r="114" spans="1:22">
      <c r="A114" s="84">
        <v>77</v>
      </c>
      <c r="B114" s="70" t="s">
        <v>101</v>
      </c>
      <c r="C114" s="76">
        <v>340</v>
      </c>
      <c r="D114" s="77"/>
      <c r="E114" s="77"/>
      <c r="F114" s="45"/>
      <c r="G114" s="22"/>
      <c r="H114" s="22"/>
      <c r="I114" s="22"/>
      <c r="J114" s="45"/>
      <c r="K114" s="22"/>
      <c r="L114" s="22"/>
      <c r="M114" s="22"/>
      <c r="N114" s="22"/>
      <c r="O114" s="22"/>
      <c r="P114" s="46">
        <f t="shared" si="12"/>
        <v>340</v>
      </c>
      <c r="Q114" s="22">
        <f t="shared" si="9"/>
        <v>28.3333333333333</v>
      </c>
      <c r="R114" s="22">
        <f>SCPR2020!AD114</f>
        <v>3.48905893245349</v>
      </c>
      <c r="S114" s="52">
        <f>80+120+160+220</f>
        <v>580</v>
      </c>
      <c r="T114" s="22">
        <f>SCPR2020!AF114</f>
        <v>65.136910519951627</v>
      </c>
      <c r="U114" s="53">
        <f>T114</f>
        <v>65.136910519951627</v>
      </c>
      <c r="V114" s="93"/>
    </row>
    <row r="115" spans="1:22">
      <c r="A115" s="84">
        <v>78</v>
      </c>
      <c r="B115" s="70" t="s">
        <v>102</v>
      </c>
      <c r="C115" s="76">
        <v>100</v>
      </c>
      <c r="D115" s="77"/>
      <c r="E115" s="77"/>
      <c r="F115" s="22"/>
      <c r="G115" s="22"/>
      <c r="H115" s="22"/>
      <c r="I115" s="22"/>
      <c r="J115" s="45"/>
      <c r="K115" s="22"/>
      <c r="L115" s="22"/>
      <c r="M115" s="22"/>
      <c r="N115" s="22"/>
      <c r="O115" s="22"/>
      <c r="P115" s="46">
        <f t="shared" si="12"/>
        <v>100</v>
      </c>
      <c r="Q115" s="22">
        <f t="shared" si="9"/>
        <v>8.3333333333333304</v>
      </c>
      <c r="R115" s="22">
        <f>SCPR2020!AD115</f>
        <v>1.02619380366279</v>
      </c>
      <c r="S115" s="97"/>
      <c r="T115" s="22">
        <f>SCPR2020!AF115</f>
        <v>0</v>
      </c>
      <c r="U115" s="98"/>
      <c r="V115" s="93"/>
    </row>
    <row r="116" spans="1:22">
      <c r="A116" s="84">
        <v>79</v>
      </c>
      <c r="B116" s="70" t="s">
        <v>103</v>
      </c>
      <c r="C116" s="76">
        <v>100</v>
      </c>
      <c r="D116" s="77"/>
      <c r="E116" s="77"/>
      <c r="F116" s="22"/>
      <c r="G116" s="22"/>
      <c r="H116" s="22"/>
      <c r="I116" s="22"/>
      <c r="J116" s="45"/>
      <c r="K116" s="32">
        <v>300</v>
      </c>
      <c r="L116" s="22"/>
      <c r="M116" s="22"/>
      <c r="N116" s="22"/>
      <c r="O116" s="22"/>
      <c r="P116" s="46">
        <f t="shared" si="12"/>
        <v>400</v>
      </c>
      <c r="Q116" s="22">
        <f t="shared" si="9"/>
        <v>33.3333333333333</v>
      </c>
      <c r="R116" s="22">
        <f>SCPR2020!AD116</f>
        <v>1.02619380366279</v>
      </c>
      <c r="S116" s="97"/>
      <c r="T116" s="22">
        <f>SCPR2020!AF116</f>
        <v>0</v>
      </c>
      <c r="U116" s="98"/>
      <c r="V116" s="93"/>
    </row>
    <row r="117" spans="1:22">
      <c r="A117" s="84"/>
      <c r="B117" s="70" t="s">
        <v>104</v>
      </c>
      <c r="C117" s="76">
        <v>100</v>
      </c>
      <c r="D117" s="77"/>
      <c r="E117" s="77"/>
      <c r="F117" s="22"/>
      <c r="G117" s="22"/>
      <c r="H117" s="22"/>
      <c r="I117" s="22"/>
      <c r="J117" s="45"/>
      <c r="K117" s="32"/>
      <c r="L117" s="22"/>
      <c r="M117" s="22"/>
      <c r="N117" s="22"/>
      <c r="O117" s="22"/>
      <c r="P117" s="46">
        <f t="shared" si="12"/>
        <v>100</v>
      </c>
      <c r="Q117" s="22">
        <f t="shared" ref="Q117" si="13">P117/12</f>
        <v>8.3333333333333304</v>
      </c>
      <c r="R117" s="22">
        <f>SCPR2020!AD117</f>
        <v>1.02619380366279</v>
      </c>
      <c r="S117" s="97"/>
      <c r="T117" s="22">
        <f>SCPR2020!AF117</f>
        <v>0</v>
      </c>
      <c r="U117" s="98"/>
      <c r="V117" s="93"/>
    </row>
    <row r="118" spans="1:22">
      <c r="A118" s="84">
        <v>81</v>
      </c>
      <c r="B118" s="70" t="s">
        <v>105</v>
      </c>
      <c r="C118" s="76">
        <v>220</v>
      </c>
      <c r="D118" s="77"/>
      <c r="E118" s="77"/>
      <c r="F118" s="22"/>
      <c r="G118" s="22"/>
      <c r="H118" s="22"/>
      <c r="I118" s="22"/>
      <c r="J118" s="45"/>
      <c r="K118" s="22"/>
      <c r="L118" s="22"/>
      <c r="M118" s="22"/>
      <c r="N118" s="22"/>
      <c r="O118" s="22"/>
      <c r="P118" s="46">
        <f t="shared" si="12"/>
        <v>220</v>
      </c>
      <c r="Q118" s="22">
        <f t="shared" si="9"/>
        <v>18.3333333333333</v>
      </c>
      <c r="R118" s="22">
        <f>SCPR2020!AD118</f>
        <v>2.2576263680581401</v>
      </c>
      <c r="S118" s="52">
        <f>80+120</f>
        <v>200</v>
      </c>
      <c r="T118" s="22">
        <f>SCPR2020!AF118</f>
        <v>22.461003627569529</v>
      </c>
      <c r="U118" s="53">
        <f>T118</f>
        <v>22.461003627569529</v>
      </c>
      <c r="V118" s="93"/>
    </row>
    <row r="119" spans="1:22">
      <c r="A119" s="84">
        <v>82</v>
      </c>
      <c r="B119" s="70" t="s">
        <v>106</v>
      </c>
      <c r="C119" s="76">
        <v>160</v>
      </c>
      <c r="D119" s="77"/>
      <c r="E119" s="81">
        <v>60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46">
        <f t="shared" si="12"/>
        <v>220</v>
      </c>
      <c r="Q119" s="22">
        <f t="shared" si="9"/>
        <v>18.3333333333333</v>
      </c>
      <c r="R119" s="22">
        <f>SCPR2020!AD119</f>
        <v>1.6419100858604601</v>
      </c>
      <c r="S119" s="52">
        <f>80</f>
        <v>80</v>
      </c>
      <c r="T119" s="22">
        <f>SCPR2020!AF119</f>
        <v>8.9844014510278107</v>
      </c>
      <c r="U119" s="53">
        <f>T119</f>
        <v>8.9844014510278107</v>
      </c>
      <c r="V119" s="93"/>
    </row>
    <row r="120" spans="1:22" ht="6" customHeight="1">
      <c r="A120" s="85"/>
      <c r="B120" s="86"/>
      <c r="C120" s="87"/>
      <c r="D120" s="88"/>
      <c r="E120" s="88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100"/>
      <c r="T120" s="89"/>
      <c r="U120" s="89"/>
      <c r="V120" s="89"/>
    </row>
    <row r="121" spans="1:22">
      <c r="P121" s="50">
        <f>SUM(P93:P120)</f>
        <v>45560.04</v>
      </c>
      <c r="U121" s="60" t="s">
        <v>107</v>
      </c>
    </row>
    <row r="122" spans="1:22">
      <c r="A122" s="31"/>
      <c r="B122" s="70"/>
      <c r="C122" s="40"/>
      <c r="U122" s="3"/>
    </row>
    <row r="123" spans="1:22">
      <c r="A123" s="31"/>
      <c r="B123" s="70"/>
      <c r="C123" s="40"/>
    </row>
    <row r="124" spans="1:22">
      <c r="A124" s="308" t="s">
        <v>0</v>
      </c>
      <c r="B124" s="308"/>
      <c r="C124" s="308"/>
      <c r="D124" s="308"/>
      <c r="E124" s="308"/>
      <c r="F124" s="308"/>
      <c r="G124" s="308"/>
      <c r="H124" s="308"/>
      <c r="I124" s="308"/>
      <c r="J124" s="308"/>
      <c r="K124" s="308"/>
      <c r="L124" s="308"/>
      <c r="M124" s="308"/>
      <c r="N124" s="308"/>
      <c r="O124" s="308"/>
      <c r="P124" s="308"/>
      <c r="Q124" s="308"/>
      <c r="R124" s="308"/>
      <c r="S124" s="308"/>
      <c r="T124" s="308"/>
      <c r="U124" s="308"/>
      <c r="V124" s="308"/>
    </row>
    <row r="125" spans="1:22">
      <c r="A125" s="315" t="s">
        <v>1</v>
      </c>
      <c r="B125" s="315"/>
      <c r="C125" s="315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</row>
    <row r="126" spans="1:22">
      <c r="A126" s="313" t="s">
        <v>2</v>
      </c>
      <c r="B126" s="313"/>
      <c r="C126" s="313"/>
      <c r="D126" s="313"/>
      <c r="E126" s="313"/>
      <c r="F126" s="313"/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  <c r="T126" s="313"/>
      <c r="U126" s="313"/>
      <c r="V126" s="313"/>
    </row>
    <row r="127" spans="1:22">
      <c r="B127" s="9"/>
      <c r="C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51"/>
      <c r="T127" s="9"/>
      <c r="U127" s="9"/>
      <c r="V127" s="9"/>
    </row>
    <row r="128" spans="1:22" ht="18">
      <c r="A128" s="316" t="s">
        <v>3</v>
      </c>
      <c r="B128" s="316"/>
      <c r="C128" s="316"/>
      <c r="D128" s="316"/>
      <c r="E128" s="316"/>
      <c r="F128" s="316"/>
      <c r="G128" s="316"/>
      <c r="H128" s="316"/>
      <c r="I128" s="316"/>
      <c r="J128" s="316"/>
      <c r="K128" s="316"/>
      <c r="L128" s="316"/>
      <c r="M128" s="316"/>
      <c r="N128" s="316"/>
      <c r="O128" s="316"/>
      <c r="P128" s="316"/>
      <c r="Q128" s="316"/>
      <c r="R128" s="316"/>
      <c r="S128" s="316"/>
      <c r="T128" s="316"/>
      <c r="U128" s="316"/>
      <c r="V128" s="316"/>
    </row>
    <row r="129" spans="1:22">
      <c r="A129" s="313" t="s">
        <v>145</v>
      </c>
      <c r="B129" s="313"/>
      <c r="C129" s="313"/>
      <c r="D129" s="313"/>
      <c r="E129" s="313"/>
      <c r="F129" s="313"/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  <c r="T129" s="313"/>
      <c r="U129" s="313"/>
      <c r="V129" s="313"/>
    </row>
    <row r="130" spans="1:22" ht="5.25" customHeight="1"/>
    <row r="131" spans="1:22" ht="15.75" customHeight="1">
      <c r="A131" s="336" t="s">
        <v>5</v>
      </c>
      <c r="B131" s="337"/>
      <c r="C131" s="334" t="s">
        <v>220</v>
      </c>
      <c r="D131" s="329" t="s">
        <v>7</v>
      </c>
      <c r="E131" s="329" t="s">
        <v>8</v>
      </c>
      <c r="F131" s="319" t="s">
        <v>9</v>
      </c>
      <c r="G131" s="319" t="s">
        <v>10</v>
      </c>
      <c r="H131" s="329" t="s">
        <v>11</v>
      </c>
      <c r="I131" s="319" t="s">
        <v>12</v>
      </c>
      <c r="J131" s="319" t="s">
        <v>13</v>
      </c>
      <c r="K131" s="319" t="s">
        <v>14</v>
      </c>
      <c r="L131" s="319" t="s">
        <v>15</v>
      </c>
      <c r="M131" s="319" t="s">
        <v>16</v>
      </c>
      <c r="N131" s="319" t="s">
        <v>17</v>
      </c>
      <c r="O131" s="319" t="s">
        <v>18</v>
      </c>
      <c r="P131" s="319" t="s">
        <v>19</v>
      </c>
      <c r="Q131" s="319" t="s">
        <v>20</v>
      </c>
      <c r="R131" s="327" t="s">
        <v>21</v>
      </c>
      <c r="S131" s="323" t="s">
        <v>22</v>
      </c>
      <c r="T131" s="342" t="s">
        <v>23</v>
      </c>
      <c r="U131" s="329" t="s">
        <v>24</v>
      </c>
      <c r="V131" s="325" t="s">
        <v>25</v>
      </c>
    </row>
    <row r="132" spans="1:22" ht="18" customHeight="1">
      <c r="A132" s="338"/>
      <c r="B132" s="339"/>
      <c r="C132" s="335"/>
      <c r="D132" s="330"/>
      <c r="E132" s="330"/>
      <c r="F132" s="320"/>
      <c r="G132" s="320"/>
      <c r="H132" s="330"/>
      <c r="I132" s="320"/>
      <c r="J132" s="320"/>
      <c r="K132" s="320"/>
      <c r="L132" s="320"/>
      <c r="M132" s="320"/>
      <c r="N132" s="320"/>
      <c r="O132" s="320"/>
      <c r="P132" s="320"/>
      <c r="Q132" s="320"/>
      <c r="R132" s="328"/>
      <c r="S132" s="324"/>
      <c r="T132" s="343"/>
      <c r="U132" s="330"/>
      <c r="V132" s="326"/>
    </row>
    <row r="133" spans="1:22" ht="3.75" customHeight="1">
      <c r="C133" s="101"/>
      <c r="D133" s="43"/>
      <c r="E133" s="43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61"/>
      <c r="T133" s="44"/>
      <c r="U133" s="44"/>
      <c r="V133" s="44"/>
    </row>
    <row r="134" spans="1:22">
      <c r="A134" s="29">
        <v>83</v>
      </c>
      <c r="B134" s="70" t="s">
        <v>108</v>
      </c>
      <c r="C134" s="76">
        <v>7000</v>
      </c>
      <c r="D134" s="77"/>
      <c r="E134" s="77"/>
      <c r="F134" s="22"/>
      <c r="G134" s="22"/>
      <c r="H134" s="22"/>
      <c r="I134" s="22"/>
      <c r="J134" s="22"/>
      <c r="K134" s="22"/>
      <c r="L134" s="22"/>
      <c r="M134" s="47"/>
      <c r="N134" s="33"/>
      <c r="O134" s="33"/>
      <c r="P134" s="46">
        <f t="shared" ref="P134:P144" si="14">C134+D134+E134+F134+G134+H134+I134+J134+K134+L134+M134+N134+O134</f>
        <v>7000</v>
      </c>
      <c r="Q134" s="22">
        <f>P134/12</f>
        <v>583.33333333333303</v>
      </c>
      <c r="R134" s="22">
        <f>SCPR2020!AD134</f>
        <v>71.833566256395301</v>
      </c>
      <c r="S134" s="97"/>
      <c r="T134" s="93"/>
      <c r="U134" s="53">
        <f t="shared" ref="U134" si="15">R134+T134</f>
        <v>71.833566256395301</v>
      </c>
      <c r="V134" s="93"/>
    </row>
    <row r="135" spans="1:22">
      <c r="A135" s="84">
        <v>84</v>
      </c>
      <c r="B135" s="62" t="s">
        <v>109</v>
      </c>
      <c r="C135" s="76">
        <v>100</v>
      </c>
      <c r="D135" s="77"/>
      <c r="E135" s="77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46">
        <f t="shared" si="14"/>
        <v>100</v>
      </c>
      <c r="Q135" s="22">
        <f>P135/12</f>
        <v>8.3333333333333304</v>
      </c>
      <c r="R135" s="22">
        <f>SCPR2020!AD135</f>
        <v>1.02619380366279</v>
      </c>
      <c r="S135" s="97"/>
      <c r="T135" s="93"/>
      <c r="U135" s="98"/>
      <c r="V135" s="93"/>
    </row>
    <row r="136" spans="1:22">
      <c r="A136" s="84">
        <v>85</v>
      </c>
      <c r="B136" s="9" t="s">
        <v>110</v>
      </c>
      <c r="C136" s="76">
        <v>100</v>
      </c>
      <c r="D136" s="77"/>
      <c r="E136" s="77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46">
        <f t="shared" si="14"/>
        <v>100</v>
      </c>
      <c r="Q136" s="22">
        <f t="shared" si="9"/>
        <v>8.3333333333333304</v>
      </c>
      <c r="R136" s="22">
        <f>SCPR2020!AD136</f>
        <v>1.02619380366279</v>
      </c>
      <c r="S136" s="97"/>
      <c r="T136" s="93"/>
      <c r="U136" s="98"/>
      <c r="V136" s="93"/>
    </row>
    <row r="137" spans="1:22">
      <c r="A137" s="29">
        <v>86</v>
      </c>
      <c r="B137" s="9" t="s">
        <v>111</v>
      </c>
      <c r="C137" s="76">
        <v>7000</v>
      </c>
      <c r="D137" s="77"/>
      <c r="E137" s="77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46">
        <f t="shared" si="14"/>
        <v>7000</v>
      </c>
      <c r="Q137" s="22">
        <f t="shared" si="9"/>
        <v>583.33333333333303</v>
      </c>
      <c r="R137" s="22">
        <f>SCPR2020!AD137</f>
        <v>71.833566256395301</v>
      </c>
      <c r="S137" s="97"/>
      <c r="T137" s="93"/>
      <c r="U137" s="53">
        <f t="shared" ref="U137" si="16">R137+T137</f>
        <v>71.833566256395301</v>
      </c>
      <c r="V137" s="93"/>
    </row>
    <row r="138" spans="1:22">
      <c r="A138" s="29">
        <v>87</v>
      </c>
      <c r="B138" s="9" t="s">
        <v>112</v>
      </c>
      <c r="C138" s="76"/>
      <c r="D138" s="81"/>
      <c r="E138" s="81">
        <v>200</v>
      </c>
      <c r="F138" s="22"/>
      <c r="G138" s="22"/>
      <c r="H138" s="22"/>
      <c r="I138" s="22"/>
      <c r="J138" s="32">
        <v>2000</v>
      </c>
      <c r="K138" s="22"/>
      <c r="L138" s="22"/>
      <c r="M138" s="22"/>
      <c r="N138" s="22"/>
      <c r="O138" s="22"/>
      <c r="P138" s="46">
        <f t="shared" si="14"/>
        <v>2200</v>
      </c>
      <c r="Q138" s="22"/>
      <c r="R138" s="22"/>
      <c r="S138" s="97"/>
      <c r="T138" s="93"/>
      <c r="U138" s="53"/>
      <c r="V138" s="93"/>
    </row>
    <row r="139" spans="1:22">
      <c r="A139" s="29">
        <v>88</v>
      </c>
      <c r="B139" s="9" t="s">
        <v>113</v>
      </c>
      <c r="C139" s="76"/>
      <c r="D139" s="77"/>
      <c r="E139" s="81">
        <v>3600</v>
      </c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46">
        <f t="shared" si="14"/>
        <v>3600</v>
      </c>
      <c r="Q139" s="22"/>
      <c r="R139" s="22"/>
      <c r="S139" s="97"/>
      <c r="T139" s="93"/>
      <c r="U139" s="53"/>
      <c r="V139" s="93"/>
    </row>
    <row r="140" spans="1:22">
      <c r="A140" s="29">
        <v>89</v>
      </c>
      <c r="B140" s="9" t="s">
        <v>114</v>
      </c>
      <c r="C140" s="76"/>
      <c r="D140" s="77"/>
      <c r="E140" s="77"/>
      <c r="F140" s="32">
        <v>2250</v>
      </c>
      <c r="G140" s="22"/>
      <c r="H140" s="22"/>
      <c r="I140" s="22"/>
      <c r="J140" s="22"/>
      <c r="K140" s="32">
        <v>500</v>
      </c>
      <c r="L140" s="22"/>
      <c r="M140" s="22"/>
      <c r="N140" s="22"/>
      <c r="O140" s="22"/>
      <c r="P140" s="46">
        <f t="shared" si="14"/>
        <v>2750</v>
      </c>
      <c r="Q140" s="22"/>
      <c r="R140" s="22"/>
      <c r="S140" s="97"/>
      <c r="T140" s="93"/>
      <c r="U140" s="53"/>
      <c r="V140" s="93"/>
    </row>
    <row r="141" spans="1:22">
      <c r="A141" s="29">
        <v>90</v>
      </c>
      <c r="B141" s="9" t="s">
        <v>115</v>
      </c>
      <c r="C141" s="76"/>
      <c r="D141" s="77"/>
      <c r="E141" s="77"/>
      <c r="F141" s="22"/>
      <c r="G141" s="22"/>
      <c r="H141" s="22"/>
      <c r="I141" s="22"/>
      <c r="J141" s="32">
        <v>100</v>
      </c>
      <c r="K141" s="22"/>
      <c r="L141" s="32">
        <v>500</v>
      </c>
      <c r="M141" s="32">
        <f>500+500</f>
        <v>1000</v>
      </c>
      <c r="N141" s="22"/>
      <c r="O141" s="22"/>
      <c r="P141" s="46">
        <f t="shared" si="14"/>
        <v>1600</v>
      </c>
      <c r="Q141" s="22"/>
      <c r="R141" s="22"/>
      <c r="S141" s="97"/>
      <c r="T141" s="93"/>
      <c r="U141" s="53"/>
      <c r="V141" s="93"/>
    </row>
    <row r="142" spans="1:22">
      <c r="A142" s="29">
        <v>91</v>
      </c>
      <c r="B142" s="9" t="s">
        <v>116</v>
      </c>
      <c r="C142" s="76"/>
      <c r="D142" s="77"/>
      <c r="E142" s="77"/>
      <c r="F142" s="22"/>
      <c r="G142" s="22"/>
      <c r="H142" s="22"/>
      <c r="I142" s="22"/>
      <c r="J142" s="22"/>
      <c r="K142" s="32">
        <v>100</v>
      </c>
      <c r="L142" s="22"/>
      <c r="M142" s="22"/>
      <c r="N142" s="22"/>
      <c r="O142" s="22"/>
      <c r="P142" s="46">
        <f t="shared" si="14"/>
        <v>100</v>
      </c>
      <c r="Q142" s="22"/>
      <c r="R142" s="22"/>
      <c r="S142" s="97"/>
      <c r="T142" s="93"/>
      <c r="U142" s="53"/>
      <c r="V142" s="93"/>
    </row>
    <row r="143" spans="1:22">
      <c r="A143" s="29">
        <v>92</v>
      </c>
      <c r="B143" s="9" t="s">
        <v>117</v>
      </c>
      <c r="C143" s="76"/>
      <c r="D143" s="77"/>
      <c r="E143" s="77"/>
      <c r="F143" s="22"/>
      <c r="G143" s="22"/>
      <c r="H143" s="22"/>
      <c r="I143" s="22"/>
      <c r="J143" s="22"/>
      <c r="K143" s="32">
        <v>100</v>
      </c>
      <c r="L143" s="22"/>
      <c r="M143" s="22"/>
      <c r="N143" s="22"/>
      <c r="O143" s="22"/>
      <c r="P143" s="46">
        <f t="shared" si="14"/>
        <v>100</v>
      </c>
      <c r="Q143" s="22"/>
      <c r="R143" s="22"/>
      <c r="S143" s="97"/>
      <c r="T143" s="93"/>
      <c r="U143" s="53"/>
      <c r="V143" s="93"/>
    </row>
    <row r="144" spans="1:22">
      <c r="A144" s="29">
        <v>93</v>
      </c>
      <c r="B144" s="9" t="s">
        <v>118</v>
      </c>
      <c r="C144" s="76"/>
      <c r="D144" s="77"/>
      <c r="E144" s="77"/>
      <c r="F144" s="22"/>
      <c r="G144" s="22"/>
      <c r="H144" s="22"/>
      <c r="I144" s="22"/>
      <c r="J144" s="22"/>
      <c r="K144" s="22"/>
      <c r="L144" s="22"/>
      <c r="M144" s="22"/>
      <c r="N144" s="32">
        <v>100</v>
      </c>
      <c r="O144" s="22"/>
      <c r="P144" s="46">
        <f t="shared" si="14"/>
        <v>100</v>
      </c>
      <c r="Q144" s="22"/>
      <c r="R144" s="22"/>
      <c r="S144" s="97"/>
      <c r="T144" s="93"/>
      <c r="U144" s="53"/>
      <c r="V144" s="93"/>
    </row>
    <row r="145" spans="1:28">
      <c r="A145" s="29"/>
      <c r="B145" s="9"/>
      <c r="C145" s="76"/>
      <c r="D145" s="77"/>
      <c r="E145" s="77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46"/>
      <c r="Q145" s="22"/>
      <c r="R145" s="22"/>
      <c r="S145" s="97"/>
      <c r="T145" s="93"/>
      <c r="U145" s="53"/>
      <c r="V145" s="93"/>
    </row>
    <row r="146" spans="1:28">
      <c r="A146" s="29"/>
      <c r="B146" s="9"/>
      <c r="C146" s="76"/>
      <c r="D146" s="77"/>
      <c r="E146" s="77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46"/>
      <c r="Q146" s="22"/>
      <c r="R146" s="22"/>
      <c r="S146" s="97"/>
      <c r="T146" s="93"/>
      <c r="U146" s="53"/>
      <c r="V146" s="93"/>
    </row>
    <row r="147" spans="1:28" ht="11.55" customHeight="1">
      <c r="A147" s="85"/>
      <c r="B147" s="102"/>
      <c r="C147" s="87"/>
      <c r="D147" s="88"/>
      <c r="E147" s="88"/>
      <c r="F147" s="38"/>
      <c r="G147" s="38"/>
      <c r="H147" s="38"/>
      <c r="I147" s="38"/>
      <c r="J147" s="38"/>
      <c r="K147" s="38"/>
      <c r="L147" s="38"/>
      <c r="M147" s="38"/>
      <c r="N147" s="89"/>
      <c r="O147" s="38"/>
      <c r="P147" s="89"/>
      <c r="Q147" s="89"/>
      <c r="R147" s="89"/>
      <c r="S147" s="100"/>
      <c r="T147" s="89"/>
      <c r="U147" s="89"/>
      <c r="V147" s="89"/>
    </row>
    <row r="148" spans="1:28">
      <c r="A148" s="85"/>
      <c r="B148" s="103" t="s">
        <v>120</v>
      </c>
      <c r="C148" s="104">
        <f t="shared" ref="C148:N148" si="17">SUM(C11:C147)</f>
        <v>176403.27</v>
      </c>
      <c r="D148" s="105">
        <f t="shared" si="17"/>
        <v>560</v>
      </c>
      <c r="E148" s="105">
        <f t="shared" si="17"/>
        <v>4750</v>
      </c>
      <c r="F148" s="106">
        <f t="shared" si="17"/>
        <v>3410</v>
      </c>
      <c r="G148" s="106">
        <f t="shared" si="17"/>
        <v>2000</v>
      </c>
      <c r="H148" s="105">
        <f t="shared" si="17"/>
        <v>1300</v>
      </c>
      <c r="I148" s="106">
        <f t="shared" si="17"/>
        <v>1200</v>
      </c>
      <c r="J148" s="106">
        <f t="shared" si="17"/>
        <v>2700</v>
      </c>
      <c r="K148" s="106">
        <f t="shared" si="17"/>
        <v>1500</v>
      </c>
      <c r="L148" s="106">
        <f t="shared" si="17"/>
        <v>2100</v>
      </c>
      <c r="M148" s="106">
        <f t="shared" si="17"/>
        <v>2100</v>
      </c>
      <c r="N148" s="106">
        <f t="shared" si="17"/>
        <v>2926</v>
      </c>
      <c r="O148" s="106"/>
      <c r="P148" s="108">
        <f>P40+P80+P121+P134+P135+P136+P137+P138+P139+P140+P141+P142+P143+P144</f>
        <v>200949.27</v>
      </c>
      <c r="Q148" s="114">
        <f>SUM(Q11:Q147)</f>
        <v>15874.9391666667</v>
      </c>
      <c r="R148" s="105">
        <f>SUM(R11:R147)</f>
        <v>1856.49880619634</v>
      </c>
      <c r="S148" s="115">
        <f>SUM(S11:S147)</f>
        <v>16540</v>
      </c>
      <c r="T148" s="105">
        <f>SUM(T11:T147)</f>
        <v>1857.5250000000003</v>
      </c>
      <c r="U148" s="116">
        <f>SUM(U11:U147)</f>
        <v>3461.2123426360558</v>
      </c>
      <c r="V148" s="88"/>
    </row>
    <row r="149" spans="1:28" ht="6.75" customHeight="1"/>
    <row r="150" spans="1:28">
      <c r="AB150" s="50"/>
    </row>
    <row r="151" spans="1:28" ht="12.75" customHeight="1">
      <c r="F151" s="313"/>
      <c r="G151" s="313"/>
      <c r="H151" s="313"/>
      <c r="I151" s="313"/>
      <c r="J151" s="109"/>
      <c r="K151" s="110"/>
    </row>
    <row r="152" spans="1:28" ht="12.75" customHeight="1">
      <c r="J152" s="4"/>
      <c r="K152" s="4"/>
      <c r="L152" s="4"/>
      <c r="M152" s="4"/>
      <c r="P152" s="109"/>
      <c r="S152" s="110"/>
    </row>
    <row r="153" spans="1:28" ht="12.75" customHeight="1">
      <c r="J153" s="4"/>
      <c r="K153" s="4"/>
      <c r="L153" s="4"/>
      <c r="M153" s="4"/>
      <c r="P153" s="109"/>
      <c r="S153" s="110"/>
    </row>
    <row r="154" spans="1:28">
      <c r="J154" s="4"/>
      <c r="K154" s="4"/>
      <c r="L154" s="4"/>
      <c r="M154" s="4"/>
      <c r="P154" s="67"/>
      <c r="S154" s="117"/>
    </row>
    <row r="155" spans="1:28" ht="12" customHeight="1">
      <c r="A155" t="s">
        <v>121</v>
      </c>
      <c r="E155" s="3" t="s">
        <v>122</v>
      </c>
      <c r="K155" t="s">
        <v>123</v>
      </c>
      <c r="P155" t="s">
        <v>124</v>
      </c>
      <c r="S155"/>
    </row>
    <row r="156" spans="1:28">
      <c r="S156"/>
    </row>
    <row r="157" spans="1:28">
      <c r="S157"/>
    </row>
    <row r="158" spans="1:28" ht="12" customHeight="1">
      <c r="B158" s="107" t="s">
        <v>125</v>
      </c>
      <c r="F158" s="107" t="s">
        <v>126</v>
      </c>
      <c r="L158" s="308" t="s">
        <v>167</v>
      </c>
      <c r="M158" s="308"/>
      <c r="N158" s="308"/>
      <c r="Q158" s="308" t="s">
        <v>168</v>
      </c>
      <c r="R158" s="308"/>
      <c r="S158" s="308"/>
    </row>
    <row r="159" spans="1:28" ht="12" customHeight="1">
      <c r="B159" t="s">
        <v>169</v>
      </c>
      <c r="F159" s="311" t="s">
        <v>129</v>
      </c>
      <c r="G159" s="311"/>
      <c r="H159" s="311"/>
      <c r="L159" s="313" t="s">
        <v>130</v>
      </c>
      <c r="M159" s="313"/>
      <c r="N159" s="313"/>
      <c r="Q159" s="313" t="s">
        <v>131</v>
      </c>
      <c r="R159" s="313"/>
      <c r="S159" s="313"/>
    </row>
    <row r="169" spans="12:21">
      <c r="U169" s="60" t="s">
        <v>132</v>
      </c>
    </row>
    <row r="170" spans="12:21">
      <c r="U170" s="60"/>
    </row>
    <row r="171" spans="12:21">
      <c r="N171" s="314"/>
      <c r="O171" s="314"/>
      <c r="S171" s="110"/>
    </row>
    <row r="172" spans="12:21">
      <c r="L172" s="112"/>
      <c r="N172" s="314"/>
      <c r="O172" s="314"/>
      <c r="S172" s="110"/>
    </row>
    <row r="173" spans="12:21">
      <c r="N173" s="331"/>
      <c r="O173" s="331"/>
      <c r="S173" s="110"/>
    </row>
  </sheetData>
  <mergeCells count="113">
    <mergeCell ref="V131:V132"/>
    <mergeCell ref="A9:B10"/>
    <mergeCell ref="A49:B50"/>
    <mergeCell ref="A90:B91"/>
    <mergeCell ref="A131:B132"/>
    <mergeCell ref="S49:S50"/>
    <mergeCell ref="S90:S91"/>
    <mergeCell ref="S131:S132"/>
    <mergeCell ref="T9:T10"/>
    <mergeCell ref="T49:T50"/>
    <mergeCell ref="T90:T91"/>
    <mergeCell ref="T131:T132"/>
    <mergeCell ref="U9:U10"/>
    <mergeCell ref="U49:U50"/>
    <mergeCell ref="U90:U91"/>
    <mergeCell ref="U131:U132"/>
    <mergeCell ref="P49:P50"/>
    <mergeCell ref="P90:P91"/>
    <mergeCell ref="P131:P132"/>
    <mergeCell ref="Q9:Q10"/>
    <mergeCell ref="A47:V47"/>
    <mergeCell ref="A83:V83"/>
    <mergeCell ref="A84:V84"/>
    <mergeCell ref="A85:V85"/>
    <mergeCell ref="N172:O172"/>
    <mergeCell ref="N173:O173"/>
    <mergeCell ref="C9:C10"/>
    <mergeCell ref="C49:C50"/>
    <mergeCell ref="C90:C91"/>
    <mergeCell ref="C131:C132"/>
    <mergeCell ref="D9:D10"/>
    <mergeCell ref="D49:D50"/>
    <mergeCell ref="D90:D91"/>
    <mergeCell ref="D131:D132"/>
    <mergeCell ref="E9:E10"/>
    <mergeCell ref="E49:E50"/>
    <mergeCell ref="E90:E91"/>
    <mergeCell ref="E131:E132"/>
    <mergeCell ref="F9:F10"/>
    <mergeCell ref="F49:F50"/>
    <mergeCell ref="F90:F91"/>
    <mergeCell ref="F131:F132"/>
    <mergeCell ref="G9:G10"/>
    <mergeCell ref="G49:G50"/>
    <mergeCell ref="M90:M91"/>
    <mergeCell ref="N49:N50"/>
    <mergeCell ref="A128:V128"/>
    <mergeCell ref="A129:V129"/>
    <mergeCell ref="V49:V50"/>
    <mergeCell ref="V90:V91"/>
    <mergeCell ref="A125:V125"/>
    <mergeCell ref="A126:V126"/>
    <mergeCell ref="H90:H91"/>
    <mergeCell ref="I49:I50"/>
    <mergeCell ref="I90:I91"/>
    <mergeCell ref="J49:J50"/>
    <mergeCell ref="J90:J91"/>
    <mergeCell ref="K49:K50"/>
    <mergeCell ref="K90:K91"/>
    <mergeCell ref="R49:R50"/>
    <mergeCell ref="R90:R91"/>
    <mergeCell ref="L49:L50"/>
    <mergeCell ref="L90:L91"/>
    <mergeCell ref="M49:M50"/>
    <mergeCell ref="N90:N91"/>
    <mergeCell ref="O49:O50"/>
    <mergeCell ref="O90:O91"/>
    <mergeCell ref="G90:G91"/>
    <mergeCell ref="H49:H50"/>
    <mergeCell ref="A87:V87"/>
    <mergeCell ref="A88:V88"/>
    <mergeCell ref="F159:H159"/>
    <mergeCell ref="L159:N159"/>
    <mergeCell ref="Q159:S159"/>
    <mergeCell ref="N171:O171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Q131:Q132"/>
    <mergeCell ref="G131:G132"/>
    <mergeCell ref="R131:R132"/>
    <mergeCell ref="F151:I151"/>
    <mergeCell ref="L158:N158"/>
    <mergeCell ref="Q158:S158"/>
    <mergeCell ref="A124:V124"/>
    <mergeCell ref="Q49:Q50"/>
    <mergeCell ref="A2:V2"/>
    <mergeCell ref="A3:V3"/>
    <mergeCell ref="A4:V4"/>
    <mergeCell ref="A6:V6"/>
    <mergeCell ref="A7:V7"/>
    <mergeCell ref="A42:V42"/>
    <mergeCell ref="A43:V43"/>
    <mergeCell ref="A44:V44"/>
    <mergeCell ref="A46:V46"/>
    <mergeCell ref="I9:I10"/>
    <mergeCell ref="J9:J10"/>
    <mergeCell ref="K9:K10"/>
    <mergeCell ref="L9:L10"/>
    <mergeCell ref="M9:M10"/>
    <mergeCell ref="N9:N10"/>
    <mergeCell ref="O9:O10"/>
    <mergeCell ref="H9:H10"/>
    <mergeCell ref="P9:P10"/>
    <mergeCell ref="S9:S10"/>
    <mergeCell ref="V9:V10"/>
    <mergeCell ref="R9:R10"/>
    <mergeCell ref="Q90:Q91"/>
  </mergeCells>
  <pageMargins left="1.18055555555556" right="0.25" top="0.25" bottom="0.25" header="0.3" footer="0.3"/>
  <pageSetup paperSize="5"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SCPR2022</vt:lpstr>
      <vt:lpstr>SCPR2023</vt:lpstr>
      <vt:lpstr>SCPR2025</vt:lpstr>
      <vt:lpstr>kiddy2020</vt:lpstr>
      <vt:lpstr>kiddy2021</vt:lpstr>
      <vt:lpstr>kiddy2022</vt:lpstr>
      <vt:lpstr>KIDDY2023</vt:lpstr>
      <vt:lpstr>KIDDY2024</vt:lpstr>
      <vt:lpstr>Savings2020</vt:lpstr>
      <vt:lpstr>Savings2022</vt:lpstr>
      <vt:lpstr>Savings2023</vt:lpstr>
      <vt:lpstr>Savings2024</vt:lpstr>
      <vt:lpstr>Savings2025</vt:lpstr>
      <vt:lpstr>Savings2026</vt:lpstr>
      <vt:lpstr>SCPR2020</vt:lpstr>
      <vt:lpstr>SCPR2021</vt:lpstr>
      <vt:lpstr>SCPR2020Summary</vt:lpstr>
      <vt:lpstr>SCPR2021Summary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TIMAI</dc:creator>
  <cp:lastModifiedBy>dexter Jumao-as</cp:lastModifiedBy>
  <cp:lastPrinted>2026-04-09T14:05:37Z</cp:lastPrinted>
  <dcterms:created xsi:type="dcterms:W3CDTF">2018-06-28T04:33:00Z</dcterms:created>
  <dcterms:modified xsi:type="dcterms:W3CDTF">2026-06-12T13:24:26Z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DF23417E4C4A48838F60F95F5F243B7A</vt:lpwstr>
  </property>
</Properties>
</file>