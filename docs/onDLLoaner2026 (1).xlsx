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xter Jumao-as\Documents\Sidlak 2025\Demand Letter (2024)\"/>
    </mc:Choice>
  </mc:AlternateContent>
  <xr:revisionPtr revIDLastSave="0" documentId="13_ncr:1_{2AB83F8F-AA75-4696-973E-E1C8FB8D7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DL2025" sheetId="2" r:id="rId1"/>
    <sheet name="OnDL2026" sheetId="4" r:id="rId2"/>
    <sheet name="Sheet3" sheetId="3" r:id="rId3"/>
  </sheets>
  <externalReferences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4" l="1"/>
  <c r="E37" i="4"/>
  <c r="K18" i="4"/>
  <c r="O18" i="4" s="1"/>
  <c r="S18" i="4" s="1"/>
  <c r="K34" i="4"/>
  <c r="I34" i="4"/>
  <c r="O34" i="4" s="1"/>
  <c r="S34" i="4" s="1"/>
  <c r="K33" i="4"/>
  <c r="I33" i="4"/>
  <c r="O33" i="4" s="1"/>
  <c r="S33" i="4" s="1"/>
  <c r="K32" i="4"/>
  <c r="I32" i="4"/>
  <c r="O32" i="4" s="1"/>
  <c r="S32" i="4" s="1"/>
  <c r="K31" i="4"/>
  <c r="I31" i="4"/>
  <c r="O31" i="4" s="1"/>
  <c r="S31" i="4" s="1"/>
  <c r="K30" i="4"/>
  <c r="I30" i="4"/>
  <c r="K29" i="4"/>
  <c r="I29" i="4"/>
  <c r="O29" i="4" s="1"/>
  <c r="S29" i="4" s="1"/>
  <c r="M28" i="4"/>
  <c r="I28" i="4"/>
  <c r="O28" i="4" s="1"/>
  <c r="S28" i="4" s="1"/>
  <c r="M27" i="4"/>
  <c r="I27" i="4"/>
  <c r="O27" i="4" s="1"/>
  <c r="S27" i="4" s="1"/>
  <c r="K26" i="4"/>
  <c r="I26" i="4"/>
  <c r="O26" i="4" s="1"/>
  <c r="S26" i="4" s="1"/>
  <c r="K25" i="4"/>
  <c r="I25" i="4"/>
  <c r="O25" i="4" s="1"/>
  <c r="S25" i="4" s="1"/>
  <c r="K24" i="4"/>
  <c r="I24" i="4"/>
  <c r="O24" i="4" s="1"/>
  <c r="S24" i="4" s="1"/>
  <c r="I23" i="4"/>
  <c r="O23" i="4" s="1"/>
  <c r="S23" i="4" s="1"/>
  <c r="M22" i="4"/>
  <c r="K22" i="4"/>
  <c r="I22" i="4"/>
  <c r="O22" i="4" s="1"/>
  <c r="S22" i="4" s="1"/>
  <c r="K21" i="4"/>
  <c r="I21" i="4"/>
  <c r="O21" i="4" s="1"/>
  <c r="S21" i="4" s="1"/>
  <c r="K20" i="4"/>
  <c r="I20" i="4"/>
  <c r="O20" i="4" s="1"/>
  <c r="S20" i="4" s="1"/>
  <c r="K19" i="4"/>
  <c r="I19" i="4"/>
  <c r="O19" i="4" s="1"/>
  <c r="K19" i="2"/>
  <c r="O19" i="2" s="1"/>
  <c r="S19" i="2" s="1"/>
  <c r="M23" i="2"/>
  <c r="K23" i="2"/>
  <c r="K24" i="2"/>
  <c r="O24" i="2" s="1"/>
  <c r="S24" i="2" s="1"/>
  <c r="K25" i="2"/>
  <c r="K26" i="2"/>
  <c r="M29" i="2"/>
  <c r="M28" i="2"/>
  <c r="K30" i="2"/>
  <c r="K31" i="2"/>
  <c r="K33" i="2"/>
  <c r="K34" i="2"/>
  <c r="O34" i="2" s="1"/>
  <c r="S34" i="2" s="1"/>
  <c r="K35" i="2"/>
  <c r="K21" i="2"/>
  <c r="K22" i="2"/>
  <c r="O25" i="2"/>
  <c r="S25" i="2" s="1"/>
  <c r="O26" i="2"/>
  <c r="S26" i="2" s="1"/>
  <c r="K27" i="2"/>
  <c r="K32" i="2"/>
  <c r="O32" i="2" s="1"/>
  <c r="S32" i="2" s="1"/>
  <c r="O33" i="2"/>
  <c r="S33" i="2" s="1"/>
  <c r="O35" i="2"/>
  <c r="S35" i="2" s="1"/>
  <c r="K20" i="2"/>
  <c r="I20" i="2"/>
  <c r="G11" i="2"/>
  <c r="F11" i="2"/>
  <c r="E11" i="2"/>
  <c r="G10" i="2"/>
  <c r="F10" i="2"/>
  <c r="E10" i="2"/>
  <c r="B10" i="2"/>
  <c r="G9" i="2"/>
  <c r="F9" i="2"/>
  <c r="E9" i="2"/>
  <c r="B9" i="2"/>
  <c r="Q37" i="4"/>
  <c r="I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I10" i="4"/>
  <c r="G10" i="4"/>
  <c r="F10" i="4"/>
  <c r="E10" i="4"/>
  <c r="M9" i="4"/>
  <c r="K9" i="4"/>
  <c r="I9" i="4"/>
  <c r="G9" i="4"/>
  <c r="F9" i="4"/>
  <c r="I35" i="2"/>
  <c r="I34" i="2"/>
  <c r="I33" i="2"/>
  <c r="I32" i="2"/>
  <c r="I31" i="2"/>
  <c r="I30" i="2"/>
  <c r="I29" i="2"/>
  <c r="I28" i="2"/>
  <c r="I27" i="2"/>
  <c r="I19" i="2"/>
  <c r="I21" i="2"/>
  <c r="I22" i="2"/>
  <c r="I23" i="2"/>
  <c r="I24" i="2"/>
  <c r="I25" i="2"/>
  <c r="I26" i="2"/>
  <c r="Q38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E38" i="2" s="1"/>
  <c r="S19" i="4" l="1"/>
  <c r="O30" i="4"/>
  <c r="O31" i="2"/>
  <c r="S31" i="2" s="1"/>
  <c r="O30" i="2"/>
  <c r="S30" i="2" s="1"/>
  <c r="O28" i="2"/>
  <c r="S28" i="2" s="1"/>
  <c r="O20" i="2"/>
  <c r="S20" i="2" s="1"/>
  <c r="O27" i="2"/>
  <c r="S27" i="2" s="1"/>
  <c r="O23" i="2"/>
  <c r="S23" i="2" s="1"/>
  <c r="O22" i="2"/>
  <c r="S22" i="2" s="1"/>
  <c r="O21" i="2"/>
  <c r="O29" i="2"/>
  <c r="S29" i="2" s="1"/>
  <c r="K11" i="2"/>
  <c r="I11" i="2"/>
  <c r="K10" i="2"/>
  <c r="I10" i="2"/>
  <c r="K9" i="2"/>
  <c r="K38" i="2" s="1"/>
  <c r="I9" i="2"/>
  <c r="M17" i="4"/>
  <c r="K17" i="4"/>
  <c r="I17" i="4"/>
  <c r="M16" i="4"/>
  <c r="K16" i="4"/>
  <c r="I16" i="4"/>
  <c r="M15" i="4"/>
  <c r="K15" i="4"/>
  <c r="I15" i="4"/>
  <c r="O15" i="4" s="1"/>
  <c r="S15" i="4" s="1"/>
  <c r="I14" i="4"/>
  <c r="K14" i="4"/>
  <c r="I13" i="4"/>
  <c r="K13" i="4"/>
  <c r="I12" i="4"/>
  <c r="K12" i="4"/>
  <c r="I11" i="4"/>
  <c r="I37" i="4" s="1"/>
  <c r="K11" i="4"/>
  <c r="M10" i="4"/>
  <c r="M37" i="4" s="1"/>
  <c r="K10" i="4"/>
  <c r="K37" i="4" s="1"/>
  <c r="O9" i="4"/>
  <c r="I17" i="2"/>
  <c r="M17" i="2"/>
  <c r="K17" i="2"/>
  <c r="M18" i="2"/>
  <c r="I18" i="2"/>
  <c r="K18" i="2"/>
  <c r="M16" i="2"/>
  <c r="M38" i="2" s="1"/>
  <c r="K16" i="2"/>
  <c r="I16" i="2"/>
  <c r="K15" i="2"/>
  <c r="I15" i="2"/>
  <c r="K14" i="2"/>
  <c r="I14" i="2"/>
  <c r="K13" i="2"/>
  <c r="I13" i="2"/>
  <c r="O13" i="2" s="1"/>
  <c r="S13" i="2" s="1"/>
  <c r="I12" i="2"/>
  <c r="K12" i="2"/>
  <c r="S30" i="4" l="1"/>
  <c r="O16" i="4"/>
  <c r="S16" i="4" s="1"/>
  <c r="S21" i="2"/>
  <c r="O11" i="2"/>
  <c r="S11" i="2" s="1"/>
  <c r="O9" i="2"/>
  <c r="I38" i="2"/>
  <c r="O17" i="4"/>
  <c r="S17" i="4" s="1"/>
  <c r="O10" i="4"/>
  <c r="S9" i="4"/>
  <c r="O13" i="4"/>
  <c r="S13" i="4" s="1"/>
  <c r="O12" i="4"/>
  <c r="O14" i="4"/>
  <c r="S14" i="4" s="1"/>
  <c r="O11" i="4"/>
  <c r="S11" i="4" s="1"/>
  <c r="O17" i="2"/>
  <c r="S17" i="2" s="1"/>
  <c r="O16" i="2"/>
  <c r="S16" i="2" s="1"/>
  <c r="O15" i="2"/>
  <c r="S15" i="2" s="1"/>
  <c r="O14" i="2"/>
  <c r="S14" i="2" s="1"/>
  <c r="O12" i="2"/>
  <c r="S12" i="2" s="1"/>
  <c r="O18" i="2"/>
  <c r="S18" i="2" s="1"/>
  <c r="O10" i="2"/>
  <c r="S10" i="4" l="1"/>
  <c r="O37" i="4"/>
  <c r="S9" i="2"/>
  <c r="O38" i="2"/>
  <c r="S12" i="4"/>
  <c r="S37" i="4" s="1"/>
  <c r="S10" i="2"/>
  <c r="S38" i="2" l="1"/>
</calcChain>
</file>

<file path=xl/sharedStrings.xml><?xml version="1.0" encoding="utf-8"?>
<sst xmlns="http://schemas.openxmlformats.org/spreadsheetml/2006/main" count="172" uniqueCount="84">
  <si>
    <t>SIDLAK CHRISTIAN CHILDREN FUND SAVINGS AND CREDIT COOPERATIVE</t>
  </si>
  <si>
    <t>P-2, Brgy. Linao, Ormoc City</t>
  </si>
  <si>
    <t>CDA Registration No. 9520-1080000000036399   November 16, 2016</t>
  </si>
  <si>
    <t>DEXTER B. JUMAO-AS</t>
  </si>
  <si>
    <t>P</t>
  </si>
  <si>
    <t>Interest</t>
  </si>
  <si>
    <t>Loan Amount</t>
  </si>
  <si>
    <t>Date Released</t>
  </si>
  <si>
    <t>Total</t>
  </si>
  <si>
    <t>Payment Made</t>
  </si>
  <si>
    <t>TIRSO L. CAYANONG</t>
  </si>
  <si>
    <t xml:space="preserve">Due Date </t>
  </si>
  <si>
    <t>Due Amount</t>
  </si>
  <si>
    <t>Penalty</t>
  </si>
  <si>
    <t>Total Amount to be Collected</t>
  </si>
  <si>
    <t>RANILFA l. AMARILLE</t>
  </si>
  <si>
    <t>DL No.</t>
  </si>
  <si>
    <t>2026-0001</t>
  </si>
  <si>
    <t>2026-0002</t>
  </si>
  <si>
    <t>Name</t>
  </si>
  <si>
    <t>2026-0003</t>
  </si>
  <si>
    <t>2026-0004</t>
  </si>
  <si>
    <t>2026-0005</t>
  </si>
  <si>
    <t>2026-0006</t>
  </si>
  <si>
    <t>ELOISA E. WILLIAMS</t>
  </si>
  <si>
    <t>RAUL MARCIAL S. ALMACIN</t>
  </si>
  <si>
    <t>LEONARDO B. CRUZ</t>
  </si>
  <si>
    <t>2026-0007</t>
  </si>
  <si>
    <t>2026-0008</t>
  </si>
  <si>
    <t>MILAGROS VILLAMOR</t>
  </si>
  <si>
    <t>SALVADOR VILLAMOR</t>
  </si>
  <si>
    <t>2026-0009</t>
  </si>
  <si>
    <t>MA. ELLA S. GONZALES</t>
  </si>
  <si>
    <t>xxxxxxxxxxxxxxxxxxxxxxxxxxxxxxxxxxxxxxxxxxxxxxxxxxxxxxxxxxxxxxxxxxxxxx Nothing Follows  xxxxxxxxxxxxxxxxxxxxxxxxxxxxxxxxxxxxxxxxxxxxxxxxxxxxxxxxxxxxxxxxxxxxxxx</t>
  </si>
  <si>
    <t>Prepared by :</t>
  </si>
  <si>
    <t xml:space="preserve"> Manager, SidlakCSCC</t>
  </si>
  <si>
    <t>2026-0010</t>
  </si>
  <si>
    <t>PURISIMO C. ABRENILLO</t>
  </si>
  <si>
    <t>EDMONDO C. ABRENILLO</t>
  </si>
  <si>
    <t>HAZEL Q. BULACAN</t>
  </si>
  <si>
    <t>RODINA A. ALVARADO</t>
  </si>
  <si>
    <t>CONCEPCION B. CRUZ</t>
  </si>
  <si>
    <t>ANALYN A. CABAHUG</t>
  </si>
  <si>
    <t>MARY GRACE PEROL</t>
  </si>
  <si>
    <t>VICTORIANA ENTERO</t>
  </si>
  <si>
    <t>DIOSITA AQUINO</t>
  </si>
  <si>
    <t>JUNLYN AQUINO</t>
  </si>
  <si>
    <t>ADELAIDA MANRIQUEZ</t>
  </si>
  <si>
    <t>ELVIN MANRIQUEZ</t>
  </si>
  <si>
    <t>LIMUEL OMEGA</t>
  </si>
  <si>
    <t>JAIME CAYETANO</t>
  </si>
  <si>
    <t>MARISSA B. LIGUTAN</t>
  </si>
  <si>
    <t>EDWIN CALIWAN</t>
  </si>
  <si>
    <t>JOCIEL C. ESMERO</t>
  </si>
  <si>
    <t>2025-0001</t>
  </si>
  <si>
    <t>2025-0002</t>
  </si>
  <si>
    <t>2025-0003</t>
  </si>
  <si>
    <t>2025-0004</t>
  </si>
  <si>
    <t>2025-0005</t>
  </si>
  <si>
    <t>2025-0006</t>
  </si>
  <si>
    <t>2025-0007</t>
  </si>
  <si>
    <t>2025-0008</t>
  </si>
  <si>
    <t>2025-0009</t>
  </si>
  <si>
    <t>2025-0010</t>
  </si>
  <si>
    <t>2025-0011</t>
  </si>
  <si>
    <t>2025-0012</t>
  </si>
  <si>
    <t>2025-0013</t>
  </si>
  <si>
    <t>2025-0014</t>
  </si>
  <si>
    <t>2025-0015</t>
  </si>
  <si>
    <t>2025-0016</t>
  </si>
  <si>
    <t>2025-0017</t>
  </si>
  <si>
    <t>2025-0018</t>
  </si>
  <si>
    <t>2025-0019</t>
  </si>
  <si>
    <t>2025-0020</t>
  </si>
  <si>
    <t>2025-0021</t>
  </si>
  <si>
    <t>2025-0022</t>
  </si>
  <si>
    <t>2025-0023</t>
  </si>
  <si>
    <t>2025-0024</t>
  </si>
  <si>
    <t>2025-0025</t>
  </si>
  <si>
    <t>2025-0026</t>
  </si>
  <si>
    <t>DOROTEA B. JUMAO-AS</t>
  </si>
  <si>
    <t>ON DEMAND LETTER 2025</t>
  </si>
  <si>
    <t>ON DEMAND LETTER 2026</t>
  </si>
  <si>
    <t>2025-0027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</si>
</sst>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5" fillId="0" borderId="0" xfId="0" applyFont="1"/>
    <xf numFmtId="164" fontId="0" fillId="0" borderId="0" xfId="1" applyFont="1"/>
    <xf numFmtId="0" fontId="0" fillId="0" borderId="0" xfId="0" applyAlignment="1">
      <alignment vertical="center"/>
    </xf>
    <xf numFmtId="43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164" fontId="1" fillId="0" borderId="0" xfId="1" applyFont="1"/>
    <xf numFmtId="0" fontId="0" fillId="3" borderId="0" xfId="0" applyFill="1" applyAlignment="1">
      <alignment horizontal="center"/>
    </xf>
    <xf numFmtId="164" fontId="0" fillId="3" borderId="0" xfId="1" applyFont="1" applyFill="1"/>
    <xf numFmtId="0" fontId="0" fillId="3" borderId="0" xfId="0" applyFill="1"/>
    <xf numFmtId="0" fontId="7" fillId="3" borderId="0" xfId="0" applyFont="1" applyFill="1" applyAlignment="1">
      <alignment horizontal="center"/>
    </xf>
    <xf numFmtId="164" fontId="7" fillId="3" borderId="0" xfId="1" applyFont="1" applyFill="1"/>
    <xf numFmtId="15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617220</xdr:colOff>
      <xdr:row>0</xdr:row>
      <xdr:rowOff>0</xdr:rowOff>
    </xdr:from>
    <xdr:ext cx="676275" cy="1019175"/>
    <xdr:pic>
      <xdr:nvPicPr>
        <xdr:cNvPr id="2" name="Picture 1">
          <a:extLst>
            <a:ext uri="{FF2B5EF4-FFF2-40B4-BE49-F238E27FC236}">
              <a16:creationId xmlns:a16="http://schemas.microsoft.com/office/drawing/2014/main" id="{55D2F78F-41CB-4850-AD0A-059AF2B4C5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06" b="95763" l="4923" r="99596">
                      <a14:foregroundMark x1="48668" y1="52300" x2="64003" y2="64649"/>
                      <a14:foregroundMark x1="64003" y1="30508" x2="79338" y2="30932"/>
                      <a14:foregroundMark x1="54883" y1="35351" x2="82889" y2="53329"/>
                      <a14:foregroundMark x1="14689" y1="69915" x2="25504" y2="69492"/>
                      <a14:foregroundMark x1="14447" y1="70278" x2="14205" y2="72700"/>
                      <a14:foregroundMark x1="13882" y1="72942" x2="25504" y2="78571"/>
                      <a14:foregroundMark x1="23567" y1="79177" x2="20662" y2="80993"/>
                      <a14:foregroundMark x1="20339" y1="81598" x2="11784" y2="78390"/>
                      <a14:foregroundMark x1="11461" y1="78995" x2="8232" y2="80993"/>
                      <a14:foregroundMark x1="47861" y1="65436" x2="58354" y2="60230"/>
                      <a14:foregroundMark x1="30105" y1="70278" x2="30912" y2="81235"/>
                      <a14:foregroundMark x1="37369" y1="70884" x2="39467" y2="81235"/>
                      <a14:foregroundMark x1="52946" y1="70097" x2="54076" y2="80387"/>
                      <a14:foregroundMark x1="70218" y1="70521" x2="72639" y2="80630"/>
                      <a14:foregroundMark x1="76675" y1="69673" x2="84504" y2="81598"/>
                      <a14:foregroundMark x1="56497" y1="43644" x2="72881" y2="50726"/>
                      <a14:foregroundMark x1="64810" y1="64467" x2="64810" y2="64467"/>
                      <a14:foregroundMark x1="67232" y1="53329" x2="65375" y2="63620"/>
                      <a14:backgroundMark x1="69088" y1="76392" x2="69411" y2="75182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220" y="0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617220</xdr:colOff>
      <xdr:row>0</xdr:row>
      <xdr:rowOff>0</xdr:rowOff>
    </xdr:from>
    <xdr:ext cx="676275" cy="1019175"/>
    <xdr:pic>
      <xdr:nvPicPr>
        <xdr:cNvPr id="2" name="Picture 1">
          <a:extLst>
            <a:ext uri="{FF2B5EF4-FFF2-40B4-BE49-F238E27FC236}">
              <a16:creationId xmlns:a16="http://schemas.microsoft.com/office/drawing/2014/main" id="{E5EB27BB-5608-46B2-8BAA-C47A7D0FB1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06" b="95763" l="4923" r="99596">
                      <a14:foregroundMark x1="48668" y1="52300" x2="64003" y2="64649"/>
                      <a14:foregroundMark x1="64003" y1="30508" x2="79338" y2="30932"/>
                      <a14:foregroundMark x1="54883" y1="35351" x2="82889" y2="53329"/>
                      <a14:foregroundMark x1="14689" y1="69915" x2="25504" y2="69492"/>
                      <a14:foregroundMark x1="14447" y1="70278" x2="14205" y2="72700"/>
                      <a14:foregroundMark x1="13882" y1="72942" x2="25504" y2="78571"/>
                      <a14:foregroundMark x1="23567" y1="79177" x2="20662" y2="80993"/>
                      <a14:foregroundMark x1="20339" y1="81598" x2="11784" y2="78390"/>
                      <a14:foregroundMark x1="11461" y1="78995" x2="8232" y2="80993"/>
                      <a14:foregroundMark x1="47861" y1="65436" x2="58354" y2="60230"/>
                      <a14:foregroundMark x1="30105" y1="70278" x2="30912" y2="81235"/>
                      <a14:foregroundMark x1="37369" y1="70884" x2="39467" y2="81235"/>
                      <a14:foregroundMark x1="52946" y1="70097" x2="54076" y2="80387"/>
                      <a14:foregroundMark x1="70218" y1="70521" x2="72639" y2="80630"/>
                      <a14:foregroundMark x1="76675" y1="69673" x2="84504" y2="81598"/>
                      <a14:foregroundMark x1="56497" y1="43644" x2="72881" y2="50726"/>
                      <a14:foregroundMark x1="64810" y1="64467" x2="64810" y2="64467"/>
                      <a14:foregroundMark x1="67232" y1="53329" x2="65375" y2="63620"/>
                      <a14:backgroundMark x1="69088" y1="76392" x2="69411" y2="75182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220" y="0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xter%20Jumao-as\Documents\Sidlak%202025\Demand%20Letter%20(2024)\DL2025\Computation.xlsx" TargetMode="External"/><Relationship Id="rId1" Type="http://schemas.openxmlformats.org/officeDocument/2006/relationships/externalLinkPath" Target="DL2025/Comput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xter%20Jumao-as\Documents\Sidlak%202025\Demand%20Letter%20(2024)\DL2026\Computation.xlsx" TargetMode="External"/><Relationship Id="rId1" Type="http://schemas.openxmlformats.org/officeDocument/2006/relationships/externalLinkPath" Target="DL2026/Comput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sIDLAKfINANCIAL/SidlakLoaners/2025-LOANERS.xlsx" TargetMode="External"/><Relationship Id="rId2" Type="http://schemas.openxmlformats.org/officeDocument/2006/relationships/externalLinkPath" Target="file:///C:\Users\Dexter%20Jumao-as\Documents\Sidlak%202025\sIDLAKfINANCIAL\SidlakLoaners\2025-LOANERS.xlsx" TargetMode="External"/><Relationship Id="rId1" Type="http://schemas.openxmlformats.org/officeDocument/2006/relationships/externalLinkPath" Target="/Users/Dexter%20Jumao-as/Documents/Sidlak%202025/sIDLAKfINANCIAL/SidlakLoaners/2025-LOAN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williams"/>
      <sheetName val="RMalmacin"/>
      <sheetName val="jeSMERO"/>
      <sheetName val="LCruz"/>
      <sheetName val="SVillamor"/>
      <sheetName val="MVillamor"/>
      <sheetName val="SJBalao"/>
      <sheetName val="SJBalao (2)"/>
      <sheetName val="SJBalao (3)"/>
      <sheetName val="ACGonzales"/>
      <sheetName val="ESGonzales"/>
      <sheetName val="PAbrenillo"/>
      <sheetName val="AAPunay"/>
      <sheetName val="COMSCA2025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D6" t="str">
            <v>SHALOU J. BALAO</v>
          </cell>
        </row>
        <row r="7">
          <cell r="K7">
            <v>5000</v>
          </cell>
        </row>
        <row r="8">
          <cell r="K8">
            <v>45369</v>
          </cell>
        </row>
        <row r="9">
          <cell r="K9">
            <v>45430</v>
          </cell>
        </row>
      </sheetData>
      <sheetData sheetId="7">
        <row r="6">
          <cell r="D6" t="str">
            <v>MILBEN REX  BALAO</v>
          </cell>
        </row>
        <row r="7">
          <cell r="K7">
            <v>6000</v>
          </cell>
        </row>
        <row r="8">
          <cell r="K8">
            <v>45521</v>
          </cell>
        </row>
        <row r="9">
          <cell r="K9">
            <v>45582</v>
          </cell>
        </row>
      </sheetData>
      <sheetData sheetId="8">
        <row r="7">
          <cell r="K7">
            <v>10000</v>
          </cell>
        </row>
        <row r="8">
          <cell r="K8">
            <v>45606</v>
          </cell>
        </row>
        <row r="9">
          <cell r="K9">
            <v>45667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williams"/>
      <sheetName val="RMalmacin"/>
      <sheetName val="jeSMERO"/>
      <sheetName val="LCruz"/>
      <sheetName val="SVillamor"/>
      <sheetName val="MVillamor"/>
      <sheetName val="TCayanong"/>
      <sheetName val="RAmarille"/>
      <sheetName val="ESGonzales"/>
      <sheetName val="PAbrenillo"/>
      <sheetName val="AAPunay"/>
      <sheetName val="COMSCA2025"/>
      <sheetName val="Sheet2"/>
      <sheetName val="Sheet3"/>
    </sheetNames>
    <sheetDataSet>
      <sheetData sheetId="0">
        <row r="8">
          <cell r="K8">
            <v>10000</v>
          </cell>
        </row>
        <row r="9">
          <cell r="K9">
            <v>44951</v>
          </cell>
        </row>
        <row r="10">
          <cell r="K10">
            <v>45010</v>
          </cell>
        </row>
      </sheetData>
      <sheetData sheetId="1">
        <row r="7">
          <cell r="K7">
            <v>6000</v>
          </cell>
        </row>
        <row r="8">
          <cell r="K8">
            <v>44014</v>
          </cell>
        </row>
        <row r="9">
          <cell r="K9">
            <v>44106</v>
          </cell>
        </row>
      </sheetData>
      <sheetData sheetId="2">
        <row r="8">
          <cell r="K8">
            <v>6000</v>
          </cell>
        </row>
        <row r="9">
          <cell r="K9">
            <v>45008</v>
          </cell>
        </row>
        <row r="10">
          <cell r="K10">
            <v>45069</v>
          </cell>
        </row>
      </sheetData>
      <sheetData sheetId="3">
        <row r="11">
          <cell r="K11">
            <v>44839</v>
          </cell>
        </row>
        <row r="12">
          <cell r="K12">
            <v>44900</v>
          </cell>
        </row>
        <row r="16">
          <cell r="F16">
            <v>15000</v>
          </cell>
        </row>
      </sheetData>
      <sheetData sheetId="4">
        <row r="9">
          <cell r="K9">
            <v>44023</v>
          </cell>
        </row>
        <row r="10">
          <cell r="K10">
            <v>44085</v>
          </cell>
        </row>
        <row r="15">
          <cell r="F15">
            <v>5000</v>
          </cell>
        </row>
      </sheetData>
      <sheetData sheetId="5">
        <row r="9">
          <cell r="K9">
            <v>44105</v>
          </cell>
        </row>
        <row r="10">
          <cell r="K10">
            <v>44166</v>
          </cell>
        </row>
        <row r="15">
          <cell r="F15">
            <v>15000</v>
          </cell>
        </row>
      </sheetData>
      <sheetData sheetId="6">
        <row r="8">
          <cell r="K8">
            <v>45778</v>
          </cell>
        </row>
      </sheetData>
      <sheetData sheetId="7">
        <row r="7">
          <cell r="K7">
            <v>10000</v>
          </cell>
        </row>
        <row r="8">
          <cell r="K8">
            <v>45824</v>
          </cell>
        </row>
        <row r="9">
          <cell r="K9">
            <v>45885</v>
          </cell>
        </row>
      </sheetData>
      <sheetData sheetId="8">
        <row r="8">
          <cell r="K8">
            <v>44536</v>
          </cell>
        </row>
        <row r="9">
          <cell r="K9">
            <v>44598</v>
          </cell>
        </row>
        <row r="14">
          <cell r="F14">
            <v>20000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4loaners"/>
      <sheetName val="2025loaners"/>
      <sheetName val="2026loaners"/>
    </sheetNames>
    <sheetDataSet>
      <sheetData sheetId="0"/>
      <sheetData sheetId="1">
        <row r="7">
          <cell r="J7">
            <v>45839</v>
          </cell>
          <cell r="O7">
            <v>5390</v>
          </cell>
        </row>
        <row r="8">
          <cell r="O8">
            <v>10690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45"/>
  <sheetViews>
    <sheetView tabSelected="1" topLeftCell="A14" workbookViewId="0">
      <selection activeCell="U28" sqref="U28"/>
    </sheetView>
  </sheetViews>
  <sheetFormatPr defaultRowHeight="14.4" x14ac:dyDescent="0.3"/>
  <cols>
    <col min="1" max="1" width="10" customWidth="1"/>
    <col min="2" max="2" width="12.21875" customWidth="1"/>
    <col min="3" max="3" width="11" customWidth="1"/>
    <col min="4" max="4" width="2.33203125" customWidth="1"/>
    <col min="5" max="5" width="11.5546875" style="6" customWidth="1"/>
    <col min="6" max="6" width="9.6640625" style="3" bestFit="1" customWidth="1"/>
    <col min="7" max="7" width="9.77734375" style="3" customWidth="1"/>
    <col min="8" max="8" width="2.109375" customWidth="1"/>
    <col min="9" max="9" width="11.44140625" bestFit="1" customWidth="1"/>
    <col min="10" max="10" width="2.33203125" customWidth="1"/>
    <col min="11" max="11" width="10.21875" customWidth="1"/>
    <col min="12" max="12" width="1.77734375" customWidth="1"/>
    <col min="13" max="13" width="10" customWidth="1"/>
    <col min="14" max="14" width="2" customWidth="1"/>
    <col min="15" max="15" width="11.21875" customWidth="1"/>
    <col min="16" max="16" width="2.21875" style="3" customWidth="1"/>
    <col min="17" max="17" width="9.109375" bestFit="1" customWidth="1"/>
    <col min="18" max="18" width="2.6640625" style="3" customWidth="1"/>
    <col min="19" max="19" width="12.6640625" customWidth="1"/>
    <col min="24" max="24" width="10.6640625" customWidth="1"/>
    <col min="25" max="25" width="9.88671875" customWidth="1"/>
  </cols>
  <sheetData>
    <row r="2" spans="1:25" x14ac:dyDescent="0.3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5" x14ac:dyDescent="0.3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5" x14ac:dyDescent="0.3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6" spans="1:25" ht="16.5" customHeight="1" x14ac:dyDescent="0.35">
      <c r="A6" s="25" t="s">
        <v>81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  <row r="8" spans="1:25" s="7" customFormat="1" ht="29.4" customHeight="1" x14ac:dyDescent="0.3">
      <c r="A8" s="11" t="s">
        <v>16</v>
      </c>
      <c r="B8" s="26" t="s">
        <v>19</v>
      </c>
      <c r="C8" s="26"/>
      <c r="D8" s="26" t="s">
        <v>6</v>
      </c>
      <c r="E8" s="26"/>
      <c r="F8" s="9" t="s">
        <v>7</v>
      </c>
      <c r="G8" s="9" t="s">
        <v>11</v>
      </c>
      <c r="H8" s="10" t="s">
        <v>12</v>
      </c>
      <c r="I8" s="10"/>
      <c r="J8" s="26" t="s">
        <v>5</v>
      </c>
      <c r="K8" s="26"/>
      <c r="L8" s="26" t="s">
        <v>13</v>
      </c>
      <c r="M8" s="26"/>
      <c r="N8" s="27" t="s">
        <v>8</v>
      </c>
      <c r="O8" s="27"/>
      <c r="P8" s="20" t="s">
        <v>9</v>
      </c>
      <c r="Q8" s="20"/>
      <c r="R8" s="21" t="s">
        <v>14</v>
      </c>
      <c r="S8" s="21"/>
    </row>
    <row r="9" spans="1:25" x14ac:dyDescent="0.3">
      <c r="A9" t="s">
        <v>54</v>
      </c>
      <c r="B9" s="5" t="str">
        <f>[1]SJBalao!$D$6</f>
        <v>SHALOU J. BALAO</v>
      </c>
      <c r="D9" t="s">
        <v>4</v>
      </c>
      <c r="E9" s="6">
        <f>[1]SJBalao!$K$7</f>
        <v>5000</v>
      </c>
      <c r="F9" s="12">
        <f>[1]SJBalao!$K$8</f>
        <v>45369</v>
      </c>
      <c r="G9" s="12">
        <f>[1]SJBalao!$K$9</f>
        <v>45430</v>
      </c>
      <c r="H9" t="s">
        <v>4</v>
      </c>
      <c r="I9" s="8">
        <f>E9</f>
        <v>5000</v>
      </c>
      <c r="J9" s="8" t="s">
        <v>4</v>
      </c>
      <c r="K9" s="8">
        <f>E9*0.02*10</f>
        <v>1000</v>
      </c>
      <c r="L9" t="s">
        <v>4</v>
      </c>
      <c r="M9" s="8">
        <v>0</v>
      </c>
      <c r="N9" s="8" t="s">
        <v>4</v>
      </c>
      <c r="O9" s="8">
        <f t="shared" ref="O9:O35" si="0">I9+M9+K9</f>
        <v>6000</v>
      </c>
      <c r="P9" s="14" t="s">
        <v>4</v>
      </c>
      <c r="Q9" s="15"/>
      <c r="R9" s="3" t="s">
        <v>4</v>
      </c>
      <c r="S9" s="8">
        <f t="shared" ref="S9:S35" si="1">O9-Q9</f>
        <v>6000</v>
      </c>
      <c r="X9" s="6"/>
    </row>
    <row r="10" spans="1:25" x14ac:dyDescent="0.3">
      <c r="A10" t="s">
        <v>55</v>
      </c>
      <c r="B10" s="5" t="str">
        <f>'[1]SJBalao (2)'!$D$6</f>
        <v>MILBEN REX  BALAO</v>
      </c>
      <c r="E10" s="6">
        <f>'[1]SJBalao (2)'!$K$7</f>
        <v>6000</v>
      </c>
      <c r="F10" s="12">
        <f>'[1]SJBalao (2)'!$K$8</f>
        <v>45521</v>
      </c>
      <c r="G10" s="12">
        <f>'[1]SJBalao (2)'!$K$9</f>
        <v>45582</v>
      </c>
      <c r="I10" s="8">
        <f>E10</f>
        <v>6000</v>
      </c>
      <c r="K10" s="8">
        <f>E10*0.02*5</f>
        <v>600</v>
      </c>
      <c r="M10" s="8">
        <v>0</v>
      </c>
      <c r="O10" s="8">
        <f t="shared" si="0"/>
        <v>6600</v>
      </c>
      <c r="P10" s="14"/>
      <c r="Q10" s="16"/>
      <c r="S10" s="8">
        <f t="shared" si="1"/>
        <v>6600</v>
      </c>
      <c r="Y10" s="19"/>
    </row>
    <row r="11" spans="1:25" x14ac:dyDescent="0.3">
      <c r="A11" t="s">
        <v>56</v>
      </c>
      <c r="B11" s="5" t="s">
        <v>80</v>
      </c>
      <c r="E11" s="6">
        <f>'[1]SJBalao (3)'!$K$7</f>
        <v>10000</v>
      </c>
      <c r="F11" s="12">
        <f>'[1]SJBalao (3)'!$K$8</f>
        <v>45606</v>
      </c>
      <c r="G11" s="12">
        <f>'[1]SJBalao (3)'!$K$9</f>
        <v>45667</v>
      </c>
      <c r="I11" s="8">
        <f>E11</f>
        <v>10000</v>
      </c>
      <c r="K11" s="8">
        <f>E11*0.02*2</f>
        <v>400</v>
      </c>
      <c r="M11" s="8"/>
      <c r="O11" s="8">
        <f t="shared" si="0"/>
        <v>10400</v>
      </c>
      <c r="P11" s="14"/>
      <c r="Q11" s="16"/>
      <c r="S11" s="8">
        <f t="shared" si="1"/>
        <v>10400</v>
      </c>
      <c r="Y11" s="19"/>
    </row>
    <row r="12" spans="1:25" x14ac:dyDescent="0.3">
      <c r="A12" t="s">
        <v>57</v>
      </c>
      <c r="B12" s="5" t="s">
        <v>24</v>
      </c>
      <c r="E12" s="6">
        <f>[2]ewilliams!$K$8</f>
        <v>10000</v>
      </c>
      <c r="F12" s="12">
        <f>[2]ewilliams!$K$9</f>
        <v>44951</v>
      </c>
      <c r="G12" s="12">
        <f>[2]ewilliams!$K$10</f>
        <v>45010</v>
      </c>
      <c r="I12" s="4">
        <f t="shared" ref="I12:I35" si="2">E12</f>
        <v>10000</v>
      </c>
      <c r="K12" s="8">
        <f>E12*0.02*12</f>
        <v>2400</v>
      </c>
      <c r="O12" s="8">
        <f t="shared" si="0"/>
        <v>12400</v>
      </c>
      <c r="P12" s="14"/>
      <c r="Q12" s="16"/>
      <c r="S12" s="8">
        <f t="shared" si="1"/>
        <v>12400</v>
      </c>
      <c r="X12" s="6"/>
      <c r="Y12" s="19"/>
    </row>
    <row r="13" spans="1:25" x14ac:dyDescent="0.3">
      <c r="A13" t="s">
        <v>58</v>
      </c>
      <c r="B13" s="5" t="s">
        <v>25</v>
      </c>
      <c r="E13" s="6">
        <f>[2]RMalmacin!$K$7</f>
        <v>6000</v>
      </c>
      <c r="F13" s="12">
        <f>[2]RMalmacin!$K$8</f>
        <v>44014</v>
      </c>
      <c r="G13" s="12">
        <f>[2]RMalmacin!$K$9</f>
        <v>44106</v>
      </c>
      <c r="I13" s="4">
        <f t="shared" si="2"/>
        <v>6000</v>
      </c>
      <c r="K13" s="8">
        <f>E13*0.02*6</f>
        <v>720</v>
      </c>
      <c r="O13" s="8">
        <f t="shared" si="0"/>
        <v>6720</v>
      </c>
      <c r="P13" s="14"/>
      <c r="Q13" s="16"/>
      <c r="S13" s="8">
        <f t="shared" si="1"/>
        <v>6720</v>
      </c>
      <c r="X13" s="6"/>
      <c r="Y13" s="19"/>
    </row>
    <row r="14" spans="1:25" x14ac:dyDescent="0.3">
      <c r="A14" t="s">
        <v>59</v>
      </c>
      <c r="B14" s="5" t="s">
        <v>53</v>
      </c>
      <c r="E14" s="6">
        <f>[2]jeSMERO!$K$8</f>
        <v>6000</v>
      </c>
      <c r="F14" s="12">
        <f>[2]jeSMERO!$K$9</f>
        <v>45008</v>
      </c>
      <c r="G14" s="12">
        <f>[2]jeSMERO!$K$10</f>
        <v>45069</v>
      </c>
      <c r="I14" s="4">
        <f t="shared" si="2"/>
        <v>6000</v>
      </c>
      <c r="K14" s="8">
        <f>E14*0.02*10</f>
        <v>1200</v>
      </c>
      <c r="O14" s="8">
        <f t="shared" si="0"/>
        <v>7200</v>
      </c>
      <c r="P14" s="14"/>
      <c r="Q14" s="16"/>
      <c r="S14" s="8">
        <f t="shared" si="1"/>
        <v>7200</v>
      </c>
      <c r="X14" s="6"/>
      <c r="Y14" s="19"/>
    </row>
    <row r="15" spans="1:25" x14ac:dyDescent="0.3">
      <c r="A15" t="s">
        <v>60</v>
      </c>
      <c r="B15" s="5" t="s">
        <v>26</v>
      </c>
      <c r="E15" s="6">
        <f>[2]LCruz!$F$16</f>
        <v>15000</v>
      </c>
      <c r="F15" s="12">
        <f>[2]LCruz!$K$11</f>
        <v>44839</v>
      </c>
      <c r="G15" s="12">
        <f>[2]LCruz!$K$12</f>
        <v>44900</v>
      </c>
      <c r="I15" s="4">
        <f t="shared" si="2"/>
        <v>15000</v>
      </c>
      <c r="K15" s="8">
        <f>E15*0.02*3</f>
        <v>900</v>
      </c>
      <c r="O15" s="8">
        <f t="shared" si="0"/>
        <v>15900</v>
      </c>
      <c r="P15" s="14"/>
      <c r="Q15" s="16"/>
      <c r="S15" s="8">
        <f t="shared" si="1"/>
        <v>15900</v>
      </c>
      <c r="X15" s="6"/>
      <c r="Y15" s="19"/>
    </row>
    <row r="16" spans="1:25" x14ac:dyDescent="0.3">
      <c r="A16" t="s">
        <v>61</v>
      </c>
      <c r="B16" s="5" t="s">
        <v>29</v>
      </c>
      <c r="E16" s="6">
        <f>[2]MVillamor!$F$15</f>
        <v>15000</v>
      </c>
      <c r="F16" s="12">
        <f>[2]MVillamor!$K$9</f>
        <v>44105</v>
      </c>
      <c r="G16" s="12">
        <f>[2]MVillamor!$K$10</f>
        <v>44166</v>
      </c>
      <c r="I16" s="4">
        <f t="shared" si="2"/>
        <v>15000</v>
      </c>
      <c r="K16" s="8">
        <f>E16*0.02*3</f>
        <v>900</v>
      </c>
      <c r="M16" s="8">
        <f>E16*0.02*3</f>
        <v>900</v>
      </c>
      <c r="O16" s="8">
        <f t="shared" si="0"/>
        <v>16800</v>
      </c>
      <c r="P16" s="14"/>
      <c r="Q16" s="16"/>
      <c r="S16" s="8">
        <f t="shared" si="1"/>
        <v>16800</v>
      </c>
    </row>
    <row r="17" spans="1:25" x14ac:dyDescent="0.3">
      <c r="A17" t="s">
        <v>62</v>
      </c>
      <c r="B17" s="5" t="s">
        <v>30</v>
      </c>
      <c r="E17" s="6">
        <f>[2]SVillamor!$F$15</f>
        <v>5000</v>
      </c>
      <c r="F17" s="12">
        <f>[2]SVillamor!$K$9</f>
        <v>44023</v>
      </c>
      <c r="G17" s="12">
        <f>[2]SVillamor!$K$10</f>
        <v>44085</v>
      </c>
      <c r="I17" s="4">
        <f t="shared" si="2"/>
        <v>5000</v>
      </c>
      <c r="K17" s="8">
        <f>E17*0.02*6</f>
        <v>600</v>
      </c>
      <c r="M17" s="8">
        <f>E17*0.02*6</f>
        <v>600</v>
      </c>
      <c r="O17" s="8">
        <f t="shared" si="0"/>
        <v>6200</v>
      </c>
      <c r="P17" s="14"/>
      <c r="Q17" s="16"/>
      <c r="S17" s="8">
        <f t="shared" si="1"/>
        <v>6200</v>
      </c>
      <c r="X17" s="6"/>
      <c r="Y17" s="19"/>
    </row>
    <row r="18" spans="1:25" x14ac:dyDescent="0.3">
      <c r="A18" t="s">
        <v>63</v>
      </c>
      <c r="B18" s="5" t="s">
        <v>32</v>
      </c>
      <c r="E18" s="6">
        <f>[2]ESGonzales!$F$14</f>
        <v>20000</v>
      </c>
      <c r="F18" s="12">
        <f>[2]ESGonzales!$K$8</f>
        <v>44536</v>
      </c>
      <c r="G18" s="12">
        <f>[2]ESGonzales!$K$9</f>
        <v>44598</v>
      </c>
      <c r="I18" s="4">
        <f t="shared" si="2"/>
        <v>20000</v>
      </c>
      <c r="K18" s="8">
        <f>E18*0.02*1</f>
        <v>400</v>
      </c>
      <c r="M18" s="8">
        <f>E18*0.02*1</f>
        <v>400</v>
      </c>
      <c r="O18" s="8">
        <f t="shared" si="0"/>
        <v>20800</v>
      </c>
      <c r="P18" s="14"/>
      <c r="Q18" s="16"/>
      <c r="S18" s="8">
        <f t="shared" si="1"/>
        <v>20800</v>
      </c>
      <c r="X18" s="6"/>
      <c r="Y18" s="19"/>
    </row>
    <row r="19" spans="1:25" x14ac:dyDescent="0.3">
      <c r="A19" t="s">
        <v>64</v>
      </c>
      <c r="B19" s="5" t="s">
        <v>37</v>
      </c>
      <c r="E19" s="6">
        <v>6000</v>
      </c>
      <c r="F19" s="19">
        <v>45620</v>
      </c>
      <c r="G19" s="19">
        <v>45681</v>
      </c>
      <c r="I19" s="4">
        <f t="shared" si="2"/>
        <v>6000</v>
      </c>
      <c r="K19" s="8">
        <f>E19*0.02*12</f>
        <v>1440</v>
      </c>
      <c r="M19" s="8"/>
      <c r="O19" s="8">
        <f t="shared" si="0"/>
        <v>7440</v>
      </c>
      <c r="P19" s="14"/>
      <c r="Q19" s="16"/>
      <c r="S19" s="8">
        <f t="shared" si="1"/>
        <v>7440</v>
      </c>
      <c r="Y19" s="19"/>
    </row>
    <row r="20" spans="1:25" x14ac:dyDescent="0.3">
      <c r="A20" t="s">
        <v>65</v>
      </c>
      <c r="B20" s="5" t="s">
        <v>38</v>
      </c>
      <c r="E20" s="6">
        <v>3000</v>
      </c>
      <c r="F20" s="19">
        <v>44897</v>
      </c>
      <c r="G20" s="19">
        <v>44959</v>
      </c>
      <c r="I20" s="4">
        <f t="shared" ref="I20" si="3">E20</f>
        <v>3000</v>
      </c>
      <c r="K20" s="8">
        <f>E20*0.02*7</f>
        <v>420</v>
      </c>
      <c r="M20" s="8"/>
      <c r="O20" s="8">
        <f t="shared" si="0"/>
        <v>3420</v>
      </c>
      <c r="P20" s="14"/>
      <c r="Q20" s="16"/>
      <c r="S20" s="8">
        <f t="shared" si="1"/>
        <v>3420</v>
      </c>
      <c r="Y20" s="19"/>
    </row>
    <row r="21" spans="1:25" x14ac:dyDescent="0.3">
      <c r="A21" t="s">
        <v>66</v>
      </c>
      <c r="B21" s="5" t="s">
        <v>38</v>
      </c>
      <c r="E21" s="6">
        <v>6360</v>
      </c>
      <c r="F21" s="19">
        <v>44995</v>
      </c>
      <c r="G21" s="19">
        <v>45056</v>
      </c>
      <c r="I21" s="4">
        <f t="shared" si="2"/>
        <v>6360</v>
      </c>
      <c r="K21" s="8">
        <f t="shared" ref="K21:K32" si="4">E21*0.02*7</f>
        <v>890.4</v>
      </c>
      <c r="M21" s="8"/>
      <c r="O21" s="8">
        <f t="shared" si="0"/>
        <v>7250.4</v>
      </c>
      <c r="P21" s="14"/>
      <c r="Q21" s="16"/>
      <c r="S21" s="8">
        <f t="shared" si="1"/>
        <v>7250.4</v>
      </c>
      <c r="X21" s="6"/>
      <c r="Y21" s="19"/>
    </row>
    <row r="22" spans="1:25" x14ac:dyDescent="0.3">
      <c r="A22" t="s">
        <v>67</v>
      </c>
      <c r="B22" s="5" t="s">
        <v>39</v>
      </c>
      <c r="E22" s="6">
        <v>5000</v>
      </c>
      <c r="F22" s="19">
        <v>44260</v>
      </c>
      <c r="G22" s="19">
        <v>44321</v>
      </c>
      <c r="I22" s="4">
        <f t="shared" si="2"/>
        <v>5000</v>
      </c>
      <c r="K22" s="8">
        <f t="shared" si="4"/>
        <v>700</v>
      </c>
      <c r="M22" s="8"/>
      <c r="O22" s="8">
        <f t="shared" si="0"/>
        <v>5700</v>
      </c>
      <c r="P22" s="14"/>
      <c r="Q22" s="16"/>
      <c r="S22" s="8">
        <f t="shared" si="1"/>
        <v>5700</v>
      </c>
      <c r="X22" s="6"/>
      <c r="Y22" s="19"/>
    </row>
    <row r="23" spans="1:25" x14ac:dyDescent="0.3">
      <c r="A23" t="s">
        <v>68</v>
      </c>
      <c r="B23" s="5" t="s">
        <v>40</v>
      </c>
      <c r="E23" s="6">
        <v>5000</v>
      </c>
      <c r="F23" s="19">
        <v>44459</v>
      </c>
      <c r="G23" s="19">
        <v>44520</v>
      </c>
      <c r="I23" s="4">
        <f>E23</f>
        <v>5000</v>
      </c>
      <c r="K23" s="8">
        <f>E23*0.02*1</f>
        <v>100</v>
      </c>
      <c r="M23" s="8">
        <f>E23*0.02*1</f>
        <v>100</v>
      </c>
      <c r="O23" s="8">
        <f t="shared" si="0"/>
        <v>5200</v>
      </c>
      <c r="P23" s="14"/>
      <c r="Q23" s="16"/>
      <c r="S23" s="8">
        <f t="shared" si="1"/>
        <v>5200</v>
      </c>
      <c r="X23" s="6"/>
      <c r="Y23" s="19"/>
    </row>
    <row r="24" spans="1:25" x14ac:dyDescent="0.3">
      <c r="A24" t="s">
        <v>69</v>
      </c>
      <c r="B24" s="5" t="s">
        <v>41</v>
      </c>
      <c r="E24" s="6">
        <v>7000</v>
      </c>
      <c r="F24" s="19">
        <v>43838</v>
      </c>
      <c r="G24" s="19">
        <v>43898</v>
      </c>
      <c r="I24" s="4">
        <f>E24</f>
        <v>7000</v>
      </c>
      <c r="K24" s="8">
        <f>E24*0.02*9</f>
        <v>1260</v>
      </c>
      <c r="M24" s="8"/>
      <c r="O24" s="8">
        <f t="shared" si="0"/>
        <v>8260</v>
      </c>
      <c r="P24" s="14"/>
      <c r="Q24" s="16"/>
      <c r="S24" s="8">
        <f t="shared" si="1"/>
        <v>8260</v>
      </c>
      <c r="X24" s="6"/>
      <c r="Y24" s="19"/>
    </row>
    <row r="25" spans="1:25" x14ac:dyDescent="0.3">
      <c r="A25" t="s">
        <v>70</v>
      </c>
      <c r="B25" s="5" t="s">
        <v>42</v>
      </c>
      <c r="E25" s="6">
        <v>5000</v>
      </c>
      <c r="F25" s="19">
        <v>43486</v>
      </c>
      <c r="G25" s="19">
        <v>43545</v>
      </c>
      <c r="I25" s="4">
        <f t="shared" si="2"/>
        <v>5000</v>
      </c>
      <c r="K25" s="8">
        <f>E25*0.02*9</f>
        <v>900</v>
      </c>
      <c r="M25" s="8"/>
      <c r="O25" s="8">
        <f t="shared" si="0"/>
        <v>5900</v>
      </c>
      <c r="P25" s="14"/>
      <c r="Q25" s="16"/>
      <c r="S25" s="8">
        <f t="shared" si="1"/>
        <v>5900</v>
      </c>
      <c r="X25" s="6"/>
      <c r="Y25" s="19"/>
    </row>
    <row r="26" spans="1:25" x14ac:dyDescent="0.3">
      <c r="A26" t="s">
        <v>71</v>
      </c>
      <c r="B26" s="5" t="s">
        <v>43</v>
      </c>
      <c r="E26" s="6">
        <v>2000</v>
      </c>
      <c r="F26" s="19">
        <v>43486</v>
      </c>
      <c r="G26" s="19">
        <v>43545</v>
      </c>
      <c r="I26" s="4">
        <f t="shared" si="2"/>
        <v>2000</v>
      </c>
      <c r="K26" s="8">
        <f>E26*0.02*9</f>
        <v>360</v>
      </c>
      <c r="M26" s="8"/>
      <c r="O26" s="8">
        <f t="shared" si="0"/>
        <v>2360</v>
      </c>
      <c r="P26" s="14"/>
      <c r="Q26" s="16"/>
      <c r="S26" s="8">
        <f t="shared" si="1"/>
        <v>2360</v>
      </c>
    </row>
    <row r="27" spans="1:25" x14ac:dyDescent="0.3">
      <c r="A27" t="s">
        <v>72</v>
      </c>
      <c r="B27" s="5" t="s">
        <v>44</v>
      </c>
      <c r="E27" s="6">
        <v>5000</v>
      </c>
      <c r="F27" s="19">
        <v>43544</v>
      </c>
      <c r="G27" s="19">
        <v>43605</v>
      </c>
      <c r="I27" s="4">
        <f t="shared" si="2"/>
        <v>5000</v>
      </c>
      <c r="K27" s="8">
        <f t="shared" si="4"/>
        <v>700</v>
      </c>
      <c r="M27" s="8"/>
      <c r="O27" s="8">
        <f t="shared" si="0"/>
        <v>5700</v>
      </c>
      <c r="P27" s="14"/>
      <c r="Q27" s="16"/>
      <c r="S27" s="8">
        <f t="shared" si="1"/>
        <v>5700</v>
      </c>
    </row>
    <row r="28" spans="1:25" x14ac:dyDescent="0.3">
      <c r="A28" t="s">
        <v>73</v>
      </c>
      <c r="B28" s="5" t="s">
        <v>45</v>
      </c>
      <c r="E28" s="6">
        <v>5000</v>
      </c>
      <c r="F28" s="19">
        <v>43748</v>
      </c>
      <c r="G28" s="19">
        <v>43809</v>
      </c>
      <c r="I28" s="4">
        <f t="shared" si="2"/>
        <v>5000</v>
      </c>
      <c r="K28" s="8"/>
      <c r="M28" s="8">
        <f>E28*0.02*12</f>
        <v>1200</v>
      </c>
      <c r="O28" s="8">
        <f t="shared" si="0"/>
        <v>6200</v>
      </c>
      <c r="P28" s="14"/>
      <c r="Q28" s="16"/>
      <c r="S28" s="8">
        <f t="shared" si="1"/>
        <v>6200</v>
      </c>
    </row>
    <row r="29" spans="1:25" x14ac:dyDescent="0.3">
      <c r="A29" t="s">
        <v>74</v>
      </c>
      <c r="B29" s="5" t="s">
        <v>46</v>
      </c>
      <c r="E29" s="6">
        <v>5000</v>
      </c>
      <c r="F29" s="19">
        <v>43748</v>
      </c>
      <c r="G29" s="19">
        <v>43809</v>
      </c>
      <c r="I29" s="4">
        <f t="shared" si="2"/>
        <v>5000</v>
      </c>
      <c r="K29" s="8">
        <v>0</v>
      </c>
      <c r="M29" s="8">
        <f>E29*0.02*12</f>
        <v>1200</v>
      </c>
      <c r="O29" s="8">
        <f t="shared" si="0"/>
        <v>6200</v>
      </c>
      <c r="P29" s="14"/>
      <c r="Q29" s="16"/>
      <c r="S29" s="8">
        <f t="shared" si="1"/>
        <v>6200</v>
      </c>
    </row>
    <row r="30" spans="1:25" x14ac:dyDescent="0.3">
      <c r="A30" t="s">
        <v>75</v>
      </c>
      <c r="B30" s="5" t="s">
        <v>47</v>
      </c>
      <c r="E30" s="6">
        <v>2000</v>
      </c>
      <c r="F30" s="19">
        <v>43118</v>
      </c>
      <c r="G30" s="19">
        <v>43177</v>
      </c>
      <c r="I30" s="4">
        <f t="shared" si="2"/>
        <v>2000</v>
      </c>
      <c r="K30" s="8">
        <f>E30*0.02*9</f>
        <v>360</v>
      </c>
      <c r="M30" s="8"/>
      <c r="O30" s="8">
        <f t="shared" si="0"/>
        <v>2360</v>
      </c>
      <c r="P30" s="14"/>
      <c r="Q30" s="16"/>
      <c r="S30" s="8">
        <f t="shared" si="1"/>
        <v>2360</v>
      </c>
    </row>
    <row r="31" spans="1:25" x14ac:dyDescent="0.3">
      <c r="A31" t="s">
        <v>76</v>
      </c>
      <c r="B31" s="5" t="s">
        <v>48</v>
      </c>
      <c r="E31" s="6">
        <v>2000</v>
      </c>
      <c r="F31" s="19">
        <v>43118</v>
      </c>
      <c r="G31" s="19">
        <v>43177</v>
      </c>
      <c r="I31" s="4">
        <f t="shared" si="2"/>
        <v>2000</v>
      </c>
      <c r="K31" s="8">
        <f>E31*0.02*9</f>
        <v>360</v>
      </c>
      <c r="M31" s="8"/>
      <c r="O31" s="8">
        <f t="shared" si="0"/>
        <v>2360</v>
      </c>
      <c r="P31" s="14"/>
      <c r="Q31" s="16"/>
      <c r="S31" s="8">
        <f t="shared" si="1"/>
        <v>2360</v>
      </c>
    </row>
    <row r="32" spans="1:25" x14ac:dyDescent="0.3">
      <c r="A32" t="s">
        <v>77</v>
      </c>
      <c r="B32" s="5" t="s">
        <v>49</v>
      </c>
      <c r="E32" s="6">
        <v>2750</v>
      </c>
      <c r="F32" s="19">
        <v>43176</v>
      </c>
      <c r="G32" s="19">
        <v>43237</v>
      </c>
      <c r="I32" s="4">
        <f t="shared" si="2"/>
        <v>2750</v>
      </c>
      <c r="K32" s="8">
        <f t="shared" si="4"/>
        <v>385</v>
      </c>
      <c r="M32" s="8"/>
      <c r="O32" s="8">
        <f t="shared" si="0"/>
        <v>3135</v>
      </c>
      <c r="P32" s="14"/>
      <c r="Q32" s="16"/>
      <c r="S32" s="8">
        <f t="shared" si="1"/>
        <v>3135</v>
      </c>
    </row>
    <row r="33" spans="1:25" x14ac:dyDescent="0.3">
      <c r="A33" t="s">
        <v>78</v>
      </c>
      <c r="B33" s="5" t="s">
        <v>50</v>
      </c>
      <c r="E33" s="6">
        <v>3000</v>
      </c>
      <c r="F33" s="19">
        <v>43267</v>
      </c>
      <c r="G33" s="19">
        <v>43328</v>
      </c>
      <c r="I33" s="4">
        <f t="shared" si="2"/>
        <v>3000</v>
      </c>
      <c r="K33" s="8">
        <f>E33*0.02*4</f>
        <v>240</v>
      </c>
      <c r="M33" s="8"/>
      <c r="O33" s="8">
        <f t="shared" si="0"/>
        <v>3240</v>
      </c>
      <c r="P33" s="14"/>
      <c r="Q33" s="16"/>
      <c r="S33" s="8">
        <f t="shared" si="1"/>
        <v>3240</v>
      </c>
    </row>
    <row r="34" spans="1:25" x14ac:dyDescent="0.3">
      <c r="A34" t="s">
        <v>79</v>
      </c>
      <c r="B34" s="5" t="s">
        <v>51</v>
      </c>
      <c r="E34" s="6">
        <v>514</v>
      </c>
      <c r="F34" s="19">
        <v>42783</v>
      </c>
      <c r="G34" s="19">
        <v>42842</v>
      </c>
      <c r="I34" s="4">
        <f t="shared" si="2"/>
        <v>514</v>
      </c>
      <c r="K34" s="8">
        <f>E34*0.02*8</f>
        <v>82.24</v>
      </c>
      <c r="M34" s="8"/>
      <c r="O34" s="8">
        <f t="shared" si="0"/>
        <v>596.24</v>
      </c>
      <c r="P34" s="14"/>
      <c r="Q34" s="16"/>
      <c r="S34" s="8">
        <f t="shared" si="1"/>
        <v>596.24</v>
      </c>
    </row>
    <row r="35" spans="1:25" x14ac:dyDescent="0.3">
      <c r="A35" t="s">
        <v>83</v>
      </c>
      <c r="B35" s="5" t="s">
        <v>52</v>
      </c>
      <c r="E35" s="6">
        <v>2000</v>
      </c>
      <c r="F35" s="19">
        <v>42783</v>
      </c>
      <c r="G35" s="19">
        <v>42842</v>
      </c>
      <c r="I35" s="4">
        <f t="shared" si="2"/>
        <v>2000</v>
      </c>
      <c r="K35" s="8">
        <f>E35*0.02*8</f>
        <v>320</v>
      </c>
      <c r="M35" s="8"/>
      <c r="O35" s="8">
        <f t="shared" si="0"/>
        <v>2320</v>
      </c>
      <c r="P35" s="14"/>
      <c r="Q35" s="16"/>
      <c r="S35" s="8">
        <f t="shared" si="1"/>
        <v>2320</v>
      </c>
    </row>
    <row r="36" spans="1:25" x14ac:dyDescent="0.3">
      <c r="A36" t="s">
        <v>33</v>
      </c>
      <c r="B36" s="5"/>
      <c r="F36" s="12"/>
      <c r="G36" s="12"/>
      <c r="I36" s="4"/>
      <c r="K36" s="8"/>
      <c r="M36" s="8"/>
      <c r="O36" s="8"/>
      <c r="P36" s="14"/>
      <c r="Q36" s="16"/>
      <c r="S36" s="8"/>
      <c r="X36" s="6"/>
    </row>
    <row r="37" spans="1:25" ht="3" customHeight="1" x14ac:dyDescent="0.3">
      <c r="P37" s="14"/>
      <c r="Q37" s="16"/>
      <c r="X37" s="6"/>
    </row>
    <row r="38" spans="1:25" x14ac:dyDescent="0.3">
      <c r="C38" t="s">
        <v>8</v>
      </c>
      <c r="D38" s="1" t="s">
        <v>4</v>
      </c>
      <c r="E38" s="13">
        <f>E9+E10+E12+E13+E14+E15+E16+E17+E18+E19+E21+E22+E23+E24+E25+E26+E27+E28+E29+E30+E31+E32+E33+E34+E35+E11+E20</f>
        <v>164624</v>
      </c>
      <c r="H38" s="1" t="s">
        <v>4</v>
      </c>
      <c r="I38" s="13">
        <f>I9+I10+I12+I13+I14+I15+I16+I17+I18+I19+I21+I22+I23+I24+I25+I26+I27+I28+I29+I30+I31+I32+I33+I34+I35+I11</f>
        <v>161624</v>
      </c>
      <c r="J38" t="s">
        <v>4</v>
      </c>
      <c r="K38" s="6">
        <f>K9+K10+K12+K13+K14+K15+K16+K17+K18+K19+K20+K21+K22+K23+K24+K25+K26+K27+K30+K31+K32+K33+K34+K35+K28+K29+K11</f>
        <v>17637.640000000003</v>
      </c>
      <c r="L38" t="s">
        <v>4</v>
      </c>
      <c r="M38" s="6">
        <f>M9+M10+M12+M13+M14+M15+M16+M17+M18+M19+M20+M21+M22+M23+M24+M25+M26+M27+M30+M31+M32+M33+M34+M35+M28+M29+M11</f>
        <v>4400</v>
      </c>
      <c r="N38" t="s">
        <v>4</v>
      </c>
      <c r="O38" s="6">
        <f>O9+O10+O12+O13+O14+O15+O16+O17+O18+O19+O20+O21+O22+O23+O24+O25+O26+O27+O30+O31+O32+O33+O34+O35+O28+O29+O11</f>
        <v>186661.63999999998</v>
      </c>
      <c r="P38" s="17" t="s">
        <v>4</v>
      </c>
      <c r="Q38" s="18">
        <f>Q9+Q10+Q12+Q13+Q14+Q15+Q16+Q17+Q18</f>
        <v>0</v>
      </c>
      <c r="R38" s="2" t="s">
        <v>4</v>
      </c>
      <c r="S38" s="6">
        <f>S9+S10+S12+S13+S14+S15+S16+S17+S18+S19+S20+S21+S22+S23+S24+S25+S26+S27+S30+S31+S32+S33+S34+S35+S28+S29+S11</f>
        <v>186661.63999999998</v>
      </c>
      <c r="X38" s="6"/>
    </row>
    <row r="39" spans="1:25" x14ac:dyDescent="0.3">
      <c r="X39" s="6"/>
      <c r="Y39" s="19"/>
    </row>
    <row r="40" spans="1:25" x14ac:dyDescent="0.3">
      <c r="X40" s="6"/>
    </row>
    <row r="41" spans="1:25" x14ac:dyDescent="0.3">
      <c r="P41" s="3" t="s">
        <v>34</v>
      </c>
      <c r="X41" s="6"/>
    </row>
    <row r="42" spans="1:25" x14ac:dyDescent="0.3">
      <c r="X42" s="6"/>
    </row>
    <row r="43" spans="1:25" x14ac:dyDescent="0.3">
      <c r="X43" s="6"/>
    </row>
    <row r="44" spans="1:25" x14ac:dyDescent="0.3">
      <c r="Q44" s="1" t="s">
        <v>3</v>
      </c>
      <c r="X44" s="6"/>
    </row>
    <row r="45" spans="1:25" x14ac:dyDescent="0.3">
      <c r="Q45" t="s">
        <v>35</v>
      </c>
    </row>
  </sheetData>
  <mergeCells count="11">
    <mergeCell ref="P8:Q8"/>
    <mergeCell ref="R8:S8"/>
    <mergeCell ref="A2:S2"/>
    <mergeCell ref="A3:S3"/>
    <mergeCell ref="A4:S4"/>
    <mergeCell ref="A6:S6"/>
    <mergeCell ref="B8:C8"/>
    <mergeCell ref="D8:E8"/>
    <mergeCell ref="J8:K8"/>
    <mergeCell ref="L8:M8"/>
    <mergeCell ref="N8:O8"/>
  </mergeCells>
  <phoneticPr fontId="6" type="noConversion"/>
  <pageMargins left="0.7" right="0.7" top="0.75" bottom="0.75" header="0.3" footer="0.3"/>
  <pageSetup paperSize="14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C143-E379-461A-9055-F4900E07470D}">
  <dimension ref="A2:Y44"/>
  <sheetViews>
    <sheetView workbookViewId="0">
      <selection activeCell="V10" sqref="V10"/>
    </sheetView>
  </sheetViews>
  <sheetFormatPr defaultRowHeight="14.4" x14ac:dyDescent="0.3"/>
  <cols>
    <col min="1" max="1" width="10" customWidth="1"/>
    <col min="2" max="2" width="12.21875" customWidth="1"/>
    <col min="3" max="3" width="11" customWidth="1"/>
    <col min="4" max="4" width="2.33203125" customWidth="1"/>
    <col min="5" max="5" width="11.5546875" style="6" customWidth="1"/>
    <col min="6" max="6" width="9.6640625" style="3" bestFit="1" customWidth="1"/>
    <col min="7" max="7" width="9.77734375" style="3" customWidth="1"/>
    <col min="8" max="8" width="2.109375" customWidth="1"/>
    <col min="9" max="9" width="11.44140625" bestFit="1" customWidth="1"/>
    <col min="10" max="10" width="2.33203125" customWidth="1"/>
    <col min="11" max="11" width="10.21875" customWidth="1"/>
    <col min="12" max="12" width="1.77734375" customWidth="1"/>
    <col min="13" max="13" width="10" customWidth="1"/>
    <col min="14" max="14" width="2" customWidth="1"/>
    <col min="15" max="15" width="11.21875" customWidth="1"/>
    <col min="16" max="16" width="2.21875" style="3" customWidth="1"/>
    <col min="17" max="17" width="9.109375" bestFit="1" customWidth="1"/>
    <col min="18" max="18" width="2.6640625" style="3" customWidth="1"/>
    <col min="19" max="19" width="12.6640625" customWidth="1"/>
    <col min="24" max="24" width="10.6640625" customWidth="1"/>
    <col min="25" max="25" width="9.88671875" customWidth="1"/>
  </cols>
  <sheetData>
    <row r="2" spans="1:25" x14ac:dyDescent="0.3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5" x14ac:dyDescent="0.3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5" x14ac:dyDescent="0.3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6" spans="1:25" ht="16.5" customHeight="1" x14ac:dyDescent="0.35">
      <c r="A6" s="25" t="s">
        <v>82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  <row r="8" spans="1:25" s="7" customFormat="1" ht="29.4" customHeight="1" x14ac:dyDescent="0.3">
      <c r="A8" s="11" t="s">
        <v>16</v>
      </c>
      <c r="B8" s="26" t="s">
        <v>19</v>
      </c>
      <c r="C8" s="26"/>
      <c r="D8" s="26" t="s">
        <v>6</v>
      </c>
      <c r="E8" s="26"/>
      <c r="F8" s="9" t="s">
        <v>7</v>
      </c>
      <c r="G8" s="9" t="s">
        <v>11</v>
      </c>
      <c r="H8" s="10" t="s">
        <v>12</v>
      </c>
      <c r="I8" s="10"/>
      <c r="J8" s="26" t="s">
        <v>5</v>
      </c>
      <c r="K8" s="26"/>
      <c r="L8" s="26" t="s">
        <v>13</v>
      </c>
      <c r="M8" s="26"/>
      <c r="N8" s="27" t="s">
        <v>8</v>
      </c>
      <c r="O8" s="27"/>
      <c r="P8" s="20" t="s">
        <v>9</v>
      </c>
      <c r="Q8" s="20"/>
      <c r="R8" s="21" t="s">
        <v>14</v>
      </c>
      <c r="S8" s="21"/>
    </row>
    <row r="9" spans="1:25" x14ac:dyDescent="0.3">
      <c r="A9" t="s">
        <v>17</v>
      </c>
      <c r="B9" s="5" t="s">
        <v>10</v>
      </c>
      <c r="D9" t="s">
        <v>4</v>
      </c>
      <c r="E9" s="6">
        <v>5000</v>
      </c>
      <c r="F9" s="12">
        <f>[2]TCayanong!$K$8</f>
        <v>45778</v>
      </c>
      <c r="G9" s="12">
        <f>'[3]2025loaners'!$J$7</f>
        <v>45839</v>
      </c>
      <c r="H9" t="s">
        <v>4</v>
      </c>
      <c r="I9" s="8">
        <f>'[3]2025loaners'!$O$7</f>
        <v>5390</v>
      </c>
      <c r="J9" s="8" t="s">
        <v>4</v>
      </c>
      <c r="K9" s="8">
        <f>E9*0.02*5</f>
        <v>500</v>
      </c>
      <c r="L9" t="s">
        <v>4</v>
      </c>
      <c r="M9" s="8">
        <f>E9*0.02*5</f>
        <v>500</v>
      </c>
      <c r="N9" s="8" t="s">
        <v>4</v>
      </c>
      <c r="O9" s="8">
        <f t="shared" ref="O9:O18" si="0">I9+M9+K9</f>
        <v>6390</v>
      </c>
      <c r="P9" s="14" t="s">
        <v>4</v>
      </c>
      <c r="Q9" s="15">
        <v>5000</v>
      </c>
      <c r="R9" s="3" t="s">
        <v>4</v>
      </c>
      <c r="S9" s="8">
        <f t="shared" ref="S9:S18" si="1">O9-Q9</f>
        <v>1390</v>
      </c>
      <c r="X9" s="6"/>
    </row>
    <row r="10" spans="1:25" x14ac:dyDescent="0.3">
      <c r="A10" t="s">
        <v>18</v>
      </c>
      <c r="B10" s="5" t="s">
        <v>15</v>
      </c>
      <c r="E10" s="6">
        <f>[2]RAmarille!$K$7</f>
        <v>10000</v>
      </c>
      <c r="F10" s="12">
        <f>[2]RAmarille!$K$8</f>
        <v>45824</v>
      </c>
      <c r="G10" s="12">
        <f>[2]RAmarille!$K$9</f>
        <v>45885</v>
      </c>
      <c r="I10" s="8">
        <f>'[3]2025loaners'!$O$8</f>
        <v>10690</v>
      </c>
      <c r="K10" s="8">
        <f>E10*0.02*5</f>
        <v>1000</v>
      </c>
      <c r="M10" s="8">
        <f>E10*0.02*5</f>
        <v>1000</v>
      </c>
      <c r="O10" s="8">
        <f t="shared" si="0"/>
        <v>12690</v>
      </c>
      <c r="P10" s="14"/>
      <c r="Q10" s="16"/>
      <c r="S10" s="8">
        <f t="shared" si="1"/>
        <v>12690</v>
      </c>
      <c r="Y10" s="19"/>
    </row>
    <row r="11" spans="1:25" x14ac:dyDescent="0.3">
      <c r="A11" t="s">
        <v>20</v>
      </c>
      <c r="B11" s="5" t="s">
        <v>24</v>
      </c>
      <c r="E11" s="6">
        <f>[2]ewilliams!$K$8</f>
        <v>10000</v>
      </c>
      <c r="F11" s="12">
        <f>[2]ewilliams!$K$9</f>
        <v>44951</v>
      </c>
      <c r="G11" s="12">
        <f>[2]ewilliams!$K$10</f>
        <v>45010</v>
      </c>
      <c r="I11" s="4">
        <f t="shared" ref="I11:I34" si="2">E11</f>
        <v>10000</v>
      </c>
      <c r="K11" s="8">
        <f>E11*0.02*12</f>
        <v>2400</v>
      </c>
      <c r="O11" s="8">
        <f t="shared" si="0"/>
        <v>12400</v>
      </c>
      <c r="P11" s="14"/>
      <c r="Q11" s="16"/>
      <c r="S11" s="8">
        <f t="shared" si="1"/>
        <v>12400</v>
      </c>
      <c r="X11" s="6"/>
      <c r="Y11" s="19"/>
    </row>
    <row r="12" spans="1:25" x14ac:dyDescent="0.3">
      <c r="A12" t="s">
        <v>21</v>
      </c>
      <c r="B12" s="5" t="s">
        <v>25</v>
      </c>
      <c r="E12" s="6">
        <f>[2]RMalmacin!$K$7</f>
        <v>6000</v>
      </c>
      <c r="F12" s="12">
        <f>[2]RMalmacin!$K$8</f>
        <v>44014</v>
      </c>
      <c r="G12" s="12">
        <f>[2]RMalmacin!$K$9</f>
        <v>44106</v>
      </c>
      <c r="I12" s="4">
        <f t="shared" si="2"/>
        <v>6000</v>
      </c>
      <c r="K12" s="8">
        <f>E12*0.02*6</f>
        <v>720</v>
      </c>
      <c r="O12" s="8">
        <f t="shared" si="0"/>
        <v>6720</v>
      </c>
      <c r="P12" s="14"/>
      <c r="Q12" s="16"/>
      <c r="S12" s="8">
        <f t="shared" si="1"/>
        <v>6720</v>
      </c>
      <c r="X12" s="6"/>
      <c r="Y12" s="19"/>
    </row>
    <row r="13" spans="1:25" x14ac:dyDescent="0.3">
      <c r="A13" t="s">
        <v>22</v>
      </c>
      <c r="B13" s="5" t="s">
        <v>53</v>
      </c>
      <c r="E13" s="6">
        <f>[2]jeSMERO!$K$8</f>
        <v>6000</v>
      </c>
      <c r="F13" s="12">
        <f>[2]jeSMERO!$K$9</f>
        <v>45008</v>
      </c>
      <c r="G13" s="12">
        <f>[2]jeSMERO!$K$10</f>
        <v>45069</v>
      </c>
      <c r="I13" s="4">
        <f t="shared" si="2"/>
        <v>6000</v>
      </c>
      <c r="K13" s="8">
        <f>E13*0.02*10</f>
        <v>1200</v>
      </c>
      <c r="O13" s="8">
        <f t="shared" si="0"/>
        <v>7200</v>
      </c>
      <c r="P13" s="14"/>
      <c r="Q13" s="16"/>
      <c r="S13" s="8">
        <f t="shared" si="1"/>
        <v>7200</v>
      </c>
      <c r="X13" s="6"/>
      <c r="Y13" s="19"/>
    </row>
    <row r="14" spans="1:25" x14ac:dyDescent="0.3">
      <c r="A14" t="s">
        <v>23</v>
      </c>
      <c r="B14" s="5" t="s">
        <v>26</v>
      </c>
      <c r="E14" s="6">
        <f>[2]LCruz!$F$16</f>
        <v>15000</v>
      </c>
      <c r="F14" s="12">
        <f>[2]LCruz!$K$11</f>
        <v>44839</v>
      </c>
      <c r="G14" s="12">
        <f>[2]LCruz!$K$12</f>
        <v>44900</v>
      </c>
      <c r="I14" s="4">
        <f t="shared" si="2"/>
        <v>15000</v>
      </c>
      <c r="K14" s="8">
        <f>E14*0.02*3</f>
        <v>900</v>
      </c>
      <c r="O14" s="8">
        <f t="shared" si="0"/>
        <v>15900</v>
      </c>
      <c r="P14" s="14"/>
      <c r="Q14" s="16"/>
      <c r="S14" s="8">
        <f t="shared" si="1"/>
        <v>15900</v>
      </c>
      <c r="X14" s="6"/>
      <c r="Y14" s="19"/>
    </row>
    <row r="15" spans="1:25" x14ac:dyDescent="0.3">
      <c r="A15" t="s">
        <v>27</v>
      </c>
      <c r="B15" s="5" t="s">
        <v>29</v>
      </c>
      <c r="E15" s="6">
        <f>[2]MVillamor!$F$15</f>
        <v>15000</v>
      </c>
      <c r="F15" s="12">
        <f>[2]MVillamor!$K$9</f>
        <v>44105</v>
      </c>
      <c r="G15" s="12">
        <f>[2]MVillamor!$K$10</f>
        <v>44166</v>
      </c>
      <c r="I15" s="4">
        <f t="shared" si="2"/>
        <v>15000</v>
      </c>
      <c r="K15" s="8">
        <f>E15*0.02*3</f>
        <v>900</v>
      </c>
      <c r="M15" s="8">
        <f>E15*0.02*3</f>
        <v>900</v>
      </c>
      <c r="O15" s="8">
        <f t="shared" si="0"/>
        <v>16800</v>
      </c>
      <c r="P15" s="14"/>
      <c r="Q15" s="16"/>
      <c r="S15" s="8">
        <f t="shared" si="1"/>
        <v>16800</v>
      </c>
    </row>
    <row r="16" spans="1:25" x14ac:dyDescent="0.3">
      <c r="A16" t="s">
        <v>28</v>
      </c>
      <c r="B16" s="5" t="s">
        <v>30</v>
      </c>
      <c r="E16" s="6">
        <f>[2]SVillamor!$F$15</f>
        <v>5000</v>
      </c>
      <c r="F16" s="12">
        <f>[2]SVillamor!$K$9</f>
        <v>44023</v>
      </c>
      <c r="G16" s="12">
        <f>[2]SVillamor!$K$10</f>
        <v>44085</v>
      </c>
      <c r="I16" s="4">
        <f t="shared" si="2"/>
        <v>5000</v>
      </c>
      <c r="K16" s="8">
        <f>E16*0.02*6</f>
        <v>600</v>
      </c>
      <c r="M16" s="8">
        <f>E16*0.02*6</f>
        <v>600</v>
      </c>
      <c r="O16" s="8">
        <f t="shared" si="0"/>
        <v>6200</v>
      </c>
      <c r="P16" s="14"/>
      <c r="Q16" s="16"/>
      <c r="S16" s="8">
        <f t="shared" si="1"/>
        <v>6200</v>
      </c>
      <c r="X16" s="6"/>
      <c r="Y16" s="19"/>
    </row>
    <row r="17" spans="1:25" x14ac:dyDescent="0.3">
      <c r="A17" t="s">
        <v>31</v>
      </c>
      <c r="B17" s="5" t="s">
        <v>32</v>
      </c>
      <c r="E17" s="6">
        <f>[2]ESGonzales!$F$14</f>
        <v>20000</v>
      </c>
      <c r="F17" s="12">
        <f>[2]ESGonzales!$K$8</f>
        <v>44536</v>
      </c>
      <c r="G17" s="12">
        <f>[2]ESGonzales!$K$9</f>
        <v>44598</v>
      </c>
      <c r="I17" s="4">
        <f t="shared" si="2"/>
        <v>20000</v>
      </c>
      <c r="K17" s="8">
        <f>E17*0.02*1</f>
        <v>400</v>
      </c>
      <c r="M17" s="8">
        <f>E17*0.02*1</f>
        <v>400</v>
      </c>
      <c r="O17" s="8">
        <f t="shared" si="0"/>
        <v>20800</v>
      </c>
      <c r="P17" s="14"/>
      <c r="Q17" s="16"/>
      <c r="S17" s="8">
        <f t="shared" si="1"/>
        <v>20800</v>
      </c>
      <c r="X17" s="6"/>
      <c r="Y17" s="19"/>
    </row>
    <row r="18" spans="1:25" x14ac:dyDescent="0.3">
      <c r="A18" t="s">
        <v>36</v>
      </c>
      <c r="B18" s="5" t="s">
        <v>37</v>
      </c>
      <c r="E18" s="6">
        <v>6000</v>
      </c>
      <c r="F18" s="19">
        <v>45620</v>
      </c>
      <c r="G18" s="19">
        <v>45681</v>
      </c>
      <c r="I18" s="4">
        <f t="shared" si="2"/>
        <v>6000</v>
      </c>
      <c r="K18" s="8">
        <f>E18*0.02*12</f>
        <v>1440</v>
      </c>
      <c r="M18" s="8"/>
      <c r="O18" s="8">
        <f t="shared" si="0"/>
        <v>7440</v>
      </c>
      <c r="P18" s="14"/>
      <c r="Q18" s="16"/>
      <c r="S18" s="8">
        <f t="shared" si="1"/>
        <v>7440</v>
      </c>
      <c r="Y18" s="19"/>
    </row>
    <row r="19" spans="1:25" x14ac:dyDescent="0.3">
      <c r="A19" t="s">
        <v>65</v>
      </c>
      <c r="B19" s="5" t="s">
        <v>38</v>
      </c>
      <c r="E19" s="6">
        <v>3000</v>
      </c>
      <c r="F19" s="19">
        <v>44897</v>
      </c>
      <c r="G19" s="19">
        <v>44959</v>
      </c>
      <c r="I19" s="4">
        <f t="shared" si="2"/>
        <v>3000</v>
      </c>
      <c r="K19" s="8">
        <f>E19*0.02*7</f>
        <v>420</v>
      </c>
      <c r="M19" s="8"/>
      <c r="O19" s="8">
        <f t="shared" ref="O19:O34" si="3">I19+M19+K19</f>
        <v>3420</v>
      </c>
      <c r="P19" s="14"/>
      <c r="Q19" s="16"/>
      <c r="S19" s="8">
        <f t="shared" ref="S19:S34" si="4">O19-Q19</f>
        <v>3420</v>
      </c>
      <c r="X19" s="6"/>
      <c r="Y19" s="19"/>
    </row>
    <row r="20" spans="1:25" x14ac:dyDescent="0.3">
      <c r="A20" t="s">
        <v>66</v>
      </c>
      <c r="B20" s="5" t="s">
        <v>38</v>
      </c>
      <c r="E20" s="6">
        <v>6360</v>
      </c>
      <c r="F20" s="19">
        <v>44995</v>
      </c>
      <c r="G20" s="19">
        <v>45056</v>
      </c>
      <c r="I20" s="4">
        <f t="shared" si="2"/>
        <v>6360</v>
      </c>
      <c r="K20" s="8">
        <f t="shared" ref="K20:K31" si="5">E20*0.02*7</f>
        <v>890.4</v>
      </c>
      <c r="M20" s="8"/>
      <c r="O20" s="8">
        <f t="shared" si="3"/>
        <v>7250.4</v>
      </c>
      <c r="P20" s="14"/>
      <c r="Q20" s="16"/>
      <c r="S20" s="8">
        <f t="shared" si="4"/>
        <v>7250.4</v>
      </c>
      <c r="X20" s="6"/>
      <c r="Y20" s="19"/>
    </row>
    <row r="21" spans="1:25" x14ac:dyDescent="0.3">
      <c r="A21" t="s">
        <v>67</v>
      </c>
      <c r="B21" s="5" t="s">
        <v>39</v>
      </c>
      <c r="E21" s="6">
        <v>5000</v>
      </c>
      <c r="F21" s="19">
        <v>44260</v>
      </c>
      <c r="G21" s="19">
        <v>44321</v>
      </c>
      <c r="I21" s="4">
        <f t="shared" si="2"/>
        <v>5000</v>
      </c>
      <c r="K21" s="8">
        <f>E21*0.02*7</f>
        <v>700</v>
      </c>
      <c r="M21" s="8"/>
      <c r="O21" s="8">
        <f>I21+M21+K21</f>
        <v>5700</v>
      </c>
      <c r="P21" s="14"/>
      <c r="Q21" s="16"/>
      <c r="S21" s="8">
        <f t="shared" si="4"/>
        <v>5700</v>
      </c>
      <c r="X21" s="6"/>
      <c r="Y21" s="19"/>
    </row>
    <row r="22" spans="1:25" x14ac:dyDescent="0.3">
      <c r="A22" t="s">
        <v>68</v>
      </c>
      <c r="B22" s="5" t="s">
        <v>40</v>
      </c>
      <c r="E22" s="6">
        <v>5000</v>
      </c>
      <c r="F22" s="19">
        <v>44459</v>
      </c>
      <c r="G22" s="19">
        <v>44520</v>
      </c>
      <c r="I22" s="4">
        <f>E22</f>
        <v>5000</v>
      </c>
      <c r="K22" s="8">
        <f>E22*0.02*1</f>
        <v>100</v>
      </c>
      <c r="M22" s="8">
        <f>E22*0.02*1</f>
        <v>100</v>
      </c>
      <c r="O22" s="8">
        <f>I22+M22+K22</f>
        <v>5200</v>
      </c>
      <c r="P22" s="14"/>
      <c r="Q22" s="16"/>
      <c r="S22" s="8">
        <f t="shared" si="4"/>
        <v>5200</v>
      </c>
      <c r="X22" s="6"/>
      <c r="Y22" s="19"/>
    </row>
    <row r="23" spans="1:25" x14ac:dyDescent="0.3">
      <c r="A23" t="s">
        <v>69</v>
      </c>
      <c r="B23" s="5" t="s">
        <v>41</v>
      </c>
      <c r="E23" s="6">
        <v>7000</v>
      </c>
      <c r="F23" s="19">
        <v>43838</v>
      </c>
      <c r="G23" s="19">
        <v>43898</v>
      </c>
      <c r="I23" s="4">
        <f>E23</f>
        <v>7000</v>
      </c>
      <c r="K23" s="8">
        <f>E23*0.02*9</f>
        <v>1260</v>
      </c>
      <c r="M23" s="8"/>
      <c r="O23" s="8">
        <f>I23+M23+K23</f>
        <v>8260</v>
      </c>
      <c r="P23" s="14"/>
      <c r="Q23" s="16"/>
      <c r="S23" s="8">
        <f t="shared" si="4"/>
        <v>8260</v>
      </c>
      <c r="X23" s="6"/>
      <c r="Y23" s="19"/>
    </row>
    <row r="24" spans="1:25" x14ac:dyDescent="0.3">
      <c r="A24" t="s">
        <v>70</v>
      </c>
      <c r="B24" s="5" t="s">
        <v>42</v>
      </c>
      <c r="E24" s="6">
        <v>5000</v>
      </c>
      <c r="F24" s="19">
        <v>43486</v>
      </c>
      <c r="G24" s="19">
        <v>43545</v>
      </c>
      <c r="I24" s="4">
        <f t="shared" si="2"/>
        <v>5000</v>
      </c>
      <c r="K24" s="8">
        <f>E24*0.02*9</f>
        <v>900</v>
      </c>
      <c r="M24" s="8"/>
      <c r="O24" s="8">
        <f t="shared" si="3"/>
        <v>5900</v>
      </c>
      <c r="P24" s="14"/>
      <c r="Q24" s="16"/>
      <c r="S24" s="8">
        <f t="shared" si="4"/>
        <v>5900</v>
      </c>
    </row>
    <row r="25" spans="1:25" x14ac:dyDescent="0.3">
      <c r="A25" t="s">
        <v>71</v>
      </c>
      <c r="B25" s="5" t="s">
        <v>43</v>
      </c>
      <c r="E25" s="6">
        <v>2000</v>
      </c>
      <c r="F25" s="19">
        <v>43486</v>
      </c>
      <c r="G25" s="19">
        <v>43545</v>
      </c>
      <c r="I25" s="4">
        <f t="shared" si="2"/>
        <v>2000</v>
      </c>
      <c r="K25" s="8">
        <f>E25*0.02*9</f>
        <v>360</v>
      </c>
      <c r="M25" s="8"/>
      <c r="O25" s="8">
        <f t="shared" si="3"/>
        <v>2360</v>
      </c>
      <c r="P25" s="14"/>
      <c r="Q25" s="16"/>
      <c r="S25" s="8">
        <f t="shared" si="4"/>
        <v>2360</v>
      </c>
    </row>
    <row r="26" spans="1:25" x14ac:dyDescent="0.3">
      <c r="A26" t="s">
        <v>72</v>
      </c>
      <c r="B26" s="5" t="s">
        <v>44</v>
      </c>
      <c r="E26" s="6">
        <v>5000</v>
      </c>
      <c r="F26" s="19">
        <v>43544</v>
      </c>
      <c r="G26" s="19">
        <v>43605</v>
      </c>
      <c r="I26" s="4">
        <f t="shared" si="2"/>
        <v>5000</v>
      </c>
      <c r="K26" s="8">
        <f t="shared" si="5"/>
        <v>700</v>
      </c>
      <c r="M26" s="8"/>
      <c r="O26" s="8">
        <f t="shared" si="3"/>
        <v>5700</v>
      </c>
      <c r="P26" s="14"/>
      <c r="Q26" s="16"/>
      <c r="S26" s="8">
        <f t="shared" si="4"/>
        <v>5700</v>
      </c>
    </row>
    <row r="27" spans="1:25" x14ac:dyDescent="0.3">
      <c r="A27" t="s">
        <v>73</v>
      </c>
      <c r="B27" s="5" t="s">
        <v>45</v>
      </c>
      <c r="E27" s="6">
        <v>5000</v>
      </c>
      <c r="F27" s="19">
        <v>43748</v>
      </c>
      <c r="G27" s="19">
        <v>43809</v>
      </c>
      <c r="I27" s="4">
        <f t="shared" si="2"/>
        <v>5000</v>
      </c>
      <c r="K27" s="8"/>
      <c r="M27" s="8">
        <f>E27*0.02*12</f>
        <v>1200</v>
      </c>
      <c r="O27" s="8">
        <f t="shared" si="3"/>
        <v>6200</v>
      </c>
      <c r="P27" s="14"/>
      <c r="Q27" s="16"/>
      <c r="S27" s="8">
        <f t="shared" si="4"/>
        <v>6200</v>
      </c>
    </row>
    <row r="28" spans="1:25" x14ac:dyDescent="0.3">
      <c r="A28" t="s">
        <v>74</v>
      </c>
      <c r="B28" s="5" t="s">
        <v>46</v>
      </c>
      <c r="E28" s="6">
        <v>5000</v>
      </c>
      <c r="F28" s="19">
        <v>43748</v>
      </c>
      <c r="G28" s="19">
        <v>43809</v>
      </c>
      <c r="I28" s="4">
        <f t="shared" si="2"/>
        <v>5000</v>
      </c>
      <c r="K28" s="8">
        <v>0</v>
      </c>
      <c r="M28" s="8">
        <f>E28*0.02*12</f>
        <v>1200</v>
      </c>
      <c r="O28" s="8">
        <f t="shared" si="3"/>
        <v>6200</v>
      </c>
      <c r="P28" s="14"/>
      <c r="Q28" s="16"/>
      <c r="S28" s="8">
        <f t="shared" si="4"/>
        <v>6200</v>
      </c>
    </row>
    <row r="29" spans="1:25" x14ac:dyDescent="0.3">
      <c r="A29" t="s">
        <v>75</v>
      </c>
      <c r="B29" s="5" t="s">
        <v>47</v>
      </c>
      <c r="E29" s="6">
        <v>2000</v>
      </c>
      <c r="F29" s="19">
        <v>43118</v>
      </c>
      <c r="G29" s="19">
        <v>43177</v>
      </c>
      <c r="I29" s="4">
        <f t="shared" si="2"/>
        <v>2000</v>
      </c>
      <c r="K29" s="8">
        <f>E29*0.02*9</f>
        <v>360</v>
      </c>
      <c r="M29" s="8"/>
      <c r="O29" s="8">
        <f t="shared" si="3"/>
        <v>2360</v>
      </c>
      <c r="P29" s="14"/>
      <c r="Q29" s="16"/>
      <c r="S29" s="8">
        <f t="shared" si="4"/>
        <v>2360</v>
      </c>
    </row>
    <row r="30" spans="1:25" x14ac:dyDescent="0.3">
      <c r="A30" t="s">
        <v>76</v>
      </c>
      <c r="B30" s="5" t="s">
        <v>48</v>
      </c>
      <c r="E30" s="6">
        <v>2000</v>
      </c>
      <c r="F30" s="19">
        <v>43118</v>
      </c>
      <c r="G30" s="19">
        <v>43177</v>
      </c>
      <c r="I30" s="4">
        <f t="shared" si="2"/>
        <v>2000</v>
      </c>
      <c r="K30" s="8">
        <f>E30*0.02*9</f>
        <v>360</v>
      </c>
      <c r="M30" s="8"/>
      <c r="O30" s="8">
        <f t="shared" si="3"/>
        <v>2360</v>
      </c>
      <c r="P30" s="14"/>
      <c r="Q30" s="16"/>
      <c r="S30" s="8">
        <f t="shared" si="4"/>
        <v>2360</v>
      </c>
    </row>
    <row r="31" spans="1:25" x14ac:dyDescent="0.3">
      <c r="A31" t="s">
        <v>77</v>
      </c>
      <c r="B31" s="5" t="s">
        <v>49</v>
      </c>
      <c r="E31" s="6">
        <v>2750</v>
      </c>
      <c r="F31" s="19">
        <v>43176</v>
      </c>
      <c r="G31" s="19">
        <v>43237</v>
      </c>
      <c r="I31" s="4">
        <f t="shared" si="2"/>
        <v>2750</v>
      </c>
      <c r="K31" s="8">
        <f t="shared" si="5"/>
        <v>385</v>
      </c>
      <c r="M31" s="8"/>
      <c r="O31" s="8">
        <f t="shared" si="3"/>
        <v>3135</v>
      </c>
      <c r="P31" s="14"/>
      <c r="Q31" s="16"/>
      <c r="S31" s="8">
        <f t="shared" si="4"/>
        <v>3135</v>
      </c>
    </row>
    <row r="32" spans="1:25" x14ac:dyDescent="0.3">
      <c r="A32" t="s">
        <v>78</v>
      </c>
      <c r="B32" s="5" t="s">
        <v>50</v>
      </c>
      <c r="E32" s="6">
        <v>3000</v>
      </c>
      <c r="F32" s="19">
        <v>43267</v>
      </c>
      <c r="G32" s="19">
        <v>43328</v>
      </c>
      <c r="I32" s="4">
        <f t="shared" si="2"/>
        <v>3000</v>
      </c>
      <c r="K32" s="8">
        <f>E32*0.02*4</f>
        <v>240</v>
      </c>
      <c r="M32" s="8"/>
      <c r="O32" s="8">
        <f t="shared" si="3"/>
        <v>3240</v>
      </c>
      <c r="P32" s="14"/>
      <c r="Q32" s="16"/>
      <c r="S32" s="8">
        <f t="shared" si="4"/>
        <v>3240</v>
      </c>
    </row>
    <row r="33" spans="1:25" x14ac:dyDescent="0.3">
      <c r="A33" t="s">
        <v>79</v>
      </c>
      <c r="B33" s="5" t="s">
        <v>51</v>
      </c>
      <c r="E33" s="6">
        <v>514</v>
      </c>
      <c r="F33" s="19">
        <v>42783</v>
      </c>
      <c r="G33" s="19">
        <v>42842</v>
      </c>
      <c r="I33" s="4">
        <f t="shared" si="2"/>
        <v>514</v>
      </c>
      <c r="K33" s="8">
        <f>E33*0.02*8</f>
        <v>82.24</v>
      </c>
      <c r="M33" s="8"/>
      <c r="O33" s="8">
        <f t="shared" si="3"/>
        <v>596.24</v>
      </c>
      <c r="P33" s="14"/>
      <c r="Q33" s="16"/>
      <c r="S33" s="8">
        <f t="shared" si="4"/>
        <v>596.24</v>
      </c>
    </row>
    <row r="34" spans="1:25" x14ac:dyDescent="0.3">
      <c r="A34" t="s">
        <v>83</v>
      </c>
      <c r="B34" s="5" t="s">
        <v>52</v>
      </c>
      <c r="E34" s="6">
        <v>2000</v>
      </c>
      <c r="F34" s="19">
        <v>42783</v>
      </c>
      <c r="G34" s="19">
        <v>42842</v>
      </c>
      <c r="I34" s="4">
        <f t="shared" si="2"/>
        <v>2000</v>
      </c>
      <c r="K34" s="8">
        <f>E34*0.02*8</f>
        <v>320</v>
      </c>
      <c r="M34" s="8"/>
      <c r="O34" s="8">
        <f t="shared" si="3"/>
        <v>2320</v>
      </c>
      <c r="P34" s="14"/>
      <c r="Q34" s="16"/>
      <c r="S34" s="8">
        <f t="shared" si="4"/>
        <v>2320</v>
      </c>
    </row>
    <row r="35" spans="1:25" x14ac:dyDescent="0.3">
      <c r="A35" t="s">
        <v>33</v>
      </c>
      <c r="B35" s="5"/>
      <c r="F35" s="12"/>
      <c r="G35" s="12"/>
      <c r="I35" s="4"/>
      <c r="K35" s="8"/>
      <c r="M35" s="8"/>
      <c r="O35" s="8"/>
      <c r="P35" s="14"/>
      <c r="Q35" s="16"/>
      <c r="S35" s="8"/>
      <c r="X35" s="6"/>
    </row>
    <row r="36" spans="1:25" ht="3" customHeight="1" x14ac:dyDescent="0.3">
      <c r="P36" s="14"/>
      <c r="Q36" s="16"/>
      <c r="X36" s="6"/>
    </row>
    <row r="37" spans="1:25" x14ac:dyDescent="0.3">
      <c r="C37" t="s">
        <v>8</v>
      </c>
      <c r="D37" s="1" t="s">
        <v>4</v>
      </c>
      <c r="E37" s="13">
        <f>E9+E10+E11+E12+E13+E14+E15+E16+E17+E18+E19+E20+E21+E22+E23+E24+E25+E26+E27+E28+E29+E30+E31+E32+E33+E34</f>
        <v>158624</v>
      </c>
      <c r="H37" s="1" t="s">
        <v>4</v>
      </c>
      <c r="I37" s="13">
        <f>I9+I10+I11+I12+I13+I14+I15+I16+I17+I18+I19+I20+I21+I22+I23+I24+I25+I26+I27+I28+I29+I30+I31+I32+I33+I34</f>
        <v>159704</v>
      </c>
      <c r="J37" t="s">
        <v>4</v>
      </c>
      <c r="K37" s="6">
        <f>K9+K10+K11+K12+K13+K14+K15+K16+K17+K18+K19+K20+K21+K22+K23+K24+K25+K26+K27+K28+K29+K30+K31+K32+K33+K34</f>
        <v>17137.640000000003</v>
      </c>
      <c r="L37" t="s">
        <v>4</v>
      </c>
      <c r="M37" s="6">
        <f>M9+M10+M11+M12+M13+M14+M15+M16+M17+M18+M19+M20+M21+M22+M23+M24+M25+M26+M27+M28+M29+M30+M31+M32+M33+M34</f>
        <v>5900</v>
      </c>
      <c r="N37" t="s">
        <v>4</v>
      </c>
      <c r="O37" s="6">
        <f>O9+O10+O11+O12+O13+O14+O15+O16+O17+O18+O19+O20+O21+O22+O23+O24+O25+O26+O27+O28+O29+O30+O31+O32+O33+O34</f>
        <v>182741.63999999998</v>
      </c>
      <c r="P37" s="17" t="s">
        <v>4</v>
      </c>
      <c r="Q37" s="18">
        <f>Q9+Q10+Q11+Q12+Q13+Q14+Q15+Q16+Q17</f>
        <v>5000</v>
      </c>
      <c r="R37" s="2" t="s">
        <v>4</v>
      </c>
      <c r="S37" s="13">
        <f>S9+S10+S11+S12+S13+S14+S15+S16+S17+S18+S19+S20+S21+S22+S23+S24+S25+S26+S27+S28+S29+S30+S31+S32+S33+S34</f>
        <v>177741.63999999998</v>
      </c>
      <c r="X37" s="6"/>
    </row>
    <row r="38" spans="1:25" x14ac:dyDescent="0.3">
      <c r="X38" s="6"/>
      <c r="Y38" s="19">
        <v>43748</v>
      </c>
    </row>
    <row r="39" spans="1:25" x14ac:dyDescent="0.3">
      <c r="X39" s="6"/>
    </row>
    <row r="40" spans="1:25" x14ac:dyDescent="0.3">
      <c r="P40" s="3" t="s">
        <v>34</v>
      </c>
      <c r="X40" s="6"/>
    </row>
    <row r="41" spans="1:25" x14ac:dyDescent="0.3">
      <c r="X41" s="6"/>
    </row>
    <row r="42" spans="1:25" x14ac:dyDescent="0.3">
      <c r="X42" s="6"/>
    </row>
    <row r="43" spans="1:25" x14ac:dyDescent="0.3">
      <c r="Q43" s="1" t="s">
        <v>3</v>
      </c>
      <c r="X43" s="6"/>
    </row>
    <row r="44" spans="1:25" x14ac:dyDescent="0.3">
      <c r="Q44" t="s">
        <v>35</v>
      </c>
    </row>
  </sheetData>
  <mergeCells count="11">
    <mergeCell ref="R8:S8"/>
    <mergeCell ref="A2:S2"/>
    <mergeCell ref="A3:S3"/>
    <mergeCell ref="A4:S4"/>
    <mergeCell ref="A6:S6"/>
    <mergeCell ref="B8:C8"/>
    <mergeCell ref="D8:E8"/>
    <mergeCell ref="J8:K8"/>
    <mergeCell ref="L8:M8"/>
    <mergeCell ref="N8:O8"/>
    <mergeCell ref="P8:Q8"/>
  </mergeCells>
  <pageMargins left="0.7" right="0.7" top="0.75" bottom="0.75" header="0.3" footer="0.3"/>
  <pageSetup paperSize="14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OnDL2025</vt:lpstr>
      <vt:lpstr>OnDL2026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TIMAI</dc:creator>
  <cp:lastModifiedBy>dexter Jumao-as</cp:lastModifiedBy>
  <cp:lastPrinted>2026-07-02T09:57:42Z</cp:lastPrinted>
  <dcterms:created xsi:type="dcterms:W3CDTF">2018-01-08T17:08:30Z</dcterms:created>
  <dcterms:modified xsi:type="dcterms:W3CDTF">2026-07-05T10:46:49Z</dcterms:modified>
</cp:coreProperties>
</file>