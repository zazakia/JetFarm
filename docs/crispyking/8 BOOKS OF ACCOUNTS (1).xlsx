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0A454C2-E81F-4E51-B2C4-C34297BD9B9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GENERAL JOURNAL" sheetId="6" r:id="rId1"/>
    <sheet name="ACCOUNT RECEIVABLE LEDGER" sheetId="1" r:id="rId2"/>
    <sheet name="ACCOUNTS PAYABLE LEDGER" sheetId="2" r:id="rId3"/>
    <sheet name="SALES JOURNAL" sheetId="3" r:id="rId4"/>
    <sheet name="PURCHASE JOURNAL" sheetId="8" r:id="rId5"/>
    <sheet name="CASH DISBURSEMENT JOURNAL" sheetId="4" r:id="rId6"/>
    <sheet name="CASH RECEIPT JOURNAL" sheetId="7" r:id="rId7"/>
    <sheet name="INVENTORY JOURNAL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" i="5" l="1"/>
  <c r="F13" i="7"/>
  <c r="F12" i="7"/>
  <c r="F11" i="7"/>
  <c r="F10" i="7"/>
  <c r="F9" i="7"/>
  <c r="F8" i="7"/>
  <c r="F7" i="7"/>
  <c r="F6" i="7"/>
  <c r="F5" i="7"/>
  <c r="F4" i="7"/>
  <c r="F3" i="7"/>
  <c r="D36" i="4"/>
  <c r="J3" i="8"/>
  <c r="E3" i="8"/>
  <c r="J2" i="8"/>
  <c r="E2" i="8"/>
  <c r="F35" i="1"/>
  <c r="E35" i="1"/>
  <c r="D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5" i="2"/>
  <c r="E35" i="2"/>
  <c r="D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4" authorId="0" shapeId="0" xr:uid="{00000000-0006-0000-0200-000001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Everytime there is a purchases on account basis/accrual basis it must be CREDITED to his account</t>
        </r>
      </text>
    </comment>
    <comment ref="D5" authorId="0" shapeId="0" xr:uid="{00000000-0006-0000-0200-000002000000}">
      <text>
        <r>
          <rPr>
            <b/>
            <sz val="9"/>
            <rFont val="Tahoma"/>
            <charset val="134"/>
          </rPr>
          <t>User:
-</t>
        </r>
        <r>
          <rPr>
            <sz val="9"/>
            <rFont val="Tahoma"/>
            <charset val="134"/>
          </rPr>
          <t xml:space="preserve"> Everytime there is a payment to the supplier it must DEBITED to his account.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2" authorId="0" shapeId="0" xr:uid="{00000000-0006-0000-0300-000001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EVERY SALES/DELIVERY OF PRODUCTS TO THE BRANCH IT MUST BE ACCOUNTED FOR (TOTAL AMOUNT PER STR/DR)
</t>
        </r>
      </text>
    </comment>
    <comment ref="D8" authorId="0" shapeId="0" xr:uid="{00000000-0006-0000-0300-000002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Also any additional sales must be recorded.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R1" authorId="0" shapeId="0" xr:uid="{00000000-0006-0000-0500-000001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If there are expenses doesn't belong to the specific accounts they must put it in here. Miscellaneous expenses.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600-000001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Everytime there is an inflow of cash it must be recorded in the cash receipts book.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W4" authorId="0" shapeId="0" xr:uid="{00000000-0006-0000-0700-000001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Total production for the day
</t>
        </r>
      </text>
    </comment>
    <comment ref="AA4" authorId="0" shapeId="0" xr:uid="{00000000-0006-0000-0700-000002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Total production for the day
</t>
        </r>
      </text>
    </comment>
    <comment ref="AB4" authorId="0" shapeId="0" xr:uid="{00000000-0006-0000-0700-000003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Total deliveries to the branch</t>
        </r>
      </text>
    </comment>
  </commentList>
</comments>
</file>

<file path=xl/sharedStrings.xml><?xml version="1.0" encoding="utf-8"?>
<sst xmlns="http://schemas.openxmlformats.org/spreadsheetml/2006/main" count="157" uniqueCount="106">
  <si>
    <t>DATE</t>
  </si>
  <si>
    <t>PARTICULARS</t>
  </si>
  <si>
    <t>REF NO.</t>
  </si>
  <si>
    <t>DEBIT</t>
  </si>
  <si>
    <t>CREDIT</t>
  </si>
  <si>
    <t>Cash</t>
  </si>
  <si>
    <t xml:space="preserve">      Capital</t>
  </si>
  <si>
    <t>Note:</t>
  </si>
  <si>
    <t>Additional Investment for construction of New Commissary</t>
  </si>
  <si>
    <t>All transactions happen during the day must be accounted</t>
  </si>
  <si>
    <t>The staff must have an idea about the basic accounting transactions</t>
  </si>
  <si>
    <t>Accounts Payable</t>
  </si>
  <si>
    <t xml:space="preserve">      Cash</t>
  </si>
  <si>
    <t>Payment to Magnolia (Supplier of Chicken)</t>
  </si>
  <si>
    <t>Rent Expense</t>
  </si>
  <si>
    <t>Payment of Rental for the month of June 2024</t>
  </si>
  <si>
    <t>BRANCH 1 (Aviles)</t>
  </si>
  <si>
    <t>Particulars</t>
  </si>
  <si>
    <t>STR#/DR#</t>
  </si>
  <si>
    <t>Debit</t>
  </si>
  <si>
    <t>Credit</t>
  </si>
  <si>
    <t>Remaining Balance</t>
  </si>
  <si>
    <t xml:space="preserve">NOTE: </t>
  </si>
  <si>
    <t>Forwarded Balance as of May 31, 2024</t>
  </si>
  <si>
    <t>Per branch basis</t>
  </si>
  <si>
    <t>Delivery of Products</t>
  </si>
  <si>
    <t>STR#10023</t>
  </si>
  <si>
    <t>Payment for STR#10010 dated May 25, 2024</t>
  </si>
  <si>
    <t>STR#10025</t>
  </si>
  <si>
    <t>Payment for STR#10015 dated May 26, 2024</t>
  </si>
  <si>
    <t>STR#10027</t>
  </si>
  <si>
    <t>MAGNOLIA (Supplier)</t>
  </si>
  <si>
    <t>Delivery of 600 crates of chicken (9,000 heads)</t>
  </si>
  <si>
    <t>DR#13562</t>
  </si>
  <si>
    <t>Payment of Chicken with DR#13562 dated 6/1/2024</t>
  </si>
  <si>
    <t>Per supplier basis</t>
  </si>
  <si>
    <t xml:space="preserve">DATE </t>
  </si>
  <si>
    <t>AMOUNT</t>
  </si>
  <si>
    <t>CK - BURGOS</t>
  </si>
  <si>
    <t xml:space="preserve">CK - REAL 1 </t>
  </si>
  <si>
    <t>CK - REAL 2</t>
  </si>
  <si>
    <t>CK - BONIFACIO</t>
  </si>
  <si>
    <t>CK - AVILES</t>
  </si>
  <si>
    <t>CK - RIZAL</t>
  </si>
  <si>
    <t>Additional sales (Fats or Necks)</t>
  </si>
  <si>
    <t>SI#5236</t>
  </si>
  <si>
    <t>SUPPLIER</t>
  </si>
  <si>
    <t>HEADS</t>
  </si>
  <si>
    <t>VOLUME/ KG</t>
  </si>
  <si>
    <t>WEIGHT</t>
  </si>
  <si>
    <t>PRICE</t>
  </si>
  <si>
    <t>NMIS NO.</t>
  </si>
  <si>
    <t>INVOICE NO.</t>
  </si>
  <si>
    <t>INVOICE DATE</t>
  </si>
  <si>
    <t>ALI AGRI</t>
  </si>
  <si>
    <t>BOUNTY FRESH</t>
  </si>
  <si>
    <t>MAGNOLIA</t>
  </si>
  <si>
    <t>SI/OR NUMBER</t>
  </si>
  <si>
    <t>SALARIES &amp; WAGES</t>
  </si>
  <si>
    <t>CONSTRUCTION</t>
  </si>
  <si>
    <t>RENT EXPENSES</t>
  </si>
  <si>
    <t>FUEL &amp; OIL</t>
  </si>
  <si>
    <t>PURCHASES</t>
  </si>
  <si>
    <t>TRAVEL &amp; TRANSPO ALLOWANCE</t>
  </si>
  <si>
    <t>COMMUNICATION</t>
  </si>
  <si>
    <t>LIGHT &amp; WATER</t>
  </si>
  <si>
    <t>REPAIRS &amp; MAINTENANCE</t>
  </si>
  <si>
    <t>MEALS ALLOWANCE</t>
  </si>
  <si>
    <t>OFFICE SUPPLIES</t>
  </si>
  <si>
    <t>STORE SUPPLIES</t>
  </si>
  <si>
    <t>BANK CHARGES</t>
  </si>
  <si>
    <t>MISCELLANEOUS EXPENSES</t>
  </si>
  <si>
    <t xml:space="preserve">MAGNOLIA CHICKEN </t>
  </si>
  <si>
    <t>SI#123456</t>
  </si>
  <si>
    <t>JJ STORE (SUPOT)</t>
  </si>
  <si>
    <t>OR#3265</t>
  </si>
  <si>
    <t>MEAL ALLOWANCE (6 PERSONNEL)</t>
  </si>
  <si>
    <t>PCV#001</t>
  </si>
  <si>
    <t>PETRON GASOLINE STATION</t>
  </si>
  <si>
    <t>SI#12345677791</t>
  </si>
  <si>
    <t>AYALA REALTY (RENTALS FOR THE MONTH OF JUNE)</t>
  </si>
  <si>
    <t>SI#001</t>
  </si>
  <si>
    <t>DEPOSITARY BANK</t>
  </si>
  <si>
    <t>DEPOSIT SLIP(ACCOUNT NUMBER)</t>
  </si>
  <si>
    <t>BALANCE</t>
  </si>
  <si>
    <t>FROM MAIN OFFICE (BUDGET FOR CONSTRUCTION OF CK - STORE)</t>
  </si>
  <si>
    <t>METROBANK</t>
  </si>
  <si>
    <t>CASH COLLECTIONS FROM STORE</t>
  </si>
  <si>
    <t>PALAWAN</t>
  </si>
  <si>
    <t>ZAW-1365465</t>
  </si>
  <si>
    <t>ADVANCE PAYMENTS FROM CK - ORMOC</t>
  </si>
  <si>
    <t>MLLUILHER</t>
  </si>
  <si>
    <t>SCUTS</t>
  </si>
  <si>
    <t>SIOMAI</t>
  </si>
  <si>
    <t>BEGINNING</t>
  </si>
  <si>
    <t>DELIVERY</t>
  </si>
  <si>
    <t>TOTAL AVAILABLE</t>
  </si>
  <si>
    <t>DELIVERIES</t>
  </si>
  <si>
    <t>SPOILAGE</t>
  </si>
  <si>
    <t>ENDING BALANCE</t>
  </si>
  <si>
    <t>ACTUAL</t>
  </si>
  <si>
    <t>IN</t>
  </si>
  <si>
    <t>OUT</t>
  </si>
  <si>
    <t>QTY</t>
  </si>
  <si>
    <t>Total production of the day is 6,000 scuts and 4,000 is delivered to branch (1-4)</t>
  </si>
  <si>
    <t>Total production for the day is 2,500 siomai and 1,500 is delivered to branch 1 - 4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</si>
</sst>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809]d\ mmmm\ yyyy;@"/>
    <numFmt numFmtId="166" formatCode="[$-409]mmmm\ d\,\ yyyy;@"/>
    <numFmt numFmtId="167" formatCode="_(* #,##0_);_(* \(#,##0\);_(* &quot;-&quot;??_);_(@_)"/>
    <numFmt numFmtId="168" formatCode="_(* #,##0.0_);_(* \(#,##0.0\);_(* &quot;-&quot;??.0_);_(@_)"/>
  </numFmts>
  <fonts count="1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left" vertical="center" wrapText="1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164" fontId="0" fillId="0" borderId="1" xfId="1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1" applyFont="1" applyBorder="1" applyAlignment="1">
      <alignment horizontal="center" vertical="center" wrapText="1"/>
    </xf>
    <xf numFmtId="164" fontId="0" fillId="0" borderId="4" xfId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/>
    </xf>
    <xf numFmtId="167" fontId="0" fillId="0" borderId="1" xfId="1" applyNumberFormat="1" applyFont="1" applyBorder="1" applyAlignment="1">
      <alignment vertical="center"/>
    </xf>
    <xf numFmtId="168" fontId="0" fillId="0" borderId="1" xfId="1" applyNumberFormat="1" applyFont="1" applyBorder="1" applyAlignment="1">
      <alignment vertical="center"/>
    </xf>
    <xf numFmtId="167" fontId="0" fillId="0" borderId="1" xfId="1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5" fillId="0" borderId="1" xfId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left" vertical="center"/>
    </xf>
    <xf numFmtId="0" fontId="3" fillId="4" borderId="0" xfId="0" applyFont="1" applyFill="1"/>
    <xf numFmtId="0" fontId="3" fillId="0" borderId="1" xfId="0" applyFont="1" applyBorder="1" applyAlignment="1">
      <alignment horizontal="left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left" vertical="center"/>
    </xf>
    <xf numFmtId="164" fontId="3" fillId="0" borderId="1" xfId="1" applyFont="1" applyFill="1" applyBorder="1" applyAlignment="1">
      <alignment horizontal="center" vertical="center"/>
    </xf>
    <xf numFmtId="0" fontId="5" fillId="4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I13" sqref="I13"/>
    </sheetView>
  </sheetViews>
  <sheetFormatPr defaultColWidth="8.88671875" defaultRowHeight="19.95" customHeight="1"/>
  <cols>
    <col min="1" max="1" width="15.77734375" style="21" customWidth="1"/>
    <col min="2" max="2" width="40.77734375" style="22" customWidth="1"/>
    <col min="3" max="3" width="10.77734375" style="21" customWidth="1"/>
    <col min="4" max="5" width="20.77734375" style="21" customWidth="1"/>
    <col min="6" max="6" width="2.77734375" style="21" customWidth="1"/>
    <col min="7" max="10" width="8.88671875" style="21"/>
    <col min="11" max="11" width="11.44140625" style="21" customWidth="1"/>
    <col min="12" max="16384" width="8.88671875" style="21"/>
  </cols>
  <sheetData>
    <row r="1" spans="1:12" ht="19.9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12" ht="19.95" customHeight="1">
      <c r="A2" s="7">
        <v>45444</v>
      </c>
      <c r="B2" s="24" t="s">
        <v>5</v>
      </c>
      <c r="C2" s="9"/>
      <c r="D2" s="20">
        <v>300000</v>
      </c>
      <c r="E2" s="20"/>
    </row>
    <row r="3" spans="1:12" ht="19.95" customHeight="1">
      <c r="A3" s="7"/>
      <c r="B3" s="24" t="s">
        <v>6</v>
      </c>
      <c r="C3" s="9"/>
      <c r="D3" s="20"/>
      <c r="E3" s="20">
        <v>300000</v>
      </c>
      <c r="G3" s="44" t="s">
        <v>7</v>
      </c>
      <c r="H3" s="45"/>
      <c r="I3" s="45"/>
      <c r="J3" s="45"/>
      <c r="K3" s="45"/>
      <c r="L3" s="45"/>
    </row>
    <row r="4" spans="1:12" ht="28.8">
      <c r="A4" s="7"/>
      <c r="B4" s="46" t="s">
        <v>8</v>
      </c>
      <c r="C4" s="9"/>
      <c r="D4" s="20"/>
      <c r="E4" s="20"/>
      <c r="G4" s="47" t="s">
        <v>9</v>
      </c>
      <c r="H4" s="45"/>
      <c r="I4" s="45"/>
      <c r="J4" s="45"/>
      <c r="K4" s="45"/>
      <c r="L4" s="45"/>
    </row>
    <row r="5" spans="1:12" ht="19.95" customHeight="1">
      <c r="A5" s="7"/>
      <c r="B5" s="18"/>
      <c r="C5" s="9"/>
      <c r="D5" s="20"/>
      <c r="E5" s="20"/>
      <c r="G5" s="47" t="s">
        <v>10</v>
      </c>
      <c r="H5" s="48"/>
      <c r="I5" s="48"/>
      <c r="J5" s="48"/>
      <c r="K5" s="48"/>
      <c r="L5" s="48"/>
    </row>
    <row r="6" spans="1:12" ht="19.95" customHeight="1">
      <c r="A6" s="7"/>
      <c r="B6" s="24" t="s">
        <v>11</v>
      </c>
      <c r="C6" s="9"/>
      <c r="D6" s="20">
        <v>250000</v>
      </c>
      <c r="E6" s="20"/>
    </row>
    <row r="7" spans="1:12" ht="19.95" customHeight="1">
      <c r="A7" s="7"/>
      <c r="B7" s="24" t="s">
        <v>12</v>
      </c>
      <c r="C7" s="9"/>
      <c r="D7" s="20"/>
      <c r="E7" s="20">
        <v>250000</v>
      </c>
    </row>
    <row r="8" spans="1:12" ht="19.95" customHeight="1">
      <c r="A8" s="7"/>
      <c r="B8" s="49" t="s">
        <v>13</v>
      </c>
      <c r="C8" s="9"/>
      <c r="D8" s="20"/>
      <c r="E8" s="20"/>
    </row>
    <row r="9" spans="1:12" ht="19.95" customHeight="1">
      <c r="A9" s="7"/>
      <c r="B9" s="24"/>
      <c r="C9" s="9"/>
      <c r="D9" s="20"/>
      <c r="E9" s="20"/>
    </row>
    <row r="10" spans="1:12" ht="19.95" customHeight="1">
      <c r="A10" s="7"/>
      <c r="B10" s="24" t="s">
        <v>14</v>
      </c>
      <c r="C10" s="9"/>
      <c r="D10" s="20">
        <v>40000</v>
      </c>
      <c r="E10" s="20"/>
    </row>
    <row r="11" spans="1:12" ht="19.95" customHeight="1">
      <c r="A11" s="7"/>
      <c r="B11" s="24" t="s">
        <v>12</v>
      </c>
      <c r="C11" s="9"/>
      <c r="D11" s="20"/>
      <c r="E11" s="20">
        <v>40000</v>
      </c>
    </row>
    <row r="12" spans="1:12" ht="19.95" customHeight="1">
      <c r="A12" s="7"/>
      <c r="B12" s="49" t="s">
        <v>15</v>
      </c>
      <c r="C12" s="9"/>
      <c r="D12" s="20"/>
      <c r="E12" s="20"/>
    </row>
    <row r="13" spans="1:12" ht="19.95" customHeight="1">
      <c r="A13" s="7">
        <v>45445</v>
      </c>
      <c r="B13" s="24"/>
      <c r="C13" s="9"/>
      <c r="D13" s="20"/>
      <c r="E13" s="20"/>
    </row>
    <row r="14" spans="1:12" ht="19.95" customHeight="1">
      <c r="A14" s="7">
        <v>45446</v>
      </c>
      <c r="B14" s="24"/>
      <c r="C14" s="9"/>
      <c r="D14" s="20"/>
      <c r="E14" s="20"/>
    </row>
    <row r="15" spans="1:12" ht="19.95" customHeight="1">
      <c r="A15" s="7">
        <v>45447</v>
      </c>
      <c r="B15" s="24"/>
      <c r="C15" s="9"/>
      <c r="D15" s="20"/>
      <c r="E15" s="20"/>
    </row>
    <row r="16" spans="1:12" ht="19.95" customHeight="1">
      <c r="A16" s="7">
        <v>45448</v>
      </c>
      <c r="B16" s="24"/>
      <c r="C16" s="9"/>
      <c r="D16" s="20"/>
      <c r="E16" s="20"/>
    </row>
    <row r="17" spans="1:5" ht="19.95" customHeight="1">
      <c r="A17" s="7">
        <v>45449</v>
      </c>
      <c r="B17" s="24"/>
      <c r="C17" s="9"/>
      <c r="D17" s="20"/>
      <c r="E17" s="20"/>
    </row>
    <row r="18" spans="1:5" ht="19.95" customHeight="1">
      <c r="A18" s="7">
        <v>45450</v>
      </c>
      <c r="B18" s="24"/>
      <c r="C18" s="9"/>
      <c r="D18" s="20"/>
      <c r="E18" s="20"/>
    </row>
    <row r="19" spans="1:5" ht="19.95" customHeight="1">
      <c r="A19" s="7">
        <v>45451</v>
      </c>
      <c r="B19" s="24"/>
      <c r="C19" s="9"/>
      <c r="D19" s="20"/>
      <c r="E19" s="20"/>
    </row>
    <row r="20" spans="1:5" ht="19.95" customHeight="1">
      <c r="A20" s="7">
        <v>45452</v>
      </c>
      <c r="B20" s="24"/>
      <c r="C20" s="9"/>
      <c r="D20" s="20"/>
      <c r="E20" s="20"/>
    </row>
    <row r="21" spans="1:5" ht="19.95" customHeight="1">
      <c r="A21" s="7">
        <v>45453</v>
      </c>
      <c r="B21" s="24"/>
      <c r="C21" s="9"/>
      <c r="D21" s="20"/>
      <c r="E21" s="20"/>
    </row>
    <row r="22" spans="1:5" ht="19.95" customHeight="1">
      <c r="A22" s="7">
        <v>45454</v>
      </c>
      <c r="B22" s="24"/>
      <c r="C22" s="9"/>
      <c r="D22" s="20"/>
      <c r="E22" s="20"/>
    </row>
    <row r="23" spans="1:5" ht="19.95" customHeight="1">
      <c r="A23" s="7">
        <v>45455</v>
      </c>
      <c r="B23" s="24"/>
      <c r="C23" s="9"/>
      <c r="D23" s="20"/>
      <c r="E23" s="20"/>
    </row>
    <row r="24" spans="1:5" ht="19.95" customHeight="1">
      <c r="A24" s="7">
        <v>45456</v>
      </c>
      <c r="B24" s="24"/>
      <c r="C24" s="9"/>
      <c r="D24" s="20"/>
      <c r="E24" s="20"/>
    </row>
    <row r="25" spans="1:5" ht="19.95" customHeight="1">
      <c r="A25" s="9"/>
      <c r="B25" s="24"/>
      <c r="C25" s="9"/>
      <c r="D25" s="20"/>
      <c r="E25" s="20"/>
    </row>
    <row r="26" spans="1:5" ht="19.95" customHeight="1">
      <c r="A26" s="9"/>
      <c r="B26" s="24"/>
      <c r="C26" s="9"/>
      <c r="D26" s="20"/>
      <c r="E26" s="20"/>
    </row>
    <row r="27" spans="1:5" ht="19.95" customHeight="1">
      <c r="A27" s="9"/>
      <c r="B27" s="24"/>
      <c r="C27" s="9"/>
      <c r="D27" s="20"/>
      <c r="E27" s="20"/>
    </row>
    <row r="28" spans="1:5" ht="19.95" customHeight="1">
      <c r="A28" s="9"/>
      <c r="B28" s="24"/>
      <c r="C28" s="9"/>
      <c r="D28" s="20"/>
      <c r="E28" s="20"/>
    </row>
    <row r="29" spans="1:5" ht="19.95" customHeight="1">
      <c r="A29" s="9"/>
      <c r="B29" s="24"/>
      <c r="C29" s="9"/>
      <c r="D29" s="20"/>
      <c r="E29" s="20"/>
    </row>
    <row r="30" spans="1:5" ht="19.95" customHeight="1">
      <c r="A30" s="9"/>
      <c r="B30" s="24"/>
      <c r="C30" s="9"/>
      <c r="D30" s="20"/>
      <c r="E30" s="20"/>
    </row>
    <row r="31" spans="1:5" ht="19.95" customHeight="1">
      <c r="A31" s="9"/>
      <c r="B31" s="24"/>
      <c r="C31" s="9"/>
      <c r="D31" s="20"/>
      <c r="E31" s="20"/>
    </row>
    <row r="32" spans="1:5" ht="19.95" customHeight="1">
      <c r="A32" s="9"/>
      <c r="B32" s="24"/>
      <c r="C32" s="9"/>
      <c r="D32" s="20"/>
      <c r="E32" s="20"/>
    </row>
    <row r="33" spans="1:5" ht="19.95" customHeight="1">
      <c r="A33" s="9"/>
      <c r="B33" s="24"/>
      <c r="C33" s="9"/>
      <c r="D33" s="20"/>
      <c r="E33" s="20"/>
    </row>
    <row r="34" spans="1:5" ht="19.95" customHeight="1">
      <c r="A34" s="9"/>
      <c r="B34" s="24"/>
      <c r="C34" s="9"/>
      <c r="D34" s="20"/>
      <c r="E34" s="20"/>
    </row>
    <row r="35" spans="1:5" ht="19.95" customHeight="1">
      <c r="A35" s="9"/>
      <c r="B35" s="24"/>
      <c r="C35" s="9"/>
      <c r="D35" s="20"/>
      <c r="E35" s="20"/>
    </row>
    <row r="36" spans="1:5" ht="19.95" customHeight="1">
      <c r="A36" s="9"/>
      <c r="B36" s="24"/>
      <c r="C36" s="9"/>
      <c r="D36" s="20"/>
      <c r="E36" s="20"/>
    </row>
    <row r="37" spans="1:5" ht="19.95" customHeight="1">
      <c r="A37" s="9"/>
      <c r="B37" s="24"/>
      <c r="C37" s="9"/>
      <c r="D37" s="20"/>
      <c r="E37" s="20"/>
    </row>
    <row r="38" spans="1:5" ht="19.95" customHeight="1">
      <c r="A38" s="9"/>
      <c r="B38" s="24"/>
      <c r="C38" s="9"/>
      <c r="D38" s="20"/>
      <c r="E38" s="20"/>
    </row>
    <row r="39" spans="1:5" ht="19.95" customHeight="1">
      <c r="A39" s="9"/>
      <c r="B39" s="24"/>
      <c r="C39" s="9"/>
      <c r="D39" s="20"/>
      <c r="E39" s="20"/>
    </row>
    <row r="40" spans="1:5" ht="19.95" customHeight="1">
      <c r="A40" s="9"/>
      <c r="B40" s="24"/>
      <c r="C40" s="9"/>
      <c r="D40" s="20"/>
      <c r="E40" s="20"/>
    </row>
    <row r="41" spans="1:5" ht="19.95" customHeight="1">
      <c r="A41" s="9"/>
      <c r="B41" s="24"/>
      <c r="C41" s="9"/>
      <c r="D41" s="20"/>
      <c r="E41" s="20"/>
    </row>
    <row r="42" spans="1:5" ht="19.95" customHeight="1">
      <c r="A42" s="9"/>
      <c r="B42" s="24"/>
      <c r="C42" s="9"/>
      <c r="D42" s="20"/>
      <c r="E42" s="20"/>
    </row>
    <row r="43" spans="1:5" ht="19.95" customHeight="1">
      <c r="A43" s="9"/>
      <c r="B43" s="24"/>
      <c r="C43" s="9"/>
      <c r="D43" s="20"/>
      <c r="E43" s="20"/>
    </row>
    <row r="44" spans="1:5" ht="19.95" customHeight="1">
      <c r="A44" s="9"/>
      <c r="B44" s="24"/>
      <c r="C44" s="9"/>
      <c r="D44" s="20"/>
      <c r="E44" s="20"/>
    </row>
    <row r="45" spans="1:5" ht="19.95" customHeight="1">
      <c r="A45" s="9"/>
      <c r="B45" s="24"/>
      <c r="C45" s="9"/>
      <c r="D45" s="20"/>
      <c r="E45" s="20"/>
    </row>
    <row r="46" spans="1:5" ht="19.95" customHeight="1">
      <c r="A46" s="9"/>
      <c r="B46" s="24"/>
      <c r="C46" s="9"/>
      <c r="D46" s="20"/>
      <c r="E46" s="20"/>
    </row>
    <row r="47" spans="1:5" ht="19.95" customHeight="1">
      <c r="A47" s="9"/>
      <c r="B47" s="24"/>
      <c r="C47" s="9"/>
      <c r="D47" s="9"/>
      <c r="E47" s="9"/>
    </row>
    <row r="48" spans="1:5" ht="19.95" customHeight="1">
      <c r="A48" s="9"/>
      <c r="B48" s="24"/>
      <c r="C48" s="9"/>
      <c r="D48" s="9"/>
      <c r="E48" s="9"/>
    </row>
    <row r="49" spans="1:5" ht="19.95" customHeight="1">
      <c r="A49" s="9"/>
      <c r="B49" s="24"/>
      <c r="C49" s="9"/>
      <c r="D49" s="9"/>
      <c r="E49" s="9"/>
    </row>
    <row r="50" spans="1:5" ht="19.95" customHeight="1">
      <c r="A50" s="9"/>
      <c r="B50" s="24"/>
      <c r="C50" s="9"/>
      <c r="D50" s="9"/>
      <c r="E50" s="9"/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opLeftCell="A22" workbookViewId="0">
      <selection activeCell="B4" sqref="B4"/>
    </sheetView>
  </sheetViews>
  <sheetFormatPr defaultColWidth="8.88671875" defaultRowHeight="19.95" customHeight="1"/>
  <cols>
    <col min="1" max="1" width="20.77734375" style="42" customWidth="1"/>
    <col min="2" max="2" width="38.44140625" style="43" customWidth="1"/>
    <col min="3" max="3" width="20.77734375" style="42" customWidth="1"/>
    <col min="4" max="4" width="15.44140625" style="42" customWidth="1"/>
    <col min="5" max="5" width="16.6640625" style="42" customWidth="1"/>
    <col min="6" max="6" width="22.6640625" style="42" customWidth="1"/>
    <col min="7" max="8" width="8.88671875" style="42"/>
    <col min="9" max="9" width="16.33203125" style="42" customWidth="1"/>
    <col min="10" max="16384" width="8.88671875" style="42"/>
  </cols>
  <sheetData>
    <row r="1" spans="1:9" ht="19.95" customHeight="1">
      <c r="A1" s="51" t="s">
        <v>16</v>
      </c>
      <c r="B1" s="51"/>
      <c r="C1" s="51"/>
      <c r="D1" s="51"/>
      <c r="E1" s="51"/>
      <c r="F1" s="51"/>
    </row>
    <row r="2" spans="1:9" ht="19.95" customHeight="1">
      <c r="A2" s="32" t="s">
        <v>0</v>
      </c>
      <c r="B2" s="32" t="s">
        <v>17</v>
      </c>
      <c r="C2" s="32" t="s">
        <v>18</v>
      </c>
      <c r="D2" s="32" t="s">
        <v>19</v>
      </c>
      <c r="E2" s="32" t="s">
        <v>20</v>
      </c>
      <c r="F2" s="32" t="s">
        <v>21</v>
      </c>
      <c r="H2" s="36" t="s">
        <v>22</v>
      </c>
      <c r="I2" s="41"/>
    </row>
    <row r="3" spans="1:9" ht="19.95" customHeight="1">
      <c r="A3" s="3" t="s">
        <v>23</v>
      </c>
      <c r="B3" s="33"/>
      <c r="C3" s="3"/>
      <c r="D3" s="34"/>
      <c r="E3" s="34"/>
      <c r="F3" s="34">
        <v>200000</v>
      </c>
      <c r="H3" s="52" t="s">
        <v>24</v>
      </c>
      <c r="I3" s="52"/>
    </row>
    <row r="4" spans="1:9" ht="19.95" customHeight="1">
      <c r="A4" s="7">
        <v>45444</v>
      </c>
      <c r="B4" s="35" t="s">
        <v>25</v>
      </c>
      <c r="C4" s="50" t="s">
        <v>26</v>
      </c>
      <c r="D4" s="34">
        <v>50000</v>
      </c>
      <c r="E4" s="34"/>
      <c r="F4" s="34">
        <f>SUM(F3+D4-E4)</f>
        <v>250000</v>
      </c>
    </row>
    <row r="5" spans="1:9" ht="19.95" customHeight="1">
      <c r="A5" s="7">
        <v>45445</v>
      </c>
      <c r="B5" s="35" t="s">
        <v>27</v>
      </c>
      <c r="C5" s="4"/>
      <c r="D5" s="34"/>
      <c r="E5" s="34">
        <v>150000</v>
      </c>
      <c r="F5" s="34">
        <f>SUM(F4+D5-E5)</f>
        <v>100000</v>
      </c>
    </row>
    <row r="6" spans="1:9" ht="19.95" customHeight="1">
      <c r="A6" s="7">
        <v>45446</v>
      </c>
      <c r="B6" s="35" t="s">
        <v>25</v>
      </c>
      <c r="C6" s="50" t="s">
        <v>28</v>
      </c>
      <c r="D6" s="34">
        <v>60000</v>
      </c>
      <c r="E6" s="34"/>
      <c r="F6" s="34">
        <f t="shared" ref="F6:F30" si="0">SUM(F5+D6-E6)</f>
        <v>160000</v>
      </c>
    </row>
    <row r="7" spans="1:9" ht="19.95" customHeight="1">
      <c r="A7" s="7">
        <v>45447</v>
      </c>
      <c r="B7" s="35" t="s">
        <v>29</v>
      </c>
      <c r="C7" s="4"/>
      <c r="D7" s="34"/>
      <c r="E7" s="34">
        <v>100000</v>
      </c>
      <c r="F7" s="34">
        <f t="shared" si="0"/>
        <v>60000</v>
      </c>
    </row>
    <row r="8" spans="1:9" ht="19.95" customHeight="1">
      <c r="A8" s="7">
        <v>45447</v>
      </c>
      <c r="B8" s="35" t="s">
        <v>25</v>
      </c>
      <c r="C8" s="50" t="s">
        <v>30</v>
      </c>
      <c r="D8" s="34">
        <v>50000</v>
      </c>
      <c r="E8" s="34"/>
      <c r="F8" s="34">
        <f t="shared" si="0"/>
        <v>110000</v>
      </c>
    </row>
    <row r="9" spans="1:9" ht="19.95" customHeight="1">
      <c r="A9" s="7">
        <v>45448</v>
      </c>
      <c r="B9" s="37"/>
      <c r="C9" s="4"/>
      <c r="D9" s="34"/>
      <c r="E9" s="34"/>
      <c r="F9" s="34">
        <f t="shared" si="0"/>
        <v>110000</v>
      </c>
    </row>
    <row r="10" spans="1:9" ht="19.95" customHeight="1">
      <c r="A10" s="7">
        <v>45449</v>
      </c>
      <c r="B10" s="37"/>
      <c r="C10" s="4"/>
      <c r="D10" s="34"/>
      <c r="E10" s="34"/>
      <c r="F10" s="34">
        <f t="shared" si="0"/>
        <v>110000</v>
      </c>
    </row>
    <row r="11" spans="1:9" ht="19.95" customHeight="1">
      <c r="A11" s="7">
        <v>45450</v>
      </c>
      <c r="B11" s="37"/>
      <c r="C11" s="4"/>
      <c r="D11" s="34"/>
      <c r="E11" s="34"/>
      <c r="F11" s="34">
        <f t="shared" si="0"/>
        <v>110000</v>
      </c>
    </row>
    <row r="12" spans="1:9" ht="19.95" customHeight="1">
      <c r="A12" s="7">
        <v>45451</v>
      </c>
      <c r="B12" s="37"/>
      <c r="C12" s="4"/>
      <c r="D12" s="34"/>
      <c r="E12" s="34"/>
      <c r="F12" s="34">
        <f t="shared" si="0"/>
        <v>110000</v>
      </c>
    </row>
    <row r="13" spans="1:9" ht="19.95" customHeight="1">
      <c r="A13" s="7">
        <v>45452</v>
      </c>
      <c r="B13" s="37"/>
      <c r="C13" s="4"/>
      <c r="D13" s="34"/>
      <c r="E13" s="34"/>
      <c r="F13" s="34">
        <f t="shared" si="0"/>
        <v>110000</v>
      </c>
    </row>
    <row r="14" spans="1:9" ht="19.95" customHeight="1">
      <c r="A14" s="7">
        <v>45453</v>
      </c>
      <c r="B14" s="37"/>
      <c r="C14" s="4"/>
      <c r="D14" s="34"/>
      <c r="E14" s="34"/>
      <c r="F14" s="34">
        <f t="shared" si="0"/>
        <v>110000</v>
      </c>
    </row>
    <row r="15" spans="1:9" ht="19.95" customHeight="1">
      <c r="A15" s="7">
        <v>45454</v>
      </c>
      <c r="B15" s="37"/>
      <c r="C15" s="4"/>
      <c r="D15" s="34"/>
      <c r="E15" s="34"/>
      <c r="F15" s="34">
        <f t="shared" si="0"/>
        <v>110000</v>
      </c>
    </row>
    <row r="16" spans="1:9" ht="19.95" customHeight="1">
      <c r="A16" s="7">
        <v>45455</v>
      </c>
      <c r="B16" s="37"/>
      <c r="C16" s="4"/>
      <c r="D16" s="34"/>
      <c r="E16" s="34"/>
      <c r="F16" s="34">
        <f t="shared" si="0"/>
        <v>110000</v>
      </c>
    </row>
    <row r="17" spans="1:6" ht="19.95" customHeight="1">
      <c r="A17" s="7">
        <v>45456</v>
      </c>
      <c r="B17" s="37"/>
      <c r="C17" s="4"/>
      <c r="D17" s="34"/>
      <c r="E17" s="34"/>
      <c r="F17" s="34">
        <f t="shared" si="0"/>
        <v>110000</v>
      </c>
    </row>
    <row r="18" spans="1:6" ht="19.95" customHeight="1">
      <c r="A18" s="7">
        <v>45457</v>
      </c>
      <c r="B18" s="37"/>
      <c r="C18" s="4"/>
      <c r="D18" s="34"/>
      <c r="E18" s="34"/>
      <c r="F18" s="34">
        <f t="shared" si="0"/>
        <v>110000</v>
      </c>
    </row>
    <row r="19" spans="1:6" ht="19.95" customHeight="1">
      <c r="A19" s="7">
        <v>45458</v>
      </c>
      <c r="B19" s="37"/>
      <c r="C19" s="4"/>
      <c r="D19" s="34"/>
      <c r="E19" s="34"/>
      <c r="F19" s="34">
        <f t="shared" si="0"/>
        <v>110000</v>
      </c>
    </row>
    <row r="20" spans="1:6" ht="19.95" customHeight="1">
      <c r="A20" s="7">
        <v>45459</v>
      </c>
      <c r="B20" s="37"/>
      <c r="C20" s="4"/>
      <c r="D20" s="34"/>
      <c r="E20" s="34"/>
      <c r="F20" s="34">
        <f t="shared" si="0"/>
        <v>110000</v>
      </c>
    </row>
    <row r="21" spans="1:6" ht="19.95" customHeight="1">
      <c r="A21" s="7">
        <v>45460</v>
      </c>
      <c r="B21" s="37"/>
      <c r="C21" s="4"/>
      <c r="D21" s="34"/>
      <c r="E21" s="34"/>
      <c r="F21" s="34">
        <f t="shared" si="0"/>
        <v>110000</v>
      </c>
    </row>
    <row r="22" spans="1:6" ht="19.95" customHeight="1">
      <c r="A22" s="7">
        <v>45461</v>
      </c>
      <c r="B22" s="37"/>
      <c r="C22" s="4"/>
      <c r="D22" s="34"/>
      <c r="E22" s="34"/>
      <c r="F22" s="34">
        <f t="shared" si="0"/>
        <v>110000</v>
      </c>
    </row>
    <row r="23" spans="1:6" ht="19.95" customHeight="1">
      <c r="A23" s="7">
        <v>45462</v>
      </c>
      <c r="B23" s="37"/>
      <c r="C23" s="4"/>
      <c r="D23" s="34"/>
      <c r="E23" s="34"/>
      <c r="F23" s="34">
        <f t="shared" si="0"/>
        <v>110000</v>
      </c>
    </row>
    <row r="24" spans="1:6" ht="19.95" customHeight="1">
      <c r="A24" s="7">
        <v>45463</v>
      </c>
      <c r="B24" s="37"/>
      <c r="C24" s="4"/>
      <c r="D24" s="34"/>
      <c r="E24" s="34"/>
      <c r="F24" s="34">
        <f t="shared" si="0"/>
        <v>110000</v>
      </c>
    </row>
    <row r="25" spans="1:6" ht="19.95" customHeight="1">
      <c r="A25" s="7">
        <v>45464</v>
      </c>
      <c r="B25" s="37"/>
      <c r="C25" s="4"/>
      <c r="D25" s="34"/>
      <c r="E25" s="34"/>
      <c r="F25" s="34">
        <f t="shared" si="0"/>
        <v>110000</v>
      </c>
    </row>
    <row r="26" spans="1:6" ht="19.95" customHeight="1">
      <c r="A26" s="7">
        <v>45465</v>
      </c>
      <c r="B26" s="37"/>
      <c r="C26" s="4"/>
      <c r="D26" s="34"/>
      <c r="E26" s="34"/>
      <c r="F26" s="34">
        <f t="shared" si="0"/>
        <v>110000</v>
      </c>
    </row>
    <row r="27" spans="1:6" ht="19.95" customHeight="1">
      <c r="A27" s="7">
        <v>45466</v>
      </c>
      <c r="B27" s="37"/>
      <c r="C27" s="4"/>
      <c r="D27" s="34"/>
      <c r="E27" s="34"/>
      <c r="F27" s="34">
        <f t="shared" si="0"/>
        <v>110000</v>
      </c>
    </row>
    <row r="28" spans="1:6" ht="19.95" customHeight="1">
      <c r="A28" s="7">
        <v>45467</v>
      </c>
      <c r="B28" s="37"/>
      <c r="C28" s="4"/>
      <c r="D28" s="34"/>
      <c r="E28" s="34"/>
      <c r="F28" s="34">
        <f t="shared" si="0"/>
        <v>110000</v>
      </c>
    </row>
    <row r="29" spans="1:6" ht="19.95" customHeight="1">
      <c r="A29" s="7">
        <v>45468</v>
      </c>
      <c r="B29" s="37"/>
      <c r="C29" s="4"/>
      <c r="D29" s="34"/>
      <c r="E29" s="34"/>
      <c r="F29" s="34">
        <f t="shared" si="0"/>
        <v>110000</v>
      </c>
    </row>
    <row r="30" spans="1:6" ht="19.95" customHeight="1">
      <c r="A30" s="7">
        <v>45469</v>
      </c>
      <c r="B30" s="37"/>
      <c r="C30" s="4"/>
      <c r="D30" s="34"/>
      <c r="E30" s="34"/>
      <c r="F30" s="34">
        <f t="shared" si="0"/>
        <v>110000</v>
      </c>
    </row>
    <row r="31" spans="1:6" ht="19.95" customHeight="1">
      <c r="A31" s="7">
        <v>45470</v>
      </c>
      <c r="B31" s="37"/>
      <c r="C31" s="4"/>
      <c r="D31" s="34"/>
      <c r="E31" s="34"/>
      <c r="F31" s="34">
        <f t="shared" ref="F31:F34" si="1">SUM(F30+D31-E31)</f>
        <v>110000</v>
      </c>
    </row>
    <row r="32" spans="1:6" ht="19.95" customHeight="1">
      <c r="A32" s="7">
        <v>45471</v>
      </c>
      <c r="B32" s="37"/>
      <c r="C32" s="4"/>
      <c r="D32" s="34"/>
      <c r="E32" s="34"/>
      <c r="F32" s="34">
        <f t="shared" si="1"/>
        <v>110000</v>
      </c>
    </row>
    <row r="33" spans="1:6" ht="19.95" customHeight="1">
      <c r="A33" s="7">
        <v>45472</v>
      </c>
      <c r="B33" s="37"/>
      <c r="C33" s="4"/>
      <c r="D33" s="34"/>
      <c r="E33" s="34"/>
      <c r="F33" s="34">
        <f t="shared" si="1"/>
        <v>110000</v>
      </c>
    </row>
    <row r="34" spans="1:6" ht="19.95" customHeight="1">
      <c r="A34" s="7">
        <v>45473</v>
      </c>
      <c r="B34" s="37"/>
      <c r="C34" s="4"/>
      <c r="D34" s="34"/>
      <c r="E34" s="34"/>
      <c r="F34" s="34">
        <f t="shared" si="1"/>
        <v>110000</v>
      </c>
    </row>
    <row r="35" spans="1:6" ht="19.95" customHeight="1">
      <c r="A35" s="38"/>
      <c r="B35" s="39"/>
      <c r="C35" s="38"/>
      <c r="D35" s="40">
        <f>SUM(D3:D30)</f>
        <v>160000</v>
      </c>
      <c r="E35" s="40">
        <f>SUM(E3:E30)</f>
        <v>250000</v>
      </c>
      <c r="F35" s="40">
        <f>F34</f>
        <v>110000</v>
      </c>
    </row>
  </sheetData>
  <mergeCells count="2">
    <mergeCell ref="A1:F1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workbookViewId="0">
      <selection activeCell="I12" sqref="I12"/>
    </sheetView>
  </sheetViews>
  <sheetFormatPr defaultColWidth="9" defaultRowHeight="19.95" customHeight="1"/>
  <cols>
    <col min="1" max="1" width="17" customWidth="1"/>
    <col min="2" max="2" width="42.88671875" customWidth="1"/>
    <col min="3" max="6" width="20.77734375" customWidth="1"/>
  </cols>
  <sheetData>
    <row r="1" spans="1:9" ht="19.95" customHeight="1">
      <c r="A1" s="51" t="s">
        <v>31</v>
      </c>
      <c r="B1" s="51"/>
      <c r="C1" s="51"/>
      <c r="D1" s="51"/>
      <c r="E1" s="51"/>
      <c r="F1" s="51"/>
    </row>
    <row r="2" spans="1:9" ht="19.95" customHeight="1">
      <c r="A2" s="32" t="s">
        <v>0</v>
      </c>
      <c r="B2" s="32" t="s">
        <v>17</v>
      </c>
      <c r="C2" s="32" t="s">
        <v>18</v>
      </c>
      <c r="D2" s="32" t="s">
        <v>19</v>
      </c>
      <c r="E2" s="32" t="s">
        <v>20</v>
      </c>
      <c r="F2" s="32" t="s">
        <v>21</v>
      </c>
    </row>
    <row r="3" spans="1:9" ht="19.95" customHeight="1">
      <c r="A3" s="3" t="s">
        <v>23</v>
      </c>
      <c r="B3" s="33"/>
      <c r="C3" s="3"/>
      <c r="D3" s="34"/>
      <c r="E3" s="34"/>
      <c r="F3" s="34">
        <v>150000</v>
      </c>
    </row>
    <row r="4" spans="1:9" ht="19.95" customHeight="1">
      <c r="A4" s="7">
        <v>45444</v>
      </c>
      <c r="B4" s="35" t="s">
        <v>32</v>
      </c>
      <c r="C4" s="50" t="s">
        <v>33</v>
      </c>
      <c r="E4" s="34">
        <v>450000</v>
      </c>
      <c r="F4" s="34">
        <f>SUM(F3-D4+E4)</f>
        <v>600000</v>
      </c>
    </row>
    <row r="5" spans="1:9" ht="19.95" customHeight="1">
      <c r="A5" s="7">
        <v>45445</v>
      </c>
      <c r="B5" s="35" t="s">
        <v>34</v>
      </c>
      <c r="C5" s="4"/>
      <c r="D5" s="34">
        <v>450000</v>
      </c>
      <c r="F5" s="34">
        <f t="shared" ref="F5:F34" si="0">SUM(F4-D5+E5)</f>
        <v>150000</v>
      </c>
    </row>
    <row r="6" spans="1:9" ht="19.95" customHeight="1">
      <c r="A6" s="7">
        <v>45446</v>
      </c>
      <c r="B6" s="35"/>
      <c r="C6" s="4"/>
      <c r="D6" s="34"/>
      <c r="E6" s="34"/>
      <c r="F6" s="34">
        <f t="shared" si="0"/>
        <v>150000</v>
      </c>
      <c r="H6" s="36" t="s">
        <v>22</v>
      </c>
      <c r="I6" s="41"/>
    </row>
    <row r="7" spans="1:9" ht="19.95" customHeight="1">
      <c r="A7" s="7">
        <v>45447</v>
      </c>
      <c r="B7" s="35"/>
      <c r="C7" s="4"/>
      <c r="D7" s="34"/>
      <c r="E7" s="34"/>
      <c r="F7" s="34">
        <f t="shared" si="0"/>
        <v>150000</v>
      </c>
      <c r="H7" s="52" t="s">
        <v>35</v>
      </c>
      <c r="I7" s="52"/>
    </row>
    <row r="8" spans="1:9" ht="19.95" customHeight="1">
      <c r="A8" s="7">
        <v>45447</v>
      </c>
      <c r="B8" s="35"/>
      <c r="C8" s="4"/>
      <c r="D8" s="34"/>
      <c r="E8" s="34"/>
      <c r="F8" s="34">
        <f t="shared" si="0"/>
        <v>150000</v>
      </c>
    </row>
    <row r="9" spans="1:9" ht="19.95" customHeight="1">
      <c r="A9" s="7">
        <v>45448</v>
      </c>
      <c r="B9" s="37"/>
      <c r="C9" s="4"/>
      <c r="D9" s="34"/>
      <c r="E9" s="34"/>
      <c r="F9" s="34">
        <f t="shared" si="0"/>
        <v>150000</v>
      </c>
    </row>
    <row r="10" spans="1:9" ht="19.95" customHeight="1">
      <c r="A10" s="7">
        <v>45449</v>
      </c>
      <c r="B10" s="37"/>
      <c r="C10" s="4"/>
      <c r="D10" s="34"/>
      <c r="E10" s="34"/>
      <c r="F10" s="34">
        <f t="shared" si="0"/>
        <v>150000</v>
      </c>
    </row>
    <row r="11" spans="1:9" ht="19.95" customHeight="1">
      <c r="A11" s="7">
        <v>45450</v>
      </c>
      <c r="B11" s="37"/>
      <c r="C11" s="4"/>
      <c r="D11" s="34"/>
      <c r="E11" s="34"/>
      <c r="F11" s="34">
        <f t="shared" si="0"/>
        <v>150000</v>
      </c>
    </row>
    <row r="12" spans="1:9" ht="19.95" customHeight="1">
      <c r="A12" s="7">
        <v>45451</v>
      </c>
      <c r="B12" s="37"/>
      <c r="C12" s="4"/>
      <c r="D12" s="34"/>
      <c r="E12" s="34"/>
      <c r="F12" s="34">
        <f t="shared" si="0"/>
        <v>150000</v>
      </c>
    </row>
    <row r="13" spans="1:9" ht="19.95" customHeight="1">
      <c r="A13" s="7">
        <v>45452</v>
      </c>
      <c r="B13" s="37"/>
      <c r="C13" s="4"/>
      <c r="D13" s="34"/>
      <c r="E13" s="34"/>
      <c r="F13" s="34">
        <f t="shared" si="0"/>
        <v>150000</v>
      </c>
    </row>
    <row r="14" spans="1:9" ht="19.95" customHeight="1">
      <c r="A14" s="7">
        <v>45453</v>
      </c>
      <c r="B14" s="37"/>
      <c r="C14" s="4"/>
      <c r="D14" s="34"/>
      <c r="E14" s="34"/>
      <c r="F14" s="34">
        <f t="shared" si="0"/>
        <v>150000</v>
      </c>
    </row>
    <row r="15" spans="1:9" ht="19.95" customHeight="1">
      <c r="A15" s="7">
        <v>45454</v>
      </c>
      <c r="B15" s="37"/>
      <c r="C15" s="4"/>
      <c r="D15" s="34"/>
      <c r="E15" s="34"/>
      <c r="F15" s="34">
        <f t="shared" si="0"/>
        <v>150000</v>
      </c>
    </row>
    <row r="16" spans="1:9" ht="19.95" customHeight="1">
      <c r="A16" s="7">
        <v>45455</v>
      </c>
      <c r="B16" s="37"/>
      <c r="C16" s="4"/>
      <c r="D16" s="34"/>
      <c r="E16" s="34"/>
      <c r="F16" s="34">
        <f t="shared" si="0"/>
        <v>150000</v>
      </c>
    </row>
    <row r="17" spans="1:6" ht="19.95" customHeight="1">
      <c r="A17" s="7">
        <v>45456</v>
      </c>
      <c r="B17" s="37"/>
      <c r="C17" s="4"/>
      <c r="D17" s="34"/>
      <c r="E17" s="34"/>
      <c r="F17" s="34">
        <f t="shared" si="0"/>
        <v>150000</v>
      </c>
    </row>
    <row r="18" spans="1:6" ht="19.95" customHeight="1">
      <c r="A18" s="7">
        <v>45457</v>
      </c>
      <c r="B18" s="37"/>
      <c r="C18" s="4"/>
      <c r="D18" s="34"/>
      <c r="E18" s="34"/>
      <c r="F18" s="34">
        <f t="shared" si="0"/>
        <v>150000</v>
      </c>
    </row>
    <row r="19" spans="1:6" ht="19.95" customHeight="1">
      <c r="A19" s="7">
        <v>45458</v>
      </c>
      <c r="B19" s="37"/>
      <c r="C19" s="4"/>
      <c r="D19" s="34"/>
      <c r="E19" s="34"/>
      <c r="F19" s="34">
        <f t="shared" si="0"/>
        <v>150000</v>
      </c>
    </row>
    <row r="20" spans="1:6" ht="19.95" customHeight="1">
      <c r="A20" s="7">
        <v>45459</v>
      </c>
      <c r="B20" s="37"/>
      <c r="C20" s="4"/>
      <c r="D20" s="34"/>
      <c r="E20" s="34"/>
      <c r="F20" s="34">
        <f t="shared" si="0"/>
        <v>150000</v>
      </c>
    </row>
    <row r="21" spans="1:6" ht="19.95" customHeight="1">
      <c r="A21" s="7">
        <v>45460</v>
      </c>
      <c r="B21" s="37"/>
      <c r="C21" s="4"/>
      <c r="D21" s="34"/>
      <c r="E21" s="34"/>
      <c r="F21" s="34">
        <f t="shared" si="0"/>
        <v>150000</v>
      </c>
    </row>
    <row r="22" spans="1:6" ht="19.95" customHeight="1">
      <c r="A22" s="7">
        <v>45461</v>
      </c>
      <c r="B22" s="37"/>
      <c r="C22" s="4"/>
      <c r="D22" s="34"/>
      <c r="E22" s="34"/>
      <c r="F22" s="34">
        <f t="shared" si="0"/>
        <v>150000</v>
      </c>
    </row>
    <row r="23" spans="1:6" ht="19.95" customHeight="1">
      <c r="A23" s="7">
        <v>45462</v>
      </c>
      <c r="B23" s="37"/>
      <c r="C23" s="4"/>
      <c r="D23" s="34"/>
      <c r="E23" s="34"/>
      <c r="F23" s="34">
        <f t="shared" si="0"/>
        <v>150000</v>
      </c>
    </row>
    <row r="24" spans="1:6" ht="19.95" customHeight="1">
      <c r="A24" s="7">
        <v>45463</v>
      </c>
      <c r="B24" s="37"/>
      <c r="C24" s="4"/>
      <c r="D24" s="34"/>
      <c r="E24" s="34"/>
      <c r="F24" s="34">
        <f t="shared" si="0"/>
        <v>150000</v>
      </c>
    </row>
    <row r="25" spans="1:6" ht="19.95" customHeight="1">
      <c r="A25" s="7">
        <v>45464</v>
      </c>
      <c r="B25" s="37"/>
      <c r="C25" s="4"/>
      <c r="D25" s="34"/>
      <c r="E25" s="34"/>
      <c r="F25" s="34">
        <f t="shared" si="0"/>
        <v>150000</v>
      </c>
    </row>
    <row r="26" spans="1:6" ht="19.95" customHeight="1">
      <c r="A26" s="7">
        <v>45465</v>
      </c>
      <c r="B26" s="37"/>
      <c r="C26" s="4"/>
      <c r="D26" s="34"/>
      <c r="E26" s="34"/>
      <c r="F26" s="34">
        <f t="shared" si="0"/>
        <v>150000</v>
      </c>
    </row>
    <row r="27" spans="1:6" ht="19.95" customHeight="1">
      <c r="A27" s="7">
        <v>45466</v>
      </c>
      <c r="B27" s="37"/>
      <c r="C27" s="4"/>
      <c r="D27" s="34"/>
      <c r="E27" s="34"/>
      <c r="F27" s="34">
        <f t="shared" si="0"/>
        <v>150000</v>
      </c>
    </row>
    <row r="28" spans="1:6" ht="19.95" customHeight="1">
      <c r="A28" s="7">
        <v>45467</v>
      </c>
      <c r="B28" s="37"/>
      <c r="C28" s="4"/>
      <c r="D28" s="34"/>
      <c r="E28" s="34"/>
      <c r="F28" s="34">
        <f t="shared" si="0"/>
        <v>150000</v>
      </c>
    </row>
    <row r="29" spans="1:6" ht="19.95" customHeight="1">
      <c r="A29" s="7">
        <v>45468</v>
      </c>
      <c r="B29" s="37"/>
      <c r="C29" s="4"/>
      <c r="D29" s="34"/>
      <c r="E29" s="34"/>
      <c r="F29" s="34">
        <f t="shared" si="0"/>
        <v>150000</v>
      </c>
    </row>
    <row r="30" spans="1:6" ht="19.95" customHeight="1">
      <c r="A30" s="7">
        <v>45469</v>
      </c>
      <c r="B30" s="37"/>
      <c r="C30" s="4"/>
      <c r="D30" s="34"/>
      <c r="E30" s="34"/>
      <c r="F30" s="34">
        <f t="shared" si="0"/>
        <v>150000</v>
      </c>
    </row>
    <row r="31" spans="1:6" ht="19.95" customHeight="1">
      <c r="A31" s="7">
        <v>45470</v>
      </c>
      <c r="B31" s="37"/>
      <c r="C31" s="4"/>
      <c r="D31" s="34"/>
      <c r="E31" s="34"/>
      <c r="F31" s="34">
        <f t="shared" si="0"/>
        <v>150000</v>
      </c>
    </row>
    <row r="32" spans="1:6" ht="19.95" customHeight="1">
      <c r="A32" s="7">
        <v>45471</v>
      </c>
      <c r="B32" s="37"/>
      <c r="C32" s="4"/>
      <c r="D32" s="34"/>
      <c r="E32" s="34"/>
      <c r="F32" s="34">
        <f t="shared" si="0"/>
        <v>150000</v>
      </c>
    </row>
    <row r="33" spans="1:6" ht="19.95" customHeight="1">
      <c r="A33" s="7">
        <v>45472</v>
      </c>
      <c r="B33" s="37"/>
      <c r="C33" s="4"/>
      <c r="D33" s="34"/>
      <c r="E33" s="34"/>
      <c r="F33" s="34">
        <f t="shared" si="0"/>
        <v>150000</v>
      </c>
    </row>
    <row r="34" spans="1:6" ht="19.95" customHeight="1">
      <c r="A34" s="7">
        <v>45473</v>
      </c>
      <c r="B34" s="37"/>
      <c r="C34" s="4"/>
      <c r="D34" s="34"/>
      <c r="E34" s="34"/>
      <c r="F34" s="34">
        <f t="shared" si="0"/>
        <v>150000</v>
      </c>
    </row>
    <row r="35" spans="1:6" ht="19.95" customHeight="1">
      <c r="A35" s="38"/>
      <c r="B35" s="39"/>
      <c r="C35" s="38"/>
      <c r="D35" s="40">
        <f>SUM(D3:D30)</f>
        <v>450000</v>
      </c>
      <c r="E35" s="40">
        <f>SUM(E3:E30)</f>
        <v>450000</v>
      </c>
      <c r="F35" s="40">
        <f>F34</f>
        <v>150000</v>
      </c>
    </row>
  </sheetData>
  <mergeCells count="2">
    <mergeCell ref="A1:F1"/>
    <mergeCell ref="H7:I7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tabSelected="1" workbookViewId="0">
      <selection activeCell="M16" sqref="M16"/>
    </sheetView>
  </sheetViews>
  <sheetFormatPr defaultColWidth="8.88671875" defaultRowHeight="19.95" customHeight="1"/>
  <cols>
    <col min="1" max="1" width="14.88671875" style="27" customWidth="1"/>
    <col min="2" max="2" width="33.88671875" style="21" customWidth="1"/>
    <col min="3" max="3" width="20.77734375" style="21" customWidth="1"/>
    <col min="4" max="4" width="17" style="21" customWidth="1"/>
    <col min="5" max="16384" width="8.88671875" style="21"/>
  </cols>
  <sheetData>
    <row r="1" spans="1:5" ht="19.95" customHeight="1">
      <c r="A1" s="28" t="s">
        <v>36</v>
      </c>
      <c r="B1" s="12" t="s">
        <v>1</v>
      </c>
      <c r="C1" s="12" t="s">
        <v>18</v>
      </c>
      <c r="D1" s="12" t="s">
        <v>37</v>
      </c>
    </row>
    <row r="2" spans="1:5" ht="19.95" customHeight="1">
      <c r="A2" s="7">
        <v>45444</v>
      </c>
      <c r="B2" s="9" t="s">
        <v>38</v>
      </c>
      <c r="C2" s="9">
        <v>10010</v>
      </c>
      <c r="D2" s="20">
        <v>48675</v>
      </c>
    </row>
    <row r="3" spans="1:5" ht="19.95" customHeight="1">
      <c r="A3" s="7"/>
      <c r="B3" s="9" t="s">
        <v>39</v>
      </c>
      <c r="C3" s="9">
        <v>10011</v>
      </c>
      <c r="D3" s="20">
        <v>50000</v>
      </c>
      <c r="E3" s="22"/>
    </row>
    <row r="4" spans="1:5" ht="19.95" customHeight="1">
      <c r="A4" s="7"/>
      <c r="B4" s="9" t="s">
        <v>40</v>
      </c>
      <c r="C4" s="9">
        <v>10012</v>
      </c>
      <c r="D4" s="20">
        <v>50000</v>
      </c>
    </row>
    <row r="5" spans="1:5" ht="19.95" customHeight="1">
      <c r="A5" s="7"/>
      <c r="B5" s="9" t="s">
        <v>41</v>
      </c>
      <c r="C5" s="9">
        <v>10013</v>
      </c>
      <c r="D5" s="20">
        <v>48650</v>
      </c>
    </row>
    <row r="6" spans="1:5" ht="19.95" customHeight="1">
      <c r="A6" s="7"/>
      <c r="B6" s="9" t="s">
        <v>42</v>
      </c>
      <c r="C6" s="9">
        <v>10014</v>
      </c>
      <c r="D6" s="20">
        <v>49000</v>
      </c>
    </row>
    <row r="7" spans="1:5" ht="19.95" customHeight="1">
      <c r="A7" s="7"/>
      <c r="B7" s="9" t="s">
        <v>43</v>
      </c>
      <c r="C7" s="9">
        <v>10015</v>
      </c>
      <c r="D7" s="20">
        <v>40000</v>
      </c>
    </row>
    <row r="8" spans="1:5" ht="19.95" customHeight="1">
      <c r="A8" s="7"/>
      <c r="B8" s="9" t="s">
        <v>44</v>
      </c>
      <c r="C8" s="9" t="s">
        <v>45</v>
      </c>
      <c r="D8" s="20">
        <v>39650</v>
      </c>
    </row>
    <row r="9" spans="1:5" ht="19.95" customHeight="1">
      <c r="A9" s="7">
        <v>45445</v>
      </c>
      <c r="B9" s="9"/>
      <c r="C9" s="9"/>
      <c r="D9" s="9"/>
    </row>
    <row r="10" spans="1:5" ht="19.95" customHeight="1">
      <c r="A10" s="7">
        <v>45446</v>
      </c>
      <c r="B10" s="9"/>
      <c r="C10" s="9"/>
      <c r="D10" s="9"/>
    </row>
    <row r="11" spans="1:5" ht="19.95" customHeight="1">
      <c r="A11" s="7">
        <v>45447</v>
      </c>
      <c r="B11" s="9"/>
      <c r="C11" s="9"/>
      <c r="D11" s="9"/>
    </row>
    <row r="12" spans="1:5" ht="19.95" customHeight="1">
      <c r="A12" s="7">
        <v>45448</v>
      </c>
      <c r="B12" s="9"/>
      <c r="C12" s="9"/>
      <c r="D12" s="9"/>
    </row>
    <row r="13" spans="1:5" ht="19.95" customHeight="1">
      <c r="A13" s="7">
        <v>45449</v>
      </c>
      <c r="B13" s="9"/>
      <c r="C13" s="9"/>
      <c r="D13" s="9"/>
    </row>
    <row r="14" spans="1:5" ht="19.95" customHeight="1">
      <c r="A14" s="7">
        <v>45450</v>
      </c>
      <c r="B14" s="9"/>
      <c r="C14" s="9"/>
      <c r="D14" s="9"/>
    </row>
    <row r="15" spans="1:5" ht="19.95" customHeight="1">
      <c r="A15" s="7">
        <v>45451</v>
      </c>
      <c r="B15" s="9"/>
      <c r="C15" s="9"/>
      <c r="D15" s="9"/>
    </row>
    <row r="16" spans="1:5" ht="19.95" customHeight="1">
      <c r="A16" s="7">
        <v>45452</v>
      </c>
      <c r="B16" s="9"/>
      <c r="C16" s="9"/>
      <c r="D16" s="9"/>
    </row>
    <row r="17" spans="1:4" ht="19.95" customHeight="1">
      <c r="A17" s="7">
        <v>45453</v>
      </c>
      <c r="B17" s="9"/>
      <c r="C17" s="9"/>
      <c r="D17" s="9"/>
    </row>
    <row r="18" spans="1:4" ht="19.95" customHeight="1">
      <c r="A18" s="7">
        <v>45454</v>
      </c>
      <c r="B18" s="9"/>
      <c r="C18" s="9"/>
      <c r="D18" s="9"/>
    </row>
    <row r="19" spans="1:4" ht="19.95" customHeight="1">
      <c r="A19" s="7">
        <v>45455</v>
      </c>
      <c r="B19" s="9"/>
      <c r="C19" s="9"/>
      <c r="D19" s="9"/>
    </row>
    <row r="20" spans="1:4" ht="19.95" customHeight="1">
      <c r="A20" s="7">
        <v>45456</v>
      </c>
      <c r="B20" s="9"/>
      <c r="C20" s="9"/>
      <c r="D20" s="9"/>
    </row>
    <row r="21" spans="1:4" ht="19.95" customHeight="1">
      <c r="A21" s="7">
        <v>45457</v>
      </c>
      <c r="B21" s="9"/>
      <c r="C21" s="9"/>
      <c r="D21" s="9"/>
    </row>
    <row r="22" spans="1:4" ht="19.95" customHeight="1">
      <c r="A22" s="7">
        <v>45458</v>
      </c>
      <c r="B22" s="9"/>
      <c r="C22" s="9"/>
      <c r="D22" s="9"/>
    </row>
    <row r="23" spans="1:4" ht="19.95" customHeight="1">
      <c r="A23" s="7">
        <v>45459</v>
      </c>
      <c r="B23" s="9"/>
      <c r="C23" s="9"/>
      <c r="D23" s="9"/>
    </row>
    <row r="24" spans="1:4" ht="19.95" customHeight="1">
      <c r="A24" s="7">
        <v>45460</v>
      </c>
      <c r="B24" s="9"/>
      <c r="C24" s="9"/>
      <c r="D24" s="9"/>
    </row>
    <row r="25" spans="1:4" ht="19.95" customHeight="1">
      <c r="A25" s="7">
        <v>45461</v>
      </c>
      <c r="B25" s="9"/>
      <c r="C25" s="9"/>
      <c r="D25" s="9"/>
    </row>
    <row r="26" spans="1:4" ht="19.95" customHeight="1">
      <c r="A26" s="7">
        <v>45462</v>
      </c>
      <c r="B26" s="9"/>
      <c r="C26" s="9"/>
      <c r="D26" s="9"/>
    </row>
    <row r="27" spans="1:4" ht="19.95" customHeight="1">
      <c r="A27" s="7">
        <v>45463</v>
      </c>
      <c r="B27" s="9"/>
      <c r="C27" s="9"/>
      <c r="D27" s="9"/>
    </row>
    <row r="28" spans="1:4" ht="19.95" customHeight="1">
      <c r="A28" s="7">
        <v>45464</v>
      </c>
      <c r="B28" s="9"/>
      <c r="C28" s="9"/>
      <c r="D28" s="9"/>
    </row>
    <row r="29" spans="1:4" ht="19.95" customHeight="1">
      <c r="A29" s="7">
        <v>45465</v>
      </c>
      <c r="B29" s="9"/>
      <c r="C29" s="9"/>
      <c r="D29" s="9"/>
    </row>
    <row r="30" spans="1:4" ht="19.95" customHeight="1">
      <c r="A30" s="7">
        <v>45466</v>
      </c>
      <c r="B30" s="9"/>
      <c r="C30" s="9"/>
      <c r="D30" s="9"/>
    </row>
    <row r="31" spans="1:4" ht="19.95" customHeight="1">
      <c r="A31" s="7">
        <v>45467</v>
      </c>
      <c r="B31" s="9"/>
      <c r="C31" s="9"/>
      <c r="D31" s="9"/>
    </row>
    <row r="32" spans="1:4" ht="19.95" customHeight="1">
      <c r="A32" s="7">
        <v>45468</v>
      </c>
      <c r="B32" s="9"/>
      <c r="C32" s="9"/>
      <c r="D32" s="9"/>
    </row>
    <row r="33" spans="1:4" ht="19.95" customHeight="1">
      <c r="A33" s="7">
        <v>45469</v>
      </c>
      <c r="B33" s="9"/>
      <c r="C33" s="9"/>
      <c r="D33" s="9"/>
    </row>
    <row r="34" spans="1:4" ht="19.95" customHeight="1">
      <c r="A34" s="7">
        <v>45470</v>
      </c>
      <c r="B34" s="9"/>
      <c r="C34" s="9"/>
      <c r="D34" s="9"/>
    </row>
    <row r="35" spans="1:4" ht="19.95" customHeight="1">
      <c r="A35" s="7">
        <v>45471</v>
      </c>
      <c r="B35" s="9"/>
      <c r="C35" s="9"/>
      <c r="D35" s="9"/>
    </row>
    <row r="36" spans="1:4" ht="19.95" customHeight="1">
      <c r="A36" s="7">
        <v>45472</v>
      </c>
      <c r="B36" s="9"/>
      <c r="C36" s="9"/>
      <c r="D36" s="9"/>
    </row>
    <row r="37" spans="1:4" ht="19.95" customHeight="1">
      <c r="A37" s="7">
        <v>45473</v>
      </c>
      <c r="B37" s="9"/>
      <c r="C37" s="9"/>
      <c r="D37" s="9"/>
    </row>
  </sheetData>
  <pageMargins left="0.7" right="0.7" top="0.75" bottom="0.75" header="0.3" footer="0.3"/>
  <pageSetup orientation="portrait" horizontalDpi="360" verticalDpi="36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7"/>
  <sheetViews>
    <sheetView workbookViewId="0">
      <selection activeCell="M15" sqref="M15"/>
    </sheetView>
  </sheetViews>
  <sheetFormatPr defaultColWidth="8.88671875" defaultRowHeight="19.95" customHeight="1"/>
  <cols>
    <col min="1" max="1" width="17.44140625" style="27" customWidth="1"/>
    <col min="2" max="2" width="15.88671875" style="21" customWidth="1"/>
    <col min="3" max="3" width="9.6640625" style="21" customWidth="1"/>
    <col min="4" max="4" width="13.88671875" style="21" customWidth="1"/>
    <col min="5" max="5" width="10.88671875" style="21" customWidth="1"/>
    <col min="6" max="7" width="10.21875" style="21" customWidth="1"/>
    <col min="8" max="8" width="15.5546875" style="21" customWidth="1"/>
    <col min="9" max="9" width="16.88671875" style="21" customWidth="1"/>
    <col min="10" max="10" width="14.6640625" style="21" customWidth="1"/>
    <col min="11" max="16384" width="8.88671875" style="21"/>
  </cols>
  <sheetData>
    <row r="1" spans="1:11" ht="19.95" customHeight="1">
      <c r="A1" s="28" t="s">
        <v>36</v>
      </c>
      <c r="B1" s="12" t="s">
        <v>46</v>
      </c>
      <c r="C1" s="12" t="s">
        <v>47</v>
      </c>
      <c r="D1" s="12" t="s">
        <v>48</v>
      </c>
      <c r="E1" s="12" t="s">
        <v>49</v>
      </c>
      <c r="F1" s="12" t="s">
        <v>50</v>
      </c>
      <c r="G1" s="12" t="s">
        <v>51</v>
      </c>
      <c r="H1" s="12" t="s">
        <v>52</v>
      </c>
      <c r="I1" s="12" t="s">
        <v>53</v>
      </c>
      <c r="J1" s="12" t="s">
        <v>37</v>
      </c>
    </row>
    <row r="2" spans="1:11" ht="19.95" customHeight="1">
      <c r="A2" s="5">
        <v>45597</v>
      </c>
      <c r="B2" s="9" t="s">
        <v>54</v>
      </c>
      <c r="C2" s="29">
        <v>4000</v>
      </c>
      <c r="D2" s="29">
        <v>5600</v>
      </c>
      <c r="E2" s="30">
        <f>D2/C2</f>
        <v>1.4</v>
      </c>
      <c r="F2" s="17">
        <v>155</v>
      </c>
      <c r="G2" s="17"/>
      <c r="H2" s="9">
        <v>10010</v>
      </c>
      <c r="I2" s="5">
        <v>45597</v>
      </c>
      <c r="J2" s="20">
        <f>F2*D2</f>
        <v>868000</v>
      </c>
    </row>
    <row r="3" spans="1:11" ht="19.95" customHeight="1">
      <c r="A3" s="5">
        <v>45598</v>
      </c>
      <c r="B3" s="9" t="s">
        <v>55</v>
      </c>
      <c r="C3" s="31">
        <v>3000</v>
      </c>
      <c r="D3" s="31">
        <v>4200</v>
      </c>
      <c r="E3" s="30">
        <f>D3/C3</f>
        <v>1.4</v>
      </c>
      <c r="F3" s="20">
        <v>157</v>
      </c>
      <c r="G3" s="20"/>
      <c r="H3" s="9">
        <v>10011</v>
      </c>
      <c r="I3" s="5">
        <v>45598</v>
      </c>
      <c r="J3" s="20">
        <f>F3*D3</f>
        <v>659400</v>
      </c>
      <c r="K3" s="22"/>
    </row>
    <row r="4" spans="1:11" ht="19.95" customHeight="1">
      <c r="A4" s="5">
        <v>45599</v>
      </c>
      <c r="B4" s="9" t="s">
        <v>56</v>
      </c>
      <c r="C4" s="9"/>
      <c r="D4" s="9"/>
      <c r="E4" s="9"/>
      <c r="F4" s="9"/>
      <c r="G4" s="9"/>
      <c r="H4" s="9">
        <v>10012</v>
      </c>
      <c r="I4" s="9"/>
      <c r="J4" s="20"/>
    </row>
    <row r="5" spans="1:11" ht="19.95" customHeight="1">
      <c r="A5" s="7"/>
      <c r="B5" s="9"/>
      <c r="C5" s="9"/>
      <c r="D5" s="9"/>
      <c r="E5" s="9"/>
      <c r="F5" s="9"/>
      <c r="G5" s="9"/>
      <c r="H5" s="9">
        <v>10013</v>
      </c>
      <c r="I5" s="9"/>
      <c r="J5" s="20"/>
    </row>
    <row r="6" spans="1:11" ht="19.95" customHeight="1">
      <c r="A6" s="7"/>
      <c r="B6" s="9"/>
      <c r="C6" s="9"/>
      <c r="D6" s="9"/>
      <c r="E6" s="9"/>
      <c r="F6" s="9"/>
      <c r="G6" s="9"/>
      <c r="H6" s="9">
        <v>10014</v>
      </c>
      <c r="I6" s="9"/>
      <c r="J6" s="20"/>
    </row>
    <row r="7" spans="1:11" ht="19.95" customHeight="1">
      <c r="A7" s="7"/>
      <c r="B7" s="9"/>
      <c r="C7" s="9"/>
      <c r="D7" s="9"/>
      <c r="E7" s="9"/>
      <c r="F7" s="9"/>
      <c r="G7" s="9"/>
      <c r="H7" s="9">
        <v>10015</v>
      </c>
      <c r="I7" s="9"/>
      <c r="J7" s="20"/>
    </row>
    <row r="8" spans="1:11" ht="19.95" customHeight="1">
      <c r="A8" s="7"/>
      <c r="B8" s="9"/>
      <c r="C8" s="9"/>
      <c r="D8" s="9"/>
      <c r="E8" s="9"/>
      <c r="F8" s="9"/>
      <c r="G8" s="9"/>
      <c r="H8" s="9" t="s">
        <v>45</v>
      </c>
      <c r="I8" s="9"/>
      <c r="J8" s="20"/>
    </row>
    <row r="9" spans="1:11" ht="19.95" customHeight="1">
      <c r="A9" s="7"/>
      <c r="B9" s="9"/>
      <c r="C9" s="9"/>
      <c r="D9" s="9"/>
      <c r="E9" s="9"/>
      <c r="F9" s="9"/>
      <c r="G9" s="9"/>
      <c r="H9" s="9"/>
      <c r="I9" s="9"/>
      <c r="J9" s="9"/>
    </row>
    <row r="10" spans="1:11" ht="19.95" customHeight="1">
      <c r="A10" s="7"/>
      <c r="B10" s="9"/>
      <c r="C10" s="9"/>
      <c r="D10" s="9"/>
      <c r="E10" s="9"/>
      <c r="F10" s="9"/>
      <c r="G10" s="9"/>
      <c r="H10" s="9"/>
      <c r="I10" s="9"/>
      <c r="J10" s="9"/>
    </row>
    <row r="11" spans="1:11" ht="19.95" customHeight="1">
      <c r="A11" s="7"/>
      <c r="B11" s="9"/>
      <c r="C11" s="9"/>
      <c r="D11" s="9"/>
      <c r="E11" s="9"/>
      <c r="F11" s="9"/>
      <c r="G11" s="9"/>
      <c r="H11" s="9"/>
      <c r="I11" s="9"/>
      <c r="J11" s="9"/>
    </row>
    <row r="12" spans="1:11" ht="19.95" customHeight="1">
      <c r="A12" s="7"/>
      <c r="B12" s="9"/>
      <c r="C12" s="9"/>
      <c r="D12" s="9"/>
      <c r="E12" s="9"/>
      <c r="F12" s="9"/>
      <c r="G12" s="9"/>
      <c r="H12" s="9"/>
      <c r="I12" s="9"/>
      <c r="J12" s="9"/>
    </row>
    <row r="13" spans="1:11" ht="19.95" customHeight="1">
      <c r="A13" s="7"/>
      <c r="B13" s="9"/>
      <c r="C13" s="9"/>
      <c r="D13" s="9"/>
      <c r="E13" s="9"/>
      <c r="F13" s="9"/>
      <c r="G13" s="9"/>
      <c r="H13" s="9"/>
      <c r="I13" s="9"/>
      <c r="J13" s="9"/>
    </row>
    <row r="14" spans="1:11" ht="19.95" customHeight="1">
      <c r="A14" s="7"/>
      <c r="B14" s="9"/>
      <c r="C14" s="9"/>
      <c r="D14" s="9"/>
      <c r="E14" s="9"/>
      <c r="F14" s="9"/>
      <c r="G14" s="9"/>
      <c r="H14" s="9"/>
      <c r="I14" s="9"/>
      <c r="J14" s="9"/>
    </row>
    <row r="15" spans="1:11" ht="19.95" customHeight="1">
      <c r="A15" s="7"/>
      <c r="B15" s="9"/>
      <c r="C15" s="9"/>
      <c r="D15" s="9"/>
      <c r="E15" s="9"/>
      <c r="F15" s="9"/>
      <c r="G15" s="9"/>
      <c r="H15" s="9"/>
      <c r="I15" s="9"/>
      <c r="J15" s="9"/>
    </row>
    <row r="16" spans="1:11" ht="19.95" customHeight="1">
      <c r="A16" s="7"/>
      <c r="B16" s="9"/>
      <c r="C16" s="9"/>
      <c r="D16" s="9"/>
      <c r="E16" s="9"/>
      <c r="F16" s="9"/>
      <c r="G16" s="9"/>
      <c r="H16" s="9"/>
      <c r="I16" s="9"/>
      <c r="J16" s="9"/>
    </row>
    <row r="17" spans="1:10" ht="19.95" customHeight="1">
      <c r="A17" s="7"/>
      <c r="B17" s="9"/>
      <c r="C17" s="9"/>
      <c r="D17" s="9"/>
      <c r="E17" s="9"/>
      <c r="F17" s="9"/>
      <c r="G17" s="9"/>
      <c r="H17" s="9"/>
      <c r="I17" s="9"/>
      <c r="J17" s="9"/>
    </row>
    <row r="18" spans="1:10" ht="19.95" customHeight="1">
      <c r="A18" s="7"/>
      <c r="B18" s="9"/>
      <c r="C18" s="9"/>
      <c r="D18" s="9"/>
      <c r="E18" s="9"/>
      <c r="F18" s="9"/>
      <c r="G18" s="9"/>
      <c r="H18" s="9"/>
      <c r="I18" s="9"/>
      <c r="J18" s="9"/>
    </row>
    <row r="19" spans="1:10" ht="19.95" customHeight="1">
      <c r="A19" s="7"/>
      <c r="B19" s="9"/>
      <c r="C19" s="9"/>
      <c r="D19" s="9"/>
      <c r="E19" s="9"/>
      <c r="F19" s="9"/>
      <c r="G19" s="9"/>
      <c r="H19" s="9"/>
      <c r="I19" s="9"/>
      <c r="J19" s="9"/>
    </row>
    <row r="20" spans="1:10" ht="19.95" customHeight="1">
      <c r="A20" s="7"/>
      <c r="B20" s="9"/>
      <c r="C20" s="9"/>
      <c r="D20" s="9"/>
      <c r="E20" s="9"/>
      <c r="F20" s="9"/>
      <c r="G20" s="9"/>
      <c r="H20" s="9"/>
      <c r="I20" s="9"/>
      <c r="J20" s="9"/>
    </row>
    <row r="21" spans="1:10" ht="19.95" customHeight="1">
      <c r="A21" s="7"/>
      <c r="B21" s="9"/>
      <c r="C21" s="9"/>
      <c r="D21" s="9"/>
      <c r="E21" s="9"/>
      <c r="F21" s="9"/>
      <c r="G21" s="9"/>
      <c r="H21" s="9"/>
      <c r="I21" s="9"/>
      <c r="J21" s="9"/>
    </row>
    <row r="22" spans="1:10" ht="19.95" customHeight="1">
      <c r="A22" s="7"/>
      <c r="B22" s="9"/>
      <c r="C22" s="9"/>
      <c r="D22" s="9"/>
      <c r="E22" s="9"/>
      <c r="F22" s="9"/>
      <c r="G22" s="9"/>
      <c r="H22" s="9"/>
      <c r="I22" s="9"/>
      <c r="J22" s="9"/>
    </row>
    <row r="23" spans="1:10" ht="19.95" customHeight="1">
      <c r="A23" s="7"/>
      <c r="B23" s="9"/>
      <c r="C23" s="9"/>
      <c r="D23" s="9"/>
      <c r="E23" s="9"/>
      <c r="F23" s="9"/>
      <c r="G23" s="9"/>
      <c r="H23" s="9"/>
      <c r="I23" s="9"/>
      <c r="J23" s="9"/>
    </row>
    <row r="24" spans="1:10" ht="19.95" customHeight="1">
      <c r="A24" s="7"/>
      <c r="B24" s="9"/>
      <c r="C24" s="9"/>
      <c r="D24" s="9"/>
      <c r="E24" s="9"/>
      <c r="F24" s="9"/>
      <c r="G24" s="9"/>
      <c r="H24" s="9"/>
      <c r="I24" s="9"/>
      <c r="J24" s="9"/>
    </row>
    <row r="25" spans="1:10" ht="19.95" customHeight="1">
      <c r="A25" s="7"/>
      <c r="B25" s="9"/>
      <c r="C25" s="9"/>
      <c r="D25" s="9"/>
      <c r="E25" s="9"/>
      <c r="F25" s="9"/>
      <c r="G25" s="9"/>
      <c r="H25" s="9"/>
      <c r="I25" s="9"/>
      <c r="J25" s="9"/>
    </row>
    <row r="26" spans="1:10" ht="19.95" customHeight="1">
      <c r="A26" s="7"/>
      <c r="B26" s="9"/>
      <c r="C26" s="9"/>
      <c r="D26" s="9"/>
      <c r="E26" s="9"/>
      <c r="F26" s="9"/>
      <c r="G26" s="9"/>
      <c r="H26" s="9"/>
      <c r="I26" s="9"/>
      <c r="J26" s="9"/>
    </row>
    <row r="27" spans="1:10" ht="19.95" customHeight="1">
      <c r="A27" s="7"/>
      <c r="B27" s="9"/>
      <c r="C27" s="9"/>
      <c r="D27" s="9"/>
      <c r="E27" s="9"/>
      <c r="F27" s="9"/>
      <c r="G27" s="9"/>
      <c r="H27" s="9"/>
      <c r="I27" s="9"/>
      <c r="J27" s="9"/>
    </row>
    <row r="28" spans="1:10" ht="19.95" customHeight="1">
      <c r="A28" s="7"/>
      <c r="B28" s="9"/>
      <c r="C28" s="9"/>
      <c r="D28" s="9"/>
      <c r="E28" s="9"/>
      <c r="F28" s="9"/>
      <c r="G28" s="9"/>
      <c r="H28" s="9"/>
      <c r="I28" s="9"/>
      <c r="J28" s="9"/>
    </row>
    <row r="29" spans="1:10" ht="19.95" customHeight="1">
      <c r="A29" s="7"/>
      <c r="B29" s="9"/>
      <c r="C29" s="9"/>
      <c r="D29" s="9"/>
      <c r="E29" s="9"/>
      <c r="F29" s="9"/>
      <c r="G29" s="9"/>
      <c r="H29" s="9"/>
      <c r="I29" s="9"/>
      <c r="J29" s="9"/>
    </row>
    <row r="30" spans="1:10" ht="19.95" customHeight="1">
      <c r="A30" s="7"/>
      <c r="B30" s="9"/>
      <c r="C30" s="9"/>
      <c r="D30" s="9"/>
      <c r="E30" s="9"/>
      <c r="F30" s="9"/>
      <c r="G30" s="9"/>
      <c r="H30" s="9"/>
      <c r="I30" s="9"/>
      <c r="J30" s="9"/>
    </row>
    <row r="31" spans="1:10" ht="19.95" customHeight="1">
      <c r="A31" s="7"/>
      <c r="B31" s="9"/>
      <c r="C31" s="9"/>
      <c r="D31" s="9"/>
      <c r="E31" s="9"/>
      <c r="F31" s="9"/>
      <c r="G31" s="9"/>
      <c r="H31" s="9"/>
      <c r="I31" s="9"/>
      <c r="J31" s="9"/>
    </row>
    <row r="32" spans="1:10" ht="19.95" customHeight="1">
      <c r="A32" s="7"/>
      <c r="B32" s="9"/>
      <c r="C32" s="9"/>
      <c r="D32" s="9"/>
      <c r="E32" s="9"/>
      <c r="F32" s="9"/>
      <c r="G32" s="9"/>
      <c r="H32" s="9"/>
      <c r="I32" s="9"/>
      <c r="J32" s="9"/>
    </row>
    <row r="33" spans="1:10" ht="19.95" customHeight="1">
      <c r="A33" s="7"/>
      <c r="B33" s="9"/>
      <c r="C33" s="9"/>
      <c r="D33" s="9"/>
      <c r="E33" s="9"/>
      <c r="F33" s="9"/>
      <c r="G33" s="9"/>
      <c r="H33" s="9"/>
      <c r="I33" s="9"/>
      <c r="J33" s="9"/>
    </row>
    <row r="34" spans="1:10" ht="19.95" customHeight="1">
      <c r="A34" s="7"/>
      <c r="B34" s="9"/>
      <c r="C34" s="9"/>
      <c r="D34" s="9"/>
      <c r="E34" s="9"/>
      <c r="F34" s="9"/>
      <c r="G34" s="9"/>
      <c r="H34" s="9"/>
      <c r="I34" s="9"/>
      <c r="J34" s="9"/>
    </row>
    <row r="35" spans="1:10" ht="19.95" customHeight="1">
      <c r="A35" s="7"/>
      <c r="B35" s="9"/>
      <c r="C35" s="9"/>
      <c r="D35" s="9"/>
      <c r="E35" s="9"/>
      <c r="F35" s="9"/>
      <c r="G35" s="9"/>
      <c r="H35" s="9"/>
      <c r="I35" s="9"/>
      <c r="J35" s="9"/>
    </row>
    <row r="36" spans="1:10" ht="19.95" customHeight="1">
      <c r="A36" s="7"/>
      <c r="B36" s="9"/>
      <c r="C36" s="9"/>
      <c r="D36" s="9"/>
      <c r="E36" s="9"/>
      <c r="F36" s="9"/>
      <c r="G36" s="9"/>
      <c r="H36" s="9"/>
      <c r="I36" s="9"/>
      <c r="J36" s="9"/>
    </row>
    <row r="37" spans="1:10" ht="19.95" customHeight="1">
      <c r="A37" s="7"/>
      <c r="B37" s="9"/>
      <c r="C37" s="9"/>
      <c r="D37" s="9"/>
      <c r="E37" s="9"/>
      <c r="F37" s="9"/>
      <c r="G37" s="9"/>
      <c r="H37" s="9"/>
      <c r="I37" s="9"/>
      <c r="J37" s="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6"/>
  <sheetViews>
    <sheetView workbookViewId="0">
      <pane xSplit="4" ySplit="10" topLeftCell="E29" activePane="bottomRight" state="frozen"/>
      <selection pane="topRight"/>
      <selection pane="bottomLeft"/>
      <selection pane="bottomRight" activeCell="A36" sqref="A36:R36"/>
    </sheetView>
  </sheetViews>
  <sheetFormatPr defaultColWidth="8.88671875" defaultRowHeight="19.95" customHeight="1"/>
  <cols>
    <col min="1" max="1" width="15.6640625" style="21" customWidth="1"/>
    <col min="2" max="2" width="45.44140625" style="22" customWidth="1"/>
    <col min="3" max="3" width="20.77734375" style="21" customWidth="1"/>
    <col min="4" max="4" width="13.5546875" style="21" customWidth="1"/>
    <col min="5" max="12" width="20.77734375" style="21" customWidth="1"/>
    <col min="13" max="13" width="20.77734375" style="23" customWidth="1"/>
    <col min="14" max="17" width="20.77734375" style="21" customWidth="1"/>
    <col min="18" max="18" width="20.77734375" style="23" customWidth="1"/>
    <col min="19" max="19" width="15.77734375" style="21" customWidth="1"/>
    <col min="20" max="16384" width="8.88671875" style="21"/>
  </cols>
  <sheetData>
    <row r="1" spans="1:18" ht="28.8">
      <c r="A1" s="12" t="s">
        <v>36</v>
      </c>
      <c r="B1" s="12" t="s">
        <v>1</v>
      </c>
      <c r="C1" s="12" t="s">
        <v>57</v>
      </c>
      <c r="D1" s="12" t="s">
        <v>37</v>
      </c>
      <c r="E1" s="12" t="s">
        <v>58</v>
      </c>
      <c r="F1" s="12" t="s">
        <v>59</v>
      </c>
      <c r="G1" s="12" t="s">
        <v>60</v>
      </c>
      <c r="H1" s="12" t="s">
        <v>61</v>
      </c>
      <c r="I1" s="13" t="s">
        <v>62</v>
      </c>
      <c r="J1" s="13" t="s">
        <v>63</v>
      </c>
      <c r="K1" s="12" t="s">
        <v>64</v>
      </c>
      <c r="L1" s="12" t="s">
        <v>65</v>
      </c>
      <c r="M1" s="13" t="s">
        <v>66</v>
      </c>
      <c r="N1" s="12" t="s">
        <v>67</v>
      </c>
      <c r="O1" s="12" t="s">
        <v>68</v>
      </c>
      <c r="P1" s="12" t="s">
        <v>69</v>
      </c>
      <c r="Q1" s="12" t="s">
        <v>70</v>
      </c>
      <c r="R1" s="13" t="s">
        <v>71</v>
      </c>
    </row>
    <row r="2" spans="1:18" ht="19.95" customHeight="1">
      <c r="A2" s="7">
        <v>45444</v>
      </c>
      <c r="B2" s="24" t="s">
        <v>72</v>
      </c>
      <c r="C2" s="9" t="s">
        <v>73</v>
      </c>
      <c r="D2" s="20">
        <v>300000</v>
      </c>
      <c r="E2" s="20"/>
      <c r="F2" s="20"/>
      <c r="G2" s="20"/>
      <c r="H2" s="20"/>
      <c r="I2" s="20">
        <v>300000</v>
      </c>
      <c r="J2" s="20"/>
      <c r="K2" s="20"/>
      <c r="L2" s="20"/>
      <c r="M2" s="25"/>
      <c r="N2" s="20"/>
      <c r="O2" s="20"/>
      <c r="P2" s="20"/>
      <c r="Q2" s="20"/>
      <c r="R2" s="25"/>
    </row>
    <row r="3" spans="1:18" ht="19.95" customHeight="1">
      <c r="A3" s="7"/>
      <c r="B3" s="24" t="s">
        <v>74</v>
      </c>
      <c r="C3" s="9" t="s">
        <v>75</v>
      </c>
      <c r="D3" s="20">
        <v>2500</v>
      </c>
      <c r="E3" s="20"/>
      <c r="F3" s="20"/>
      <c r="G3" s="20"/>
      <c r="H3" s="20"/>
      <c r="I3" s="20"/>
      <c r="J3" s="20"/>
      <c r="K3" s="20"/>
      <c r="L3" s="20"/>
      <c r="M3" s="25"/>
      <c r="N3" s="20"/>
      <c r="O3" s="20"/>
      <c r="P3" s="20">
        <v>2500</v>
      </c>
      <c r="Q3" s="20"/>
      <c r="R3" s="25"/>
    </row>
    <row r="4" spans="1:18" ht="19.95" customHeight="1">
      <c r="A4" s="7"/>
      <c r="B4" s="24" t="s">
        <v>76</v>
      </c>
      <c r="C4" s="9" t="s">
        <v>77</v>
      </c>
      <c r="D4" s="20">
        <v>600</v>
      </c>
      <c r="E4" s="20"/>
      <c r="F4" s="20"/>
      <c r="G4" s="20"/>
      <c r="H4" s="20"/>
      <c r="I4" s="20"/>
      <c r="J4" s="20"/>
      <c r="K4" s="20"/>
      <c r="L4" s="20"/>
      <c r="M4" s="25"/>
      <c r="N4" s="20">
        <v>600</v>
      </c>
      <c r="O4" s="20"/>
      <c r="P4" s="20"/>
      <c r="Q4" s="20"/>
      <c r="R4" s="25"/>
    </row>
    <row r="5" spans="1:18" ht="19.95" customHeight="1">
      <c r="A5" s="7"/>
      <c r="B5" s="24" t="s">
        <v>78</v>
      </c>
      <c r="C5" s="9" t="s">
        <v>79</v>
      </c>
      <c r="D5" s="20">
        <v>1000</v>
      </c>
      <c r="E5" s="20"/>
      <c r="F5" s="20"/>
      <c r="G5" s="20"/>
      <c r="H5" s="20">
        <v>1000</v>
      </c>
      <c r="I5" s="20"/>
      <c r="J5" s="20"/>
      <c r="K5" s="20"/>
      <c r="L5" s="20"/>
      <c r="M5" s="25"/>
      <c r="N5" s="20"/>
      <c r="O5" s="20"/>
      <c r="P5" s="20"/>
      <c r="Q5" s="20"/>
      <c r="R5" s="25"/>
    </row>
    <row r="6" spans="1:18" ht="19.95" customHeight="1">
      <c r="A6" s="7"/>
      <c r="B6" s="24" t="s">
        <v>80</v>
      </c>
      <c r="C6" s="9" t="s">
        <v>81</v>
      </c>
      <c r="D6" s="20">
        <v>25000</v>
      </c>
      <c r="E6" s="20"/>
      <c r="F6" s="20"/>
      <c r="G6" s="20">
        <v>25000</v>
      </c>
      <c r="H6" s="20"/>
      <c r="I6" s="20"/>
      <c r="J6" s="20"/>
      <c r="K6" s="20"/>
      <c r="L6" s="20"/>
      <c r="M6" s="25"/>
      <c r="N6" s="20"/>
      <c r="O6" s="20"/>
      <c r="P6" s="20"/>
      <c r="Q6" s="20"/>
      <c r="R6" s="25"/>
    </row>
    <row r="7" spans="1:18" ht="19.95" customHeight="1">
      <c r="A7" s="7">
        <v>45445</v>
      </c>
      <c r="B7" s="24"/>
      <c r="C7" s="9"/>
      <c r="D7" s="20"/>
      <c r="E7" s="20"/>
      <c r="F7" s="20"/>
      <c r="G7" s="20"/>
      <c r="H7" s="20"/>
      <c r="I7" s="20"/>
      <c r="J7" s="20"/>
      <c r="K7" s="20"/>
      <c r="L7" s="20"/>
      <c r="M7" s="25"/>
      <c r="N7" s="20"/>
      <c r="O7" s="20"/>
      <c r="P7" s="20"/>
      <c r="Q7" s="20"/>
      <c r="R7" s="25"/>
    </row>
    <row r="8" spans="1:18" ht="19.95" customHeight="1">
      <c r="A8" s="7">
        <v>45446</v>
      </c>
      <c r="B8" s="24"/>
      <c r="C8" s="9"/>
      <c r="D8" s="20"/>
      <c r="E8" s="20"/>
      <c r="F8" s="20"/>
      <c r="G8" s="20"/>
      <c r="H8" s="20"/>
      <c r="I8" s="20"/>
      <c r="J8" s="20"/>
      <c r="K8" s="20"/>
      <c r="L8" s="20"/>
      <c r="M8" s="25"/>
      <c r="N8" s="20"/>
      <c r="O8" s="20"/>
      <c r="P8" s="20"/>
      <c r="Q8" s="20"/>
      <c r="R8" s="25"/>
    </row>
    <row r="9" spans="1:18" ht="19.95" customHeight="1">
      <c r="A9" s="7">
        <v>45447</v>
      </c>
      <c r="B9" s="24"/>
      <c r="C9" s="9"/>
      <c r="D9" s="20"/>
      <c r="E9" s="20"/>
      <c r="F9" s="20"/>
      <c r="G9" s="20"/>
      <c r="H9" s="20"/>
      <c r="I9" s="20"/>
      <c r="J9" s="20"/>
      <c r="K9" s="20"/>
      <c r="L9" s="20"/>
      <c r="M9" s="25"/>
      <c r="N9" s="20"/>
      <c r="O9" s="20"/>
      <c r="P9" s="20"/>
      <c r="Q9" s="20"/>
      <c r="R9" s="25"/>
    </row>
    <row r="10" spans="1:18" ht="19.95" customHeight="1">
      <c r="A10" s="7">
        <v>45448</v>
      </c>
      <c r="B10" s="24"/>
      <c r="C10" s="9"/>
      <c r="D10" s="20"/>
      <c r="E10" s="20"/>
      <c r="F10" s="20"/>
      <c r="G10" s="20"/>
      <c r="H10" s="20"/>
      <c r="I10" s="20"/>
      <c r="J10" s="20"/>
      <c r="K10" s="20"/>
      <c r="L10" s="20"/>
      <c r="M10" s="25"/>
      <c r="N10" s="20"/>
      <c r="O10" s="20"/>
      <c r="P10" s="20"/>
      <c r="Q10" s="20"/>
      <c r="R10" s="25"/>
    </row>
    <row r="11" spans="1:18" ht="19.95" customHeight="1">
      <c r="A11" s="7">
        <v>45449</v>
      </c>
      <c r="B11" s="24"/>
      <c r="C11" s="9"/>
      <c r="D11" s="20"/>
      <c r="E11" s="20"/>
      <c r="F11" s="20"/>
      <c r="G11" s="20"/>
      <c r="H11" s="20"/>
      <c r="I11" s="20"/>
      <c r="J11" s="20"/>
      <c r="K11" s="20"/>
      <c r="L11" s="20"/>
      <c r="M11" s="25"/>
      <c r="N11" s="20"/>
      <c r="O11" s="20"/>
      <c r="P11" s="20"/>
      <c r="Q11" s="20"/>
      <c r="R11" s="25"/>
    </row>
    <row r="12" spans="1:18" ht="19.95" customHeight="1">
      <c r="A12" s="7">
        <v>45450</v>
      </c>
      <c r="B12" s="24"/>
      <c r="C12" s="9"/>
      <c r="D12" s="20"/>
      <c r="E12" s="20"/>
      <c r="F12" s="20"/>
      <c r="G12" s="20"/>
      <c r="H12" s="20"/>
      <c r="I12" s="20"/>
      <c r="J12" s="20"/>
      <c r="K12" s="20"/>
      <c r="L12" s="20"/>
      <c r="M12" s="25"/>
      <c r="N12" s="20"/>
      <c r="O12" s="20"/>
      <c r="P12" s="20"/>
      <c r="Q12" s="20"/>
      <c r="R12" s="25"/>
    </row>
    <row r="13" spans="1:18" ht="19.95" customHeight="1">
      <c r="A13" s="7">
        <v>45451</v>
      </c>
      <c r="B13" s="24"/>
      <c r="C13" s="9"/>
      <c r="D13" s="20"/>
      <c r="E13" s="20"/>
      <c r="F13" s="20"/>
      <c r="G13" s="20"/>
      <c r="H13" s="20"/>
      <c r="I13" s="20"/>
      <c r="J13" s="20"/>
      <c r="K13" s="20"/>
      <c r="L13" s="20"/>
      <c r="M13" s="25"/>
      <c r="N13" s="20"/>
      <c r="O13" s="20"/>
      <c r="P13" s="20"/>
      <c r="Q13" s="20"/>
      <c r="R13" s="25"/>
    </row>
    <row r="14" spans="1:18" ht="19.95" customHeight="1">
      <c r="A14" s="7">
        <v>45452</v>
      </c>
      <c r="B14" s="24"/>
      <c r="C14" s="9"/>
      <c r="D14" s="20"/>
      <c r="E14" s="20"/>
      <c r="F14" s="20"/>
      <c r="G14" s="20"/>
      <c r="H14" s="20"/>
      <c r="I14" s="20"/>
      <c r="J14" s="20"/>
      <c r="K14" s="20"/>
      <c r="L14" s="20"/>
      <c r="M14" s="25"/>
      <c r="N14" s="20"/>
      <c r="O14" s="20"/>
      <c r="P14" s="20"/>
      <c r="Q14" s="20"/>
      <c r="R14" s="25"/>
    </row>
    <row r="15" spans="1:18" ht="19.95" customHeight="1">
      <c r="A15" s="7">
        <v>45453</v>
      </c>
      <c r="B15" s="24"/>
      <c r="C15" s="9"/>
      <c r="D15" s="20"/>
      <c r="E15" s="20"/>
      <c r="F15" s="20"/>
      <c r="G15" s="20"/>
      <c r="H15" s="20"/>
      <c r="I15" s="20"/>
      <c r="J15" s="20"/>
      <c r="K15" s="20"/>
      <c r="L15" s="20"/>
      <c r="M15" s="25"/>
      <c r="N15" s="20"/>
      <c r="O15" s="20"/>
      <c r="P15" s="20"/>
      <c r="Q15" s="20"/>
      <c r="R15" s="25"/>
    </row>
    <row r="16" spans="1:18" ht="19.95" customHeight="1">
      <c r="A16" s="7">
        <v>45454</v>
      </c>
      <c r="B16" s="24"/>
      <c r="C16" s="9"/>
      <c r="D16" s="20"/>
      <c r="E16" s="20"/>
      <c r="F16" s="20"/>
      <c r="G16" s="20"/>
      <c r="H16" s="20"/>
      <c r="I16" s="20"/>
      <c r="J16" s="20"/>
      <c r="K16" s="20"/>
      <c r="L16" s="20"/>
      <c r="M16" s="25"/>
      <c r="N16" s="20"/>
      <c r="O16" s="20"/>
      <c r="P16" s="26"/>
      <c r="Q16" s="20"/>
      <c r="R16" s="25"/>
    </row>
    <row r="17" spans="1:18" ht="19.95" customHeight="1">
      <c r="A17" s="7">
        <v>45455</v>
      </c>
      <c r="B17" s="24"/>
      <c r="C17" s="9"/>
      <c r="D17" s="20"/>
      <c r="E17" s="20"/>
      <c r="F17" s="20"/>
      <c r="G17" s="20"/>
      <c r="H17" s="20"/>
      <c r="I17" s="20"/>
      <c r="J17" s="20"/>
      <c r="K17" s="20"/>
      <c r="L17" s="20"/>
      <c r="M17" s="25"/>
      <c r="N17" s="20"/>
      <c r="O17" s="20"/>
      <c r="P17" s="20"/>
      <c r="Q17" s="20"/>
      <c r="R17" s="25"/>
    </row>
    <row r="18" spans="1:18" ht="19.95" customHeight="1">
      <c r="A18" s="7">
        <v>45456</v>
      </c>
      <c r="B18" s="24"/>
      <c r="C18" s="9"/>
      <c r="D18" s="20"/>
      <c r="E18" s="20"/>
      <c r="F18" s="20"/>
      <c r="G18" s="20"/>
      <c r="H18" s="20"/>
      <c r="I18" s="20"/>
      <c r="J18" s="20"/>
      <c r="K18" s="20"/>
      <c r="L18" s="20"/>
      <c r="M18" s="25"/>
      <c r="N18" s="20"/>
      <c r="O18" s="20"/>
      <c r="P18" s="20"/>
      <c r="Q18" s="20"/>
      <c r="R18" s="25"/>
    </row>
    <row r="19" spans="1:18" ht="19.95" customHeight="1">
      <c r="A19" s="7">
        <v>45457</v>
      </c>
      <c r="B19" s="24"/>
      <c r="C19" s="9"/>
      <c r="D19" s="20"/>
      <c r="E19" s="20"/>
      <c r="F19" s="20"/>
      <c r="G19" s="20"/>
      <c r="H19" s="20"/>
      <c r="I19" s="20"/>
      <c r="J19" s="20"/>
      <c r="K19" s="20"/>
      <c r="L19" s="20"/>
      <c r="M19" s="25"/>
      <c r="N19" s="20"/>
      <c r="O19" s="20"/>
      <c r="P19" s="20"/>
      <c r="Q19" s="20"/>
      <c r="R19" s="25"/>
    </row>
    <row r="20" spans="1:18" ht="19.95" customHeight="1">
      <c r="A20" s="7">
        <v>45458</v>
      </c>
      <c r="B20" s="24"/>
      <c r="C20" s="9"/>
      <c r="D20" s="20"/>
      <c r="E20" s="20"/>
      <c r="F20" s="20"/>
      <c r="G20" s="20"/>
      <c r="H20" s="20"/>
      <c r="I20" s="20"/>
      <c r="J20" s="20"/>
      <c r="K20" s="20"/>
      <c r="L20" s="20"/>
      <c r="M20" s="25"/>
      <c r="N20" s="20"/>
      <c r="O20" s="20"/>
      <c r="P20" s="20"/>
      <c r="Q20" s="20"/>
      <c r="R20" s="25"/>
    </row>
    <row r="21" spans="1:18" ht="19.95" customHeight="1">
      <c r="A21" s="7">
        <v>45459</v>
      </c>
      <c r="B21" s="24"/>
      <c r="C21" s="9"/>
      <c r="D21" s="20"/>
      <c r="E21" s="20"/>
      <c r="F21" s="20"/>
      <c r="G21" s="20"/>
      <c r="H21" s="20"/>
      <c r="I21" s="20"/>
      <c r="J21" s="20"/>
      <c r="K21" s="20"/>
      <c r="L21" s="20"/>
      <c r="M21" s="25"/>
      <c r="N21" s="20"/>
      <c r="O21" s="20"/>
      <c r="P21" s="20"/>
      <c r="Q21" s="20"/>
      <c r="R21" s="25"/>
    </row>
    <row r="22" spans="1:18" ht="19.95" customHeight="1">
      <c r="A22" s="7">
        <v>45460</v>
      </c>
      <c r="B22" s="24"/>
      <c r="C22" s="9"/>
      <c r="D22" s="20"/>
      <c r="E22" s="20"/>
      <c r="F22" s="20"/>
      <c r="G22" s="20"/>
      <c r="H22" s="20"/>
      <c r="I22" s="20"/>
      <c r="J22" s="20"/>
      <c r="K22" s="20"/>
      <c r="L22" s="20"/>
      <c r="M22" s="25"/>
      <c r="N22" s="20"/>
      <c r="O22" s="20"/>
      <c r="P22" s="20"/>
      <c r="Q22" s="20"/>
      <c r="R22" s="25"/>
    </row>
    <row r="23" spans="1:18" ht="19.95" customHeight="1">
      <c r="A23" s="7">
        <v>45461</v>
      </c>
      <c r="B23" s="24"/>
      <c r="C23" s="9"/>
      <c r="D23" s="20"/>
      <c r="E23" s="20"/>
      <c r="F23" s="20"/>
      <c r="G23" s="20"/>
      <c r="H23" s="20"/>
      <c r="I23" s="20"/>
      <c r="J23" s="20"/>
      <c r="K23" s="20"/>
      <c r="L23" s="20"/>
      <c r="M23" s="25"/>
      <c r="N23" s="20"/>
      <c r="O23" s="20"/>
      <c r="P23" s="20"/>
      <c r="Q23" s="20"/>
      <c r="R23" s="25"/>
    </row>
    <row r="24" spans="1:18" ht="19.95" customHeight="1">
      <c r="A24" s="7">
        <v>45462</v>
      </c>
      <c r="B24" s="24"/>
      <c r="C24" s="9"/>
      <c r="D24" s="20"/>
      <c r="E24" s="20"/>
      <c r="F24" s="20"/>
      <c r="G24" s="20"/>
      <c r="H24" s="20"/>
      <c r="I24" s="20"/>
      <c r="J24" s="20"/>
      <c r="K24" s="20"/>
      <c r="L24" s="20"/>
      <c r="M24" s="25"/>
      <c r="N24" s="20"/>
      <c r="O24" s="20"/>
      <c r="P24" s="20"/>
      <c r="Q24" s="20"/>
      <c r="R24" s="25"/>
    </row>
    <row r="25" spans="1:18" ht="19.95" customHeight="1">
      <c r="A25" s="7">
        <v>45463</v>
      </c>
      <c r="B25" s="24"/>
      <c r="C25" s="9"/>
      <c r="D25" s="20"/>
      <c r="E25" s="20"/>
      <c r="F25" s="20"/>
      <c r="G25" s="20"/>
      <c r="H25" s="20"/>
      <c r="I25" s="20"/>
      <c r="J25" s="20"/>
      <c r="K25" s="20"/>
      <c r="L25" s="20"/>
      <c r="M25" s="25"/>
      <c r="N25" s="20"/>
      <c r="O25" s="20"/>
      <c r="P25" s="20"/>
      <c r="Q25" s="20"/>
      <c r="R25" s="25"/>
    </row>
    <row r="26" spans="1:18" ht="19.95" customHeight="1">
      <c r="A26" s="7">
        <v>45464</v>
      </c>
      <c r="B26" s="24"/>
      <c r="C26" s="9"/>
      <c r="D26" s="20"/>
      <c r="E26" s="20"/>
      <c r="F26" s="20"/>
      <c r="G26" s="20"/>
      <c r="H26" s="20"/>
      <c r="I26" s="20"/>
      <c r="J26" s="20"/>
      <c r="K26" s="20"/>
      <c r="L26" s="20"/>
      <c r="M26" s="25"/>
      <c r="N26" s="20"/>
      <c r="O26" s="20"/>
      <c r="P26" s="20"/>
      <c r="Q26" s="20"/>
      <c r="R26" s="25"/>
    </row>
    <row r="27" spans="1:18" ht="19.95" customHeight="1">
      <c r="A27" s="7">
        <v>45465</v>
      </c>
      <c r="B27" s="24"/>
      <c r="C27" s="9"/>
      <c r="D27" s="20"/>
      <c r="E27" s="20"/>
      <c r="F27" s="20"/>
      <c r="G27" s="20"/>
      <c r="H27" s="20"/>
      <c r="I27" s="20"/>
      <c r="J27" s="20"/>
      <c r="K27" s="20"/>
      <c r="L27" s="20"/>
      <c r="M27" s="25"/>
      <c r="N27" s="20"/>
      <c r="O27" s="20"/>
      <c r="P27" s="20"/>
      <c r="Q27" s="20"/>
      <c r="R27" s="25"/>
    </row>
    <row r="28" spans="1:18" ht="19.95" customHeight="1">
      <c r="A28" s="7">
        <v>45466</v>
      </c>
      <c r="B28" s="24"/>
      <c r="C28" s="9"/>
      <c r="D28" s="20"/>
      <c r="E28" s="20"/>
      <c r="F28" s="20"/>
      <c r="G28" s="20"/>
      <c r="H28" s="20"/>
      <c r="I28" s="20"/>
      <c r="J28" s="20"/>
      <c r="K28" s="20"/>
      <c r="L28" s="20"/>
      <c r="M28" s="25"/>
      <c r="N28" s="20"/>
      <c r="O28" s="20"/>
      <c r="P28" s="20"/>
      <c r="Q28" s="20"/>
      <c r="R28" s="25"/>
    </row>
    <row r="29" spans="1:18" ht="19.95" customHeight="1">
      <c r="A29" s="7">
        <v>45467</v>
      </c>
      <c r="B29" s="24"/>
      <c r="C29" s="9"/>
      <c r="D29" s="20"/>
      <c r="E29" s="20"/>
      <c r="F29" s="20"/>
      <c r="G29" s="20"/>
      <c r="H29" s="20"/>
      <c r="I29" s="20"/>
      <c r="J29" s="20"/>
      <c r="K29" s="20"/>
      <c r="L29" s="20"/>
      <c r="M29" s="25"/>
      <c r="N29" s="20"/>
      <c r="O29" s="20"/>
      <c r="P29" s="20"/>
      <c r="Q29" s="20"/>
      <c r="R29" s="25"/>
    </row>
    <row r="30" spans="1:18" ht="19.95" customHeight="1">
      <c r="A30" s="7">
        <v>45468</v>
      </c>
      <c r="B30" s="24"/>
      <c r="C30" s="9"/>
      <c r="D30" s="20"/>
      <c r="E30" s="20"/>
      <c r="F30" s="20"/>
      <c r="G30" s="20"/>
      <c r="H30" s="20"/>
      <c r="I30" s="20"/>
      <c r="J30" s="20"/>
      <c r="K30" s="20"/>
      <c r="L30" s="20"/>
      <c r="M30" s="25"/>
      <c r="N30" s="20"/>
      <c r="O30" s="20"/>
      <c r="P30" s="20"/>
      <c r="Q30" s="20"/>
      <c r="R30" s="25"/>
    </row>
    <row r="31" spans="1:18" ht="19.95" customHeight="1">
      <c r="A31" s="7">
        <v>45469</v>
      </c>
      <c r="B31" s="24"/>
      <c r="C31" s="9"/>
      <c r="D31" s="20"/>
      <c r="E31" s="20"/>
      <c r="F31" s="20"/>
      <c r="G31" s="20"/>
      <c r="H31" s="20"/>
      <c r="I31" s="20"/>
      <c r="J31" s="20"/>
      <c r="K31" s="20"/>
      <c r="L31" s="20"/>
      <c r="M31" s="25"/>
      <c r="N31" s="20"/>
      <c r="O31" s="20"/>
      <c r="P31" s="20"/>
      <c r="Q31" s="20"/>
      <c r="R31" s="25"/>
    </row>
    <row r="32" spans="1:18" ht="19.95" customHeight="1">
      <c r="A32" s="7">
        <v>45470</v>
      </c>
      <c r="B32" s="24"/>
      <c r="C32" s="9"/>
      <c r="D32" s="20"/>
      <c r="E32" s="20"/>
      <c r="F32" s="20"/>
      <c r="G32" s="20"/>
      <c r="H32" s="20"/>
      <c r="I32" s="20"/>
      <c r="J32" s="20"/>
      <c r="K32" s="20"/>
      <c r="L32" s="20"/>
      <c r="M32" s="25"/>
      <c r="N32" s="20"/>
      <c r="O32" s="20"/>
      <c r="P32" s="20"/>
      <c r="Q32" s="20"/>
      <c r="R32" s="25"/>
    </row>
    <row r="33" spans="1:18" ht="19.95" customHeight="1">
      <c r="A33" s="7">
        <v>45471</v>
      </c>
      <c r="B33" s="24"/>
      <c r="C33" s="9"/>
      <c r="D33" s="20"/>
      <c r="E33" s="20"/>
      <c r="F33" s="20"/>
      <c r="G33" s="20"/>
      <c r="H33" s="20"/>
      <c r="I33" s="20"/>
      <c r="J33" s="20"/>
      <c r="K33" s="20"/>
      <c r="L33" s="20"/>
      <c r="M33" s="25"/>
      <c r="N33" s="20"/>
      <c r="O33" s="20"/>
      <c r="P33" s="20"/>
      <c r="Q33" s="20"/>
      <c r="R33" s="25"/>
    </row>
    <row r="34" spans="1:18" ht="19.95" customHeight="1">
      <c r="A34" s="7">
        <v>45472</v>
      </c>
      <c r="B34" s="24"/>
      <c r="C34" s="9"/>
      <c r="D34" s="20"/>
      <c r="E34" s="20"/>
      <c r="F34" s="20"/>
      <c r="G34" s="20"/>
      <c r="H34" s="20"/>
      <c r="I34" s="20"/>
      <c r="J34" s="20"/>
      <c r="K34" s="20"/>
      <c r="L34" s="20"/>
      <c r="M34" s="25"/>
      <c r="N34" s="20"/>
      <c r="O34" s="20"/>
      <c r="P34" s="20"/>
      <c r="Q34" s="20"/>
      <c r="R34" s="25"/>
    </row>
    <row r="35" spans="1:18" ht="19.95" customHeight="1">
      <c r="A35" s="7">
        <v>45473</v>
      </c>
      <c r="B35" s="24"/>
      <c r="C35" s="9"/>
      <c r="D35" s="20"/>
      <c r="E35" s="20"/>
      <c r="F35" s="20"/>
      <c r="G35" s="20"/>
      <c r="H35" s="20"/>
      <c r="I35" s="20"/>
      <c r="J35" s="20"/>
      <c r="K35" s="20"/>
      <c r="L35" s="20"/>
      <c r="M35" s="25"/>
      <c r="N35" s="20"/>
      <c r="O35" s="20"/>
      <c r="P35" s="20"/>
      <c r="Q35" s="20"/>
      <c r="R35" s="25"/>
    </row>
    <row r="36" spans="1:18" ht="19.95" customHeight="1">
      <c r="A36" s="9"/>
      <c r="B36" s="24"/>
      <c r="C36" s="9"/>
      <c r="D36" s="20">
        <f>SUM(D2:D35)</f>
        <v>329100</v>
      </c>
      <c r="E36" s="9"/>
      <c r="F36" s="9"/>
      <c r="G36" s="9"/>
      <c r="H36" s="9"/>
      <c r="I36" s="9"/>
      <c r="J36" s="9"/>
      <c r="K36" s="9"/>
      <c r="L36" s="9"/>
      <c r="M36" s="19"/>
      <c r="N36" s="9"/>
      <c r="O36" s="9"/>
      <c r="P36" s="9"/>
      <c r="Q36" s="9"/>
      <c r="R36" s="19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workbookViewId="0">
      <selection activeCell="E6" sqref="E6"/>
    </sheetView>
  </sheetViews>
  <sheetFormatPr defaultColWidth="20.77734375" defaultRowHeight="19.95" customHeight="1"/>
  <cols>
    <col min="1" max="1" width="17.44140625" customWidth="1"/>
    <col min="2" max="2" width="40.77734375" style="10" customWidth="1"/>
    <col min="3" max="3" width="19.21875" style="11" customWidth="1"/>
    <col min="4" max="4" width="22.5546875" customWidth="1"/>
    <col min="5" max="5" width="14.6640625" customWidth="1"/>
  </cols>
  <sheetData>
    <row r="1" spans="1:6" ht="28.8">
      <c r="A1" s="12" t="s">
        <v>36</v>
      </c>
      <c r="B1" s="13" t="s">
        <v>1</v>
      </c>
      <c r="C1" s="13" t="s">
        <v>82</v>
      </c>
      <c r="D1" s="13" t="s">
        <v>83</v>
      </c>
      <c r="E1" s="12" t="s">
        <v>37</v>
      </c>
      <c r="F1" s="12" t="s">
        <v>84</v>
      </c>
    </row>
    <row r="2" spans="1:6" ht="19.95" customHeight="1">
      <c r="A2" s="3" t="s">
        <v>23</v>
      </c>
      <c r="B2" s="14"/>
      <c r="C2" s="15"/>
      <c r="D2" s="16"/>
      <c r="E2" s="17"/>
      <c r="F2" s="17">
        <v>20000</v>
      </c>
    </row>
    <row r="3" spans="1:6" ht="28.8">
      <c r="A3" s="7">
        <v>45444</v>
      </c>
      <c r="B3" s="18" t="s">
        <v>85</v>
      </c>
      <c r="C3" s="19" t="s">
        <v>86</v>
      </c>
      <c r="D3" s="9">
        <v>139455695</v>
      </c>
      <c r="E3" s="20">
        <v>500000</v>
      </c>
      <c r="F3" s="20">
        <f>F2+E3</f>
        <v>520000</v>
      </c>
    </row>
    <row r="4" spans="1:6" ht="19.95" customHeight="1">
      <c r="A4" s="7"/>
      <c r="B4" s="18" t="s">
        <v>87</v>
      </c>
      <c r="C4" s="19" t="s">
        <v>88</v>
      </c>
      <c r="D4" s="9" t="s">
        <v>89</v>
      </c>
      <c r="E4" s="20">
        <v>50000</v>
      </c>
      <c r="F4" s="20">
        <f t="shared" ref="F4:F13" si="0">F3+E4</f>
        <v>570000</v>
      </c>
    </row>
    <row r="5" spans="1:6" ht="19.95" customHeight="1">
      <c r="A5" s="7"/>
      <c r="B5" s="18" t="s">
        <v>90</v>
      </c>
      <c r="C5" s="19" t="s">
        <v>91</v>
      </c>
      <c r="D5" s="9">
        <v>635195</v>
      </c>
      <c r="E5" s="20">
        <v>60000</v>
      </c>
      <c r="F5" s="20">
        <f t="shared" si="0"/>
        <v>630000</v>
      </c>
    </row>
    <row r="6" spans="1:6" ht="19.95" customHeight="1">
      <c r="A6" s="7"/>
      <c r="B6" s="18"/>
      <c r="C6" s="19"/>
      <c r="D6" s="9"/>
      <c r="E6" s="20">
        <v>70000</v>
      </c>
      <c r="F6" s="20">
        <f t="shared" si="0"/>
        <v>700000</v>
      </c>
    </row>
    <row r="7" spans="1:6" ht="19.95" customHeight="1">
      <c r="A7" s="7"/>
      <c r="B7" s="18"/>
      <c r="C7" s="19"/>
      <c r="D7" s="9"/>
      <c r="E7" s="20"/>
      <c r="F7" s="20">
        <f t="shared" si="0"/>
        <v>700000</v>
      </c>
    </row>
    <row r="8" spans="1:6" ht="19.95" customHeight="1">
      <c r="A8" s="7">
        <v>45445</v>
      </c>
      <c r="B8" s="18"/>
      <c r="C8" s="19"/>
      <c r="D8" s="9"/>
      <c r="E8" s="9"/>
      <c r="F8" s="20">
        <f t="shared" si="0"/>
        <v>700000</v>
      </c>
    </row>
    <row r="9" spans="1:6" ht="19.95" customHeight="1">
      <c r="A9" s="7">
        <v>45446</v>
      </c>
      <c r="B9" s="18"/>
      <c r="C9" s="19"/>
      <c r="D9" s="9"/>
      <c r="E9" s="9"/>
      <c r="F9" s="20">
        <f t="shared" si="0"/>
        <v>700000</v>
      </c>
    </row>
    <row r="10" spans="1:6" ht="19.95" customHeight="1">
      <c r="A10" s="7">
        <v>45447</v>
      </c>
      <c r="B10" s="18"/>
      <c r="C10" s="19"/>
      <c r="D10" s="9"/>
      <c r="E10" s="9"/>
      <c r="F10" s="20">
        <f t="shared" si="0"/>
        <v>700000</v>
      </c>
    </row>
    <row r="11" spans="1:6" ht="19.95" customHeight="1">
      <c r="A11" s="7">
        <v>45448</v>
      </c>
      <c r="B11" s="18"/>
      <c r="C11" s="19"/>
      <c r="D11" s="9"/>
      <c r="E11" s="9"/>
      <c r="F11" s="20">
        <f t="shared" si="0"/>
        <v>700000</v>
      </c>
    </row>
    <row r="12" spans="1:6" ht="19.95" customHeight="1">
      <c r="A12" s="7">
        <v>45449</v>
      </c>
      <c r="B12" s="18"/>
      <c r="C12" s="19"/>
      <c r="D12" s="9"/>
      <c r="E12" s="9"/>
      <c r="F12" s="20">
        <f t="shared" si="0"/>
        <v>700000</v>
      </c>
    </row>
    <row r="13" spans="1:6" ht="19.95" customHeight="1">
      <c r="A13" s="7">
        <v>45450</v>
      </c>
      <c r="B13" s="18"/>
      <c r="C13" s="19"/>
      <c r="D13" s="9"/>
      <c r="E13" s="9"/>
      <c r="F13" s="20">
        <f t="shared" si="0"/>
        <v>700000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3"/>
  <sheetViews>
    <sheetView workbookViewId="0">
      <selection activeCell="I16" sqref="I16"/>
    </sheetView>
  </sheetViews>
  <sheetFormatPr defaultColWidth="20.77734375" defaultRowHeight="19.95" customHeight="1"/>
  <cols>
    <col min="1" max="1" width="13.88671875" style="1" customWidth="1"/>
    <col min="2" max="2" width="32.77734375" style="1" customWidth="1"/>
    <col min="3" max="3" width="8.44140625" style="1" customWidth="1"/>
    <col min="4" max="4" width="10" style="1" customWidth="1"/>
    <col min="5" max="20" width="11.109375" style="1" customWidth="1"/>
    <col min="21" max="21" width="9.33203125" style="1" customWidth="1"/>
    <col min="22" max="22" width="11.109375" style="1" customWidth="1"/>
    <col min="23" max="23" width="11.6640625" style="1" customWidth="1"/>
    <col min="24" max="25" width="20.77734375" style="1"/>
    <col min="26" max="26" width="38.88671875" style="1" customWidth="1"/>
    <col min="27" max="16384" width="20.77734375" style="1"/>
  </cols>
  <sheetData>
    <row r="1" spans="1:29" ht="19.95" customHeight="1">
      <c r="A1" s="53" t="s">
        <v>92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Y1" s="53" t="s">
        <v>93</v>
      </c>
      <c r="Z1" s="53"/>
      <c r="AA1" s="53"/>
      <c r="AB1" s="53"/>
      <c r="AC1" s="53"/>
    </row>
    <row r="2" spans="1:29" ht="19.95" customHeight="1">
      <c r="A2" s="2" t="s">
        <v>0</v>
      </c>
      <c r="B2" s="2" t="s">
        <v>1</v>
      </c>
      <c r="C2" s="54" t="s">
        <v>94</v>
      </c>
      <c r="D2" s="55"/>
      <c r="E2" s="56"/>
      <c r="F2" s="54" t="s">
        <v>95</v>
      </c>
      <c r="G2" s="55"/>
      <c r="H2" s="56"/>
      <c r="I2" s="54" t="s">
        <v>96</v>
      </c>
      <c r="J2" s="55"/>
      <c r="K2" s="56"/>
      <c r="L2" s="54" t="s">
        <v>97</v>
      </c>
      <c r="M2" s="55"/>
      <c r="N2" s="56"/>
      <c r="O2" s="54" t="s">
        <v>98</v>
      </c>
      <c r="P2" s="55"/>
      <c r="Q2" s="56"/>
      <c r="R2" s="54" t="s">
        <v>99</v>
      </c>
      <c r="S2" s="55"/>
      <c r="T2" s="56"/>
      <c r="U2" s="54" t="s">
        <v>100</v>
      </c>
      <c r="V2" s="55"/>
      <c r="W2" s="56"/>
      <c r="Y2" s="2" t="s">
        <v>0</v>
      </c>
      <c r="Z2" s="2" t="s">
        <v>1</v>
      </c>
      <c r="AA2" s="2" t="s">
        <v>101</v>
      </c>
      <c r="AB2" s="2" t="s">
        <v>102</v>
      </c>
      <c r="AC2" s="2" t="s">
        <v>84</v>
      </c>
    </row>
    <row r="3" spans="1:29" ht="19.95" customHeight="1">
      <c r="A3" s="3" t="s">
        <v>23</v>
      </c>
      <c r="B3" s="3"/>
      <c r="C3" s="4" t="s">
        <v>103</v>
      </c>
      <c r="D3" s="4" t="s">
        <v>50</v>
      </c>
      <c r="E3" s="4" t="s">
        <v>37</v>
      </c>
      <c r="F3" s="4" t="s">
        <v>103</v>
      </c>
      <c r="G3" s="4" t="s">
        <v>50</v>
      </c>
      <c r="H3" s="4" t="s">
        <v>37</v>
      </c>
      <c r="I3" s="4" t="s">
        <v>103</v>
      </c>
      <c r="J3" s="4" t="s">
        <v>50</v>
      </c>
      <c r="K3" s="4" t="s">
        <v>37</v>
      </c>
      <c r="L3" s="4" t="s">
        <v>103</v>
      </c>
      <c r="M3" s="4" t="s">
        <v>50</v>
      </c>
      <c r="N3" s="4" t="s">
        <v>37</v>
      </c>
      <c r="O3" s="4" t="s">
        <v>103</v>
      </c>
      <c r="P3" s="4" t="s">
        <v>50</v>
      </c>
      <c r="Q3" s="4" t="s">
        <v>37</v>
      </c>
      <c r="R3" s="4" t="s">
        <v>103</v>
      </c>
      <c r="S3" s="4" t="s">
        <v>50</v>
      </c>
      <c r="T3" s="4" t="s">
        <v>37</v>
      </c>
      <c r="U3" s="4" t="s">
        <v>103</v>
      </c>
      <c r="V3" s="4" t="s">
        <v>50</v>
      </c>
      <c r="W3" s="4" t="s">
        <v>37</v>
      </c>
      <c r="Y3" s="3" t="s">
        <v>23</v>
      </c>
      <c r="Z3" s="3"/>
      <c r="AA3" s="9"/>
      <c r="AB3" s="9"/>
      <c r="AC3" s="8">
        <v>2000</v>
      </c>
    </row>
    <row r="4" spans="1:29" ht="28.05" customHeight="1">
      <c r="A4" s="5">
        <v>45444</v>
      </c>
      <c r="B4" s="6" t="s">
        <v>104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8">
        <v>6000</v>
      </c>
      <c r="Y4" s="7">
        <v>45444</v>
      </c>
      <c r="Z4" s="6" t="s">
        <v>105</v>
      </c>
      <c r="AA4" s="8">
        <v>2500</v>
      </c>
      <c r="AB4" s="8">
        <v>1500</v>
      </c>
      <c r="AC4" s="8">
        <f>AC3+AA4-AB4</f>
        <v>3000</v>
      </c>
    </row>
    <row r="5" spans="1:29" ht="19.95" customHeight="1">
      <c r="A5" s="5">
        <v>45444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9"/>
      <c r="Y5" s="7">
        <v>45445</v>
      </c>
      <c r="Z5" s="7"/>
      <c r="AA5" s="9"/>
      <c r="AB5" s="9"/>
      <c r="AC5" s="9"/>
    </row>
    <row r="6" spans="1:29" ht="19.95" customHeight="1">
      <c r="A6" s="5">
        <v>45444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9"/>
      <c r="Y6" s="7">
        <v>45446</v>
      </c>
      <c r="Z6" s="7"/>
      <c r="AA6" s="9"/>
      <c r="AB6" s="9"/>
      <c r="AC6" s="9"/>
    </row>
    <row r="7" spans="1:29" ht="19.95" customHeight="1">
      <c r="A7" s="5">
        <v>45444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9"/>
      <c r="Y7" s="7">
        <v>45447</v>
      </c>
      <c r="Z7" s="7"/>
      <c r="AA7" s="9"/>
      <c r="AB7" s="9"/>
      <c r="AC7" s="9"/>
    </row>
    <row r="8" spans="1:29" ht="19.95" customHeight="1">
      <c r="A8" s="5">
        <v>45444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9"/>
      <c r="Y8" s="7">
        <v>45448</v>
      </c>
      <c r="Z8" s="7"/>
      <c r="AA8" s="9"/>
      <c r="AB8" s="9"/>
      <c r="AC8" s="9"/>
    </row>
    <row r="9" spans="1:29" ht="19.95" customHeight="1">
      <c r="A9" s="5">
        <v>45444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9"/>
      <c r="Y9" s="7">
        <v>45449</v>
      </c>
      <c r="Z9" s="7"/>
      <c r="AA9" s="9"/>
      <c r="AB9" s="9"/>
      <c r="AC9" s="9"/>
    </row>
    <row r="10" spans="1:29" ht="19.95" customHeight="1">
      <c r="A10" s="5">
        <v>45444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9"/>
      <c r="Y10" s="7">
        <v>45450</v>
      </c>
      <c r="Z10" s="7"/>
      <c r="AA10" s="9"/>
      <c r="AB10" s="9"/>
      <c r="AC10" s="9"/>
    </row>
    <row r="11" spans="1:29" ht="19.95" customHeight="1">
      <c r="A11" s="5">
        <v>45444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9"/>
      <c r="Y11" s="7">
        <v>45451</v>
      </c>
      <c r="Z11" s="7"/>
      <c r="AA11" s="9"/>
      <c r="AB11" s="9"/>
      <c r="AC11" s="9"/>
    </row>
    <row r="12" spans="1:29" ht="19.95" customHeight="1">
      <c r="A12" s="5">
        <v>45444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9"/>
      <c r="Y12" s="7">
        <v>45452</v>
      </c>
      <c r="Z12" s="7"/>
      <c r="AA12" s="9"/>
      <c r="AB12" s="9"/>
      <c r="AC12" s="9"/>
    </row>
    <row r="13" spans="1:29" ht="19.95" customHeight="1">
      <c r="A13" s="5">
        <v>45444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9"/>
      <c r="Y13" s="7">
        <v>45453</v>
      </c>
      <c r="Z13" s="7"/>
      <c r="AA13" s="9"/>
      <c r="AB13" s="9"/>
      <c r="AC13" s="9"/>
    </row>
    <row r="14" spans="1:29" ht="19.95" customHeight="1">
      <c r="A14" s="5">
        <v>45444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9"/>
      <c r="Y14" s="7">
        <v>45454</v>
      </c>
      <c r="Z14" s="7"/>
      <c r="AA14" s="9"/>
      <c r="AB14" s="9"/>
      <c r="AC14" s="9"/>
    </row>
    <row r="15" spans="1:29" ht="19.95" customHeight="1">
      <c r="A15" s="5">
        <v>45444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9"/>
      <c r="Y15" s="7">
        <v>45455</v>
      </c>
      <c r="Z15" s="7"/>
      <c r="AA15" s="9"/>
      <c r="AB15" s="9"/>
      <c r="AC15" s="9"/>
    </row>
    <row r="16" spans="1:29" ht="19.95" customHeight="1">
      <c r="A16" s="5">
        <v>45444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9"/>
      <c r="Y16" s="7">
        <v>45456</v>
      </c>
      <c r="Z16" s="7"/>
      <c r="AA16" s="9"/>
      <c r="AB16" s="9"/>
      <c r="AC16" s="9"/>
    </row>
    <row r="17" spans="1:29" ht="19.95" customHeight="1">
      <c r="A17" s="5">
        <v>45444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9"/>
      <c r="Y17" s="7">
        <v>45457</v>
      </c>
      <c r="Z17" s="7"/>
      <c r="AA17" s="9"/>
      <c r="AB17" s="9"/>
      <c r="AC17" s="9"/>
    </row>
    <row r="18" spans="1:29" ht="19.95" customHeight="1">
      <c r="A18" s="5">
        <v>45444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9"/>
      <c r="Y18" s="7">
        <v>45458</v>
      </c>
      <c r="Z18" s="7"/>
      <c r="AA18" s="9"/>
      <c r="AB18" s="9"/>
      <c r="AC18" s="9"/>
    </row>
    <row r="19" spans="1:29" ht="19.95" customHeight="1">
      <c r="A19" s="5">
        <v>45444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9"/>
      <c r="Y19" s="7">
        <v>45459</v>
      </c>
      <c r="Z19" s="7"/>
      <c r="AA19" s="9"/>
      <c r="AB19" s="9"/>
      <c r="AC19" s="9"/>
    </row>
    <row r="20" spans="1:29" ht="19.95" customHeight="1">
      <c r="A20" s="5">
        <v>45444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9"/>
      <c r="Y20" s="7">
        <v>45460</v>
      </c>
      <c r="Z20" s="7"/>
      <c r="AA20" s="9"/>
      <c r="AB20" s="9"/>
      <c r="AC20" s="9"/>
    </row>
    <row r="21" spans="1:29" ht="19.95" customHeight="1">
      <c r="A21" s="5">
        <v>45444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9"/>
      <c r="Y21" s="7">
        <v>45461</v>
      </c>
      <c r="Z21" s="7"/>
      <c r="AA21" s="9"/>
      <c r="AB21" s="9"/>
      <c r="AC21" s="9"/>
    </row>
    <row r="22" spans="1:29" ht="19.95" customHeight="1">
      <c r="A22" s="5">
        <v>45444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9"/>
      <c r="Y22" s="7">
        <v>45462</v>
      </c>
      <c r="Z22" s="7"/>
      <c r="AA22" s="9"/>
      <c r="AB22" s="9"/>
      <c r="AC22" s="9"/>
    </row>
    <row r="23" spans="1:29" ht="19.95" customHeight="1">
      <c r="A23" s="5">
        <v>45444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9"/>
      <c r="Y23" s="7">
        <v>45463</v>
      </c>
      <c r="Z23" s="7"/>
      <c r="AA23" s="9"/>
      <c r="AB23" s="9"/>
      <c r="AC23" s="9"/>
    </row>
    <row r="24" spans="1:29" ht="19.95" customHeight="1">
      <c r="A24" s="5">
        <v>45444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9"/>
      <c r="Y24" s="7">
        <v>45464</v>
      </c>
      <c r="Z24" s="7"/>
      <c r="AA24" s="9"/>
      <c r="AB24" s="9"/>
      <c r="AC24" s="9"/>
    </row>
    <row r="25" spans="1:29" ht="19.95" customHeight="1">
      <c r="A25" s="5">
        <v>45444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9"/>
      <c r="Y25" s="7">
        <v>45465</v>
      </c>
      <c r="Z25" s="7"/>
      <c r="AA25" s="9"/>
      <c r="AB25" s="9"/>
      <c r="AC25" s="9"/>
    </row>
    <row r="26" spans="1:29" ht="19.95" customHeight="1">
      <c r="A26" s="5">
        <v>45444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9"/>
      <c r="Y26" s="7">
        <v>45466</v>
      </c>
      <c r="Z26" s="7"/>
      <c r="AA26" s="9"/>
      <c r="AB26" s="9"/>
      <c r="AC26" s="9"/>
    </row>
    <row r="27" spans="1:29" ht="19.95" customHeight="1">
      <c r="A27" s="5">
        <v>45444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9"/>
      <c r="Y27" s="7">
        <v>45467</v>
      </c>
      <c r="Z27" s="7"/>
      <c r="AA27" s="9"/>
      <c r="AB27" s="9"/>
      <c r="AC27" s="9"/>
    </row>
    <row r="28" spans="1:29" ht="19.95" customHeight="1">
      <c r="A28" s="5">
        <v>45444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9"/>
      <c r="Y28" s="7">
        <v>45468</v>
      </c>
      <c r="Z28" s="7"/>
      <c r="AA28" s="9"/>
      <c r="AB28" s="9"/>
      <c r="AC28" s="9"/>
    </row>
    <row r="29" spans="1:29" ht="19.95" customHeight="1">
      <c r="A29" s="5">
        <v>45444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9"/>
      <c r="Y29" s="7">
        <v>45469</v>
      </c>
      <c r="Z29" s="7"/>
      <c r="AA29" s="9"/>
      <c r="AB29" s="9"/>
      <c r="AC29" s="9"/>
    </row>
    <row r="30" spans="1:29" ht="19.95" customHeight="1">
      <c r="A30" s="5">
        <v>45444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9"/>
      <c r="Y30" s="7">
        <v>45470</v>
      </c>
      <c r="Z30" s="7"/>
      <c r="AA30" s="9"/>
      <c r="AB30" s="9"/>
      <c r="AC30" s="9"/>
    </row>
    <row r="31" spans="1:29" ht="19.95" customHeight="1">
      <c r="A31" s="5">
        <v>45444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9"/>
      <c r="Y31" s="7">
        <v>45471</v>
      </c>
      <c r="Z31" s="7"/>
      <c r="AA31" s="9"/>
      <c r="AB31" s="9"/>
      <c r="AC31" s="9"/>
    </row>
    <row r="32" spans="1:29" ht="19.95" customHeight="1">
      <c r="A32" s="5">
        <v>45444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9"/>
      <c r="Y32" s="7">
        <v>45472</v>
      </c>
      <c r="Z32" s="7"/>
      <c r="AA32" s="9"/>
      <c r="AB32" s="9"/>
      <c r="AC32" s="9"/>
    </row>
    <row r="33" spans="1:29" ht="19.95" customHeight="1">
      <c r="A33" s="5">
        <v>45444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9"/>
      <c r="Y33" s="7">
        <v>45473</v>
      </c>
      <c r="Z33" s="7"/>
      <c r="AA33" s="9"/>
      <c r="AB33" s="9"/>
      <c r="AC33" s="9"/>
    </row>
  </sheetData>
  <mergeCells count="9">
    <mergeCell ref="A1:W1"/>
    <mergeCell ref="Y1:AC1"/>
    <mergeCell ref="C2:E2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 JOURNAL</vt:lpstr>
      <vt:lpstr>ACCOUNT RECEIVABLE LEDGER</vt:lpstr>
      <vt:lpstr>ACCOUNTS PAYABLE LEDGER</vt:lpstr>
      <vt:lpstr>SALES JOURNAL</vt:lpstr>
      <vt:lpstr>PURCHASE JOURNAL</vt:lpstr>
      <vt:lpstr>CASH DISBURSEMENT JOURNAL</vt:lpstr>
      <vt:lpstr>CASH RECEIPT JOURNAL</vt:lpstr>
      <vt:lpstr>INVENTORY 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Infinity Finance</cp:lastModifiedBy>
  <dcterms:created xsi:type="dcterms:W3CDTF">2024-07-01T03:12:00Z</dcterms:created>
  <dcterms:modified xsi:type="dcterms:W3CDTF">2026-02-12T01:35:16Z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F0F37BFECD8F4FD3BC99B520906DAE5D_13</vt:lpwstr>
  </property>
  <property fmtid="{D5CDD505-2E9C-101B-9397-08002B2CF9AE}" pid="3" name="KSOProductBuildVer">
    <vt:lpwstr>1033-12.2.0.19307</vt:lpwstr>
  </property>
</Properties>
</file>