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VITERBO FOODS OPC\"/>
    </mc:Choice>
  </mc:AlternateContent>
  <xr:revisionPtr revIDLastSave="0" documentId="8_{83616EF8-A7A7-487E-8BDE-CE2111EF2D4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MMARY" sheetId="1" r:id="rId1"/>
    <sheet name="DAILY SUMMARY" sheetId="2" r:id="rId2"/>
    <sheet name="income statement" sheetId="3" r:id="rId3"/>
    <sheet name="DAILY COGS" sheetId="4" r:id="rId4"/>
    <sheet name="B.O" sheetId="5" r:id="rId5"/>
    <sheet name="MONTHLY INV." sheetId="6" r:id="rId6"/>
    <sheet name="DELIVERIES" sheetId="7" r:id="rId7"/>
    <sheet name="GROSS" sheetId="8" r:id="rId8"/>
    <sheet name="CASH FLOW" sheetId="9" r:id="rId9"/>
    <sheet name="WEEKLY INV." sheetId="10" r:id="rId10"/>
    <sheet name="OPEX" sheetId="11" r:id="rId11"/>
    <sheet name="CAPEX" sheetId="12" r:id="rId12"/>
    <sheet name="Check and balance" sheetId="13" r:id="rId13"/>
    <sheet name="1" sheetId="14" r:id="rId14"/>
    <sheet name="2" sheetId="15" r:id="rId15"/>
    <sheet name="3" sheetId="16" r:id="rId16"/>
    <sheet name="4" sheetId="17" r:id="rId17"/>
    <sheet name="5" sheetId="18" r:id="rId18"/>
    <sheet name="6" sheetId="19" r:id="rId19"/>
    <sheet name="7" sheetId="20" r:id="rId20"/>
    <sheet name="8" sheetId="21" r:id="rId21"/>
    <sheet name="9" sheetId="22" r:id="rId22"/>
    <sheet name="10" sheetId="23" r:id="rId23"/>
    <sheet name="11" sheetId="24" r:id="rId24"/>
    <sheet name="12" sheetId="25" r:id="rId25"/>
    <sheet name="13" sheetId="26" r:id="rId26"/>
    <sheet name="14" sheetId="27" r:id="rId27"/>
    <sheet name="15" sheetId="28" r:id="rId28"/>
    <sheet name="16" sheetId="29" r:id="rId29"/>
    <sheet name="17" sheetId="30" r:id="rId30"/>
    <sheet name="18" sheetId="31" r:id="rId31"/>
    <sheet name="19" sheetId="32" r:id="rId32"/>
    <sheet name="20" sheetId="33" r:id="rId33"/>
    <sheet name="21" sheetId="34" r:id="rId34"/>
    <sheet name="22" sheetId="35" r:id="rId35"/>
    <sheet name="23" sheetId="36" r:id="rId36"/>
    <sheet name="24" sheetId="37" r:id="rId37"/>
    <sheet name="25" sheetId="38" r:id="rId38"/>
    <sheet name="26" sheetId="39" r:id="rId39"/>
    <sheet name="27" sheetId="40" r:id="rId40"/>
    <sheet name="28" sheetId="41" r:id="rId41"/>
    <sheet name="29" sheetId="42" r:id="rId42"/>
    <sheet name="30" sheetId="43" r:id="rId43"/>
    <sheet name="31" sheetId="44" r:id="rId44"/>
    <sheet name="Copy of Copy of Sheet2" sheetId="45" state="hidden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9" roundtripDataChecksum="csEQ4t22vA5VuYek0KhnfNHusS0zh2WHHzOjavCzAYo="/>
    </ext>
  </extLst>
</workbook>
</file>

<file path=xl/calcChain.xml><?xml version="1.0" encoding="utf-8"?>
<calcChain xmlns="http://schemas.openxmlformats.org/spreadsheetml/2006/main">
  <c r="Z40" i="44" l="1"/>
  <c r="Z39" i="44"/>
  <c r="Z33" i="44"/>
  <c r="W30" i="44"/>
  <c r="W31" i="44" s="1"/>
  <c r="B34" i="44" s="1"/>
  <c r="T30" i="44"/>
  <c r="N30" i="44"/>
  <c r="Q29" i="44"/>
  <c r="N29" i="44"/>
  <c r="B29" i="44"/>
  <c r="F29" i="44" s="1"/>
  <c r="H29" i="44" s="1"/>
  <c r="N28" i="44"/>
  <c r="Q28" i="44" s="1"/>
  <c r="F28" i="44"/>
  <c r="H28" i="44" s="1"/>
  <c r="B28" i="44"/>
  <c r="N27" i="44"/>
  <c r="Q27" i="44" s="1"/>
  <c r="H27" i="44"/>
  <c r="F27" i="44"/>
  <c r="B27" i="44"/>
  <c r="N26" i="44"/>
  <c r="Q26" i="44" s="1"/>
  <c r="B26" i="44"/>
  <c r="F26" i="44" s="1"/>
  <c r="AY52" i="8" s="1"/>
  <c r="BA52" i="8" s="1"/>
  <c r="Q25" i="44"/>
  <c r="N25" i="44"/>
  <c r="H25" i="44"/>
  <c r="B25" i="44"/>
  <c r="Q24" i="44"/>
  <c r="P24" i="44"/>
  <c r="N24" i="44"/>
  <c r="B24" i="44"/>
  <c r="F24" i="44" s="1"/>
  <c r="H24" i="44" s="1"/>
  <c r="Q23" i="44"/>
  <c r="N23" i="44"/>
  <c r="B23" i="44"/>
  <c r="F23" i="44" s="1"/>
  <c r="H23" i="44" s="1"/>
  <c r="W22" i="44"/>
  <c r="Q22" i="44"/>
  <c r="N22" i="44"/>
  <c r="B22" i="44"/>
  <c r="F22" i="44" s="1"/>
  <c r="H22" i="44" s="1"/>
  <c r="P21" i="44"/>
  <c r="N21" i="44"/>
  <c r="Q21" i="44" s="1"/>
  <c r="B21" i="44"/>
  <c r="F21" i="44" s="1"/>
  <c r="H21" i="44" s="1"/>
  <c r="P20" i="44"/>
  <c r="Q20" i="44" s="1"/>
  <c r="N20" i="44"/>
  <c r="B20" i="44"/>
  <c r="F20" i="44" s="1"/>
  <c r="H20" i="44" s="1"/>
  <c r="AB19" i="44"/>
  <c r="Q19" i="44"/>
  <c r="P19" i="44"/>
  <c r="N19" i="44"/>
  <c r="B19" i="44"/>
  <c r="F19" i="44" s="1"/>
  <c r="Q18" i="44"/>
  <c r="N18" i="44"/>
  <c r="B18" i="44"/>
  <c r="F18" i="44" s="1"/>
  <c r="H18" i="44" s="1"/>
  <c r="AB17" i="44"/>
  <c r="P17" i="44"/>
  <c r="Q17" i="44" s="1"/>
  <c r="N17" i="44"/>
  <c r="H17" i="44"/>
  <c r="F17" i="44"/>
  <c r="B17" i="44"/>
  <c r="AB16" i="44"/>
  <c r="P16" i="44"/>
  <c r="N16" i="44"/>
  <c r="Q16" i="44" s="1"/>
  <c r="B16" i="44"/>
  <c r="AB15" i="44"/>
  <c r="Q15" i="44"/>
  <c r="N15" i="44"/>
  <c r="F15" i="44"/>
  <c r="H15" i="44" s="1"/>
  <c r="B15" i="44"/>
  <c r="AB14" i="44"/>
  <c r="W14" i="44"/>
  <c r="N14" i="44"/>
  <c r="Q14" i="44" s="1"/>
  <c r="B14" i="44"/>
  <c r="F14" i="44" s="1"/>
  <c r="H14" i="44" s="1"/>
  <c r="AB13" i="44"/>
  <c r="N13" i="44"/>
  <c r="Q13" i="44" s="1"/>
  <c r="F13" i="44"/>
  <c r="H13" i="44" s="1"/>
  <c r="B13" i="44"/>
  <c r="AB12" i="44"/>
  <c r="N12" i="44"/>
  <c r="Q12" i="44" s="1"/>
  <c r="H12" i="44"/>
  <c r="F12" i="44"/>
  <c r="B12" i="44"/>
  <c r="AB11" i="44"/>
  <c r="N11" i="44"/>
  <c r="Q11" i="44" s="1"/>
  <c r="F11" i="44"/>
  <c r="H11" i="44" s="1"/>
  <c r="B11" i="44"/>
  <c r="AB10" i="44"/>
  <c r="N10" i="44"/>
  <c r="Q10" i="44" s="1"/>
  <c r="B10" i="44"/>
  <c r="F10" i="44" s="1"/>
  <c r="AB9" i="44"/>
  <c r="N9" i="44"/>
  <c r="Q9" i="44" s="1"/>
  <c r="F9" i="44"/>
  <c r="H9" i="44" s="1"/>
  <c r="B9" i="44"/>
  <c r="AB8" i="44"/>
  <c r="N8" i="44"/>
  <c r="Q8" i="44" s="1"/>
  <c r="B8" i="44"/>
  <c r="F8" i="44" s="1"/>
  <c r="AB7" i="44"/>
  <c r="N7" i="44"/>
  <c r="Q7" i="44" s="1"/>
  <c r="H7" i="44"/>
  <c r="F7" i="44"/>
  <c r="B7" i="44"/>
  <c r="Z40" i="43"/>
  <c r="Z39" i="43"/>
  <c r="Z37" i="43"/>
  <c r="Z34" i="43"/>
  <c r="Z33" i="43"/>
  <c r="W30" i="43"/>
  <c r="T30" i="43"/>
  <c r="N30" i="43"/>
  <c r="N29" i="43"/>
  <c r="Q29" i="43" s="1"/>
  <c r="H29" i="43"/>
  <c r="F29" i="43"/>
  <c r="B29" i="43"/>
  <c r="N28" i="43"/>
  <c r="Q28" i="43" s="1"/>
  <c r="H28" i="43"/>
  <c r="F28" i="43"/>
  <c r="B28" i="43"/>
  <c r="Q27" i="43"/>
  <c r="N27" i="43"/>
  <c r="B27" i="43"/>
  <c r="F27" i="43" s="1"/>
  <c r="H27" i="43" s="1"/>
  <c r="Q26" i="43"/>
  <c r="N26" i="43"/>
  <c r="F26" i="43"/>
  <c r="H26" i="43" s="1"/>
  <c r="B26" i="43"/>
  <c r="Q25" i="43"/>
  <c r="N25" i="43"/>
  <c r="H25" i="43"/>
  <c r="B25" i="43"/>
  <c r="P24" i="43"/>
  <c r="N24" i="43"/>
  <c r="B24" i="43"/>
  <c r="F24" i="43" s="1"/>
  <c r="H24" i="43" s="1"/>
  <c r="N23" i="43"/>
  <c r="Q23" i="43" s="1"/>
  <c r="H23" i="43"/>
  <c r="F23" i="43"/>
  <c r="B23" i="43"/>
  <c r="W22" i="43"/>
  <c r="N22" i="43"/>
  <c r="Q22" i="43" s="1"/>
  <c r="H22" i="43"/>
  <c r="F22" i="43"/>
  <c r="B22" i="43"/>
  <c r="P21" i="43"/>
  <c r="N21" i="43"/>
  <c r="Q21" i="43" s="1"/>
  <c r="B21" i="43"/>
  <c r="F21" i="43" s="1"/>
  <c r="P20" i="43"/>
  <c r="N20" i="43"/>
  <c r="H20" i="43"/>
  <c r="F20" i="43"/>
  <c r="B20" i="43"/>
  <c r="AB19" i="43"/>
  <c r="P19" i="43"/>
  <c r="N19" i="43"/>
  <c r="Q19" i="43" s="1"/>
  <c r="H19" i="43"/>
  <c r="F19" i="43"/>
  <c r="B19" i="43"/>
  <c r="Q18" i="43"/>
  <c r="N18" i="43"/>
  <c r="B18" i="43"/>
  <c r="F18" i="43" s="1"/>
  <c r="H18" i="43" s="1"/>
  <c r="AB17" i="43"/>
  <c r="Q17" i="43"/>
  <c r="P17" i="43"/>
  <c r="N17" i="43"/>
  <c r="B17" i="43"/>
  <c r="F17" i="43" s="1"/>
  <c r="H17" i="43" s="1"/>
  <c r="AB16" i="43"/>
  <c r="Q16" i="43"/>
  <c r="P16" i="43"/>
  <c r="N16" i="43"/>
  <c r="B16" i="43"/>
  <c r="AB15" i="43"/>
  <c r="N15" i="43"/>
  <c r="Q15" i="43" s="1"/>
  <c r="H15" i="43"/>
  <c r="B15" i="43"/>
  <c r="F15" i="43" s="1"/>
  <c r="AB14" i="43"/>
  <c r="W14" i="43"/>
  <c r="Q14" i="43"/>
  <c r="N14" i="43"/>
  <c r="F14" i="43"/>
  <c r="H14" i="43" s="1"/>
  <c r="B14" i="43"/>
  <c r="AB13" i="43"/>
  <c r="N13" i="43"/>
  <c r="Q13" i="43" s="1"/>
  <c r="F13" i="43"/>
  <c r="H13" i="43" s="1"/>
  <c r="B13" i="43"/>
  <c r="AB12" i="43"/>
  <c r="Q12" i="43"/>
  <c r="N12" i="43"/>
  <c r="B12" i="43"/>
  <c r="F12" i="43" s="1"/>
  <c r="H12" i="43" s="1"/>
  <c r="AB11" i="43"/>
  <c r="Z38" i="43" s="1"/>
  <c r="Q33" i="13" s="1"/>
  <c r="Q11" i="43"/>
  <c r="N11" i="43"/>
  <c r="B11" i="43"/>
  <c r="F11" i="43" s="1"/>
  <c r="H11" i="43" s="1"/>
  <c r="AB10" i="43"/>
  <c r="AB18" i="43" s="1"/>
  <c r="Z35" i="43" s="1"/>
  <c r="P33" i="13" s="1"/>
  <c r="R33" i="13" s="1"/>
  <c r="Q10" i="43"/>
  <c r="N10" i="43"/>
  <c r="F10" i="43"/>
  <c r="H10" i="43" s="1"/>
  <c r="B10" i="43"/>
  <c r="AB9" i="43"/>
  <c r="N9" i="43"/>
  <c r="Q9" i="43" s="1"/>
  <c r="F9" i="43"/>
  <c r="H9" i="43" s="1"/>
  <c r="B9" i="43"/>
  <c r="AB8" i="43"/>
  <c r="Q8" i="43"/>
  <c r="N8" i="43"/>
  <c r="F8" i="43"/>
  <c r="H8" i="43" s="1"/>
  <c r="B8" i="43"/>
  <c r="AB7" i="43"/>
  <c r="Q7" i="43"/>
  <c r="N7" i="43"/>
  <c r="B7" i="43"/>
  <c r="F7" i="43" s="1"/>
  <c r="Z40" i="42"/>
  <c r="Z39" i="42"/>
  <c r="Z34" i="42"/>
  <c r="Z33" i="42"/>
  <c r="W30" i="42"/>
  <c r="T30" i="42"/>
  <c r="N30" i="42"/>
  <c r="Q29" i="42"/>
  <c r="N29" i="42"/>
  <c r="B29" i="42"/>
  <c r="F29" i="42" s="1"/>
  <c r="B50" i="8" s="1"/>
  <c r="Q28" i="42"/>
  <c r="N28" i="42"/>
  <c r="F28" i="42"/>
  <c r="H28" i="42" s="1"/>
  <c r="B28" i="42"/>
  <c r="Q27" i="42"/>
  <c r="N27" i="42"/>
  <c r="B27" i="42"/>
  <c r="F27" i="42" s="1"/>
  <c r="H27" i="42" s="1"/>
  <c r="N26" i="42"/>
  <c r="Q26" i="42" s="1"/>
  <c r="B26" i="42"/>
  <c r="F26" i="42" s="1"/>
  <c r="Q25" i="42"/>
  <c r="N25" i="42"/>
  <c r="F25" i="42"/>
  <c r="H25" i="42" s="1"/>
  <c r="B25" i="42"/>
  <c r="P24" i="42"/>
  <c r="N24" i="42"/>
  <c r="H24" i="42"/>
  <c r="F24" i="42"/>
  <c r="B24" i="42"/>
  <c r="N23" i="42"/>
  <c r="Q23" i="42" s="1"/>
  <c r="F23" i="42"/>
  <c r="BH50" i="8" s="1"/>
  <c r="BJ50" i="8" s="1"/>
  <c r="B23" i="42"/>
  <c r="W22" i="42"/>
  <c r="N22" i="42"/>
  <c r="Q22" i="42" s="1"/>
  <c r="F22" i="42"/>
  <c r="H22" i="42" s="1"/>
  <c r="B22" i="42"/>
  <c r="P21" i="42"/>
  <c r="N21" i="42"/>
  <c r="Q21" i="42" s="1"/>
  <c r="B21" i="42"/>
  <c r="F21" i="42" s="1"/>
  <c r="H21" i="42" s="1"/>
  <c r="P20" i="42"/>
  <c r="N20" i="42"/>
  <c r="Q20" i="42" s="1"/>
  <c r="F20" i="42"/>
  <c r="BT50" i="8" s="1"/>
  <c r="BV50" i="8" s="1"/>
  <c r="B20" i="42"/>
  <c r="AB19" i="42"/>
  <c r="P19" i="42"/>
  <c r="N19" i="42"/>
  <c r="Q19" i="42" s="1"/>
  <c r="B19" i="42"/>
  <c r="F19" i="42" s="1"/>
  <c r="H19" i="42" s="1"/>
  <c r="Q18" i="42"/>
  <c r="N18" i="42"/>
  <c r="H18" i="42"/>
  <c r="F18" i="42"/>
  <c r="B18" i="42"/>
  <c r="AB17" i="42"/>
  <c r="P17" i="42"/>
  <c r="N17" i="42"/>
  <c r="Q17" i="42" s="1"/>
  <c r="F17" i="42"/>
  <c r="H17" i="42" s="1"/>
  <c r="B17" i="42"/>
  <c r="AB16" i="42"/>
  <c r="P16" i="42"/>
  <c r="Q16" i="42" s="1"/>
  <c r="N16" i="42"/>
  <c r="B16" i="42"/>
  <c r="AB15" i="42"/>
  <c r="Q15" i="42"/>
  <c r="N15" i="42"/>
  <c r="F15" i="42"/>
  <c r="H15" i="42" s="1"/>
  <c r="B15" i="42"/>
  <c r="AB14" i="42"/>
  <c r="W14" i="42"/>
  <c r="Q14" i="42"/>
  <c r="N14" i="42"/>
  <c r="B14" i="42"/>
  <c r="F14" i="42" s="1"/>
  <c r="H14" i="42" s="1"/>
  <c r="AB13" i="42"/>
  <c r="Q13" i="42"/>
  <c r="N13" i="42"/>
  <c r="B13" i="42"/>
  <c r="F13" i="42" s="1"/>
  <c r="H13" i="42" s="1"/>
  <c r="AB12" i="42"/>
  <c r="Q12" i="42"/>
  <c r="N12" i="42"/>
  <c r="B12" i="42"/>
  <c r="F12" i="42" s="1"/>
  <c r="H12" i="42" s="1"/>
  <c r="AB11" i="42"/>
  <c r="N11" i="42"/>
  <c r="Q11" i="42" s="1"/>
  <c r="H11" i="42"/>
  <c r="B11" i="42"/>
  <c r="F11" i="42" s="1"/>
  <c r="AB10" i="42"/>
  <c r="Q10" i="42"/>
  <c r="N10" i="42"/>
  <c r="B10" i="42"/>
  <c r="F10" i="42" s="1"/>
  <c r="H10" i="42" s="1"/>
  <c r="AB9" i="42"/>
  <c r="Q9" i="42"/>
  <c r="N9" i="42"/>
  <c r="H9" i="42"/>
  <c r="B9" i="42"/>
  <c r="F9" i="42" s="1"/>
  <c r="AB8" i="42"/>
  <c r="Q8" i="42"/>
  <c r="N8" i="42"/>
  <c r="B8" i="42"/>
  <c r="F8" i="42" s="1"/>
  <c r="H8" i="42" s="1"/>
  <c r="AB7" i="42"/>
  <c r="N7" i="42"/>
  <c r="Q7" i="42" s="1"/>
  <c r="B7" i="42"/>
  <c r="F7" i="42" s="1"/>
  <c r="H7" i="42" s="1"/>
  <c r="Z40" i="41"/>
  <c r="F41" i="11" s="1"/>
  <c r="Z39" i="41"/>
  <c r="Z33" i="41"/>
  <c r="W31" i="41"/>
  <c r="B34" i="41" s="1"/>
  <c r="W30" i="41"/>
  <c r="T30" i="41"/>
  <c r="N30" i="41"/>
  <c r="Q29" i="41"/>
  <c r="N29" i="41"/>
  <c r="F29" i="41"/>
  <c r="H29" i="41" s="1"/>
  <c r="B29" i="41"/>
  <c r="Q28" i="41"/>
  <c r="N28" i="41"/>
  <c r="B28" i="41"/>
  <c r="F28" i="41" s="1"/>
  <c r="H28" i="41" s="1"/>
  <c r="Q27" i="41"/>
  <c r="N27" i="41"/>
  <c r="H27" i="41"/>
  <c r="F27" i="41"/>
  <c r="B27" i="41"/>
  <c r="Q26" i="41"/>
  <c r="N26" i="41"/>
  <c r="H26" i="41"/>
  <c r="F26" i="41"/>
  <c r="B26" i="41"/>
  <c r="N25" i="41"/>
  <c r="Q25" i="41" s="1"/>
  <c r="B25" i="41"/>
  <c r="F25" i="41" s="1"/>
  <c r="Q24" i="41"/>
  <c r="P24" i="41"/>
  <c r="N24" i="41"/>
  <c r="F24" i="41"/>
  <c r="H24" i="41" s="1"/>
  <c r="B24" i="41"/>
  <c r="N23" i="41"/>
  <c r="Q23" i="41" s="1"/>
  <c r="B23" i="41"/>
  <c r="F23" i="41" s="1"/>
  <c r="H23" i="41" s="1"/>
  <c r="W22" i="41"/>
  <c r="Q22" i="41"/>
  <c r="N22" i="41"/>
  <c r="F22" i="41"/>
  <c r="H22" i="41" s="1"/>
  <c r="B22" i="41"/>
  <c r="P21" i="41"/>
  <c r="N21" i="41"/>
  <c r="Q21" i="41" s="1"/>
  <c r="B21" i="41"/>
  <c r="F21" i="41" s="1"/>
  <c r="H21" i="41" s="1"/>
  <c r="P20" i="41"/>
  <c r="Q20" i="41" s="1"/>
  <c r="N20" i="41"/>
  <c r="B20" i="41"/>
  <c r="F20" i="41" s="1"/>
  <c r="H20" i="41" s="1"/>
  <c r="AB19" i="41"/>
  <c r="P19" i="41"/>
  <c r="N19" i="41"/>
  <c r="Q19" i="41" s="1"/>
  <c r="B19" i="41"/>
  <c r="F19" i="41" s="1"/>
  <c r="H19" i="41" s="1"/>
  <c r="N18" i="41"/>
  <c r="Q18" i="41" s="1"/>
  <c r="H18" i="41"/>
  <c r="F18" i="41"/>
  <c r="B18" i="41"/>
  <c r="AB17" i="41"/>
  <c r="P17" i="41"/>
  <c r="N17" i="41"/>
  <c r="Q17" i="41" s="1"/>
  <c r="H17" i="41"/>
  <c r="F17" i="41"/>
  <c r="B17" i="41"/>
  <c r="AB16" i="41"/>
  <c r="P16" i="41"/>
  <c r="N16" i="41"/>
  <c r="Q16" i="41" s="1"/>
  <c r="B16" i="41"/>
  <c r="AB15" i="41"/>
  <c r="Q15" i="41"/>
  <c r="N15" i="41"/>
  <c r="F15" i="41"/>
  <c r="H15" i="41" s="1"/>
  <c r="B15" i="41"/>
  <c r="AB14" i="41"/>
  <c r="W14" i="41"/>
  <c r="N14" i="41"/>
  <c r="Q14" i="41" s="1"/>
  <c r="B14" i="41"/>
  <c r="F14" i="41" s="1"/>
  <c r="H14" i="41" s="1"/>
  <c r="AB13" i="41"/>
  <c r="Q13" i="41"/>
  <c r="N13" i="41"/>
  <c r="H13" i="41"/>
  <c r="F13" i="41"/>
  <c r="B13" i="41"/>
  <c r="AB12" i="41"/>
  <c r="N12" i="41"/>
  <c r="Q12" i="41" s="1"/>
  <c r="B12" i="41"/>
  <c r="F12" i="41" s="1"/>
  <c r="H12" i="41" s="1"/>
  <c r="AB11" i="41"/>
  <c r="N11" i="41"/>
  <c r="Q11" i="41" s="1"/>
  <c r="F11" i="41"/>
  <c r="H11" i="41" s="1"/>
  <c r="B11" i="41"/>
  <c r="AB10" i="41"/>
  <c r="Q10" i="41"/>
  <c r="N10" i="41"/>
  <c r="B10" i="41"/>
  <c r="F10" i="41" s="1"/>
  <c r="H10" i="41" s="1"/>
  <c r="AB9" i="41"/>
  <c r="N9" i="41"/>
  <c r="Q9" i="41" s="1"/>
  <c r="F9" i="41"/>
  <c r="H9" i="41" s="1"/>
  <c r="B9" i="41"/>
  <c r="AB8" i="41"/>
  <c r="Q8" i="41"/>
  <c r="N8" i="41"/>
  <c r="B8" i="41"/>
  <c r="F8" i="41" s="1"/>
  <c r="H8" i="41" s="1"/>
  <c r="AB7" i="41"/>
  <c r="N7" i="41"/>
  <c r="Q7" i="41" s="1"/>
  <c r="F7" i="41"/>
  <c r="H7" i="41" s="1"/>
  <c r="B7" i="41"/>
  <c r="Z40" i="40"/>
  <c r="Z39" i="40"/>
  <c r="Z38" i="40"/>
  <c r="Q30" i="13" s="1"/>
  <c r="Z33" i="40"/>
  <c r="W30" i="40"/>
  <c r="T30" i="40"/>
  <c r="N30" i="40"/>
  <c r="N29" i="40"/>
  <c r="Q29" i="40" s="1"/>
  <c r="H29" i="40"/>
  <c r="B29" i="40"/>
  <c r="F29" i="40" s="1"/>
  <c r="N28" i="40"/>
  <c r="Q28" i="40" s="1"/>
  <c r="B28" i="40"/>
  <c r="F28" i="40" s="1"/>
  <c r="H28" i="40" s="1"/>
  <c r="Q27" i="40"/>
  <c r="N27" i="40"/>
  <c r="B27" i="40"/>
  <c r="F27" i="40" s="1"/>
  <c r="H27" i="40" s="1"/>
  <c r="N26" i="40"/>
  <c r="Q26" i="40" s="1"/>
  <c r="F26" i="40"/>
  <c r="H26" i="40" s="1"/>
  <c r="B26" i="40"/>
  <c r="N25" i="40"/>
  <c r="Q25" i="40" s="1"/>
  <c r="B25" i="40"/>
  <c r="F25" i="40" s="1"/>
  <c r="H25" i="40" s="1"/>
  <c r="P24" i="40"/>
  <c r="Q24" i="40" s="1"/>
  <c r="N24" i="40"/>
  <c r="B24" i="40"/>
  <c r="F24" i="40" s="1"/>
  <c r="H24" i="40" s="1"/>
  <c r="Q23" i="40"/>
  <c r="N23" i="40"/>
  <c r="B23" i="40"/>
  <c r="F23" i="40" s="1"/>
  <c r="H23" i="40" s="1"/>
  <c r="W22" i="40"/>
  <c r="N22" i="40"/>
  <c r="Q22" i="40" s="1"/>
  <c r="B22" i="40"/>
  <c r="F22" i="40" s="1"/>
  <c r="H22" i="40" s="1"/>
  <c r="Q21" i="40"/>
  <c r="P21" i="40"/>
  <c r="N21" i="40"/>
  <c r="F21" i="40"/>
  <c r="H21" i="40" s="1"/>
  <c r="B21" i="40"/>
  <c r="P20" i="40"/>
  <c r="N20" i="40"/>
  <c r="Q20" i="40" s="1"/>
  <c r="B20" i="40"/>
  <c r="F20" i="40" s="1"/>
  <c r="H20" i="40" s="1"/>
  <c r="AB19" i="40"/>
  <c r="Q19" i="40"/>
  <c r="P19" i="40"/>
  <c r="N19" i="40"/>
  <c r="F19" i="40"/>
  <c r="H19" i="40" s="1"/>
  <c r="B19" i="40"/>
  <c r="Q18" i="40"/>
  <c r="N18" i="40"/>
  <c r="B18" i="40"/>
  <c r="F18" i="40" s="1"/>
  <c r="H18" i="40" s="1"/>
  <c r="AB17" i="40"/>
  <c r="P17" i="40"/>
  <c r="N17" i="40"/>
  <c r="Q17" i="40" s="1"/>
  <c r="H17" i="40"/>
  <c r="B17" i="40"/>
  <c r="AB16" i="40"/>
  <c r="P16" i="40"/>
  <c r="N16" i="40"/>
  <c r="Q16" i="40" s="1"/>
  <c r="B16" i="40"/>
  <c r="AB15" i="40"/>
  <c r="Z37" i="40" s="1"/>
  <c r="N15" i="40"/>
  <c r="Q15" i="40" s="1"/>
  <c r="B15" i="40"/>
  <c r="F15" i="40" s="1"/>
  <c r="H15" i="40" s="1"/>
  <c r="AB14" i="40"/>
  <c r="W14" i="40"/>
  <c r="N14" i="40"/>
  <c r="Q14" i="40" s="1"/>
  <c r="F14" i="40"/>
  <c r="H14" i="40" s="1"/>
  <c r="B14" i="40"/>
  <c r="AB13" i="40"/>
  <c r="N13" i="40"/>
  <c r="Q13" i="40" s="1"/>
  <c r="B13" i="40"/>
  <c r="F13" i="40" s="1"/>
  <c r="H13" i="40" s="1"/>
  <c r="AB12" i="40"/>
  <c r="N12" i="40"/>
  <c r="Q12" i="40" s="1"/>
  <c r="H12" i="40"/>
  <c r="F12" i="40"/>
  <c r="B12" i="40"/>
  <c r="AB11" i="40"/>
  <c r="N11" i="40"/>
  <c r="Q11" i="40" s="1"/>
  <c r="H11" i="40"/>
  <c r="F11" i="40"/>
  <c r="B11" i="40"/>
  <c r="AB10" i="40"/>
  <c r="N10" i="40"/>
  <c r="Q10" i="40" s="1"/>
  <c r="F10" i="40"/>
  <c r="B10" i="40"/>
  <c r="AB9" i="40"/>
  <c r="N9" i="40"/>
  <c r="Q9" i="40" s="1"/>
  <c r="B9" i="40"/>
  <c r="F9" i="40" s="1"/>
  <c r="H9" i="40" s="1"/>
  <c r="AB8" i="40"/>
  <c r="N8" i="40"/>
  <c r="Q8" i="40" s="1"/>
  <c r="H8" i="40"/>
  <c r="F8" i="40"/>
  <c r="B8" i="40"/>
  <c r="AB7" i="40"/>
  <c r="N7" i="40"/>
  <c r="Q7" i="40" s="1"/>
  <c r="B7" i="40"/>
  <c r="F7" i="40" s="1"/>
  <c r="H7" i="40" s="1"/>
  <c r="Z40" i="39"/>
  <c r="Z39" i="39"/>
  <c r="Z37" i="39"/>
  <c r="Z33" i="39"/>
  <c r="W30" i="39"/>
  <c r="T30" i="39"/>
  <c r="N30" i="39"/>
  <c r="Q29" i="39"/>
  <c r="N29" i="39"/>
  <c r="B29" i="39"/>
  <c r="F29" i="39" s="1"/>
  <c r="H29" i="39" s="1"/>
  <c r="N28" i="39"/>
  <c r="Q28" i="39" s="1"/>
  <c r="F28" i="39"/>
  <c r="H28" i="39" s="1"/>
  <c r="B28" i="39"/>
  <c r="N27" i="39"/>
  <c r="Q27" i="39" s="1"/>
  <c r="H27" i="39"/>
  <c r="F27" i="39"/>
  <c r="B27" i="39"/>
  <c r="Q26" i="39"/>
  <c r="N26" i="39"/>
  <c r="B26" i="39"/>
  <c r="F26" i="39" s="1"/>
  <c r="H26" i="39" s="1"/>
  <c r="Q25" i="39"/>
  <c r="N25" i="39"/>
  <c r="B25" i="39"/>
  <c r="F25" i="39" s="1"/>
  <c r="H25" i="39" s="1"/>
  <c r="P24" i="39"/>
  <c r="N24" i="39"/>
  <c r="Q24" i="39" s="1"/>
  <c r="H24" i="39"/>
  <c r="B24" i="39"/>
  <c r="F24" i="39" s="1"/>
  <c r="Q23" i="39"/>
  <c r="N23" i="39"/>
  <c r="B23" i="39"/>
  <c r="F23" i="39" s="1"/>
  <c r="H23" i="39" s="1"/>
  <c r="W22" i="39"/>
  <c r="Q22" i="39"/>
  <c r="N22" i="39"/>
  <c r="F22" i="39"/>
  <c r="H22" i="39" s="1"/>
  <c r="B22" i="39"/>
  <c r="P21" i="39"/>
  <c r="N21" i="39"/>
  <c r="Q21" i="39" s="1"/>
  <c r="B21" i="39"/>
  <c r="F21" i="39" s="1"/>
  <c r="H21" i="39" s="1"/>
  <c r="Q20" i="39"/>
  <c r="P20" i="39"/>
  <c r="N20" i="39"/>
  <c r="H20" i="39"/>
  <c r="F20" i="39"/>
  <c r="B20" i="39"/>
  <c r="AB19" i="39"/>
  <c r="P19" i="39"/>
  <c r="Q19" i="39" s="1"/>
  <c r="N19" i="39"/>
  <c r="B19" i="39"/>
  <c r="F19" i="39" s="1"/>
  <c r="H19" i="39" s="1"/>
  <c r="Q18" i="39"/>
  <c r="N18" i="39"/>
  <c r="H18" i="39"/>
  <c r="B18" i="39"/>
  <c r="F18" i="39" s="1"/>
  <c r="AB17" i="39"/>
  <c r="Q17" i="39"/>
  <c r="P17" i="39"/>
  <c r="N17" i="39"/>
  <c r="B17" i="39"/>
  <c r="F17" i="39" s="1"/>
  <c r="H17" i="39" s="1"/>
  <c r="AB16" i="39"/>
  <c r="Q16" i="39"/>
  <c r="P16" i="39"/>
  <c r="N16" i="39"/>
  <c r="AB15" i="39"/>
  <c r="Q15" i="39"/>
  <c r="N15" i="39"/>
  <c r="B15" i="39"/>
  <c r="F15" i="39" s="1"/>
  <c r="H15" i="39" s="1"/>
  <c r="AB14" i="39"/>
  <c r="W14" i="39"/>
  <c r="N14" i="39"/>
  <c r="Q14" i="39" s="1"/>
  <c r="F14" i="39"/>
  <c r="H14" i="39" s="1"/>
  <c r="B14" i="39"/>
  <c r="AB13" i="39"/>
  <c r="Q13" i="39"/>
  <c r="N13" i="39"/>
  <c r="B13" i="39"/>
  <c r="F13" i="39" s="1"/>
  <c r="H13" i="39" s="1"/>
  <c r="AB12" i="39"/>
  <c r="N12" i="39"/>
  <c r="Q12" i="39" s="1"/>
  <c r="F12" i="39"/>
  <c r="H12" i="39" s="1"/>
  <c r="B12" i="39"/>
  <c r="AB11" i="39"/>
  <c r="Q11" i="39"/>
  <c r="N11" i="39"/>
  <c r="F11" i="39"/>
  <c r="H11" i="39" s="1"/>
  <c r="B11" i="39"/>
  <c r="AB10" i="39"/>
  <c r="N10" i="39"/>
  <c r="Q10" i="39" s="1"/>
  <c r="B10" i="39"/>
  <c r="F10" i="39" s="1"/>
  <c r="H10" i="39" s="1"/>
  <c r="AB9" i="39"/>
  <c r="Q9" i="39"/>
  <c r="N9" i="39"/>
  <c r="B9" i="39"/>
  <c r="F9" i="39" s="1"/>
  <c r="H9" i="39" s="1"/>
  <c r="AB8" i="39"/>
  <c r="Q8" i="39"/>
  <c r="N8" i="39"/>
  <c r="B8" i="39"/>
  <c r="F8" i="39" s="1"/>
  <c r="H8" i="39" s="1"/>
  <c r="AB7" i="39"/>
  <c r="Q7" i="39"/>
  <c r="N7" i="39"/>
  <c r="B7" i="39"/>
  <c r="F7" i="39" s="1"/>
  <c r="E47" i="8" s="1"/>
  <c r="G47" i="8" s="1"/>
  <c r="Z40" i="38"/>
  <c r="Z39" i="38"/>
  <c r="Z38" i="38"/>
  <c r="Z33" i="38"/>
  <c r="W30" i="38"/>
  <c r="T30" i="38"/>
  <c r="N30" i="38"/>
  <c r="N29" i="38"/>
  <c r="Q29" i="38" s="1"/>
  <c r="B29" i="38"/>
  <c r="F29" i="38" s="1"/>
  <c r="H29" i="38" s="1"/>
  <c r="N28" i="38"/>
  <c r="Q28" i="38" s="1"/>
  <c r="B28" i="38"/>
  <c r="F28" i="38" s="1"/>
  <c r="Q27" i="38"/>
  <c r="N27" i="38"/>
  <c r="B27" i="38"/>
  <c r="F27" i="38" s="1"/>
  <c r="H27" i="38" s="1"/>
  <c r="N26" i="38"/>
  <c r="Q26" i="38" s="1"/>
  <c r="H26" i="38"/>
  <c r="F26" i="38"/>
  <c r="B26" i="38"/>
  <c r="N25" i="38"/>
  <c r="Q25" i="38" s="1"/>
  <c r="H25" i="38"/>
  <c r="F25" i="38"/>
  <c r="B25" i="38"/>
  <c r="P24" i="38"/>
  <c r="N24" i="38"/>
  <c r="F24" i="38"/>
  <c r="H24" i="38" s="1"/>
  <c r="B24" i="38"/>
  <c r="N23" i="38"/>
  <c r="Q23" i="38" s="1"/>
  <c r="F23" i="38"/>
  <c r="H23" i="38" s="1"/>
  <c r="B23" i="38"/>
  <c r="W22" i="38"/>
  <c r="N22" i="38"/>
  <c r="Q22" i="38" s="1"/>
  <c r="H22" i="38"/>
  <c r="F22" i="38"/>
  <c r="B22" i="38"/>
  <c r="Q21" i="38"/>
  <c r="P21" i="38"/>
  <c r="N21" i="38"/>
  <c r="F21" i="38"/>
  <c r="H21" i="38" s="1"/>
  <c r="B21" i="38"/>
  <c r="P20" i="38"/>
  <c r="N20" i="38"/>
  <c r="Q20" i="38" s="1"/>
  <c r="B20" i="38"/>
  <c r="F20" i="38" s="1"/>
  <c r="H20" i="38" s="1"/>
  <c r="AB19" i="38"/>
  <c r="P19" i="38"/>
  <c r="N19" i="38"/>
  <c r="H19" i="38"/>
  <c r="F19" i="38"/>
  <c r="B19" i="38"/>
  <c r="N18" i="38"/>
  <c r="Q18" i="38" s="1"/>
  <c r="B18" i="38"/>
  <c r="F18" i="38" s="1"/>
  <c r="H18" i="38" s="1"/>
  <c r="AB17" i="38"/>
  <c r="Q17" i="38"/>
  <c r="P17" i="38"/>
  <c r="N17" i="38"/>
  <c r="B17" i="38"/>
  <c r="F17" i="38" s="1"/>
  <c r="H17" i="38" s="1"/>
  <c r="AB16" i="38"/>
  <c r="P16" i="38"/>
  <c r="N16" i="38"/>
  <c r="Q16" i="38" s="1"/>
  <c r="AB15" i="38"/>
  <c r="Z37" i="38" s="1"/>
  <c r="N15" i="38"/>
  <c r="Q15" i="38" s="1"/>
  <c r="H15" i="38"/>
  <c r="F15" i="38"/>
  <c r="B15" i="38"/>
  <c r="AB14" i="38"/>
  <c r="W14" i="38"/>
  <c r="N14" i="38"/>
  <c r="Q14" i="38" s="1"/>
  <c r="F14" i="38"/>
  <c r="H14" i="38" s="1"/>
  <c r="B14" i="38"/>
  <c r="AB13" i="38"/>
  <c r="Q13" i="38"/>
  <c r="N13" i="38"/>
  <c r="B13" i="38"/>
  <c r="F13" i="38" s="1"/>
  <c r="H13" i="38" s="1"/>
  <c r="AB12" i="38"/>
  <c r="Q12" i="38"/>
  <c r="N12" i="38"/>
  <c r="F12" i="38"/>
  <c r="H12" i="38" s="1"/>
  <c r="B12" i="38"/>
  <c r="AB11" i="38"/>
  <c r="Q11" i="38"/>
  <c r="N11" i="38"/>
  <c r="B11" i="38"/>
  <c r="F11" i="38" s="1"/>
  <c r="H11" i="38" s="1"/>
  <c r="AB10" i="38"/>
  <c r="N10" i="38"/>
  <c r="Q10" i="38" s="1"/>
  <c r="H10" i="38"/>
  <c r="F10" i="38"/>
  <c r="B10" i="38"/>
  <c r="AB9" i="38"/>
  <c r="N9" i="38"/>
  <c r="Q9" i="38" s="1"/>
  <c r="B9" i="38"/>
  <c r="F9" i="38" s="1"/>
  <c r="H9" i="38" s="1"/>
  <c r="AB8" i="38"/>
  <c r="Q8" i="38"/>
  <c r="N8" i="38"/>
  <c r="H8" i="38"/>
  <c r="F8" i="38"/>
  <c r="B8" i="38"/>
  <c r="AB7" i="38"/>
  <c r="N7" i="38"/>
  <c r="Q7" i="38" s="1"/>
  <c r="B7" i="38"/>
  <c r="F7" i="38" s="1"/>
  <c r="H7" i="38" s="1"/>
  <c r="Z40" i="37"/>
  <c r="Z39" i="37"/>
  <c r="Z38" i="37"/>
  <c r="Z37" i="37"/>
  <c r="Z33" i="37"/>
  <c r="W30" i="37"/>
  <c r="T30" i="37"/>
  <c r="N30" i="37"/>
  <c r="Q29" i="37"/>
  <c r="N29" i="37"/>
  <c r="B29" i="37"/>
  <c r="F29" i="37" s="1"/>
  <c r="H29" i="37" s="1"/>
  <c r="N28" i="37"/>
  <c r="Q28" i="37" s="1"/>
  <c r="F28" i="37"/>
  <c r="H28" i="37" s="1"/>
  <c r="B28" i="37"/>
  <c r="N27" i="37"/>
  <c r="Q27" i="37" s="1"/>
  <c r="H27" i="37"/>
  <c r="F27" i="37"/>
  <c r="B27" i="37"/>
  <c r="N26" i="37"/>
  <c r="Q26" i="37" s="1"/>
  <c r="B26" i="37"/>
  <c r="F26" i="37" s="1"/>
  <c r="H26" i="37" s="1"/>
  <c r="Q25" i="37"/>
  <c r="N25" i="37"/>
  <c r="H25" i="37"/>
  <c r="F25" i="37"/>
  <c r="B25" i="37"/>
  <c r="Q24" i="37"/>
  <c r="P24" i="37"/>
  <c r="N24" i="37"/>
  <c r="H24" i="37"/>
  <c r="F24" i="37"/>
  <c r="B24" i="37"/>
  <c r="N23" i="37"/>
  <c r="Q23" i="37" s="1"/>
  <c r="F23" i="37"/>
  <c r="H23" i="37" s="1"/>
  <c r="B23" i="37"/>
  <c r="W22" i="37"/>
  <c r="Q22" i="37"/>
  <c r="N22" i="37"/>
  <c r="B22" i="37"/>
  <c r="F22" i="37" s="1"/>
  <c r="H22" i="37" s="1"/>
  <c r="Q21" i="37"/>
  <c r="P21" i="37"/>
  <c r="N21" i="37"/>
  <c r="B21" i="37"/>
  <c r="F21" i="37" s="1"/>
  <c r="H21" i="37" s="1"/>
  <c r="Q20" i="37"/>
  <c r="P20" i="37"/>
  <c r="N20" i="37"/>
  <c r="F20" i="37"/>
  <c r="H20" i="37" s="1"/>
  <c r="B20" i="37"/>
  <c r="AB19" i="37"/>
  <c r="P19" i="37"/>
  <c r="Q19" i="37" s="1"/>
  <c r="N19" i="37"/>
  <c r="B19" i="37"/>
  <c r="F19" i="37" s="1"/>
  <c r="H19" i="37" s="1"/>
  <c r="N18" i="37"/>
  <c r="Q18" i="37" s="1"/>
  <c r="F18" i="37"/>
  <c r="H18" i="37" s="1"/>
  <c r="B18" i="37"/>
  <c r="AB17" i="37"/>
  <c r="Q17" i="37"/>
  <c r="P17" i="37"/>
  <c r="N17" i="37"/>
  <c r="H17" i="37"/>
  <c r="F17" i="37"/>
  <c r="B17" i="37"/>
  <c r="AB16" i="37"/>
  <c r="P16" i="37"/>
  <c r="N16" i="37"/>
  <c r="Q16" i="37" s="1"/>
  <c r="H16" i="37"/>
  <c r="B16" i="37"/>
  <c r="AB15" i="37"/>
  <c r="Z34" i="37" s="1"/>
  <c r="N15" i="37"/>
  <c r="Q15" i="37" s="1"/>
  <c r="H15" i="37"/>
  <c r="F15" i="37"/>
  <c r="B15" i="37"/>
  <c r="AB14" i="37"/>
  <c r="W14" i="37"/>
  <c r="N14" i="37"/>
  <c r="Q14" i="37" s="1"/>
  <c r="B14" i="37"/>
  <c r="F14" i="37" s="1"/>
  <c r="H14" i="37" s="1"/>
  <c r="AB13" i="37"/>
  <c r="Q13" i="37"/>
  <c r="N13" i="37"/>
  <c r="H13" i="37"/>
  <c r="F13" i="37"/>
  <c r="B13" i="37"/>
  <c r="AB12" i="37"/>
  <c r="N12" i="37"/>
  <c r="Q12" i="37" s="1"/>
  <c r="B12" i="37"/>
  <c r="F12" i="37" s="1"/>
  <c r="H12" i="37" s="1"/>
  <c r="AB11" i="37"/>
  <c r="Q11" i="37"/>
  <c r="N11" i="37"/>
  <c r="H11" i="37"/>
  <c r="F11" i="37"/>
  <c r="B11" i="37"/>
  <c r="AB10" i="37"/>
  <c r="N10" i="37"/>
  <c r="Q10" i="37" s="1"/>
  <c r="H10" i="37"/>
  <c r="F10" i="37"/>
  <c r="B10" i="37"/>
  <c r="AB9" i="37"/>
  <c r="N9" i="37"/>
  <c r="Q9" i="37" s="1"/>
  <c r="H9" i="37"/>
  <c r="F9" i="37"/>
  <c r="B9" i="37"/>
  <c r="AB8" i="37"/>
  <c r="N8" i="37"/>
  <c r="Q8" i="37" s="1"/>
  <c r="H8" i="37"/>
  <c r="F8" i="37"/>
  <c r="B8" i="37"/>
  <c r="AB7" i="37"/>
  <c r="N7" i="37"/>
  <c r="Q7" i="37" s="1"/>
  <c r="H7" i="37"/>
  <c r="F7" i="37"/>
  <c r="B7" i="37"/>
  <c r="Z40" i="36"/>
  <c r="Z39" i="36"/>
  <c r="Z37" i="36"/>
  <c r="Z33" i="36"/>
  <c r="W30" i="36"/>
  <c r="T30" i="36"/>
  <c r="N30" i="36"/>
  <c r="Q29" i="36"/>
  <c r="N29" i="36"/>
  <c r="B29" i="36"/>
  <c r="F29" i="36" s="1"/>
  <c r="H29" i="36" s="1"/>
  <c r="Q28" i="36"/>
  <c r="N28" i="36"/>
  <c r="B28" i="36"/>
  <c r="F28" i="36" s="1"/>
  <c r="H28" i="36" s="1"/>
  <c r="N27" i="36"/>
  <c r="Q27" i="36" s="1"/>
  <c r="H27" i="36"/>
  <c r="F27" i="36"/>
  <c r="B27" i="36"/>
  <c r="N26" i="36"/>
  <c r="Q26" i="36" s="1"/>
  <c r="F26" i="36"/>
  <c r="H26" i="36" s="1"/>
  <c r="B26" i="36"/>
  <c r="Q25" i="36"/>
  <c r="N25" i="36"/>
  <c r="B25" i="36"/>
  <c r="F25" i="36" s="1"/>
  <c r="H25" i="36" s="1"/>
  <c r="Q24" i="36"/>
  <c r="P24" i="36"/>
  <c r="N24" i="36"/>
  <c r="F24" i="36"/>
  <c r="H24" i="36" s="1"/>
  <c r="B24" i="36"/>
  <c r="N23" i="36"/>
  <c r="Q23" i="36" s="1"/>
  <c r="B23" i="36"/>
  <c r="F23" i="36" s="1"/>
  <c r="BH44" i="8" s="1"/>
  <c r="BJ44" i="8" s="1"/>
  <c r="W22" i="36"/>
  <c r="Q22" i="36"/>
  <c r="N22" i="36"/>
  <c r="B22" i="36"/>
  <c r="F22" i="36" s="1"/>
  <c r="H22" i="36" s="1"/>
  <c r="Q21" i="36"/>
  <c r="P21" i="36"/>
  <c r="N21" i="36"/>
  <c r="B21" i="36"/>
  <c r="F21" i="36" s="1"/>
  <c r="H21" i="36" s="1"/>
  <c r="P20" i="36"/>
  <c r="Q20" i="36" s="1"/>
  <c r="N20" i="36"/>
  <c r="B20" i="36"/>
  <c r="F20" i="36" s="1"/>
  <c r="H20" i="36" s="1"/>
  <c r="AB19" i="36"/>
  <c r="P19" i="36"/>
  <c r="N19" i="36"/>
  <c r="Q19" i="36" s="1"/>
  <c r="F19" i="36"/>
  <c r="H19" i="36" s="1"/>
  <c r="B19" i="36"/>
  <c r="Q18" i="36"/>
  <c r="N18" i="36"/>
  <c r="B18" i="36"/>
  <c r="F18" i="36" s="1"/>
  <c r="H18" i="36" s="1"/>
  <c r="AB17" i="36"/>
  <c r="P17" i="36"/>
  <c r="Q17" i="36" s="1"/>
  <c r="N17" i="36"/>
  <c r="B17" i="36"/>
  <c r="F17" i="36" s="1"/>
  <c r="AB16" i="36"/>
  <c r="P16" i="36"/>
  <c r="N16" i="36"/>
  <c r="Q16" i="36" s="1"/>
  <c r="AB15" i="36"/>
  <c r="Q15" i="36"/>
  <c r="N15" i="36"/>
  <c r="B15" i="36"/>
  <c r="F15" i="36" s="1"/>
  <c r="H15" i="36" s="1"/>
  <c r="AB14" i="36"/>
  <c r="W14" i="36"/>
  <c r="N14" i="36"/>
  <c r="Q14" i="36" s="1"/>
  <c r="F14" i="36"/>
  <c r="B14" i="36"/>
  <c r="AB13" i="36"/>
  <c r="Q13" i="36"/>
  <c r="N13" i="36"/>
  <c r="B13" i="36"/>
  <c r="F13" i="36" s="1"/>
  <c r="H13" i="36" s="1"/>
  <c r="AB12" i="36"/>
  <c r="N12" i="36"/>
  <c r="Q12" i="36" s="1"/>
  <c r="B12" i="36"/>
  <c r="F12" i="36" s="1"/>
  <c r="H12" i="36" s="1"/>
  <c r="AB11" i="36"/>
  <c r="Q11" i="36"/>
  <c r="N11" i="36"/>
  <c r="B11" i="36"/>
  <c r="F11" i="36" s="1"/>
  <c r="AB10" i="36"/>
  <c r="N10" i="36"/>
  <c r="Q10" i="36" s="1"/>
  <c r="B10" i="36"/>
  <c r="F10" i="36" s="1"/>
  <c r="H10" i="36" s="1"/>
  <c r="AB9" i="36"/>
  <c r="Q9" i="36"/>
  <c r="N9" i="36"/>
  <c r="H9" i="36"/>
  <c r="F9" i="36"/>
  <c r="B9" i="36"/>
  <c r="AB8" i="36"/>
  <c r="N8" i="36"/>
  <c r="Q8" i="36" s="1"/>
  <c r="H8" i="36"/>
  <c r="F8" i="36"/>
  <c r="B8" i="36"/>
  <c r="AB7" i="36"/>
  <c r="Q7" i="36"/>
  <c r="N7" i="36"/>
  <c r="F7" i="36"/>
  <c r="H7" i="36" s="1"/>
  <c r="B7" i="36"/>
  <c r="Z40" i="35"/>
  <c r="Z39" i="35"/>
  <c r="Z37" i="35"/>
  <c r="Z33" i="35"/>
  <c r="W30" i="35"/>
  <c r="T30" i="35"/>
  <c r="N30" i="35"/>
  <c r="N29" i="35"/>
  <c r="Q29" i="35" s="1"/>
  <c r="F29" i="35"/>
  <c r="H29" i="35" s="1"/>
  <c r="B29" i="35"/>
  <c r="N28" i="35"/>
  <c r="Q28" i="35" s="1"/>
  <c r="F28" i="35"/>
  <c r="H28" i="35" s="1"/>
  <c r="B28" i="35"/>
  <c r="N27" i="35"/>
  <c r="Q27" i="35" s="1"/>
  <c r="B27" i="35"/>
  <c r="F27" i="35" s="1"/>
  <c r="Q26" i="35"/>
  <c r="N26" i="35"/>
  <c r="B26" i="35"/>
  <c r="F26" i="35" s="1"/>
  <c r="H26" i="35" s="1"/>
  <c r="Q25" i="35"/>
  <c r="N25" i="35"/>
  <c r="H25" i="35"/>
  <c r="F25" i="35"/>
  <c r="B25" i="35"/>
  <c r="P24" i="35"/>
  <c r="N24" i="35"/>
  <c r="Q24" i="35" s="1"/>
  <c r="B24" i="35"/>
  <c r="F24" i="35" s="1"/>
  <c r="Q23" i="35"/>
  <c r="N23" i="35"/>
  <c r="F23" i="35"/>
  <c r="H23" i="35" s="1"/>
  <c r="B23" i="35"/>
  <c r="W22" i="35"/>
  <c r="Q22" i="35"/>
  <c r="N22" i="35"/>
  <c r="F22" i="35"/>
  <c r="H22" i="35" s="1"/>
  <c r="B22" i="35"/>
  <c r="P21" i="35"/>
  <c r="N21" i="35"/>
  <c r="Q21" i="35" s="1"/>
  <c r="H21" i="35"/>
  <c r="F21" i="35"/>
  <c r="B21" i="35"/>
  <c r="P20" i="35"/>
  <c r="N20" i="35"/>
  <c r="H20" i="35"/>
  <c r="F20" i="35"/>
  <c r="B20" i="35"/>
  <c r="AB19" i="35"/>
  <c r="P19" i="35"/>
  <c r="N19" i="35"/>
  <c r="Q19" i="35" s="1"/>
  <c r="F19" i="35"/>
  <c r="B19" i="35"/>
  <c r="Q18" i="35"/>
  <c r="N18" i="35"/>
  <c r="B18" i="35"/>
  <c r="F18" i="35" s="1"/>
  <c r="H18" i="35" s="1"/>
  <c r="AB17" i="35"/>
  <c r="P17" i="35"/>
  <c r="N17" i="35"/>
  <c r="Q17" i="35" s="1"/>
  <c r="B17" i="35"/>
  <c r="F17" i="35" s="1"/>
  <c r="H17" i="35" s="1"/>
  <c r="AB16" i="35"/>
  <c r="AB18" i="35" s="1"/>
  <c r="Z35" i="35" s="1"/>
  <c r="Q16" i="35"/>
  <c r="P16" i="35"/>
  <c r="N16" i="35"/>
  <c r="AB15" i="35"/>
  <c r="N15" i="35"/>
  <c r="Q15" i="35" s="1"/>
  <c r="F15" i="35"/>
  <c r="H15" i="35" s="1"/>
  <c r="B15" i="35"/>
  <c r="AB14" i="35"/>
  <c r="W14" i="35"/>
  <c r="N14" i="35"/>
  <c r="Q14" i="35" s="1"/>
  <c r="B14" i="35"/>
  <c r="F14" i="35" s="1"/>
  <c r="H14" i="35" s="1"/>
  <c r="AB13" i="35"/>
  <c r="N13" i="35"/>
  <c r="Q13" i="35" s="1"/>
  <c r="B13" i="35"/>
  <c r="F13" i="35" s="1"/>
  <c r="H13" i="35" s="1"/>
  <c r="AB12" i="35"/>
  <c r="N12" i="35"/>
  <c r="Q12" i="35" s="1"/>
  <c r="B12" i="35"/>
  <c r="F12" i="35" s="1"/>
  <c r="H12" i="35" s="1"/>
  <c r="AB11" i="35"/>
  <c r="N11" i="35"/>
  <c r="Q11" i="35" s="1"/>
  <c r="H11" i="35"/>
  <c r="B11" i="35"/>
  <c r="F11" i="35" s="1"/>
  <c r="AB10" i="35"/>
  <c r="N10" i="35"/>
  <c r="Q10" i="35" s="1"/>
  <c r="B10" i="35"/>
  <c r="F10" i="35" s="1"/>
  <c r="H10" i="35" s="1"/>
  <c r="AB9" i="35"/>
  <c r="N9" i="35"/>
  <c r="Q9" i="35" s="1"/>
  <c r="H9" i="35"/>
  <c r="B9" i="35"/>
  <c r="F9" i="35" s="1"/>
  <c r="AB8" i="35"/>
  <c r="Q8" i="35"/>
  <c r="N8" i="35"/>
  <c r="B8" i="35"/>
  <c r="F8" i="35" s="1"/>
  <c r="H8" i="35" s="1"/>
  <c r="AB7" i="35"/>
  <c r="N7" i="35"/>
  <c r="Q7" i="35" s="1"/>
  <c r="H7" i="35"/>
  <c r="B7" i="35"/>
  <c r="F7" i="35" s="1"/>
  <c r="Z40" i="34"/>
  <c r="Z39" i="34"/>
  <c r="Z33" i="34"/>
  <c r="W31" i="34"/>
  <c r="B34" i="34" s="1"/>
  <c r="W30" i="34"/>
  <c r="T30" i="34"/>
  <c r="N30" i="34"/>
  <c r="N29" i="34"/>
  <c r="Q29" i="34" s="1"/>
  <c r="B29" i="34"/>
  <c r="F29" i="34" s="1"/>
  <c r="H29" i="34" s="1"/>
  <c r="Q28" i="34"/>
  <c r="N28" i="34"/>
  <c r="B28" i="34"/>
  <c r="F28" i="34" s="1"/>
  <c r="H28" i="34" s="1"/>
  <c r="Q27" i="34"/>
  <c r="N27" i="34"/>
  <c r="H27" i="34"/>
  <c r="F27" i="34"/>
  <c r="B27" i="34"/>
  <c r="N26" i="34"/>
  <c r="Q26" i="34" s="1"/>
  <c r="F26" i="34"/>
  <c r="H26" i="34" s="1"/>
  <c r="B26" i="34"/>
  <c r="Q25" i="34"/>
  <c r="N25" i="34"/>
  <c r="B25" i="34"/>
  <c r="F25" i="34" s="1"/>
  <c r="H25" i="34" s="1"/>
  <c r="Q24" i="34"/>
  <c r="P24" i="34"/>
  <c r="N24" i="34"/>
  <c r="B24" i="34"/>
  <c r="F24" i="34" s="1"/>
  <c r="N23" i="34"/>
  <c r="Q23" i="34" s="1"/>
  <c r="H23" i="34"/>
  <c r="F23" i="34"/>
  <c r="B23" i="34"/>
  <c r="W22" i="34"/>
  <c r="Q22" i="34"/>
  <c r="N22" i="34"/>
  <c r="B22" i="34"/>
  <c r="F22" i="34" s="1"/>
  <c r="H22" i="34" s="1"/>
  <c r="Q21" i="34"/>
  <c r="P21" i="34"/>
  <c r="N21" i="34"/>
  <c r="B21" i="34"/>
  <c r="F21" i="34" s="1"/>
  <c r="H21" i="34" s="1"/>
  <c r="Q20" i="34"/>
  <c r="P20" i="34"/>
  <c r="N20" i="34"/>
  <c r="B20" i="34"/>
  <c r="F20" i="34" s="1"/>
  <c r="H20" i="34" s="1"/>
  <c r="AB19" i="34"/>
  <c r="P19" i="34"/>
  <c r="N19" i="34"/>
  <c r="Q19" i="34" s="1"/>
  <c r="B19" i="34"/>
  <c r="F19" i="34" s="1"/>
  <c r="H19" i="34" s="1"/>
  <c r="N18" i="34"/>
  <c r="Q18" i="34" s="1"/>
  <c r="B18" i="34"/>
  <c r="F18" i="34" s="1"/>
  <c r="AB17" i="34"/>
  <c r="Q17" i="34"/>
  <c r="P17" i="34"/>
  <c r="N17" i="34"/>
  <c r="H17" i="34"/>
  <c r="F17" i="34"/>
  <c r="B17" i="34"/>
  <c r="AB16" i="34"/>
  <c r="Q16" i="34"/>
  <c r="P16" i="34"/>
  <c r="N16" i="34"/>
  <c r="AB15" i="34"/>
  <c r="Z37" i="34" s="1"/>
  <c r="N15" i="34"/>
  <c r="Q15" i="34" s="1"/>
  <c r="H15" i="34"/>
  <c r="F15" i="34"/>
  <c r="B15" i="34"/>
  <c r="AB14" i="34"/>
  <c r="W14" i="34"/>
  <c r="Q14" i="34"/>
  <c r="N14" i="34"/>
  <c r="F14" i="34"/>
  <c r="H14" i="34" s="1"/>
  <c r="B14" i="34"/>
  <c r="AB13" i="34"/>
  <c r="N13" i="34"/>
  <c r="Q13" i="34" s="1"/>
  <c r="H13" i="34"/>
  <c r="F13" i="34"/>
  <c r="B13" i="34"/>
  <c r="AB12" i="34"/>
  <c r="Q12" i="34"/>
  <c r="N12" i="34"/>
  <c r="F12" i="34"/>
  <c r="H12" i="34" s="1"/>
  <c r="B12" i="34"/>
  <c r="AB11" i="34"/>
  <c r="Z38" i="34" s="1"/>
  <c r="N11" i="34"/>
  <c r="Q11" i="34" s="1"/>
  <c r="Q31" i="34" s="1"/>
  <c r="H11" i="34"/>
  <c r="F11" i="34"/>
  <c r="B11" i="34"/>
  <c r="AB10" i="34"/>
  <c r="Q10" i="34"/>
  <c r="N10" i="34"/>
  <c r="F10" i="34"/>
  <c r="H10" i="34" s="1"/>
  <c r="B10" i="34"/>
  <c r="AB9" i="34"/>
  <c r="N9" i="34"/>
  <c r="Q9" i="34" s="1"/>
  <c r="B9" i="34"/>
  <c r="F9" i="34" s="1"/>
  <c r="AB8" i="34"/>
  <c r="Q8" i="34"/>
  <c r="N8" i="34"/>
  <c r="F8" i="34"/>
  <c r="H8" i="34" s="1"/>
  <c r="B8" i="34"/>
  <c r="AB7" i="34"/>
  <c r="Q7" i="34"/>
  <c r="N7" i="34"/>
  <c r="B7" i="34"/>
  <c r="F7" i="34" s="1"/>
  <c r="Z40" i="33"/>
  <c r="Z39" i="33"/>
  <c r="Z33" i="33"/>
  <c r="W31" i="33"/>
  <c r="B34" i="33" s="1"/>
  <c r="W30" i="33"/>
  <c r="T30" i="33"/>
  <c r="N30" i="33"/>
  <c r="Q29" i="33"/>
  <c r="N29" i="33"/>
  <c r="H29" i="33"/>
  <c r="F29" i="33"/>
  <c r="B29" i="33"/>
  <c r="N28" i="33"/>
  <c r="Q28" i="33" s="1"/>
  <c r="H28" i="33"/>
  <c r="F28" i="33"/>
  <c r="B28" i="33"/>
  <c r="N27" i="33"/>
  <c r="Q27" i="33" s="1"/>
  <c r="F27" i="33"/>
  <c r="H27" i="33" s="1"/>
  <c r="B27" i="33"/>
  <c r="Q26" i="33"/>
  <c r="N26" i="33"/>
  <c r="B26" i="33"/>
  <c r="F26" i="33" s="1"/>
  <c r="H26" i="33" s="1"/>
  <c r="Q25" i="33"/>
  <c r="N25" i="33"/>
  <c r="B25" i="33"/>
  <c r="F25" i="33" s="1"/>
  <c r="H25" i="33" s="1"/>
  <c r="P24" i="33"/>
  <c r="N24" i="33"/>
  <c r="Q24" i="33" s="1"/>
  <c r="F24" i="33"/>
  <c r="H24" i="33" s="1"/>
  <c r="B24" i="33"/>
  <c r="Q23" i="33"/>
  <c r="N23" i="33"/>
  <c r="F23" i="33"/>
  <c r="H23" i="33" s="1"/>
  <c r="B23" i="33"/>
  <c r="W22" i="33"/>
  <c r="N22" i="33"/>
  <c r="Q22" i="33" s="1"/>
  <c r="H22" i="33"/>
  <c r="B22" i="33"/>
  <c r="F22" i="33" s="1"/>
  <c r="P21" i="33"/>
  <c r="N21" i="33"/>
  <c r="Q21" i="33" s="1"/>
  <c r="F21" i="33"/>
  <c r="H21" i="33" s="1"/>
  <c r="B21" i="33"/>
  <c r="P20" i="33"/>
  <c r="N20" i="33"/>
  <c r="Q20" i="33" s="1"/>
  <c r="B20" i="33"/>
  <c r="F20" i="33" s="1"/>
  <c r="H20" i="33" s="1"/>
  <c r="AB19" i="33"/>
  <c r="P19" i="33"/>
  <c r="Q19" i="33" s="1"/>
  <c r="N19" i="33"/>
  <c r="F19" i="33"/>
  <c r="H19" i="33" s="1"/>
  <c r="B19" i="33"/>
  <c r="N18" i="33"/>
  <c r="Q18" i="33" s="1"/>
  <c r="B18" i="33"/>
  <c r="F18" i="33" s="1"/>
  <c r="H18" i="33" s="1"/>
  <c r="AB17" i="33"/>
  <c r="P17" i="33"/>
  <c r="N17" i="33"/>
  <c r="Q17" i="33" s="1"/>
  <c r="B17" i="33"/>
  <c r="F17" i="33" s="1"/>
  <c r="H17" i="33" s="1"/>
  <c r="AB16" i="33"/>
  <c r="P16" i="33"/>
  <c r="N16" i="33"/>
  <c r="Q16" i="33" s="1"/>
  <c r="B16" i="33"/>
  <c r="AB15" i="33"/>
  <c r="N15" i="33"/>
  <c r="Q15" i="33" s="1"/>
  <c r="H15" i="33"/>
  <c r="F15" i="33"/>
  <c r="B15" i="33"/>
  <c r="AB14" i="33"/>
  <c r="Z34" i="33" s="1"/>
  <c r="W14" i="33"/>
  <c r="N14" i="33"/>
  <c r="Q14" i="33" s="1"/>
  <c r="B14" i="33"/>
  <c r="F14" i="33" s="1"/>
  <c r="H14" i="33" s="1"/>
  <c r="AB13" i="33"/>
  <c r="Q13" i="33"/>
  <c r="N13" i="33"/>
  <c r="B13" i="33"/>
  <c r="F13" i="33" s="1"/>
  <c r="H13" i="33" s="1"/>
  <c r="AB12" i="33"/>
  <c r="N12" i="33"/>
  <c r="Q12" i="33" s="1"/>
  <c r="B12" i="33"/>
  <c r="F12" i="33" s="1"/>
  <c r="H12" i="33" s="1"/>
  <c r="AB11" i="33"/>
  <c r="N11" i="33"/>
  <c r="Q11" i="33" s="1"/>
  <c r="F11" i="33"/>
  <c r="H11" i="33" s="1"/>
  <c r="B11" i="33"/>
  <c r="AB10" i="33"/>
  <c r="N10" i="33"/>
  <c r="Q10" i="33" s="1"/>
  <c r="B10" i="33"/>
  <c r="F10" i="33" s="1"/>
  <c r="H10" i="33" s="1"/>
  <c r="AB9" i="33"/>
  <c r="Q9" i="33"/>
  <c r="N9" i="33"/>
  <c r="B9" i="33"/>
  <c r="F9" i="33" s="1"/>
  <c r="H9" i="33" s="1"/>
  <c r="AB8" i="33"/>
  <c r="N8" i="33"/>
  <c r="Q8" i="33" s="1"/>
  <c r="H8" i="33"/>
  <c r="F8" i="33"/>
  <c r="B8" i="33"/>
  <c r="AB7" i="33"/>
  <c r="N7" i="33"/>
  <c r="Q7" i="33" s="1"/>
  <c r="H7" i="33"/>
  <c r="H16" i="33" s="1"/>
  <c r="F7" i="33"/>
  <c r="B7" i="33"/>
  <c r="Z40" i="32"/>
  <c r="Z39" i="32"/>
  <c r="Z38" i="32"/>
  <c r="Z37" i="32"/>
  <c r="Z33" i="32"/>
  <c r="W30" i="32"/>
  <c r="T30" i="32"/>
  <c r="N30" i="32"/>
  <c r="N29" i="32"/>
  <c r="Q29" i="32" s="1"/>
  <c r="F29" i="32"/>
  <c r="H29" i="32" s="1"/>
  <c r="B29" i="32"/>
  <c r="N28" i="32"/>
  <c r="Q28" i="32" s="1"/>
  <c r="F28" i="32"/>
  <c r="B28" i="32"/>
  <c r="Q27" i="32"/>
  <c r="N27" i="32"/>
  <c r="B27" i="32"/>
  <c r="F27" i="32" s="1"/>
  <c r="H27" i="32" s="1"/>
  <c r="Q26" i="32"/>
  <c r="N26" i="32"/>
  <c r="B26" i="32"/>
  <c r="F26" i="32" s="1"/>
  <c r="H26" i="32" s="1"/>
  <c r="Q25" i="32"/>
  <c r="N25" i="32"/>
  <c r="F25" i="32"/>
  <c r="B25" i="32"/>
  <c r="P24" i="32"/>
  <c r="N24" i="32"/>
  <c r="Q24" i="32" s="1"/>
  <c r="F24" i="32"/>
  <c r="H24" i="32" s="1"/>
  <c r="B24" i="32"/>
  <c r="Q23" i="32"/>
  <c r="N23" i="32"/>
  <c r="B23" i="32"/>
  <c r="F23" i="32" s="1"/>
  <c r="H23" i="32" s="1"/>
  <c r="W22" i="32"/>
  <c r="N22" i="32"/>
  <c r="Q22" i="32" s="1"/>
  <c r="B22" i="32"/>
  <c r="F22" i="32" s="1"/>
  <c r="Q21" i="32"/>
  <c r="P21" i="32"/>
  <c r="N21" i="32"/>
  <c r="H21" i="32"/>
  <c r="F21" i="32"/>
  <c r="B21" i="32"/>
  <c r="Q20" i="32"/>
  <c r="P20" i="32"/>
  <c r="N20" i="32"/>
  <c r="B20" i="32"/>
  <c r="F20" i="32" s="1"/>
  <c r="H20" i="32" s="1"/>
  <c r="AB19" i="32"/>
  <c r="AB18" i="32" s="1"/>
  <c r="Z35" i="32" s="1"/>
  <c r="Q19" i="32"/>
  <c r="P19" i="32"/>
  <c r="N19" i="32"/>
  <c r="H19" i="32"/>
  <c r="F19" i="32"/>
  <c r="B19" i="32"/>
  <c r="N18" i="32"/>
  <c r="Q18" i="32" s="1"/>
  <c r="B18" i="32"/>
  <c r="F18" i="32" s="1"/>
  <c r="H18" i="32" s="1"/>
  <c r="AB17" i="32"/>
  <c r="P17" i="32"/>
  <c r="N17" i="32"/>
  <c r="Q17" i="32" s="1"/>
  <c r="H17" i="32"/>
  <c r="F17" i="32"/>
  <c r="B17" i="32"/>
  <c r="AB16" i="32"/>
  <c r="P16" i="32"/>
  <c r="N16" i="32"/>
  <c r="Q16" i="32" s="1"/>
  <c r="B16" i="32"/>
  <c r="AB15" i="32"/>
  <c r="N15" i="32"/>
  <c r="Q15" i="32" s="1"/>
  <c r="H15" i="32"/>
  <c r="F15" i="32"/>
  <c r="B15" i="32"/>
  <c r="AB14" i="32"/>
  <c r="W14" i="32"/>
  <c r="N14" i="32"/>
  <c r="Q14" i="32" s="1"/>
  <c r="B14" i="32"/>
  <c r="F14" i="32" s="1"/>
  <c r="H14" i="32" s="1"/>
  <c r="AB13" i="32"/>
  <c r="Q13" i="32"/>
  <c r="N13" i="32"/>
  <c r="B13" i="32"/>
  <c r="F13" i="32" s="1"/>
  <c r="H13" i="32" s="1"/>
  <c r="AB12" i="32"/>
  <c r="Q12" i="32"/>
  <c r="N12" i="32"/>
  <c r="B12" i="32"/>
  <c r="F12" i="32" s="1"/>
  <c r="AB11" i="32"/>
  <c r="N11" i="32"/>
  <c r="Q11" i="32" s="1"/>
  <c r="B11" i="32"/>
  <c r="F11" i="32" s="1"/>
  <c r="H11" i="32" s="1"/>
  <c r="AB10" i="32"/>
  <c r="N10" i="32"/>
  <c r="Q10" i="32" s="1"/>
  <c r="H10" i="32"/>
  <c r="F10" i="32"/>
  <c r="B10" i="32"/>
  <c r="AB9" i="32"/>
  <c r="Q9" i="32"/>
  <c r="N9" i="32"/>
  <c r="B9" i="32"/>
  <c r="F9" i="32" s="1"/>
  <c r="H9" i="32" s="1"/>
  <c r="AB8" i="32"/>
  <c r="Q8" i="32"/>
  <c r="N8" i="32"/>
  <c r="F8" i="32"/>
  <c r="H8" i="32" s="1"/>
  <c r="B8" i="32"/>
  <c r="AB7" i="32"/>
  <c r="N7" i="32"/>
  <c r="Q7" i="32" s="1"/>
  <c r="B7" i="32"/>
  <c r="F7" i="32" s="1"/>
  <c r="H7" i="32" s="1"/>
  <c r="Z40" i="31"/>
  <c r="Z39" i="31"/>
  <c r="Z33" i="31"/>
  <c r="W30" i="31"/>
  <c r="T30" i="31"/>
  <c r="N30" i="31"/>
  <c r="Q29" i="31"/>
  <c r="N29" i="31"/>
  <c r="B29" i="31"/>
  <c r="F29" i="31" s="1"/>
  <c r="H29" i="31" s="1"/>
  <c r="Q28" i="31"/>
  <c r="N28" i="31"/>
  <c r="F28" i="31"/>
  <c r="H28" i="31" s="1"/>
  <c r="B28" i="31"/>
  <c r="Q27" i="31"/>
  <c r="N27" i="31"/>
  <c r="H27" i="31"/>
  <c r="F27" i="31"/>
  <c r="B27" i="31"/>
  <c r="N26" i="31"/>
  <c r="Q26" i="31" s="1"/>
  <c r="H26" i="31"/>
  <c r="F26" i="31"/>
  <c r="B26" i="31"/>
  <c r="N25" i="31"/>
  <c r="Q25" i="31" s="1"/>
  <c r="B25" i="31"/>
  <c r="F25" i="31" s="1"/>
  <c r="H25" i="31" s="1"/>
  <c r="Q24" i="31"/>
  <c r="P24" i="31"/>
  <c r="N24" i="31"/>
  <c r="B24" i="31"/>
  <c r="F24" i="31" s="1"/>
  <c r="H24" i="31" s="1"/>
  <c r="Q23" i="31"/>
  <c r="N23" i="31"/>
  <c r="B23" i="31"/>
  <c r="F23" i="31" s="1"/>
  <c r="H23" i="31" s="1"/>
  <c r="W22" i="31"/>
  <c r="Q22" i="31"/>
  <c r="N22" i="31"/>
  <c r="B22" i="31"/>
  <c r="F22" i="31" s="1"/>
  <c r="H22" i="31" s="1"/>
  <c r="Q21" i="31"/>
  <c r="P21" i="31"/>
  <c r="N21" i="31"/>
  <c r="B21" i="31"/>
  <c r="F21" i="31" s="1"/>
  <c r="H21" i="31" s="1"/>
  <c r="Q20" i="31"/>
  <c r="P20" i="31"/>
  <c r="N20" i="31"/>
  <c r="B20" i="31"/>
  <c r="F20" i="31" s="1"/>
  <c r="H20" i="31" s="1"/>
  <c r="AB19" i="31"/>
  <c r="P19" i="31"/>
  <c r="N19" i="31"/>
  <c r="Q19" i="31" s="1"/>
  <c r="H19" i="31"/>
  <c r="F19" i="31"/>
  <c r="B19" i="31"/>
  <c r="N18" i="31"/>
  <c r="Q18" i="31" s="1"/>
  <c r="F18" i="31"/>
  <c r="H18" i="31" s="1"/>
  <c r="B18" i="31"/>
  <c r="AB17" i="31"/>
  <c r="P17" i="31"/>
  <c r="Q17" i="31" s="1"/>
  <c r="N17" i="31"/>
  <c r="F17" i="31"/>
  <c r="H17" i="31" s="1"/>
  <c r="B17" i="31"/>
  <c r="AB16" i="31"/>
  <c r="P16" i="31"/>
  <c r="N16" i="31"/>
  <c r="Q16" i="31" s="1"/>
  <c r="AB15" i="31"/>
  <c r="N15" i="31"/>
  <c r="Q15" i="31" s="1"/>
  <c r="H15" i="31"/>
  <c r="F15" i="31"/>
  <c r="B15" i="31"/>
  <c r="AB14" i="31"/>
  <c r="W14" i="31"/>
  <c r="N14" i="31"/>
  <c r="Q14" i="31" s="1"/>
  <c r="B14" i="31"/>
  <c r="F14" i="31" s="1"/>
  <c r="H14" i="31" s="1"/>
  <c r="AB13" i="31"/>
  <c r="N13" i="31"/>
  <c r="Q13" i="31" s="1"/>
  <c r="F13" i="31"/>
  <c r="B13" i="31"/>
  <c r="AB12" i="31"/>
  <c r="N12" i="31"/>
  <c r="Q12" i="31" s="1"/>
  <c r="B12" i="31"/>
  <c r="F12" i="31" s="1"/>
  <c r="H12" i="31" s="1"/>
  <c r="AB11" i="31"/>
  <c r="Q11" i="31"/>
  <c r="N11" i="31"/>
  <c r="F11" i="31"/>
  <c r="H11" i="31" s="1"/>
  <c r="B11" i="31"/>
  <c r="AB10" i="31"/>
  <c r="N10" i="31"/>
  <c r="Q10" i="31" s="1"/>
  <c r="H10" i="31"/>
  <c r="F10" i="31"/>
  <c r="B10" i="31"/>
  <c r="AB9" i="31"/>
  <c r="Q9" i="31"/>
  <c r="N9" i="31"/>
  <c r="F9" i="31"/>
  <c r="H9" i="31" s="1"/>
  <c r="B9" i="31"/>
  <c r="AB8" i="31"/>
  <c r="N8" i="31"/>
  <c r="Q8" i="31" s="1"/>
  <c r="H8" i="31"/>
  <c r="F8" i="31"/>
  <c r="B8" i="31"/>
  <c r="AB7" i="31"/>
  <c r="N7" i="31"/>
  <c r="Q7" i="31" s="1"/>
  <c r="H7" i="31"/>
  <c r="F7" i="31"/>
  <c r="B7" i="31"/>
  <c r="Z40" i="30"/>
  <c r="Z39" i="30"/>
  <c r="Z37" i="30"/>
  <c r="Z33" i="30"/>
  <c r="W30" i="30"/>
  <c r="T30" i="30"/>
  <c r="N30" i="30"/>
  <c r="N29" i="30"/>
  <c r="Q29" i="30" s="1"/>
  <c r="H29" i="30"/>
  <c r="F29" i="30"/>
  <c r="B29" i="30"/>
  <c r="N28" i="30"/>
  <c r="Q28" i="30" s="1"/>
  <c r="B28" i="30"/>
  <c r="F28" i="30" s="1"/>
  <c r="H28" i="30" s="1"/>
  <c r="Q27" i="30"/>
  <c r="N27" i="30"/>
  <c r="B27" i="30"/>
  <c r="F27" i="30" s="1"/>
  <c r="H27" i="30" s="1"/>
  <c r="Q26" i="30"/>
  <c r="N26" i="30"/>
  <c r="B26" i="30"/>
  <c r="F26" i="30" s="1"/>
  <c r="H26" i="30" s="1"/>
  <c r="Q25" i="30"/>
  <c r="N25" i="30"/>
  <c r="F25" i="30"/>
  <c r="H25" i="30" s="1"/>
  <c r="B25" i="30"/>
  <c r="Q24" i="30"/>
  <c r="P24" i="30"/>
  <c r="N24" i="30"/>
  <c r="B24" i="30"/>
  <c r="F24" i="30" s="1"/>
  <c r="H24" i="30" s="1"/>
  <c r="Q23" i="30"/>
  <c r="N23" i="30"/>
  <c r="B23" i="30"/>
  <c r="F23" i="30" s="1"/>
  <c r="W22" i="30"/>
  <c r="N22" i="30"/>
  <c r="Q22" i="30" s="1"/>
  <c r="B22" i="30"/>
  <c r="F22" i="30" s="1"/>
  <c r="H22" i="30" s="1"/>
  <c r="P21" i="30"/>
  <c r="N21" i="30"/>
  <c r="H21" i="30"/>
  <c r="F21" i="30"/>
  <c r="B21" i="30"/>
  <c r="P20" i="30"/>
  <c r="N20" i="30"/>
  <c r="Q20" i="30" s="1"/>
  <c r="B20" i="30"/>
  <c r="F20" i="30" s="1"/>
  <c r="H20" i="30" s="1"/>
  <c r="AB19" i="30"/>
  <c r="P19" i="30"/>
  <c r="Q19" i="30" s="1"/>
  <c r="N19" i="30"/>
  <c r="H19" i="30"/>
  <c r="F19" i="30"/>
  <c r="B19" i="30"/>
  <c r="Q18" i="30"/>
  <c r="N18" i="30"/>
  <c r="B18" i="30"/>
  <c r="F18" i="30" s="1"/>
  <c r="H18" i="30" s="1"/>
  <c r="AB17" i="30"/>
  <c r="Q17" i="30"/>
  <c r="P17" i="30"/>
  <c r="N17" i="30"/>
  <c r="H17" i="30"/>
  <c r="F17" i="30"/>
  <c r="B17" i="30"/>
  <c r="AB16" i="30"/>
  <c r="Q16" i="30"/>
  <c r="P16" i="30"/>
  <c r="N16" i="30"/>
  <c r="AB15" i="30"/>
  <c r="N15" i="30"/>
  <c r="Q15" i="30" s="1"/>
  <c r="B15" i="30"/>
  <c r="F15" i="30" s="1"/>
  <c r="H15" i="30" s="1"/>
  <c r="AB14" i="30"/>
  <c r="W14" i="30"/>
  <c r="Q14" i="30"/>
  <c r="N14" i="30"/>
  <c r="B14" i="30"/>
  <c r="F14" i="30" s="1"/>
  <c r="H14" i="30" s="1"/>
  <c r="AB13" i="30"/>
  <c r="N13" i="30"/>
  <c r="Q13" i="30" s="1"/>
  <c r="F13" i="30"/>
  <c r="H13" i="30" s="1"/>
  <c r="B13" i="30"/>
  <c r="AB12" i="30"/>
  <c r="Q12" i="30"/>
  <c r="N12" i="30"/>
  <c r="B12" i="30"/>
  <c r="F12" i="30" s="1"/>
  <c r="H12" i="30" s="1"/>
  <c r="AB11" i="30"/>
  <c r="N11" i="30"/>
  <c r="Q11" i="30" s="1"/>
  <c r="B11" i="30"/>
  <c r="F11" i="30" s="1"/>
  <c r="H11" i="30" s="1"/>
  <c r="AB10" i="30"/>
  <c r="Q10" i="30"/>
  <c r="N10" i="30"/>
  <c r="B10" i="30"/>
  <c r="F10" i="30" s="1"/>
  <c r="H10" i="30" s="1"/>
  <c r="AB9" i="30"/>
  <c r="Q9" i="30"/>
  <c r="N9" i="30"/>
  <c r="B9" i="30"/>
  <c r="F9" i="30" s="1"/>
  <c r="H9" i="30" s="1"/>
  <c r="AB8" i="30"/>
  <c r="Q8" i="30"/>
  <c r="N8" i="30"/>
  <c r="B8" i="30"/>
  <c r="F8" i="30" s="1"/>
  <c r="H8" i="30" s="1"/>
  <c r="AB7" i="30"/>
  <c r="N7" i="30"/>
  <c r="Q7" i="30" s="1"/>
  <c r="B7" i="30"/>
  <c r="F7" i="30" s="1"/>
  <c r="H7" i="30" s="1"/>
  <c r="Z40" i="29"/>
  <c r="Z39" i="29"/>
  <c r="Z33" i="29"/>
  <c r="W30" i="29"/>
  <c r="T30" i="29"/>
  <c r="N30" i="29"/>
  <c r="N29" i="29"/>
  <c r="Q29" i="29" s="1"/>
  <c r="B29" i="29"/>
  <c r="F29" i="29" s="1"/>
  <c r="Q28" i="29"/>
  <c r="N28" i="29"/>
  <c r="B28" i="29"/>
  <c r="F28" i="29" s="1"/>
  <c r="H28" i="29" s="1"/>
  <c r="N27" i="29"/>
  <c r="Q27" i="29" s="1"/>
  <c r="H27" i="29"/>
  <c r="F27" i="29"/>
  <c r="B27" i="29"/>
  <c r="N26" i="29"/>
  <c r="Q26" i="29" s="1"/>
  <c r="B26" i="29"/>
  <c r="F26" i="29" s="1"/>
  <c r="H26" i="29" s="1"/>
  <c r="N25" i="29"/>
  <c r="Q25" i="29" s="1"/>
  <c r="F25" i="29"/>
  <c r="B25" i="29"/>
  <c r="P24" i="29"/>
  <c r="N24" i="29"/>
  <c r="Q24" i="29" s="1"/>
  <c r="H24" i="29"/>
  <c r="F24" i="29"/>
  <c r="B24" i="29"/>
  <c r="N23" i="29"/>
  <c r="Q23" i="29" s="1"/>
  <c r="B23" i="29"/>
  <c r="F23" i="29" s="1"/>
  <c r="H23" i="29" s="1"/>
  <c r="W22" i="29"/>
  <c r="Q22" i="29"/>
  <c r="N22" i="29"/>
  <c r="F22" i="29"/>
  <c r="H22" i="29" s="1"/>
  <c r="B22" i="29"/>
  <c r="P21" i="29"/>
  <c r="N21" i="29"/>
  <c r="Q21" i="29" s="1"/>
  <c r="B21" i="29"/>
  <c r="F21" i="29" s="1"/>
  <c r="H21" i="29" s="1"/>
  <c r="Q20" i="29"/>
  <c r="P20" i="29"/>
  <c r="N20" i="29"/>
  <c r="F20" i="29"/>
  <c r="H20" i="29" s="1"/>
  <c r="B20" i="29"/>
  <c r="AB19" i="29"/>
  <c r="P19" i="29"/>
  <c r="N19" i="29"/>
  <c r="Q19" i="29" s="1"/>
  <c r="H19" i="29"/>
  <c r="F19" i="29"/>
  <c r="B19" i="29"/>
  <c r="Q18" i="29"/>
  <c r="N18" i="29"/>
  <c r="F18" i="29"/>
  <c r="H18" i="29" s="1"/>
  <c r="B18" i="29"/>
  <c r="AB17" i="29"/>
  <c r="P17" i="29"/>
  <c r="N17" i="29"/>
  <c r="Q17" i="29" s="1"/>
  <c r="H17" i="29"/>
  <c r="F17" i="29"/>
  <c r="B17" i="29"/>
  <c r="AB16" i="29"/>
  <c r="Q16" i="29"/>
  <c r="P16" i="29"/>
  <c r="N16" i="29"/>
  <c r="AB15" i="29"/>
  <c r="N15" i="29"/>
  <c r="Q15" i="29" s="1"/>
  <c r="B15" i="29"/>
  <c r="F15" i="29" s="1"/>
  <c r="H15" i="29" s="1"/>
  <c r="AB14" i="29"/>
  <c r="Z34" i="29" s="1"/>
  <c r="W14" i="29"/>
  <c r="Q14" i="29"/>
  <c r="N14" i="29"/>
  <c r="H14" i="29"/>
  <c r="B14" i="29"/>
  <c r="F14" i="29" s="1"/>
  <c r="AB13" i="29"/>
  <c r="N13" i="29"/>
  <c r="Q13" i="29" s="1"/>
  <c r="B13" i="29"/>
  <c r="F13" i="29" s="1"/>
  <c r="H13" i="29" s="1"/>
  <c r="AB12" i="29"/>
  <c r="Q12" i="29"/>
  <c r="N12" i="29"/>
  <c r="H12" i="29"/>
  <c r="B12" i="29"/>
  <c r="F12" i="29" s="1"/>
  <c r="AB11" i="29"/>
  <c r="N11" i="29"/>
  <c r="Q11" i="29" s="1"/>
  <c r="H11" i="29"/>
  <c r="F11" i="29"/>
  <c r="B11" i="29"/>
  <c r="AB10" i="29"/>
  <c r="N10" i="29"/>
  <c r="Q10" i="29" s="1"/>
  <c r="H10" i="29"/>
  <c r="B10" i="29"/>
  <c r="F10" i="29" s="1"/>
  <c r="AB9" i="29"/>
  <c r="Q9" i="29"/>
  <c r="N9" i="29"/>
  <c r="F9" i="29"/>
  <c r="H9" i="29" s="1"/>
  <c r="B9" i="29"/>
  <c r="AB8" i="29"/>
  <c r="N8" i="29"/>
  <c r="Q8" i="29" s="1"/>
  <c r="B8" i="29"/>
  <c r="F8" i="29" s="1"/>
  <c r="H8" i="29" s="1"/>
  <c r="AB7" i="29"/>
  <c r="Q7" i="29"/>
  <c r="N7" i="29"/>
  <c r="B7" i="29"/>
  <c r="F7" i="29" s="1"/>
  <c r="H7" i="29" s="1"/>
  <c r="Z40" i="28"/>
  <c r="Z39" i="28"/>
  <c r="Z38" i="28"/>
  <c r="Z37" i="28"/>
  <c r="Z34" i="28"/>
  <c r="Z33" i="28"/>
  <c r="W30" i="28"/>
  <c r="T30" i="28"/>
  <c r="N30" i="28"/>
  <c r="N29" i="28"/>
  <c r="Q29" i="28" s="1"/>
  <c r="H29" i="28"/>
  <c r="F29" i="28"/>
  <c r="B29" i="28"/>
  <c r="N28" i="28"/>
  <c r="Q28" i="28" s="1"/>
  <c r="H28" i="28"/>
  <c r="B28" i="28"/>
  <c r="F28" i="28" s="1"/>
  <c r="N27" i="28"/>
  <c r="Q27" i="28" s="1"/>
  <c r="B27" i="28"/>
  <c r="F27" i="28" s="1"/>
  <c r="H27" i="28" s="1"/>
  <c r="N26" i="28"/>
  <c r="Q26" i="28" s="1"/>
  <c r="B26" i="28"/>
  <c r="F26" i="28" s="1"/>
  <c r="H26" i="28" s="1"/>
  <c r="N25" i="28"/>
  <c r="Q25" i="28" s="1"/>
  <c r="F25" i="28"/>
  <c r="H25" i="28" s="1"/>
  <c r="B25" i="28"/>
  <c r="Q24" i="28"/>
  <c r="P24" i="28"/>
  <c r="N24" i="28"/>
  <c r="B24" i="28"/>
  <c r="F24" i="28" s="1"/>
  <c r="H24" i="28" s="1"/>
  <c r="Q23" i="28"/>
  <c r="N23" i="28"/>
  <c r="B23" i="28"/>
  <c r="F23" i="28" s="1"/>
  <c r="H23" i="28" s="1"/>
  <c r="W22" i="28"/>
  <c r="N22" i="28"/>
  <c r="Q22" i="28" s="1"/>
  <c r="H22" i="28"/>
  <c r="F22" i="28"/>
  <c r="B22" i="28"/>
  <c r="Q21" i="28"/>
  <c r="P21" i="28"/>
  <c r="N21" i="28"/>
  <c r="F21" i="28"/>
  <c r="H21" i="28" s="1"/>
  <c r="B21" i="28"/>
  <c r="P20" i="28"/>
  <c r="Q20" i="28" s="1"/>
  <c r="N20" i="28"/>
  <c r="F20" i="28"/>
  <c r="H20" i="28" s="1"/>
  <c r="B20" i="28"/>
  <c r="AB19" i="28"/>
  <c r="P19" i="28"/>
  <c r="N19" i="28"/>
  <c r="Q19" i="28" s="1"/>
  <c r="F19" i="28"/>
  <c r="H19" i="28" s="1"/>
  <c r="B19" i="28"/>
  <c r="N18" i="28"/>
  <c r="Q18" i="28" s="1"/>
  <c r="F18" i="28"/>
  <c r="H18" i="28" s="1"/>
  <c r="B18" i="28"/>
  <c r="AB17" i="28"/>
  <c r="P17" i="28"/>
  <c r="N17" i="28"/>
  <c r="Q17" i="28" s="1"/>
  <c r="F17" i="28"/>
  <c r="H17" i="28" s="1"/>
  <c r="B17" i="28"/>
  <c r="AB16" i="28"/>
  <c r="AB18" i="28" s="1"/>
  <c r="Z35" i="28" s="1"/>
  <c r="P18" i="13" s="1"/>
  <c r="P16" i="28"/>
  <c r="N16" i="28"/>
  <c r="Q16" i="28" s="1"/>
  <c r="B16" i="28"/>
  <c r="AB15" i="28"/>
  <c r="N15" i="28"/>
  <c r="Q15" i="28" s="1"/>
  <c r="B15" i="28"/>
  <c r="F15" i="28" s="1"/>
  <c r="H15" i="28" s="1"/>
  <c r="AB14" i="28"/>
  <c r="W14" i="28"/>
  <c r="N14" i="28"/>
  <c r="Q14" i="28" s="1"/>
  <c r="H14" i="28"/>
  <c r="F14" i="28"/>
  <c r="B14" i="28"/>
  <c r="AB13" i="28"/>
  <c r="N13" i="28"/>
  <c r="Q13" i="28" s="1"/>
  <c r="B13" i="28"/>
  <c r="F13" i="28" s="1"/>
  <c r="H13" i="28" s="1"/>
  <c r="AB12" i="28"/>
  <c r="Q12" i="28"/>
  <c r="N12" i="28"/>
  <c r="H12" i="28"/>
  <c r="F12" i="28"/>
  <c r="B12" i="28"/>
  <c r="AB11" i="28"/>
  <c r="N11" i="28"/>
  <c r="Q11" i="28" s="1"/>
  <c r="H11" i="28"/>
  <c r="F11" i="28"/>
  <c r="B11" i="28"/>
  <c r="AB10" i="28"/>
  <c r="N10" i="28"/>
  <c r="Q10" i="28" s="1"/>
  <c r="H10" i="28"/>
  <c r="F10" i="28"/>
  <c r="B10" i="28"/>
  <c r="AB9" i="28"/>
  <c r="N9" i="28"/>
  <c r="Q9" i="28" s="1"/>
  <c r="F9" i="28"/>
  <c r="H9" i="28" s="1"/>
  <c r="B9" i="28"/>
  <c r="AB8" i="28"/>
  <c r="Q8" i="28"/>
  <c r="N8" i="28"/>
  <c r="H8" i="28"/>
  <c r="F8" i="28"/>
  <c r="B8" i="28"/>
  <c r="AB7" i="28"/>
  <c r="N7" i="28"/>
  <c r="Q7" i="28" s="1"/>
  <c r="B7" i="28"/>
  <c r="F7" i="28" s="1"/>
  <c r="H7" i="28" s="1"/>
  <c r="Z40" i="27"/>
  <c r="Z39" i="27"/>
  <c r="Z37" i="27"/>
  <c r="Z33" i="27"/>
  <c r="W31" i="27"/>
  <c r="B34" i="27" s="1"/>
  <c r="Q31" i="27"/>
  <c r="W30" i="27"/>
  <c r="T30" i="27"/>
  <c r="N30" i="27"/>
  <c r="Q29" i="27"/>
  <c r="N29" i="27"/>
  <c r="B29" i="27"/>
  <c r="F29" i="27" s="1"/>
  <c r="H29" i="27" s="1"/>
  <c r="N28" i="27"/>
  <c r="Q28" i="27" s="1"/>
  <c r="H28" i="27"/>
  <c r="F28" i="27"/>
  <c r="B28" i="27"/>
  <c r="Q27" i="27"/>
  <c r="N27" i="27"/>
  <c r="B27" i="27"/>
  <c r="F27" i="27" s="1"/>
  <c r="H27" i="27" s="1"/>
  <c r="N26" i="27"/>
  <c r="Q26" i="27" s="1"/>
  <c r="B26" i="27"/>
  <c r="F26" i="27" s="1"/>
  <c r="H26" i="27" s="1"/>
  <c r="Q25" i="27"/>
  <c r="N25" i="27"/>
  <c r="F25" i="27"/>
  <c r="H25" i="27" s="1"/>
  <c r="B25" i="27"/>
  <c r="P24" i="27"/>
  <c r="N24" i="27"/>
  <c r="Q24" i="27" s="1"/>
  <c r="F24" i="27"/>
  <c r="H24" i="27" s="1"/>
  <c r="B24" i="27"/>
  <c r="Q23" i="27"/>
  <c r="N23" i="27"/>
  <c r="B23" i="27"/>
  <c r="F23" i="27" s="1"/>
  <c r="H23" i="27" s="1"/>
  <c r="W22" i="27"/>
  <c r="Q22" i="27"/>
  <c r="N22" i="27"/>
  <c r="B22" i="27"/>
  <c r="F22" i="27" s="1"/>
  <c r="H22" i="27" s="1"/>
  <c r="P21" i="27"/>
  <c r="Q21" i="27" s="1"/>
  <c r="N21" i="27"/>
  <c r="F21" i="27"/>
  <c r="H21" i="27" s="1"/>
  <c r="B21" i="27"/>
  <c r="Q20" i="27"/>
  <c r="P20" i="27"/>
  <c r="N20" i="27"/>
  <c r="B20" i="27"/>
  <c r="F20" i="27" s="1"/>
  <c r="H20" i="27" s="1"/>
  <c r="AB19" i="27"/>
  <c r="Q19" i="27"/>
  <c r="P19" i="27"/>
  <c r="N19" i="27"/>
  <c r="B19" i="27"/>
  <c r="F19" i="27" s="1"/>
  <c r="H19" i="27" s="1"/>
  <c r="Q18" i="27"/>
  <c r="N18" i="27"/>
  <c r="F18" i="27"/>
  <c r="H18" i="27" s="1"/>
  <c r="B18" i="27"/>
  <c r="AB17" i="27"/>
  <c r="P17" i="27"/>
  <c r="N17" i="27"/>
  <c r="Q17" i="27" s="1"/>
  <c r="F17" i="27"/>
  <c r="B17" i="27"/>
  <c r="AB16" i="27"/>
  <c r="Q16" i="27"/>
  <c r="P16" i="27"/>
  <c r="N16" i="27"/>
  <c r="B16" i="27"/>
  <c r="AB15" i="27"/>
  <c r="N15" i="27"/>
  <c r="Q15" i="27" s="1"/>
  <c r="B15" i="27"/>
  <c r="F15" i="27" s="1"/>
  <c r="H15" i="27" s="1"/>
  <c r="AB14" i="27"/>
  <c r="W14" i="27"/>
  <c r="Q14" i="27"/>
  <c r="N14" i="27"/>
  <c r="F14" i="27"/>
  <c r="H14" i="27" s="1"/>
  <c r="B14" i="27"/>
  <c r="AB13" i="27"/>
  <c r="Q13" i="27"/>
  <c r="N13" i="27"/>
  <c r="B13" i="27"/>
  <c r="F13" i="27" s="1"/>
  <c r="H13" i="27" s="1"/>
  <c r="AB12" i="27"/>
  <c r="Q12" i="27"/>
  <c r="N12" i="27"/>
  <c r="F12" i="27"/>
  <c r="H12" i="27" s="1"/>
  <c r="B12" i="27"/>
  <c r="AB11" i="27"/>
  <c r="Q11" i="27"/>
  <c r="N11" i="27"/>
  <c r="F11" i="27"/>
  <c r="H11" i="27" s="1"/>
  <c r="B11" i="27"/>
  <c r="AB10" i="27"/>
  <c r="Q10" i="27"/>
  <c r="N10" i="27"/>
  <c r="F10" i="27"/>
  <c r="H10" i="27" s="1"/>
  <c r="B10" i="27"/>
  <c r="AB9" i="27"/>
  <c r="N9" i="27"/>
  <c r="Q9" i="27" s="1"/>
  <c r="B9" i="27"/>
  <c r="F9" i="27" s="1"/>
  <c r="H9" i="27" s="1"/>
  <c r="AB8" i="27"/>
  <c r="Q8" i="27"/>
  <c r="N8" i="27"/>
  <c r="F8" i="27"/>
  <c r="B8" i="27"/>
  <c r="AB7" i="27"/>
  <c r="N7" i="27"/>
  <c r="Q7" i="27" s="1"/>
  <c r="H7" i="27"/>
  <c r="F7" i="27"/>
  <c r="B7" i="27"/>
  <c r="Z40" i="26"/>
  <c r="Z39" i="26"/>
  <c r="Z34" i="26"/>
  <c r="Z33" i="26"/>
  <c r="W31" i="26"/>
  <c r="B34" i="26" s="1"/>
  <c r="W30" i="26"/>
  <c r="T30" i="26"/>
  <c r="N30" i="26"/>
  <c r="N29" i="26"/>
  <c r="Q29" i="26" s="1"/>
  <c r="F29" i="26"/>
  <c r="H29" i="26" s="1"/>
  <c r="B29" i="26"/>
  <c r="Q28" i="26"/>
  <c r="N28" i="26"/>
  <c r="H28" i="26"/>
  <c r="F28" i="26"/>
  <c r="B28" i="26"/>
  <c r="N27" i="26"/>
  <c r="Q27" i="26" s="1"/>
  <c r="B27" i="26"/>
  <c r="F27" i="26" s="1"/>
  <c r="H27" i="26" s="1"/>
  <c r="N26" i="26"/>
  <c r="Q26" i="26" s="1"/>
  <c r="H26" i="26"/>
  <c r="F26" i="26"/>
  <c r="B26" i="26"/>
  <c r="Q25" i="26"/>
  <c r="N25" i="26"/>
  <c r="B25" i="26"/>
  <c r="F25" i="26" s="1"/>
  <c r="H25" i="26" s="1"/>
  <c r="P24" i="26"/>
  <c r="N24" i="26"/>
  <c r="B24" i="26"/>
  <c r="F24" i="26" s="1"/>
  <c r="H24" i="26" s="1"/>
  <c r="N23" i="26"/>
  <c r="Q23" i="26" s="1"/>
  <c r="B23" i="26"/>
  <c r="F23" i="26" s="1"/>
  <c r="H23" i="26" s="1"/>
  <c r="W22" i="26"/>
  <c r="N22" i="26"/>
  <c r="Q22" i="26" s="1"/>
  <c r="B22" i="26"/>
  <c r="F22" i="26" s="1"/>
  <c r="H22" i="26" s="1"/>
  <c r="P21" i="26"/>
  <c r="Q21" i="26" s="1"/>
  <c r="N21" i="26"/>
  <c r="B21" i="26"/>
  <c r="F21" i="26" s="1"/>
  <c r="H21" i="26" s="1"/>
  <c r="Q20" i="26"/>
  <c r="P20" i="26"/>
  <c r="N20" i="26"/>
  <c r="F20" i="26"/>
  <c r="H20" i="26" s="1"/>
  <c r="B20" i="26"/>
  <c r="AB19" i="26"/>
  <c r="P19" i="26"/>
  <c r="Q19" i="26" s="1"/>
  <c r="N19" i="26"/>
  <c r="B19" i="26"/>
  <c r="F19" i="26" s="1"/>
  <c r="H19" i="26" s="1"/>
  <c r="Q18" i="26"/>
  <c r="N18" i="26"/>
  <c r="F18" i="26"/>
  <c r="H18" i="26" s="1"/>
  <c r="B18" i="26"/>
  <c r="AB17" i="26"/>
  <c r="Q17" i="26"/>
  <c r="P17" i="26"/>
  <c r="N17" i="26"/>
  <c r="B17" i="26"/>
  <c r="F17" i="26" s="1"/>
  <c r="H17" i="26" s="1"/>
  <c r="AB16" i="26"/>
  <c r="P16" i="26"/>
  <c r="N16" i="26"/>
  <c r="Q16" i="26" s="1"/>
  <c r="AB15" i="26"/>
  <c r="Q15" i="26"/>
  <c r="N15" i="26"/>
  <c r="B15" i="26"/>
  <c r="F15" i="26" s="1"/>
  <c r="H15" i="26" s="1"/>
  <c r="AB14" i="26"/>
  <c r="E20" i="11" s="1"/>
  <c r="W14" i="26"/>
  <c r="Q14" i="26"/>
  <c r="N14" i="26"/>
  <c r="B14" i="26"/>
  <c r="F14" i="26" s="1"/>
  <c r="H14" i="26" s="1"/>
  <c r="AB13" i="26"/>
  <c r="Q13" i="26"/>
  <c r="N13" i="26"/>
  <c r="B13" i="26"/>
  <c r="F13" i="26" s="1"/>
  <c r="H13" i="26" s="1"/>
  <c r="AB12" i="26"/>
  <c r="Q12" i="26"/>
  <c r="N12" i="26"/>
  <c r="B12" i="26"/>
  <c r="F12" i="26" s="1"/>
  <c r="H12" i="26" s="1"/>
  <c r="AB11" i="26"/>
  <c r="Q11" i="26"/>
  <c r="N11" i="26"/>
  <c r="F11" i="26"/>
  <c r="H11" i="26" s="1"/>
  <c r="B11" i="26"/>
  <c r="AB10" i="26"/>
  <c r="Q10" i="26"/>
  <c r="N10" i="26"/>
  <c r="B10" i="26"/>
  <c r="F10" i="26" s="1"/>
  <c r="H10" i="26" s="1"/>
  <c r="AB9" i="26"/>
  <c r="Q9" i="26"/>
  <c r="N9" i="26"/>
  <c r="B9" i="26"/>
  <c r="F9" i="26" s="1"/>
  <c r="H9" i="26" s="1"/>
  <c r="AB8" i="26"/>
  <c r="Q8" i="26"/>
  <c r="N8" i="26"/>
  <c r="B8" i="26"/>
  <c r="F8" i="26" s="1"/>
  <c r="AB7" i="26"/>
  <c r="AB18" i="26" s="1"/>
  <c r="Z35" i="26" s="1"/>
  <c r="Z32" i="26" s="1"/>
  <c r="F16" i="13" s="1"/>
  <c r="Q7" i="26"/>
  <c r="N7" i="26"/>
  <c r="H7" i="26"/>
  <c r="F7" i="26"/>
  <c r="B7" i="26"/>
  <c r="Z40" i="25"/>
  <c r="Z39" i="25"/>
  <c r="B34" i="25"/>
  <c r="Z33" i="25"/>
  <c r="W31" i="25"/>
  <c r="W30" i="25"/>
  <c r="T30" i="25"/>
  <c r="N30" i="25"/>
  <c r="N29" i="25"/>
  <c r="Q29" i="25" s="1"/>
  <c r="B29" i="25"/>
  <c r="F29" i="25" s="1"/>
  <c r="H29" i="25" s="1"/>
  <c r="N28" i="25"/>
  <c r="Q28" i="25" s="1"/>
  <c r="F28" i="25"/>
  <c r="H28" i="25" s="1"/>
  <c r="B28" i="25"/>
  <c r="Q27" i="25"/>
  <c r="N27" i="25"/>
  <c r="B27" i="25"/>
  <c r="F27" i="25" s="1"/>
  <c r="H27" i="25" s="1"/>
  <c r="Q26" i="25"/>
  <c r="N26" i="25"/>
  <c r="B26" i="25"/>
  <c r="F26" i="25" s="1"/>
  <c r="H26" i="25" s="1"/>
  <c r="Q25" i="25"/>
  <c r="N25" i="25"/>
  <c r="H25" i="25"/>
  <c r="F25" i="25"/>
  <c r="B25" i="25"/>
  <c r="P24" i="25"/>
  <c r="N24" i="25"/>
  <c r="H24" i="25"/>
  <c r="F24" i="25"/>
  <c r="B24" i="25"/>
  <c r="N23" i="25"/>
  <c r="Q23" i="25" s="1"/>
  <c r="H23" i="25"/>
  <c r="F23" i="25"/>
  <c r="B23" i="25"/>
  <c r="W22" i="25"/>
  <c r="N22" i="25"/>
  <c r="Q22" i="25" s="1"/>
  <c r="B22" i="25"/>
  <c r="F22" i="25" s="1"/>
  <c r="Q21" i="25"/>
  <c r="P21" i="25"/>
  <c r="N21" i="25"/>
  <c r="H21" i="25"/>
  <c r="F21" i="25"/>
  <c r="B21" i="25"/>
  <c r="P20" i="25"/>
  <c r="N20" i="25"/>
  <c r="Q20" i="25" s="1"/>
  <c r="AB19" i="25"/>
  <c r="P19" i="25"/>
  <c r="N19" i="25"/>
  <c r="Q19" i="25" s="1"/>
  <c r="H19" i="25"/>
  <c r="F19" i="25"/>
  <c r="B19" i="25"/>
  <c r="Q18" i="25"/>
  <c r="N18" i="25"/>
  <c r="F18" i="25"/>
  <c r="H18" i="25" s="1"/>
  <c r="B18" i="25"/>
  <c r="AB17" i="25"/>
  <c r="P17" i="25"/>
  <c r="N17" i="25"/>
  <c r="Q17" i="25" s="1"/>
  <c r="B17" i="25"/>
  <c r="F17" i="25" s="1"/>
  <c r="H17" i="25" s="1"/>
  <c r="AB16" i="25"/>
  <c r="P16" i="25"/>
  <c r="N16" i="25"/>
  <c r="Q16" i="25" s="1"/>
  <c r="B16" i="25"/>
  <c r="AB15" i="25"/>
  <c r="Q15" i="25"/>
  <c r="N15" i="25"/>
  <c r="B15" i="25"/>
  <c r="F15" i="25" s="1"/>
  <c r="H15" i="25" s="1"/>
  <c r="AB14" i="25"/>
  <c r="W14" i="25"/>
  <c r="N14" i="25"/>
  <c r="Q14" i="25" s="1"/>
  <c r="B14" i="25"/>
  <c r="F14" i="25" s="1"/>
  <c r="H14" i="25" s="1"/>
  <c r="AB13" i="25"/>
  <c r="Q13" i="25"/>
  <c r="N13" i="25"/>
  <c r="B13" i="25"/>
  <c r="F13" i="25" s="1"/>
  <c r="H13" i="25" s="1"/>
  <c r="AB12" i="25"/>
  <c r="Q12" i="25"/>
  <c r="N12" i="25"/>
  <c r="F12" i="25"/>
  <c r="H12" i="25" s="1"/>
  <c r="B12" i="25"/>
  <c r="AB11" i="25"/>
  <c r="Q11" i="25"/>
  <c r="N11" i="25"/>
  <c r="F11" i="25"/>
  <c r="H11" i="25" s="1"/>
  <c r="B11" i="25"/>
  <c r="AB10" i="25"/>
  <c r="Q10" i="25"/>
  <c r="N10" i="25"/>
  <c r="B10" i="25"/>
  <c r="F10" i="25" s="1"/>
  <c r="H10" i="25" s="1"/>
  <c r="AB9" i="25"/>
  <c r="Q9" i="25"/>
  <c r="N9" i="25"/>
  <c r="B9" i="25"/>
  <c r="F9" i="25" s="1"/>
  <c r="H9" i="25" s="1"/>
  <c r="AB8" i="25"/>
  <c r="N8" i="25"/>
  <c r="Q8" i="25" s="1"/>
  <c r="B8" i="25"/>
  <c r="F8" i="25" s="1"/>
  <c r="H8" i="25" s="1"/>
  <c r="AB7" i="25"/>
  <c r="Q7" i="25"/>
  <c r="N7" i="25"/>
  <c r="B7" i="25"/>
  <c r="F7" i="25" s="1"/>
  <c r="H7" i="25" s="1"/>
  <c r="Z40" i="24"/>
  <c r="Z39" i="24"/>
  <c r="Z33" i="24"/>
  <c r="W31" i="24"/>
  <c r="B34" i="24" s="1"/>
  <c r="W30" i="24"/>
  <c r="T30" i="24"/>
  <c r="N30" i="24"/>
  <c r="Q29" i="24"/>
  <c r="N29" i="24"/>
  <c r="F29" i="24"/>
  <c r="H29" i="24" s="1"/>
  <c r="B29" i="24"/>
  <c r="N28" i="24"/>
  <c r="Q28" i="24" s="1"/>
  <c r="B28" i="24"/>
  <c r="F28" i="24" s="1"/>
  <c r="H28" i="24" s="1"/>
  <c r="Q27" i="24"/>
  <c r="N27" i="24"/>
  <c r="B27" i="24"/>
  <c r="F27" i="24" s="1"/>
  <c r="H27" i="24" s="1"/>
  <c r="N26" i="24"/>
  <c r="Q26" i="24" s="1"/>
  <c r="B26" i="24"/>
  <c r="F26" i="24" s="1"/>
  <c r="N25" i="24"/>
  <c r="Q25" i="24" s="1"/>
  <c r="F25" i="24"/>
  <c r="H25" i="24" s="1"/>
  <c r="B25" i="24"/>
  <c r="P24" i="24"/>
  <c r="N24" i="24"/>
  <c r="Q24" i="24" s="1"/>
  <c r="F24" i="24"/>
  <c r="H24" i="24" s="1"/>
  <c r="B24" i="24"/>
  <c r="N23" i="24"/>
  <c r="Q23" i="24" s="1"/>
  <c r="B23" i="24"/>
  <c r="F23" i="24" s="1"/>
  <c r="H23" i="24" s="1"/>
  <c r="W22" i="24"/>
  <c r="N22" i="24"/>
  <c r="Q22" i="24" s="1"/>
  <c r="B22" i="24"/>
  <c r="F22" i="24" s="1"/>
  <c r="H22" i="24" s="1"/>
  <c r="P21" i="24"/>
  <c r="N21" i="24"/>
  <c r="Q21" i="24" s="1"/>
  <c r="H21" i="24"/>
  <c r="F21" i="24"/>
  <c r="B21" i="24"/>
  <c r="P20" i="24"/>
  <c r="N20" i="24"/>
  <c r="Q20" i="24" s="1"/>
  <c r="B20" i="24"/>
  <c r="F20" i="24" s="1"/>
  <c r="H20" i="24" s="1"/>
  <c r="AB19" i="24"/>
  <c r="P19" i="24"/>
  <c r="N19" i="24"/>
  <c r="Q19" i="24" s="1"/>
  <c r="F19" i="24"/>
  <c r="H19" i="24" s="1"/>
  <c r="B19" i="24"/>
  <c r="Q18" i="24"/>
  <c r="N18" i="24"/>
  <c r="H18" i="24"/>
  <c r="B18" i="24"/>
  <c r="F18" i="24" s="1"/>
  <c r="AB17" i="24"/>
  <c r="Q17" i="24"/>
  <c r="P17" i="24"/>
  <c r="N17" i="24"/>
  <c r="H17" i="24"/>
  <c r="F17" i="24"/>
  <c r="B17" i="24"/>
  <c r="AB16" i="24"/>
  <c r="Q16" i="24"/>
  <c r="P16" i="24"/>
  <c r="N16" i="24"/>
  <c r="AB15" i="24"/>
  <c r="N15" i="24"/>
  <c r="Q15" i="24" s="1"/>
  <c r="H15" i="24"/>
  <c r="F15" i="24"/>
  <c r="B15" i="24"/>
  <c r="AB14" i="24"/>
  <c r="W14" i="24"/>
  <c r="N14" i="24"/>
  <c r="Q14" i="24" s="1"/>
  <c r="B14" i="24"/>
  <c r="F14" i="24" s="1"/>
  <c r="H14" i="24" s="1"/>
  <c r="AB13" i="24"/>
  <c r="Q13" i="24"/>
  <c r="N13" i="24"/>
  <c r="H13" i="24"/>
  <c r="F13" i="24"/>
  <c r="B13" i="24"/>
  <c r="AB12" i="24"/>
  <c r="N12" i="24"/>
  <c r="Q12" i="24" s="1"/>
  <c r="B12" i="24"/>
  <c r="F12" i="24" s="1"/>
  <c r="H12" i="24" s="1"/>
  <c r="AB11" i="24"/>
  <c r="N11" i="24"/>
  <c r="Q11" i="24" s="1"/>
  <c r="H11" i="24"/>
  <c r="F11" i="24"/>
  <c r="B11" i="24"/>
  <c r="AB10" i="24"/>
  <c r="N10" i="24"/>
  <c r="Q10" i="24" s="1"/>
  <c r="B10" i="24"/>
  <c r="F10" i="24" s="1"/>
  <c r="H10" i="24" s="1"/>
  <c r="AB9" i="24"/>
  <c r="N9" i="24"/>
  <c r="Q9" i="24" s="1"/>
  <c r="H9" i="24"/>
  <c r="F9" i="24"/>
  <c r="B9" i="24"/>
  <c r="AB8" i="24"/>
  <c r="Q8" i="24"/>
  <c r="N8" i="24"/>
  <c r="B8" i="24"/>
  <c r="F8" i="24" s="1"/>
  <c r="H8" i="24" s="1"/>
  <c r="AB7" i="24"/>
  <c r="N7" i="24"/>
  <c r="Q7" i="24" s="1"/>
  <c r="H7" i="24"/>
  <c r="F7" i="24"/>
  <c r="B7" i="24"/>
  <c r="Z40" i="23"/>
  <c r="Z39" i="23"/>
  <c r="Z38" i="23"/>
  <c r="Q13" i="13" s="1"/>
  <c r="Z33" i="23"/>
  <c r="W31" i="23"/>
  <c r="B34" i="23" s="1"/>
  <c r="W30" i="23"/>
  <c r="T30" i="23"/>
  <c r="N30" i="23"/>
  <c r="N29" i="23"/>
  <c r="Q29" i="23" s="1"/>
  <c r="B29" i="23"/>
  <c r="F29" i="23" s="1"/>
  <c r="H29" i="23" s="1"/>
  <c r="N28" i="23"/>
  <c r="Q28" i="23" s="1"/>
  <c r="H28" i="23"/>
  <c r="F28" i="23"/>
  <c r="B28" i="23"/>
  <c r="N27" i="23"/>
  <c r="Q27" i="23" s="1"/>
  <c r="H27" i="23"/>
  <c r="F27" i="23"/>
  <c r="B27" i="23"/>
  <c r="N26" i="23"/>
  <c r="Q26" i="23" s="1"/>
  <c r="B26" i="23"/>
  <c r="F26" i="23" s="1"/>
  <c r="H26" i="23" s="1"/>
  <c r="N25" i="23"/>
  <c r="Q25" i="23" s="1"/>
  <c r="B25" i="23"/>
  <c r="F25" i="23" s="1"/>
  <c r="H25" i="23" s="1"/>
  <c r="Q24" i="23"/>
  <c r="P24" i="23"/>
  <c r="N24" i="23"/>
  <c r="B24" i="23"/>
  <c r="F24" i="23" s="1"/>
  <c r="H24" i="23" s="1"/>
  <c r="N23" i="23"/>
  <c r="Q23" i="23" s="1"/>
  <c r="B23" i="23"/>
  <c r="F23" i="23" s="1"/>
  <c r="H23" i="23" s="1"/>
  <c r="W22" i="23"/>
  <c r="N22" i="23"/>
  <c r="Q22" i="23" s="1"/>
  <c r="B22" i="23"/>
  <c r="F22" i="23" s="1"/>
  <c r="H22" i="23" s="1"/>
  <c r="P21" i="23"/>
  <c r="N21" i="23"/>
  <c r="Q21" i="23" s="1"/>
  <c r="F21" i="23"/>
  <c r="H21" i="23" s="1"/>
  <c r="B21" i="23"/>
  <c r="P20" i="23"/>
  <c r="N20" i="23"/>
  <c r="Q20" i="23" s="1"/>
  <c r="F20" i="23"/>
  <c r="H20" i="23" s="1"/>
  <c r="B20" i="23"/>
  <c r="B20" i="25" s="1"/>
  <c r="F20" i="25" s="1"/>
  <c r="H20" i="25" s="1"/>
  <c r="AB19" i="23"/>
  <c r="Q19" i="23"/>
  <c r="P19" i="23"/>
  <c r="N19" i="23"/>
  <c r="H19" i="23"/>
  <c r="F19" i="23"/>
  <c r="B19" i="23"/>
  <c r="Q18" i="23"/>
  <c r="N18" i="23"/>
  <c r="F18" i="23"/>
  <c r="H18" i="23" s="1"/>
  <c r="B18" i="23"/>
  <c r="AB17" i="23"/>
  <c r="Q17" i="23"/>
  <c r="P17" i="23"/>
  <c r="N17" i="23"/>
  <c r="H17" i="23"/>
  <c r="B17" i="23"/>
  <c r="F17" i="23" s="1"/>
  <c r="AB16" i="23"/>
  <c r="P16" i="23"/>
  <c r="N16" i="23"/>
  <c r="AB15" i="23"/>
  <c r="N15" i="23"/>
  <c r="Q15" i="23" s="1"/>
  <c r="H15" i="23"/>
  <c r="F15" i="23"/>
  <c r="B15" i="23"/>
  <c r="AB14" i="23"/>
  <c r="W14" i="23"/>
  <c r="N14" i="23"/>
  <c r="Q14" i="23" s="1"/>
  <c r="H14" i="23"/>
  <c r="B14" i="23"/>
  <c r="F14" i="23" s="1"/>
  <c r="AB13" i="23"/>
  <c r="N13" i="23"/>
  <c r="Q13" i="23" s="1"/>
  <c r="H13" i="23"/>
  <c r="F13" i="23"/>
  <c r="B13" i="23"/>
  <c r="AB12" i="23"/>
  <c r="N12" i="23"/>
  <c r="Q12" i="23" s="1"/>
  <c r="F12" i="23"/>
  <c r="H12" i="23" s="1"/>
  <c r="B12" i="23"/>
  <c r="AB11" i="23"/>
  <c r="Q11" i="23"/>
  <c r="N11" i="23"/>
  <c r="F11" i="23"/>
  <c r="H11" i="23" s="1"/>
  <c r="B11" i="23"/>
  <c r="AB10" i="23"/>
  <c r="N10" i="23"/>
  <c r="Q10" i="23" s="1"/>
  <c r="F10" i="23"/>
  <c r="B10" i="23"/>
  <c r="AB9" i="23"/>
  <c r="N9" i="23"/>
  <c r="Q9" i="23" s="1"/>
  <c r="B9" i="23"/>
  <c r="F9" i="23" s="1"/>
  <c r="H9" i="23" s="1"/>
  <c r="AB8" i="23"/>
  <c r="N8" i="23"/>
  <c r="Q8" i="23" s="1"/>
  <c r="B8" i="23"/>
  <c r="F8" i="23" s="1"/>
  <c r="H8" i="23" s="1"/>
  <c r="AB7" i="23"/>
  <c r="Q7" i="23"/>
  <c r="N7" i="23"/>
  <c r="B7" i="23"/>
  <c r="F7" i="23" s="1"/>
  <c r="H7" i="23" s="1"/>
  <c r="Z40" i="22"/>
  <c r="Z39" i="22"/>
  <c r="Z33" i="22"/>
  <c r="W30" i="22"/>
  <c r="T30" i="22"/>
  <c r="N30" i="22"/>
  <c r="Q29" i="22"/>
  <c r="N29" i="22"/>
  <c r="H29" i="22"/>
  <c r="F29" i="22"/>
  <c r="B29" i="22"/>
  <c r="N28" i="22"/>
  <c r="Q28" i="22" s="1"/>
  <c r="H28" i="22"/>
  <c r="F28" i="22"/>
  <c r="N27" i="22"/>
  <c r="Q27" i="22" s="1"/>
  <c r="B27" i="22"/>
  <c r="F27" i="22" s="1"/>
  <c r="H27" i="22" s="1"/>
  <c r="N26" i="22"/>
  <c r="Q26" i="22" s="1"/>
  <c r="B26" i="22"/>
  <c r="F26" i="22" s="1"/>
  <c r="H26" i="22" s="1"/>
  <c r="Q25" i="22"/>
  <c r="N25" i="22"/>
  <c r="H25" i="22"/>
  <c r="F25" i="22"/>
  <c r="B25" i="22"/>
  <c r="P24" i="22"/>
  <c r="N24" i="22"/>
  <c r="Q24" i="22" s="1"/>
  <c r="B24" i="22"/>
  <c r="F24" i="22" s="1"/>
  <c r="H24" i="22" s="1"/>
  <c r="N23" i="22"/>
  <c r="Q23" i="22" s="1"/>
  <c r="F23" i="22"/>
  <c r="B23" i="22"/>
  <c r="W22" i="22"/>
  <c r="N22" i="22"/>
  <c r="Q22" i="22" s="1"/>
  <c r="F22" i="22"/>
  <c r="H22" i="22" s="1"/>
  <c r="B22" i="22"/>
  <c r="P21" i="22"/>
  <c r="N21" i="22"/>
  <c r="Q21" i="22" s="1"/>
  <c r="B21" i="22"/>
  <c r="F21" i="22" s="1"/>
  <c r="H21" i="22" s="1"/>
  <c r="Q20" i="22"/>
  <c r="P20" i="22"/>
  <c r="N20" i="22"/>
  <c r="H20" i="22"/>
  <c r="F20" i="22"/>
  <c r="B20" i="22"/>
  <c r="AB19" i="22"/>
  <c r="P19" i="22"/>
  <c r="N19" i="22"/>
  <c r="Q19" i="22" s="1"/>
  <c r="F19" i="22"/>
  <c r="H19" i="22" s="1"/>
  <c r="B19" i="22"/>
  <c r="N18" i="22"/>
  <c r="Q18" i="22" s="1"/>
  <c r="B18" i="22"/>
  <c r="F18" i="22" s="1"/>
  <c r="H18" i="22" s="1"/>
  <c r="AB17" i="22"/>
  <c r="P17" i="22"/>
  <c r="N17" i="22"/>
  <c r="B17" i="22"/>
  <c r="F17" i="22" s="1"/>
  <c r="H17" i="22" s="1"/>
  <c r="AB16" i="22"/>
  <c r="P16" i="22"/>
  <c r="Q16" i="22" s="1"/>
  <c r="N16" i="22"/>
  <c r="AB15" i="22"/>
  <c r="N15" i="22"/>
  <c r="Q15" i="22" s="1"/>
  <c r="B15" i="22"/>
  <c r="F15" i="22" s="1"/>
  <c r="H15" i="22" s="1"/>
  <c r="AB14" i="22"/>
  <c r="W14" i="22"/>
  <c r="Q14" i="22"/>
  <c r="N14" i="22"/>
  <c r="B14" i="22"/>
  <c r="F14" i="22" s="1"/>
  <c r="H14" i="22" s="1"/>
  <c r="AB13" i="22"/>
  <c r="Q13" i="22"/>
  <c r="N13" i="22"/>
  <c r="B13" i="22"/>
  <c r="F13" i="22" s="1"/>
  <c r="H13" i="22" s="1"/>
  <c r="AB12" i="22"/>
  <c r="N12" i="22"/>
  <c r="Q12" i="22" s="1"/>
  <c r="B12" i="22"/>
  <c r="F12" i="22" s="1"/>
  <c r="H12" i="22" s="1"/>
  <c r="AB11" i="22"/>
  <c r="Q11" i="22"/>
  <c r="N11" i="22"/>
  <c r="H11" i="22"/>
  <c r="F11" i="22"/>
  <c r="B11" i="22"/>
  <c r="AB10" i="22"/>
  <c r="N10" i="22"/>
  <c r="Q10" i="22" s="1"/>
  <c r="B10" i="22"/>
  <c r="F10" i="22" s="1"/>
  <c r="H10" i="22" s="1"/>
  <c r="AB9" i="22"/>
  <c r="N9" i="22"/>
  <c r="Q9" i="22" s="1"/>
  <c r="B9" i="22"/>
  <c r="F9" i="22" s="1"/>
  <c r="H9" i="22" s="1"/>
  <c r="AB8" i="22"/>
  <c r="Q8" i="22"/>
  <c r="N8" i="22"/>
  <c r="B8" i="22"/>
  <c r="F8" i="22" s="1"/>
  <c r="H8" i="22" s="1"/>
  <c r="AB7" i="22"/>
  <c r="Q7" i="22"/>
  <c r="N7" i="22"/>
  <c r="B7" i="22"/>
  <c r="F7" i="22" s="1"/>
  <c r="H7" i="22" s="1"/>
  <c r="Z40" i="21"/>
  <c r="Z39" i="21"/>
  <c r="Z38" i="21"/>
  <c r="Z33" i="21"/>
  <c r="W30" i="21"/>
  <c r="T30" i="21"/>
  <c r="N30" i="21"/>
  <c r="Q29" i="21"/>
  <c r="N29" i="21"/>
  <c r="F29" i="21"/>
  <c r="H29" i="21" s="1"/>
  <c r="B29" i="21"/>
  <c r="Q28" i="21"/>
  <c r="N28" i="21"/>
  <c r="B28" i="21"/>
  <c r="F28" i="21" s="1"/>
  <c r="H28" i="21" s="1"/>
  <c r="Q27" i="21"/>
  <c r="N27" i="21"/>
  <c r="F27" i="21"/>
  <c r="H27" i="21" s="1"/>
  <c r="B27" i="21"/>
  <c r="N26" i="21"/>
  <c r="Q26" i="21" s="1"/>
  <c r="F26" i="21"/>
  <c r="B26" i="21"/>
  <c r="Q25" i="21"/>
  <c r="N25" i="21"/>
  <c r="B25" i="21"/>
  <c r="F25" i="21" s="1"/>
  <c r="H25" i="21" s="1"/>
  <c r="Q24" i="21"/>
  <c r="P24" i="21"/>
  <c r="N24" i="21"/>
  <c r="B24" i="21"/>
  <c r="F24" i="21" s="1"/>
  <c r="H24" i="21" s="1"/>
  <c r="N23" i="21"/>
  <c r="Q23" i="21" s="1"/>
  <c r="B23" i="21"/>
  <c r="F23" i="21" s="1"/>
  <c r="W22" i="21"/>
  <c r="N22" i="21"/>
  <c r="Q22" i="21" s="1"/>
  <c r="B22" i="21"/>
  <c r="F22" i="21" s="1"/>
  <c r="H22" i="21" s="1"/>
  <c r="P21" i="21"/>
  <c r="N21" i="21"/>
  <c r="Q21" i="21" s="1"/>
  <c r="B21" i="21"/>
  <c r="F21" i="21" s="1"/>
  <c r="H21" i="21" s="1"/>
  <c r="P20" i="21"/>
  <c r="N20" i="21"/>
  <c r="Q20" i="21" s="1"/>
  <c r="B20" i="21"/>
  <c r="F20" i="21" s="1"/>
  <c r="H20" i="21" s="1"/>
  <c r="AB19" i="21"/>
  <c r="P19" i="21"/>
  <c r="N19" i="21"/>
  <c r="Q19" i="21" s="1"/>
  <c r="B19" i="21"/>
  <c r="F19" i="21" s="1"/>
  <c r="H19" i="21" s="1"/>
  <c r="AB18" i="21"/>
  <c r="Z35" i="21" s="1"/>
  <c r="Q18" i="21"/>
  <c r="N18" i="21"/>
  <c r="B18" i="21"/>
  <c r="F18" i="21" s="1"/>
  <c r="H18" i="21" s="1"/>
  <c r="AB17" i="21"/>
  <c r="Q17" i="21"/>
  <c r="P17" i="21"/>
  <c r="N17" i="21"/>
  <c r="B17" i="21"/>
  <c r="F17" i="21" s="1"/>
  <c r="H17" i="21" s="1"/>
  <c r="AB16" i="21"/>
  <c r="Q16" i="21"/>
  <c r="P16" i="21"/>
  <c r="N16" i="21"/>
  <c r="AB15" i="21"/>
  <c r="Z37" i="21" s="1"/>
  <c r="N15" i="21"/>
  <c r="Q15" i="21" s="1"/>
  <c r="B15" i="21"/>
  <c r="F15" i="21" s="1"/>
  <c r="H15" i="21" s="1"/>
  <c r="AB14" i="21"/>
  <c r="W14" i="21"/>
  <c r="Q14" i="21"/>
  <c r="N14" i="21"/>
  <c r="F14" i="21"/>
  <c r="H14" i="21" s="1"/>
  <c r="B14" i="21"/>
  <c r="AB13" i="21"/>
  <c r="Q13" i="21"/>
  <c r="N13" i="21"/>
  <c r="B13" i="21"/>
  <c r="F13" i="21" s="1"/>
  <c r="H13" i="21" s="1"/>
  <c r="AB12" i="21"/>
  <c r="Q12" i="21"/>
  <c r="N12" i="21"/>
  <c r="F12" i="21"/>
  <c r="H12" i="21" s="1"/>
  <c r="B12" i="21"/>
  <c r="AB11" i="21"/>
  <c r="Q11" i="21"/>
  <c r="N11" i="21"/>
  <c r="B11" i="21"/>
  <c r="F11" i="21" s="1"/>
  <c r="AB10" i="21"/>
  <c r="Q10" i="21"/>
  <c r="N10" i="21"/>
  <c r="F10" i="21"/>
  <c r="H10" i="21" s="1"/>
  <c r="B10" i="21"/>
  <c r="AB9" i="21"/>
  <c r="Q9" i="21"/>
  <c r="N9" i="21"/>
  <c r="H9" i="21"/>
  <c r="F9" i="21"/>
  <c r="B9" i="21"/>
  <c r="AB8" i="21"/>
  <c r="Q8" i="21"/>
  <c r="N8" i="21"/>
  <c r="F8" i="21"/>
  <c r="H8" i="21" s="1"/>
  <c r="B8" i="21"/>
  <c r="AB7" i="21"/>
  <c r="N7" i="21"/>
  <c r="Q7" i="21" s="1"/>
  <c r="H7" i="21"/>
  <c r="F7" i="21"/>
  <c r="B7" i="21"/>
  <c r="Z40" i="20"/>
  <c r="Z39" i="20"/>
  <c r="Z33" i="20"/>
  <c r="W30" i="20"/>
  <c r="T30" i="20"/>
  <c r="N30" i="20"/>
  <c r="Q29" i="20"/>
  <c r="N29" i="20"/>
  <c r="B29" i="20"/>
  <c r="F29" i="20" s="1"/>
  <c r="H29" i="20" s="1"/>
  <c r="N28" i="20"/>
  <c r="Q28" i="20" s="1"/>
  <c r="H28" i="20"/>
  <c r="F28" i="20"/>
  <c r="B28" i="20"/>
  <c r="N27" i="20"/>
  <c r="Q27" i="20" s="1"/>
  <c r="F27" i="20"/>
  <c r="H27" i="20" s="1"/>
  <c r="B27" i="20"/>
  <c r="N26" i="20"/>
  <c r="Q26" i="20" s="1"/>
  <c r="F26" i="20"/>
  <c r="H26" i="20" s="1"/>
  <c r="B26" i="20"/>
  <c r="Q25" i="20"/>
  <c r="N25" i="20"/>
  <c r="F25" i="20"/>
  <c r="H25" i="20" s="1"/>
  <c r="B25" i="20"/>
  <c r="P24" i="20"/>
  <c r="Q24" i="20" s="1"/>
  <c r="N24" i="20"/>
  <c r="B24" i="20"/>
  <c r="F24" i="20" s="1"/>
  <c r="H24" i="20" s="1"/>
  <c r="Q23" i="20"/>
  <c r="N23" i="20"/>
  <c r="F23" i="20"/>
  <c r="H23" i="20" s="1"/>
  <c r="B23" i="20"/>
  <c r="W22" i="20"/>
  <c r="N22" i="20"/>
  <c r="Q22" i="20" s="1"/>
  <c r="B22" i="20"/>
  <c r="F22" i="20" s="1"/>
  <c r="H22" i="20" s="1"/>
  <c r="Q21" i="20"/>
  <c r="P21" i="20"/>
  <c r="N21" i="20"/>
  <c r="B21" i="20"/>
  <c r="F21" i="20" s="1"/>
  <c r="H21" i="20" s="1"/>
  <c r="P20" i="20"/>
  <c r="N20" i="20"/>
  <c r="B20" i="20"/>
  <c r="F20" i="20" s="1"/>
  <c r="H20" i="20" s="1"/>
  <c r="AB19" i="20"/>
  <c r="P19" i="20"/>
  <c r="Q19" i="20" s="1"/>
  <c r="N19" i="20"/>
  <c r="F19" i="20"/>
  <c r="H19" i="20" s="1"/>
  <c r="B19" i="20"/>
  <c r="N18" i="20"/>
  <c r="Q18" i="20" s="1"/>
  <c r="B18" i="20"/>
  <c r="F18" i="20" s="1"/>
  <c r="AB17" i="20"/>
  <c r="Q17" i="20"/>
  <c r="P17" i="20"/>
  <c r="N17" i="20"/>
  <c r="B17" i="20"/>
  <c r="F17" i="20" s="1"/>
  <c r="H17" i="20" s="1"/>
  <c r="AB16" i="20"/>
  <c r="Q16" i="20"/>
  <c r="P16" i="20"/>
  <c r="N16" i="20"/>
  <c r="B16" i="20"/>
  <c r="AB15" i="20"/>
  <c r="Z34" i="20" s="1"/>
  <c r="N15" i="20"/>
  <c r="Q15" i="20" s="1"/>
  <c r="F15" i="20"/>
  <c r="H15" i="20" s="1"/>
  <c r="B15" i="20"/>
  <c r="AB14" i="20"/>
  <c r="W14" i="20"/>
  <c r="Q14" i="20"/>
  <c r="N14" i="20"/>
  <c r="B14" i="20"/>
  <c r="F14" i="20" s="1"/>
  <c r="H14" i="20" s="1"/>
  <c r="AB13" i="20"/>
  <c r="Q13" i="20"/>
  <c r="N13" i="20"/>
  <c r="B13" i="20"/>
  <c r="F13" i="20" s="1"/>
  <c r="H13" i="20" s="1"/>
  <c r="AB12" i="20"/>
  <c r="AB18" i="20" s="1"/>
  <c r="Z35" i="20" s="1"/>
  <c r="P10" i="13" s="1"/>
  <c r="Q12" i="20"/>
  <c r="N12" i="20"/>
  <c r="H12" i="20"/>
  <c r="F12" i="20"/>
  <c r="B12" i="20"/>
  <c r="AB11" i="20"/>
  <c r="Q11" i="20"/>
  <c r="N11" i="20"/>
  <c r="B11" i="20"/>
  <c r="F11" i="20" s="1"/>
  <c r="H11" i="20" s="1"/>
  <c r="AB10" i="20"/>
  <c r="N10" i="20"/>
  <c r="Q10" i="20" s="1"/>
  <c r="H10" i="20"/>
  <c r="F10" i="20"/>
  <c r="B10" i="20"/>
  <c r="AB9" i="20"/>
  <c r="Q9" i="20"/>
  <c r="N9" i="20"/>
  <c r="B9" i="20"/>
  <c r="F9" i="20" s="1"/>
  <c r="H9" i="20" s="1"/>
  <c r="AB8" i="20"/>
  <c r="N8" i="20"/>
  <c r="Q8" i="20" s="1"/>
  <c r="B8" i="20"/>
  <c r="F8" i="20" s="1"/>
  <c r="H8" i="20" s="1"/>
  <c r="AB7" i="20"/>
  <c r="Q7" i="20"/>
  <c r="N7" i="20"/>
  <c r="B7" i="20"/>
  <c r="F7" i="20" s="1"/>
  <c r="H7" i="20" s="1"/>
  <c r="Z40" i="19"/>
  <c r="Z39" i="19"/>
  <c r="Z37" i="19"/>
  <c r="Z33" i="19"/>
  <c r="W30" i="19"/>
  <c r="M9" i="13" s="1"/>
  <c r="T30" i="19"/>
  <c r="N30" i="19"/>
  <c r="Q29" i="19"/>
  <c r="N29" i="19"/>
  <c r="B29" i="19"/>
  <c r="F29" i="19" s="1"/>
  <c r="H29" i="19" s="1"/>
  <c r="N28" i="19"/>
  <c r="Q28" i="19" s="1"/>
  <c r="H28" i="19"/>
  <c r="B28" i="19"/>
  <c r="F28" i="19" s="1"/>
  <c r="N27" i="19"/>
  <c r="Q27" i="19" s="1"/>
  <c r="H27" i="19"/>
  <c r="F27" i="19"/>
  <c r="B27" i="19"/>
  <c r="Q26" i="19"/>
  <c r="N26" i="19"/>
  <c r="B26" i="19"/>
  <c r="F26" i="19" s="1"/>
  <c r="H26" i="19" s="1"/>
  <c r="N25" i="19"/>
  <c r="Q25" i="19" s="1"/>
  <c r="F25" i="19"/>
  <c r="B25" i="19"/>
  <c r="Q24" i="19"/>
  <c r="P24" i="19"/>
  <c r="N24" i="19"/>
  <c r="B24" i="19"/>
  <c r="F24" i="19" s="1"/>
  <c r="H24" i="19" s="1"/>
  <c r="N23" i="19"/>
  <c r="Q23" i="19" s="1"/>
  <c r="H23" i="19"/>
  <c r="B23" i="19"/>
  <c r="F23" i="19" s="1"/>
  <c r="W22" i="19"/>
  <c r="O9" i="13" s="1"/>
  <c r="N22" i="19"/>
  <c r="Q22" i="19" s="1"/>
  <c r="B22" i="19"/>
  <c r="F22" i="19" s="1"/>
  <c r="P21" i="19"/>
  <c r="N21" i="19"/>
  <c r="B21" i="19"/>
  <c r="F21" i="19" s="1"/>
  <c r="H21" i="19" s="1"/>
  <c r="P20" i="19"/>
  <c r="N20" i="19"/>
  <c r="Q20" i="19" s="1"/>
  <c r="H20" i="19"/>
  <c r="F20" i="19"/>
  <c r="B20" i="19"/>
  <c r="AB19" i="19"/>
  <c r="P19" i="19"/>
  <c r="N19" i="19"/>
  <c r="Q19" i="19" s="1"/>
  <c r="B19" i="19"/>
  <c r="F19" i="19" s="1"/>
  <c r="N18" i="19"/>
  <c r="Q18" i="19" s="1"/>
  <c r="H18" i="19"/>
  <c r="F18" i="19"/>
  <c r="B18" i="19"/>
  <c r="AB17" i="19"/>
  <c r="P17" i="19"/>
  <c r="Q17" i="19" s="1"/>
  <c r="N17" i="19"/>
  <c r="B17" i="19"/>
  <c r="F17" i="19" s="1"/>
  <c r="H17" i="19" s="1"/>
  <c r="AB16" i="19"/>
  <c r="P16" i="19"/>
  <c r="Q16" i="19" s="1"/>
  <c r="N16" i="19"/>
  <c r="B16" i="19"/>
  <c r="AB15" i="19"/>
  <c r="N15" i="19"/>
  <c r="Q15" i="19" s="1"/>
  <c r="H15" i="19"/>
  <c r="F15" i="19"/>
  <c r="B15" i="19"/>
  <c r="AB14" i="19"/>
  <c r="W14" i="19"/>
  <c r="Q14" i="19"/>
  <c r="N14" i="19"/>
  <c r="F14" i="19"/>
  <c r="H14" i="19" s="1"/>
  <c r="B14" i="19"/>
  <c r="AB13" i="19"/>
  <c r="N13" i="19"/>
  <c r="Q13" i="19" s="1"/>
  <c r="H13" i="19"/>
  <c r="F13" i="19"/>
  <c r="B13" i="19"/>
  <c r="AB12" i="19"/>
  <c r="Q12" i="19"/>
  <c r="N12" i="19"/>
  <c r="F12" i="19"/>
  <c r="H12" i="19" s="1"/>
  <c r="B12" i="19"/>
  <c r="AB11" i="19"/>
  <c r="C10" i="11" s="1"/>
  <c r="N11" i="19"/>
  <c r="Q11" i="19" s="1"/>
  <c r="F11" i="19"/>
  <c r="H11" i="19" s="1"/>
  <c r="B11" i="19"/>
  <c r="AB10" i="19"/>
  <c r="Q10" i="19"/>
  <c r="N10" i="19"/>
  <c r="F10" i="19"/>
  <c r="H10" i="19" s="1"/>
  <c r="B10" i="19"/>
  <c r="AB9" i="19"/>
  <c r="Q9" i="19"/>
  <c r="N9" i="19"/>
  <c r="B9" i="19"/>
  <c r="F9" i="19" s="1"/>
  <c r="H9" i="19" s="1"/>
  <c r="AB8" i="19"/>
  <c r="Q8" i="19"/>
  <c r="N8" i="19"/>
  <c r="F8" i="19"/>
  <c r="H8" i="19" s="1"/>
  <c r="B8" i="19"/>
  <c r="AB7" i="19"/>
  <c r="N7" i="19"/>
  <c r="Q7" i="19" s="1"/>
  <c r="B7" i="19"/>
  <c r="F7" i="19" s="1"/>
  <c r="H7" i="19" s="1"/>
  <c r="Z40" i="18"/>
  <c r="Z39" i="18"/>
  <c r="Z33" i="18"/>
  <c r="W31" i="18"/>
  <c r="B34" i="18" s="1"/>
  <c r="W30" i="18"/>
  <c r="T30" i="18"/>
  <c r="N30" i="18"/>
  <c r="N29" i="18"/>
  <c r="Q29" i="18" s="1"/>
  <c r="B29" i="18"/>
  <c r="F29" i="18" s="1"/>
  <c r="H29" i="18" s="1"/>
  <c r="Q28" i="18"/>
  <c r="N28" i="18"/>
  <c r="F28" i="18"/>
  <c r="H28" i="18" s="1"/>
  <c r="B28" i="18"/>
  <c r="N27" i="18"/>
  <c r="Q27" i="18" s="1"/>
  <c r="B27" i="18"/>
  <c r="F27" i="18" s="1"/>
  <c r="BB11" i="8" s="1"/>
  <c r="Q26" i="18"/>
  <c r="N26" i="18"/>
  <c r="H26" i="18"/>
  <c r="F26" i="18"/>
  <c r="B26" i="18"/>
  <c r="Q25" i="18"/>
  <c r="N25" i="18"/>
  <c r="B25" i="18"/>
  <c r="F25" i="18" s="1"/>
  <c r="H25" i="18" s="1"/>
  <c r="P24" i="18"/>
  <c r="N24" i="18"/>
  <c r="Q24" i="18" s="1"/>
  <c r="F24" i="18"/>
  <c r="B24" i="18"/>
  <c r="N23" i="18"/>
  <c r="Q23" i="18" s="1"/>
  <c r="B23" i="18"/>
  <c r="F23" i="18" s="1"/>
  <c r="H23" i="18" s="1"/>
  <c r="W22" i="18"/>
  <c r="Q22" i="18"/>
  <c r="N22" i="18"/>
  <c r="B22" i="18"/>
  <c r="F22" i="18" s="1"/>
  <c r="H22" i="18" s="1"/>
  <c r="P21" i="18"/>
  <c r="N21" i="18"/>
  <c r="Q21" i="18" s="1"/>
  <c r="B21" i="18"/>
  <c r="F21" i="18" s="1"/>
  <c r="H21" i="18" s="1"/>
  <c r="Q20" i="18"/>
  <c r="P20" i="18"/>
  <c r="N20" i="18"/>
  <c r="H20" i="18"/>
  <c r="F20" i="18"/>
  <c r="B20" i="18"/>
  <c r="AB19" i="18"/>
  <c r="P19" i="18"/>
  <c r="N19" i="18"/>
  <c r="Q19" i="18" s="1"/>
  <c r="B19" i="18"/>
  <c r="F19" i="18" s="1"/>
  <c r="AB18" i="18"/>
  <c r="Z35" i="18" s="1"/>
  <c r="P8" i="13" s="1"/>
  <c r="Q18" i="18"/>
  <c r="N18" i="18"/>
  <c r="H18" i="18"/>
  <c r="F18" i="18"/>
  <c r="B18" i="18"/>
  <c r="AB17" i="18"/>
  <c r="P17" i="18"/>
  <c r="N17" i="18"/>
  <c r="Q17" i="18" s="1"/>
  <c r="B17" i="18"/>
  <c r="F17" i="18" s="1"/>
  <c r="AB16" i="18"/>
  <c r="Q16" i="18"/>
  <c r="P16" i="18"/>
  <c r="N16" i="18"/>
  <c r="AB15" i="18"/>
  <c r="Z37" i="18" s="1"/>
  <c r="Q15" i="18"/>
  <c r="N15" i="18"/>
  <c r="B15" i="18"/>
  <c r="F15" i="18" s="1"/>
  <c r="H15" i="18" s="1"/>
  <c r="AB14" i="18"/>
  <c r="W14" i="18"/>
  <c r="N14" i="18"/>
  <c r="Q14" i="18" s="1"/>
  <c r="H14" i="18"/>
  <c r="F14" i="18"/>
  <c r="B14" i="18"/>
  <c r="AB13" i="18"/>
  <c r="N13" i="18"/>
  <c r="Q13" i="18" s="1"/>
  <c r="B13" i="18"/>
  <c r="F13" i="18" s="1"/>
  <c r="H13" i="18" s="1"/>
  <c r="AB12" i="18"/>
  <c r="N12" i="18"/>
  <c r="Q12" i="18" s="1"/>
  <c r="H12" i="18"/>
  <c r="F12" i="18"/>
  <c r="B12" i="18"/>
  <c r="AB11" i="18"/>
  <c r="N11" i="18"/>
  <c r="Q11" i="18" s="1"/>
  <c r="F11" i="18"/>
  <c r="H11" i="18" s="1"/>
  <c r="B11" i="18"/>
  <c r="AB10" i="18"/>
  <c r="Q10" i="18"/>
  <c r="N10" i="18"/>
  <c r="H10" i="18"/>
  <c r="F10" i="18"/>
  <c r="B10" i="18"/>
  <c r="AB9" i="18"/>
  <c r="N9" i="18"/>
  <c r="Q9" i="18" s="1"/>
  <c r="B9" i="18"/>
  <c r="F9" i="18" s="1"/>
  <c r="AB8" i="18"/>
  <c r="Q8" i="18"/>
  <c r="N8" i="18"/>
  <c r="H8" i="18"/>
  <c r="F8" i="18"/>
  <c r="B8" i="18"/>
  <c r="AB7" i="18"/>
  <c r="N7" i="18"/>
  <c r="Q7" i="18" s="1"/>
  <c r="B7" i="18"/>
  <c r="F7" i="18" s="1"/>
  <c r="H7" i="18" s="1"/>
  <c r="Z40" i="17"/>
  <c r="Z39" i="17"/>
  <c r="Z38" i="17"/>
  <c r="Q7" i="13" s="1"/>
  <c r="Z37" i="17"/>
  <c r="D8" i="11" s="1"/>
  <c r="Z33" i="17"/>
  <c r="W30" i="17"/>
  <c r="T30" i="17"/>
  <c r="N30" i="17"/>
  <c r="N29" i="17"/>
  <c r="Q29" i="17" s="1"/>
  <c r="H29" i="17"/>
  <c r="F29" i="17"/>
  <c r="B29" i="17"/>
  <c r="Q28" i="17"/>
  <c r="N28" i="17"/>
  <c r="H28" i="17"/>
  <c r="F28" i="17"/>
  <c r="B28" i="17"/>
  <c r="Q27" i="17"/>
  <c r="N27" i="17"/>
  <c r="F27" i="17"/>
  <c r="B27" i="17"/>
  <c r="Q26" i="17"/>
  <c r="N26" i="17"/>
  <c r="H26" i="17"/>
  <c r="F26" i="17"/>
  <c r="B26" i="17"/>
  <c r="Q25" i="17"/>
  <c r="N25" i="17"/>
  <c r="B25" i="17"/>
  <c r="F25" i="17" s="1"/>
  <c r="H25" i="17" s="1"/>
  <c r="P24" i="17"/>
  <c r="N24" i="17"/>
  <c r="Q24" i="17" s="1"/>
  <c r="H24" i="17"/>
  <c r="F24" i="17"/>
  <c r="B24" i="17"/>
  <c r="Q23" i="17"/>
  <c r="N23" i="17"/>
  <c r="F23" i="17"/>
  <c r="H23" i="17" s="1"/>
  <c r="B23" i="17"/>
  <c r="W22" i="17"/>
  <c r="N22" i="17"/>
  <c r="Q22" i="17" s="1"/>
  <c r="B22" i="17"/>
  <c r="F22" i="17" s="1"/>
  <c r="H22" i="17" s="1"/>
  <c r="P21" i="17"/>
  <c r="Q21" i="17" s="1"/>
  <c r="N21" i="17"/>
  <c r="F21" i="17"/>
  <c r="H21" i="17" s="1"/>
  <c r="B21" i="17"/>
  <c r="P20" i="17"/>
  <c r="Q20" i="17" s="1"/>
  <c r="N20" i="17"/>
  <c r="B20" i="17"/>
  <c r="F20" i="17" s="1"/>
  <c r="H20" i="17" s="1"/>
  <c r="AB19" i="17"/>
  <c r="Q19" i="17"/>
  <c r="P19" i="17"/>
  <c r="N19" i="17"/>
  <c r="B19" i="17"/>
  <c r="F19" i="17" s="1"/>
  <c r="H19" i="17" s="1"/>
  <c r="N18" i="17"/>
  <c r="Q18" i="17" s="1"/>
  <c r="B18" i="17"/>
  <c r="F18" i="17" s="1"/>
  <c r="AB17" i="17"/>
  <c r="P17" i="17"/>
  <c r="N17" i="17"/>
  <c r="Q17" i="17" s="1"/>
  <c r="B17" i="17"/>
  <c r="F17" i="17" s="1"/>
  <c r="H17" i="17" s="1"/>
  <c r="AB16" i="17"/>
  <c r="P16" i="17"/>
  <c r="N16" i="17"/>
  <c r="Q16" i="17" s="1"/>
  <c r="B16" i="17"/>
  <c r="AB15" i="17"/>
  <c r="N15" i="17"/>
  <c r="Q15" i="17" s="1"/>
  <c r="B15" i="17"/>
  <c r="F15" i="17" s="1"/>
  <c r="H15" i="17" s="1"/>
  <c r="AB14" i="17"/>
  <c r="W14" i="17"/>
  <c r="W31" i="17" s="1"/>
  <c r="B34" i="17" s="1"/>
  <c r="Q14" i="17"/>
  <c r="N14" i="17"/>
  <c r="F14" i="17"/>
  <c r="H14" i="17" s="1"/>
  <c r="B14" i="17"/>
  <c r="AB13" i="17"/>
  <c r="Q13" i="17"/>
  <c r="N13" i="17"/>
  <c r="B13" i="17"/>
  <c r="F13" i="17" s="1"/>
  <c r="H13" i="17" s="1"/>
  <c r="AB12" i="17"/>
  <c r="Q12" i="17"/>
  <c r="N12" i="17"/>
  <c r="F12" i="17"/>
  <c r="H12" i="17" s="1"/>
  <c r="B12" i="17"/>
  <c r="AB11" i="17"/>
  <c r="Q11" i="17"/>
  <c r="N11" i="17"/>
  <c r="B11" i="17"/>
  <c r="F11" i="17" s="1"/>
  <c r="H11" i="17" s="1"/>
  <c r="AB10" i="17"/>
  <c r="Q10" i="17"/>
  <c r="N10" i="17"/>
  <c r="F10" i="17"/>
  <c r="H10" i="17" s="1"/>
  <c r="B10" i="17"/>
  <c r="AB9" i="17"/>
  <c r="Q9" i="17"/>
  <c r="N9" i="17"/>
  <c r="H9" i="17"/>
  <c r="F9" i="17"/>
  <c r="B9" i="17"/>
  <c r="AB8" i="17"/>
  <c r="Q8" i="17"/>
  <c r="N8" i="17"/>
  <c r="F8" i="17"/>
  <c r="H8" i="17" s="1"/>
  <c r="B8" i="17"/>
  <c r="AB7" i="17"/>
  <c r="Q7" i="17"/>
  <c r="N7" i="17"/>
  <c r="H7" i="17"/>
  <c r="F7" i="17"/>
  <c r="B7" i="17"/>
  <c r="Z40" i="16"/>
  <c r="Z39" i="16"/>
  <c r="Z33" i="16"/>
  <c r="W30" i="16"/>
  <c r="T30" i="16"/>
  <c r="N30" i="16"/>
  <c r="N29" i="16"/>
  <c r="Q29" i="16" s="1"/>
  <c r="B29" i="16"/>
  <c r="F29" i="16" s="1"/>
  <c r="H29" i="16" s="1"/>
  <c r="N28" i="16"/>
  <c r="Q28" i="16" s="1"/>
  <c r="H28" i="16"/>
  <c r="F28" i="16"/>
  <c r="B28" i="16"/>
  <c r="N27" i="16"/>
  <c r="Q27" i="16" s="1"/>
  <c r="F27" i="16"/>
  <c r="B27" i="16"/>
  <c r="N26" i="16"/>
  <c r="Q26" i="16" s="1"/>
  <c r="F26" i="16"/>
  <c r="H26" i="16" s="1"/>
  <c r="B26" i="16"/>
  <c r="Q25" i="16"/>
  <c r="N25" i="16"/>
  <c r="F25" i="16"/>
  <c r="H25" i="16" s="1"/>
  <c r="B25" i="16"/>
  <c r="P24" i="16"/>
  <c r="Q24" i="16" s="1"/>
  <c r="N24" i="16"/>
  <c r="F24" i="16"/>
  <c r="H24" i="16" s="1"/>
  <c r="B24" i="16"/>
  <c r="Q23" i="16"/>
  <c r="N23" i="16"/>
  <c r="B23" i="16"/>
  <c r="F23" i="16" s="1"/>
  <c r="H23" i="16" s="1"/>
  <c r="W22" i="16"/>
  <c r="N22" i="16"/>
  <c r="Q22" i="16" s="1"/>
  <c r="H22" i="16"/>
  <c r="F22" i="16"/>
  <c r="B22" i="16"/>
  <c r="P21" i="16"/>
  <c r="Q21" i="16" s="1"/>
  <c r="N21" i="16"/>
  <c r="B21" i="16"/>
  <c r="F21" i="16" s="1"/>
  <c r="H21" i="16" s="1"/>
  <c r="P20" i="16"/>
  <c r="N20" i="16"/>
  <c r="B20" i="16"/>
  <c r="F20" i="16" s="1"/>
  <c r="H20" i="16" s="1"/>
  <c r="AB19" i="16"/>
  <c r="P7" i="11" s="1"/>
  <c r="Q19" i="16"/>
  <c r="P19" i="16"/>
  <c r="N19" i="16"/>
  <c r="F19" i="16"/>
  <c r="H19" i="16" s="1"/>
  <c r="B19" i="16"/>
  <c r="Q18" i="16"/>
  <c r="N18" i="16"/>
  <c r="B18" i="16"/>
  <c r="F18" i="16" s="1"/>
  <c r="H18" i="16" s="1"/>
  <c r="AB17" i="16"/>
  <c r="Q17" i="16"/>
  <c r="P17" i="16"/>
  <c r="N17" i="16"/>
  <c r="B17" i="16"/>
  <c r="F17" i="16" s="1"/>
  <c r="H17" i="16" s="1"/>
  <c r="AB16" i="16"/>
  <c r="Q16" i="16"/>
  <c r="P16" i="16"/>
  <c r="N16" i="16"/>
  <c r="AB15" i="16"/>
  <c r="Q15" i="16"/>
  <c r="N15" i="16"/>
  <c r="F15" i="16"/>
  <c r="H15" i="16" s="1"/>
  <c r="B15" i="16"/>
  <c r="AB14" i="16"/>
  <c r="W14" i="16"/>
  <c r="N14" i="16"/>
  <c r="Q14" i="16" s="1"/>
  <c r="H14" i="16"/>
  <c r="F14" i="16"/>
  <c r="B14" i="16"/>
  <c r="AB13" i="16"/>
  <c r="Q13" i="16"/>
  <c r="N13" i="16"/>
  <c r="B13" i="16"/>
  <c r="F13" i="16" s="1"/>
  <c r="H13" i="16" s="1"/>
  <c r="AB12" i="16"/>
  <c r="N12" i="16"/>
  <c r="Q12" i="16" s="1"/>
  <c r="B12" i="16"/>
  <c r="F12" i="16" s="1"/>
  <c r="AB11" i="16"/>
  <c r="C7" i="11" s="1"/>
  <c r="Q11" i="16"/>
  <c r="N11" i="16"/>
  <c r="B11" i="16"/>
  <c r="F11" i="16" s="1"/>
  <c r="H11" i="16" s="1"/>
  <c r="AB10" i="16"/>
  <c r="Q10" i="16"/>
  <c r="N10" i="16"/>
  <c r="F10" i="16"/>
  <c r="H10" i="16" s="1"/>
  <c r="B10" i="16"/>
  <c r="AB9" i="16"/>
  <c r="Q9" i="16"/>
  <c r="N9" i="16"/>
  <c r="B9" i="16"/>
  <c r="F9" i="16" s="1"/>
  <c r="H9" i="16" s="1"/>
  <c r="AB8" i="16"/>
  <c r="Q8" i="16"/>
  <c r="N8" i="16"/>
  <c r="H8" i="16"/>
  <c r="B8" i="16"/>
  <c r="F8" i="16" s="1"/>
  <c r="AB7" i="16"/>
  <c r="Q7" i="16"/>
  <c r="N7" i="16"/>
  <c r="B7" i="16"/>
  <c r="F7" i="16" s="1"/>
  <c r="H7" i="16" s="1"/>
  <c r="Z40" i="15"/>
  <c r="Z39" i="15"/>
  <c r="Z37" i="15"/>
  <c r="D6" i="11" s="1"/>
  <c r="Z33" i="15"/>
  <c r="W30" i="15"/>
  <c r="M5" i="13" s="1"/>
  <c r="T30" i="15"/>
  <c r="N30" i="15"/>
  <c r="N29" i="15"/>
  <c r="Q29" i="15" s="1"/>
  <c r="F29" i="15"/>
  <c r="H29" i="15" s="1"/>
  <c r="B29" i="15"/>
  <c r="N28" i="15"/>
  <c r="Q28" i="15" s="1"/>
  <c r="F28" i="15"/>
  <c r="H28" i="15" s="1"/>
  <c r="B28" i="15"/>
  <c r="Q27" i="15"/>
  <c r="N27" i="15"/>
  <c r="F27" i="15"/>
  <c r="H27" i="15" s="1"/>
  <c r="B27" i="15"/>
  <c r="N26" i="15"/>
  <c r="Q26" i="15" s="1"/>
  <c r="B26" i="15"/>
  <c r="F26" i="15" s="1"/>
  <c r="H26" i="15" s="1"/>
  <c r="N25" i="15"/>
  <c r="Q25" i="15" s="1"/>
  <c r="H25" i="15"/>
  <c r="B25" i="15"/>
  <c r="P24" i="15"/>
  <c r="N24" i="15"/>
  <c r="Q24" i="15" s="1"/>
  <c r="B24" i="15"/>
  <c r="F24" i="15" s="1"/>
  <c r="N23" i="15"/>
  <c r="Q23" i="15" s="1"/>
  <c r="B23" i="15"/>
  <c r="F23" i="15" s="1"/>
  <c r="H23" i="15" s="1"/>
  <c r="W22" i="15"/>
  <c r="N22" i="15"/>
  <c r="Q22" i="15" s="1"/>
  <c r="B22" i="15"/>
  <c r="F22" i="15" s="1"/>
  <c r="H22" i="15" s="1"/>
  <c r="Q21" i="15"/>
  <c r="P21" i="15"/>
  <c r="N21" i="15"/>
  <c r="B21" i="15"/>
  <c r="F21" i="15" s="1"/>
  <c r="H21" i="15" s="1"/>
  <c r="P20" i="15"/>
  <c r="N20" i="15"/>
  <c r="Q20" i="15" s="1"/>
  <c r="F20" i="15"/>
  <c r="B20" i="15"/>
  <c r="AB19" i="15"/>
  <c r="P19" i="15"/>
  <c r="N19" i="15"/>
  <c r="Q19" i="15" s="1"/>
  <c r="H19" i="15"/>
  <c r="F19" i="15"/>
  <c r="B19" i="15"/>
  <c r="Q18" i="15"/>
  <c r="N18" i="15"/>
  <c r="F18" i="15"/>
  <c r="B18" i="15"/>
  <c r="AB17" i="15"/>
  <c r="P17" i="15"/>
  <c r="N17" i="15"/>
  <c r="Q17" i="15" s="1"/>
  <c r="H17" i="15"/>
  <c r="F17" i="15"/>
  <c r="B17" i="15"/>
  <c r="AB16" i="15"/>
  <c r="P16" i="15"/>
  <c r="N16" i="15"/>
  <c r="Q16" i="15" s="1"/>
  <c r="H16" i="15"/>
  <c r="AB15" i="15"/>
  <c r="Z38" i="15" s="1"/>
  <c r="Q5" i="13" s="1"/>
  <c r="N15" i="15"/>
  <c r="Q15" i="15" s="1"/>
  <c r="F15" i="15"/>
  <c r="H15" i="15" s="1"/>
  <c r="B15" i="15"/>
  <c r="AB14" i="15"/>
  <c r="W14" i="15"/>
  <c r="N14" i="15"/>
  <c r="Q14" i="15" s="1"/>
  <c r="B14" i="15"/>
  <c r="F14" i="15" s="1"/>
  <c r="H14" i="15" s="1"/>
  <c r="AB13" i="15"/>
  <c r="Q13" i="15"/>
  <c r="N13" i="15"/>
  <c r="H13" i="15"/>
  <c r="F13" i="15"/>
  <c r="B13" i="15"/>
  <c r="AB12" i="15"/>
  <c r="N12" i="15"/>
  <c r="Q12" i="15" s="1"/>
  <c r="B12" i="15"/>
  <c r="F12" i="15" s="1"/>
  <c r="H12" i="15" s="1"/>
  <c r="AB11" i="15"/>
  <c r="N11" i="15"/>
  <c r="Q11" i="15" s="1"/>
  <c r="H11" i="15"/>
  <c r="F11" i="15"/>
  <c r="B11" i="15"/>
  <c r="AB10" i="15"/>
  <c r="N10" i="15"/>
  <c r="Q10" i="15" s="1"/>
  <c r="F10" i="15"/>
  <c r="H10" i="15" s="1"/>
  <c r="B10" i="15"/>
  <c r="AB9" i="15"/>
  <c r="Q9" i="15"/>
  <c r="N9" i="15"/>
  <c r="H9" i="15"/>
  <c r="F9" i="15"/>
  <c r="B9" i="15"/>
  <c r="AB8" i="15"/>
  <c r="N8" i="15"/>
  <c r="Q8" i="15" s="1"/>
  <c r="B8" i="15"/>
  <c r="F8" i="15" s="1"/>
  <c r="H8" i="15" s="1"/>
  <c r="AB7" i="15"/>
  <c r="N7" i="15"/>
  <c r="Q7" i="15" s="1"/>
  <c r="Q31" i="15" s="1"/>
  <c r="H7" i="15"/>
  <c r="F7" i="15"/>
  <c r="B7" i="15"/>
  <c r="Z40" i="14"/>
  <c r="Z39" i="14"/>
  <c r="Z38" i="14"/>
  <c r="Q4" i="13" s="1"/>
  <c r="Z34" i="14"/>
  <c r="Z33" i="14"/>
  <c r="W30" i="14"/>
  <c r="T30" i="14"/>
  <c r="N30" i="14"/>
  <c r="Q29" i="14"/>
  <c r="N29" i="14"/>
  <c r="H29" i="14"/>
  <c r="F29" i="14"/>
  <c r="Q28" i="14"/>
  <c r="N28" i="14"/>
  <c r="F28" i="14"/>
  <c r="H28" i="14" s="1"/>
  <c r="Q27" i="14"/>
  <c r="N27" i="14"/>
  <c r="F27" i="14"/>
  <c r="H27" i="14" s="1"/>
  <c r="Q26" i="14"/>
  <c r="N26" i="14"/>
  <c r="H26" i="14"/>
  <c r="F26" i="14"/>
  <c r="Q25" i="14"/>
  <c r="N25" i="14"/>
  <c r="H25" i="14"/>
  <c r="F25" i="14"/>
  <c r="P24" i="14"/>
  <c r="Q24" i="14" s="1"/>
  <c r="N24" i="14"/>
  <c r="F24" i="14"/>
  <c r="H24" i="14" s="1"/>
  <c r="Q23" i="14"/>
  <c r="N23" i="14"/>
  <c r="F23" i="14"/>
  <c r="H23" i="14" s="1"/>
  <c r="W22" i="14"/>
  <c r="N22" i="14"/>
  <c r="Q22" i="14" s="1"/>
  <c r="H22" i="14"/>
  <c r="F22" i="14"/>
  <c r="Q21" i="14"/>
  <c r="P21" i="14"/>
  <c r="N21" i="14"/>
  <c r="H21" i="14"/>
  <c r="F21" i="14"/>
  <c r="P20" i="14"/>
  <c r="N20" i="14"/>
  <c r="Q20" i="14" s="1"/>
  <c r="H20" i="14"/>
  <c r="F20" i="14"/>
  <c r="AB19" i="14"/>
  <c r="Q19" i="14"/>
  <c r="P19" i="14"/>
  <c r="N19" i="14"/>
  <c r="F19" i="14"/>
  <c r="H19" i="14" s="1"/>
  <c r="N18" i="14"/>
  <c r="Q18" i="14" s="1"/>
  <c r="F18" i="14"/>
  <c r="H18" i="14" s="1"/>
  <c r="AB17" i="14"/>
  <c r="P17" i="14"/>
  <c r="N17" i="14"/>
  <c r="Q17" i="14" s="1"/>
  <c r="H17" i="14"/>
  <c r="H30" i="14" s="1"/>
  <c r="F17" i="14"/>
  <c r="AM7" i="8" s="1"/>
  <c r="AB16" i="14"/>
  <c r="P16" i="14"/>
  <c r="N16" i="14"/>
  <c r="Q16" i="14" s="1"/>
  <c r="AB15" i="14"/>
  <c r="Z37" i="14" s="1"/>
  <c r="Q15" i="14"/>
  <c r="N15" i="14"/>
  <c r="F15" i="14"/>
  <c r="H15" i="14" s="1"/>
  <c r="AB14" i="14"/>
  <c r="W14" i="14"/>
  <c r="Q14" i="14"/>
  <c r="N14" i="14"/>
  <c r="F14" i="14"/>
  <c r="H14" i="14" s="1"/>
  <c r="AB13" i="14"/>
  <c r="N13" i="14"/>
  <c r="Q13" i="14" s="1"/>
  <c r="H13" i="14"/>
  <c r="F13" i="14"/>
  <c r="AB12" i="14"/>
  <c r="N12" i="14"/>
  <c r="Q12" i="14" s="1"/>
  <c r="H12" i="14"/>
  <c r="F12" i="14"/>
  <c r="AB11" i="14"/>
  <c r="Q11" i="14"/>
  <c r="N11" i="14"/>
  <c r="F11" i="14"/>
  <c r="H11" i="14" s="1"/>
  <c r="AB10" i="14"/>
  <c r="N10" i="14"/>
  <c r="Q10" i="14" s="1"/>
  <c r="H10" i="14"/>
  <c r="F10" i="14"/>
  <c r="AB9" i="14"/>
  <c r="Q9" i="14"/>
  <c r="N9" i="14"/>
  <c r="H9" i="14"/>
  <c r="F9" i="14"/>
  <c r="AB8" i="14"/>
  <c r="N8" i="14"/>
  <c r="Q8" i="14" s="1"/>
  <c r="F8" i="14"/>
  <c r="H8" i="14" s="1"/>
  <c r="AB7" i="14"/>
  <c r="Q7" i="14"/>
  <c r="N7" i="14"/>
  <c r="H7" i="14"/>
  <c r="F7" i="14"/>
  <c r="X35" i="13"/>
  <c r="W34" i="13"/>
  <c r="V34" i="13"/>
  <c r="U34" i="13"/>
  <c r="S34" i="13"/>
  <c r="O34" i="13"/>
  <c r="M34" i="13"/>
  <c r="L34" i="13"/>
  <c r="N34" i="13" s="1"/>
  <c r="W33" i="13"/>
  <c r="V33" i="13"/>
  <c r="U33" i="13"/>
  <c r="S33" i="13"/>
  <c r="O33" i="13"/>
  <c r="M33" i="13"/>
  <c r="I33" i="13"/>
  <c r="W32" i="13"/>
  <c r="V32" i="13"/>
  <c r="U32" i="13"/>
  <c r="S32" i="13"/>
  <c r="M32" i="13"/>
  <c r="E31" i="9" s="1"/>
  <c r="I32" i="13"/>
  <c r="W31" i="13"/>
  <c r="V31" i="13"/>
  <c r="U31" i="13"/>
  <c r="S31" i="13"/>
  <c r="O31" i="13"/>
  <c r="M31" i="13"/>
  <c r="W30" i="13"/>
  <c r="V30" i="13"/>
  <c r="U30" i="13"/>
  <c r="S30" i="13"/>
  <c r="O30" i="13"/>
  <c r="M30" i="13"/>
  <c r="W29" i="13"/>
  <c r="V29" i="13"/>
  <c r="U29" i="13"/>
  <c r="S29" i="13"/>
  <c r="O29" i="13"/>
  <c r="M29" i="13"/>
  <c r="L29" i="13"/>
  <c r="N29" i="13" s="1"/>
  <c r="W28" i="13"/>
  <c r="V28" i="13"/>
  <c r="U28" i="13"/>
  <c r="S28" i="13"/>
  <c r="Q28" i="13"/>
  <c r="O28" i="13"/>
  <c r="M28" i="13"/>
  <c r="W27" i="13"/>
  <c r="V27" i="13"/>
  <c r="U27" i="13"/>
  <c r="S27" i="13"/>
  <c r="Q27" i="13"/>
  <c r="M27" i="13"/>
  <c r="I27" i="13"/>
  <c r="W26" i="13"/>
  <c r="V26" i="13"/>
  <c r="U26" i="13"/>
  <c r="S26" i="13"/>
  <c r="G25" i="9" s="1"/>
  <c r="O26" i="13"/>
  <c r="M26" i="13"/>
  <c r="W25" i="13"/>
  <c r="V25" i="13"/>
  <c r="U25" i="13"/>
  <c r="S25" i="13"/>
  <c r="O25" i="13"/>
  <c r="M25" i="13"/>
  <c r="E24" i="9" s="1"/>
  <c r="W24" i="13"/>
  <c r="V24" i="13"/>
  <c r="U24" i="13"/>
  <c r="S24" i="13"/>
  <c r="Q24" i="13"/>
  <c r="O24" i="13"/>
  <c r="M24" i="13"/>
  <c r="W23" i="13"/>
  <c r="V23" i="13"/>
  <c r="U23" i="13"/>
  <c r="S23" i="13"/>
  <c r="O23" i="13"/>
  <c r="M23" i="13"/>
  <c r="I23" i="13"/>
  <c r="W22" i="13"/>
  <c r="V22" i="13"/>
  <c r="U22" i="13"/>
  <c r="S22" i="13"/>
  <c r="Q22" i="13"/>
  <c r="O22" i="13"/>
  <c r="M22" i="13"/>
  <c r="L22" i="13"/>
  <c r="N22" i="13" s="1"/>
  <c r="W21" i="13"/>
  <c r="V21" i="13"/>
  <c r="U21" i="13"/>
  <c r="S21" i="13"/>
  <c r="G20" i="9" s="1"/>
  <c r="M21" i="13"/>
  <c r="W20" i="13"/>
  <c r="V20" i="13"/>
  <c r="U20" i="13"/>
  <c r="S20" i="13"/>
  <c r="M20" i="13"/>
  <c r="W19" i="13"/>
  <c r="V19" i="13"/>
  <c r="U19" i="13"/>
  <c r="S19" i="13"/>
  <c r="O19" i="13"/>
  <c r="M19" i="13"/>
  <c r="W18" i="13"/>
  <c r="V18" i="13"/>
  <c r="U18" i="13"/>
  <c r="S18" i="13"/>
  <c r="Q18" i="13"/>
  <c r="O18" i="13"/>
  <c r="M18" i="13"/>
  <c r="I18" i="13"/>
  <c r="W17" i="13"/>
  <c r="V17" i="13"/>
  <c r="U17" i="13"/>
  <c r="S17" i="13"/>
  <c r="Q17" i="13"/>
  <c r="O17" i="13"/>
  <c r="M17" i="13"/>
  <c r="W16" i="13"/>
  <c r="V16" i="13"/>
  <c r="U16" i="13"/>
  <c r="S16" i="13"/>
  <c r="P16" i="13"/>
  <c r="O16" i="13"/>
  <c r="M16" i="13"/>
  <c r="W15" i="13"/>
  <c r="V15" i="13"/>
  <c r="U15" i="13"/>
  <c r="S15" i="13"/>
  <c r="O15" i="13"/>
  <c r="M15" i="13"/>
  <c r="W14" i="13"/>
  <c r="V14" i="13"/>
  <c r="U14" i="13"/>
  <c r="S14" i="13"/>
  <c r="O14" i="13"/>
  <c r="M14" i="13"/>
  <c r="W13" i="13"/>
  <c r="V13" i="13"/>
  <c r="U13" i="13"/>
  <c r="S13" i="13"/>
  <c r="O13" i="13"/>
  <c r="M13" i="13"/>
  <c r="W12" i="13"/>
  <c r="V12" i="13"/>
  <c r="U12" i="13"/>
  <c r="S12" i="13"/>
  <c r="G11" i="9" s="1"/>
  <c r="O12" i="13"/>
  <c r="M12" i="13"/>
  <c r="W11" i="13"/>
  <c r="V11" i="13"/>
  <c r="U11" i="13"/>
  <c r="S11" i="13"/>
  <c r="Q11" i="13"/>
  <c r="P11" i="13"/>
  <c r="R11" i="13" s="1"/>
  <c r="M11" i="13"/>
  <c r="W10" i="13"/>
  <c r="V10" i="13"/>
  <c r="U10" i="13"/>
  <c r="S10" i="13"/>
  <c r="M10" i="13"/>
  <c r="I10" i="13"/>
  <c r="W9" i="13"/>
  <c r="V9" i="13"/>
  <c r="U9" i="13"/>
  <c r="S9" i="13"/>
  <c r="W8" i="13"/>
  <c r="V8" i="13"/>
  <c r="U8" i="13"/>
  <c r="S8" i="13"/>
  <c r="O8" i="13"/>
  <c r="M8" i="13"/>
  <c r="E7" i="9" s="1"/>
  <c r="W7" i="13"/>
  <c r="V7" i="13"/>
  <c r="U7" i="13"/>
  <c r="S7" i="13"/>
  <c r="O7" i="13"/>
  <c r="M7" i="13"/>
  <c r="W6" i="13"/>
  <c r="V6" i="13"/>
  <c r="U6" i="13"/>
  <c r="S6" i="13"/>
  <c r="O6" i="13"/>
  <c r="W5" i="13"/>
  <c r="V5" i="13"/>
  <c r="U5" i="13"/>
  <c r="S5" i="13"/>
  <c r="O5" i="13"/>
  <c r="W4" i="13"/>
  <c r="V4" i="13"/>
  <c r="U4" i="13"/>
  <c r="S4" i="13"/>
  <c r="O4" i="13"/>
  <c r="M4" i="13"/>
  <c r="I4" i="13"/>
  <c r="A54" i="12"/>
  <c r="A53" i="12"/>
  <c r="A52" i="12"/>
  <c r="A51" i="12"/>
  <c r="A50" i="12"/>
  <c r="F44" i="12"/>
  <c r="E44" i="12"/>
  <c r="D44" i="12"/>
  <c r="C44" i="12"/>
  <c r="B44" i="12"/>
  <c r="G44" i="12" s="1"/>
  <c r="F43" i="12"/>
  <c r="G43" i="12" s="1"/>
  <c r="L33" i="13" s="1"/>
  <c r="N33" i="13" s="1"/>
  <c r="E43" i="12"/>
  <c r="D43" i="12"/>
  <c r="C43" i="12"/>
  <c r="B43" i="12"/>
  <c r="F42" i="12"/>
  <c r="E42" i="12"/>
  <c r="D42" i="12"/>
  <c r="C42" i="12"/>
  <c r="B42" i="12"/>
  <c r="F41" i="12"/>
  <c r="E41" i="12"/>
  <c r="G41" i="12" s="1"/>
  <c r="L31" i="13" s="1"/>
  <c r="N31" i="13" s="1"/>
  <c r="D41" i="12"/>
  <c r="C41" i="12"/>
  <c r="B41" i="12"/>
  <c r="F40" i="12"/>
  <c r="E40" i="12"/>
  <c r="D40" i="12"/>
  <c r="C40" i="12"/>
  <c r="C45" i="12" s="1"/>
  <c r="B40" i="12"/>
  <c r="F39" i="12"/>
  <c r="E39" i="12"/>
  <c r="D39" i="12"/>
  <c r="G39" i="12" s="1"/>
  <c r="C39" i="12"/>
  <c r="B39" i="12"/>
  <c r="F38" i="12"/>
  <c r="E38" i="12"/>
  <c r="D38" i="12"/>
  <c r="C38" i="12"/>
  <c r="B38" i="12"/>
  <c r="G38" i="12" s="1"/>
  <c r="L28" i="13" s="1"/>
  <c r="N28" i="13" s="1"/>
  <c r="G37" i="12"/>
  <c r="L27" i="13" s="1"/>
  <c r="N27" i="13" s="1"/>
  <c r="F37" i="12"/>
  <c r="E37" i="12"/>
  <c r="D37" i="12"/>
  <c r="C37" i="12"/>
  <c r="B37" i="12"/>
  <c r="F36" i="12"/>
  <c r="E36" i="12"/>
  <c r="D36" i="12"/>
  <c r="C36" i="12"/>
  <c r="B36" i="12"/>
  <c r="F35" i="12"/>
  <c r="E35" i="12"/>
  <c r="D35" i="12"/>
  <c r="C35" i="12"/>
  <c r="B35" i="12"/>
  <c r="E32" i="12"/>
  <c r="D32" i="12"/>
  <c r="F31" i="12"/>
  <c r="E31" i="12"/>
  <c r="D31" i="12"/>
  <c r="C31" i="12"/>
  <c r="C32" i="12" s="1"/>
  <c r="B31" i="12"/>
  <c r="F30" i="12"/>
  <c r="E30" i="12"/>
  <c r="D30" i="12"/>
  <c r="C30" i="12"/>
  <c r="B30" i="12"/>
  <c r="F29" i="12"/>
  <c r="E29" i="12"/>
  <c r="D29" i="12"/>
  <c r="C29" i="12"/>
  <c r="B29" i="12"/>
  <c r="G29" i="12" s="1"/>
  <c r="F28" i="12"/>
  <c r="E28" i="12"/>
  <c r="D28" i="12"/>
  <c r="C28" i="12"/>
  <c r="B28" i="12"/>
  <c r="G28" i="12" s="1"/>
  <c r="L21" i="13" s="1"/>
  <c r="N21" i="13" s="1"/>
  <c r="F27" i="12"/>
  <c r="E27" i="12"/>
  <c r="D27" i="12"/>
  <c r="C27" i="12"/>
  <c r="B27" i="12"/>
  <c r="G26" i="12"/>
  <c r="L19" i="13" s="1"/>
  <c r="F26" i="12"/>
  <c r="F32" i="12" s="1"/>
  <c r="E26" i="12"/>
  <c r="D26" i="12"/>
  <c r="C26" i="12"/>
  <c r="B26" i="12"/>
  <c r="F25" i="12"/>
  <c r="E25" i="12"/>
  <c r="D25" i="12"/>
  <c r="C25" i="12"/>
  <c r="B25" i="12"/>
  <c r="G24" i="12"/>
  <c r="G34" i="12" s="1"/>
  <c r="F24" i="12"/>
  <c r="F34" i="12" s="1"/>
  <c r="E24" i="12"/>
  <c r="E34" i="12" s="1"/>
  <c r="D24" i="12"/>
  <c r="D34" i="12" s="1"/>
  <c r="B24" i="12"/>
  <c r="B34" i="12" s="1"/>
  <c r="F21" i="12"/>
  <c r="E21" i="12"/>
  <c r="D21" i="12"/>
  <c r="C21" i="12"/>
  <c r="B21" i="12"/>
  <c r="F20" i="12"/>
  <c r="E20" i="12"/>
  <c r="D20" i="12"/>
  <c r="C20" i="12"/>
  <c r="B20" i="12"/>
  <c r="G20" i="12" s="1"/>
  <c r="L16" i="13" s="1"/>
  <c r="N16" i="13" s="1"/>
  <c r="F19" i="12"/>
  <c r="E19" i="12"/>
  <c r="D19" i="12"/>
  <c r="C19" i="12"/>
  <c r="B19" i="12"/>
  <c r="F18" i="12"/>
  <c r="E18" i="12"/>
  <c r="D18" i="12"/>
  <c r="C18" i="12"/>
  <c r="B18" i="12"/>
  <c r="G18" i="12" s="1"/>
  <c r="L14" i="13" s="1"/>
  <c r="N14" i="13" s="1"/>
  <c r="F17" i="12"/>
  <c r="E17" i="12"/>
  <c r="D17" i="12"/>
  <c r="C17" i="12"/>
  <c r="B17" i="12"/>
  <c r="G17" i="12" s="1"/>
  <c r="L13" i="13" s="1"/>
  <c r="N13" i="13" s="1"/>
  <c r="F16" i="12"/>
  <c r="E16" i="12"/>
  <c r="D16" i="12"/>
  <c r="C16" i="12"/>
  <c r="B16" i="12"/>
  <c r="F15" i="12"/>
  <c r="E15" i="12"/>
  <c r="D15" i="12"/>
  <c r="C15" i="12"/>
  <c r="B15" i="12"/>
  <c r="G14" i="12"/>
  <c r="F14" i="12"/>
  <c r="E14" i="12"/>
  <c r="D14" i="12"/>
  <c r="C14" i="12"/>
  <c r="C24" i="12" s="1"/>
  <c r="C34" i="12" s="1"/>
  <c r="B14" i="12"/>
  <c r="F12" i="12"/>
  <c r="F11" i="12"/>
  <c r="E11" i="12"/>
  <c r="D11" i="12"/>
  <c r="C11" i="12"/>
  <c r="B11" i="12"/>
  <c r="F10" i="12"/>
  <c r="E10" i="12"/>
  <c r="E12" i="12" s="1"/>
  <c r="D10" i="12"/>
  <c r="C10" i="12"/>
  <c r="B10" i="12"/>
  <c r="F9" i="12"/>
  <c r="E9" i="12"/>
  <c r="D9" i="12"/>
  <c r="C9" i="12"/>
  <c r="B9" i="12"/>
  <c r="F8" i="12"/>
  <c r="E8" i="12"/>
  <c r="D8" i="12"/>
  <c r="D12" i="12" s="1"/>
  <c r="C8" i="12"/>
  <c r="B8" i="12"/>
  <c r="F7" i="12"/>
  <c r="E7" i="12"/>
  <c r="D7" i="12"/>
  <c r="C7" i="12"/>
  <c r="B7" i="12"/>
  <c r="G7" i="12" s="1"/>
  <c r="L6" i="13" s="1"/>
  <c r="F6" i="12"/>
  <c r="E6" i="12"/>
  <c r="D6" i="12"/>
  <c r="C6" i="12"/>
  <c r="B6" i="12"/>
  <c r="F5" i="12"/>
  <c r="E5" i="12"/>
  <c r="D5" i="12"/>
  <c r="C5" i="12"/>
  <c r="B5" i="12"/>
  <c r="B76" i="11"/>
  <c r="B75" i="11"/>
  <c r="B74" i="11"/>
  <c r="B69" i="11"/>
  <c r="B68" i="11"/>
  <c r="B67" i="11"/>
  <c r="B66" i="11"/>
  <c r="B65" i="11"/>
  <c r="B62" i="11"/>
  <c r="B61" i="11"/>
  <c r="B60" i="11"/>
  <c r="B57" i="11"/>
  <c r="B56" i="11"/>
  <c r="B55" i="11"/>
  <c r="B54" i="11"/>
  <c r="B53" i="11"/>
  <c r="B52" i="11"/>
  <c r="B27" i="3" s="1"/>
  <c r="B51" i="11"/>
  <c r="B50" i="11"/>
  <c r="AR47" i="11"/>
  <c r="AN47" i="11"/>
  <c r="AM47" i="11"/>
  <c r="AJ47" i="11"/>
  <c r="D81" i="11" s="1"/>
  <c r="AH47" i="11"/>
  <c r="D79" i="11" s="1"/>
  <c r="AP45" i="11"/>
  <c r="AO45" i="11"/>
  <c r="AN45" i="11"/>
  <c r="AM45" i="11"/>
  <c r="AL45" i="11"/>
  <c r="AK45" i="11"/>
  <c r="AJ45" i="11"/>
  <c r="AI45" i="11"/>
  <c r="AH45" i="11"/>
  <c r="AG45" i="11"/>
  <c r="AC45" i="11"/>
  <c r="O45" i="11"/>
  <c r="K45" i="11"/>
  <c r="I45" i="11"/>
  <c r="AU44" i="11"/>
  <c r="AG44" i="11"/>
  <c r="AF44" i="11"/>
  <c r="AE44" i="11"/>
  <c r="AD44" i="11"/>
  <c r="AB44" i="11"/>
  <c r="AA44" i="11"/>
  <c r="Z44" i="11"/>
  <c r="Y44" i="11"/>
  <c r="X44" i="11"/>
  <c r="V44" i="11"/>
  <c r="U44" i="11"/>
  <c r="T44" i="11"/>
  <c r="S44" i="11"/>
  <c r="R44" i="11"/>
  <c r="Q44" i="11"/>
  <c r="N44" i="11"/>
  <c r="M44" i="11"/>
  <c r="L44" i="11"/>
  <c r="K44" i="11"/>
  <c r="J44" i="11"/>
  <c r="I44" i="11"/>
  <c r="H44" i="11"/>
  <c r="G44" i="11"/>
  <c r="F44" i="11"/>
  <c r="E44" i="11"/>
  <c r="C44" i="11"/>
  <c r="B44" i="11"/>
  <c r="AU43" i="11"/>
  <c r="AG43" i="11"/>
  <c r="AF43" i="11"/>
  <c r="AE43" i="11"/>
  <c r="AD43" i="11"/>
  <c r="AB43" i="11"/>
  <c r="AA43" i="11"/>
  <c r="Z43" i="11"/>
  <c r="Y43" i="11"/>
  <c r="X43" i="11"/>
  <c r="V43" i="11"/>
  <c r="U43" i="11"/>
  <c r="T43" i="11"/>
  <c r="S43" i="11"/>
  <c r="R43" i="11"/>
  <c r="Q43" i="11"/>
  <c r="P43" i="11"/>
  <c r="N43" i="11"/>
  <c r="M43" i="11"/>
  <c r="L43" i="11"/>
  <c r="K43" i="11"/>
  <c r="J43" i="11"/>
  <c r="W43" i="11" s="1"/>
  <c r="I43" i="11"/>
  <c r="H43" i="11"/>
  <c r="G43" i="11"/>
  <c r="F43" i="11"/>
  <c r="E43" i="11"/>
  <c r="D43" i="11"/>
  <c r="C43" i="11"/>
  <c r="B43" i="11"/>
  <c r="AU42" i="11"/>
  <c r="AG42" i="11"/>
  <c r="AQ42" i="11" s="1"/>
  <c r="AF42" i="11"/>
  <c r="AE42" i="11"/>
  <c r="AD42" i="11"/>
  <c r="AB42" i="11"/>
  <c r="AA42" i="11"/>
  <c r="Z42" i="11"/>
  <c r="Y42" i="11"/>
  <c r="X42" i="11"/>
  <c r="V42" i="11"/>
  <c r="U42" i="11"/>
  <c r="T42" i="11"/>
  <c r="S42" i="11"/>
  <c r="R42" i="11"/>
  <c r="Q42" i="11"/>
  <c r="P42" i="11"/>
  <c r="N42" i="11"/>
  <c r="M42" i="11"/>
  <c r="L42" i="11"/>
  <c r="K42" i="11"/>
  <c r="J42" i="11"/>
  <c r="I42" i="11"/>
  <c r="H42" i="11"/>
  <c r="G42" i="11"/>
  <c r="F42" i="11"/>
  <c r="E42" i="11"/>
  <c r="C42" i="11"/>
  <c r="B42" i="11"/>
  <c r="AU41" i="11"/>
  <c r="AG41" i="11"/>
  <c r="AF41" i="11"/>
  <c r="AE41" i="11"/>
  <c r="AD41" i="11"/>
  <c r="AB41" i="11"/>
  <c r="AA41" i="11"/>
  <c r="Z41" i="11"/>
  <c r="Y41" i="11"/>
  <c r="X41" i="11"/>
  <c r="V41" i="11"/>
  <c r="U41" i="11"/>
  <c r="T41" i="11"/>
  <c r="S41" i="11"/>
  <c r="R41" i="11"/>
  <c r="Q41" i="11"/>
  <c r="P41" i="11"/>
  <c r="N41" i="11"/>
  <c r="M41" i="11"/>
  <c r="L41" i="11"/>
  <c r="K41" i="11"/>
  <c r="J41" i="11"/>
  <c r="J45" i="11" s="1"/>
  <c r="I41" i="11"/>
  <c r="H41" i="11"/>
  <c r="G41" i="11"/>
  <c r="E41" i="11"/>
  <c r="B41" i="11"/>
  <c r="AU40" i="11"/>
  <c r="AG40" i="11"/>
  <c r="AF40" i="11"/>
  <c r="AE40" i="11"/>
  <c r="AD40" i="11"/>
  <c r="AB40" i="11"/>
  <c r="AA40" i="11"/>
  <c r="Z40" i="11"/>
  <c r="Y40" i="11"/>
  <c r="X40" i="11"/>
  <c r="V40" i="11"/>
  <c r="U40" i="11"/>
  <c r="T40" i="11"/>
  <c r="S40" i="11"/>
  <c r="R40" i="11"/>
  <c r="Q40" i="11"/>
  <c r="P40" i="11"/>
  <c r="N40" i="11"/>
  <c r="M40" i="11"/>
  <c r="L40" i="11"/>
  <c r="K40" i="11"/>
  <c r="J40" i="11"/>
  <c r="I40" i="11"/>
  <c r="H40" i="11"/>
  <c r="G40" i="11"/>
  <c r="E40" i="11"/>
  <c r="D40" i="11"/>
  <c r="C40" i="11"/>
  <c r="B40" i="11"/>
  <c r="AU39" i="11"/>
  <c r="AG39" i="11"/>
  <c r="AF39" i="11"/>
  <c r="AE39" i="11"/>
  <c r="AD39" i="11"/>
  <c r="AB39" i="11"/>
  <c r="AA39" i="11"/>
  <c r="Z39" i="11"/>
  <c r="Y39" i="11"/>
  <c r="X39" i="11"/>
  <c r="V39" i="11"/>
  <c r="U39" i="11"/>
  <c r="T39" i="11"/>
  <c r="S39" i="11"/>
  <c r="R39" i="11"/>
  <c r="Q39" i="11"/>
  <c r="P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U38" i="11"/>
  <c r="AG38" i="11"/>
  <c r="AF38" i="11"/>
  <c r="AE38" i="11"/>
  <c r="AD38" i="11"/>
  <c r="AB38" i="11"/>
  <c r="AA38" i="11"/>
  <c r="Z38" i="11"/>
  <c r="AQ38" i="11" s="1"/>
  <c r="Y38" i="11"/>
  <c r="X38" i="11"/>
  <c r="V38" i="11"/>
  <c r="U38" i="11"/>
  <c r="T38" i="11"/>
  <c r="S38" i="11"/>
  <c r="R38" i="11"/>
  <c r="Q38" i="11"/>
  <c r="P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U37" i="11"/>
  <c r="AG37" i="11"/>
  <c r="AF37" i="11"/>
  <c r="AF45" i="11" s="1"/>
  <c r="AE37" i="11"/>
  <c r="AD37" i="11"/>
  <c r="AB37" i="11"/>
  <c r="AA37" i="11"/>
  <c r="Z37" i="11"/>
  <c r="Y37" i="11"/>
  <c r="X37" i="11"/>
  <c r="V37" i="11"/>
  <c r="U37" i="11"/>
  <c r="T37" i="11"/>
  <c r="S37" i="11"/>
  <c r="S45" i="11" s="1"/>
  <c r="R37" i="11"/>
  <c r="Q37" i="11"/>
  <c r="P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U36" i="11"/>
  <c r="AG36" i="11"/>
  <c r="AF36" i="11"/>
  <c r="AE36" i="11"/>
  <c r="AD36" i="11"/>
  <c r="AB36" i="11"/>
  <c r="AA36" i="11"/>
  <c r="Z36" i="11"/>
  <c r="AQ36" i="11" s="1"/>
  <c r="Y36" i="11"/>
  <c r="X36" i="11"/>
  <c r="V36" i="11"/>
  <c r="U36" i="11"/>
  <c r="T36" i="11"/>
  <c r="S36" i="11"/>
  <c r="R36" i="11"/>
  <c r="Q36" i="11"/>
  <c r="P36" i="11"/>
  <c r="N36" i="11"/>
  <c r="M36" i="11"/>
  <c r="L36" i="11"/>
  <c r="K36" i="11"/>
  <c r="J36" i="11"/>
  <c r="I36" i="11"/>
  <c r="H36" i="11"/>
  <c r="G36" i="11"/>
  <c r="F36" i="11"/>
  <c r="E36" i="11"/>
  <c r="D36" i="11"/>
  <c r="B36" i="11"/>
  <c r="AU35" i="11"/>
  <c r="AG35" i="11"/>
  <c r="AF35" i="11"/>
  <c r="AE35" i="11"/>
  <c r="AE45" i="11" s="1"/>
  <c r="AD35" i="11"/>
  <c r="AB35" i="11"/>
  <c r="AA35" i="11"/>
  <c r="Z35" i="11"/>
  <c r="Y35" i="11"/>
  <c r="X35" i="11"/>
  <c r="V35" i="11"/>
  <c r="U35" i="11"/>
  <c r="T35" i="11"/>
  <c r="T45" i="11" s="1"/>
  <c r="S35" i="11"/>
  <c r="R35" i="11"/>
  <c r="Q35" i="11"/>
  <c r="Q45" i="11" s="1"/>
  <c r="P35" i="11"/>
  <c r="N35" i="11"/>
  <c r="M35" i="11"/>
  <c r="L35" i="11"/>
  <c r="K35" i="11"/>
  <c r="J35" i="11"/>
  <c r="I35" i="11"/>
  <c r="H35" i="11"/>
  <c r="G35" i="11"/>
  <c r="G45" i="11" s="1"/>
  <c r="F35" i="11"/>
  <c r="E35" i="11"/>
  <c r="D35" i="11"/>
  <c r="C35" i="11"/>
  <c r="B35" i="11"/>
  <c r="AB34" i="11"/>
  <c r="Z34" i="11"/>
  <c r="B72" i="11" s="1"/>
  <c r="Y34" i="11"/>
  <c r="B71" i="11" s="1"/>
  <c r="X34" i="11"/>
  <c r="B70" i="11" s="1"/>
  <c r="W34" i="11"/>
  <c r="V34" i="11"/>
  <c r="R34" i="11"/>
  <c r="Q34" i="11"/>
  <c r="B64" i="11" s="1"/>
  <c r="E34" i="11"/>
  <c r="AP32" i="11"/>
  <c r="AO32" i="11"/>
  <c r="AN32" i="11"/>
  <c r="AM32" i="11"/>
  <c r="AL32" i="11"/>
  <c r="AK32" i="11"/>
  <c r="AI32" i="11"/>
  <c r="AH32" i="11"/>
  <c r="AC32" i="11"/>
  <c r="O32" i="11"/>
  <c r="AU31" i="11"/>
  <c r="AG31" i="11"/>
  <c r="AF31" i="11"/>
  <c r="AE31" i="11"/>
  <c r="AD31" i="11"/>
  <c r="AB31" i="11"/>
  <c r="AA31" i="11"/>
  <c r="Z31" i="11"/>
  <c r="Y31" i="11"/>
  <c r="AQ31" i="11" s="1"/>
  <c r="X31" i="11"/>
  <c r="V31" i="11"/>
  <c r="U31" i="11"/>
  <c r="T31" i="11"/>
  <c r="S31" i="11"/>
  <c r="R31" i="11"/>
  <c r="Q31" i="11"/>
  <c r="P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U30" i="11"/>
  <c r="AG30" i="11"/>
  <c r="AF30" i="11"/>
  <c r="AE30" i="11"/>
  <c r="AD30" i="11"/>
  <c r="AB30" i="11"/>
  <c r="AA30" i="11"/>
  <c r="Z30" i="11"/>
  <c r="Y30" i="11"/>
  <c r="X30" i="11"/>
  <c r="V30" i="11"/>
  <c r="U30" i="11"/>
  <c r="T30" i="11"/>
  <c r="S30" i="11"/>
  <c r="R30" i="11"/>
  <c r="Q30" i="11"/>
  <c r="P30" i="11"/>
  <c r="N30" i="11"/>
  <c r="M30" i="11"/>
  <c r="L30" i="11"/>
  <c r="K30" i="11"/>
  <c r="J30" i="11"/>
  <c r="I30" i="11"/>
  <c r="H30" i="11"/>
  <c r="G30" i="11"/>
  <c r="F30" i="11"/>
  <c r="E30" i="11"/>
  <c r="C30" i="11"/>
  <c r="B30" i="11"/>
  <c r="AU29" i="11"/>
  <c r="AG29" i="11"/>
  <c r="AF29" i="11"/>
  <c r="AE29" i="11"/>
  <c r="AD29" i="11"/>
  <c r="AB29" i="11"/>
  <c r="AA29" i="11"/>
  <c r="Z29" i="11"/>
  <c r="Y29" i="11"/>
  <c r="X29" i="11"/>
  <c r="V29" i="11"/>
  <c r="U29" i="11"/>
  <c r="T29" i="11"/>
  <c r="S29" i="11"/>
  <c r="R29" i="11"/>
  <c r="Q29" i="11"/>
  <c r="P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W29" i="11" s="1"/>
  <c r="AU28" i="11"/>
  <c r="AG28" i="11"/>
  <c r="AF28" i="11"/>
  <c r="AE28" i="11"/>
  <c r="AD28" i="11"/>
  <c r="AB28" i="11"/>
  <c r="AA28" i="11"/>
  <c r="Z28" i="11"/>
  <c r="Y28" i="11"/>
  <c r="X28" i="11"/>
  <c r="AQ28" i="11" s="1"/>
  <c r="V28" i="11"/>
  <c r="U28" i="11"/>
  <c r="T28" i="11"/>
  <c r="S28" i="11"/>
  <c r="R28" i="11"/>
  <c r="Q28" i="11"/>
  <c r="N28" i="11"/>
  <c r="M28" i="11"/>
  <c r="L28" i="11"/>
  <c r="K28" i="11"/>
  <c r="J28" i="11"/>
  <c r="I28" i="11"/>
  <c r="H28" i="11"/>
  <c r="G28" i="11"/>
  <c r="F28" i="11"/>
  <c r="E28" i="11"/>
  <c r="C28" i="11"/>
  <c r="B28" i="11"/>
  <c r="AU27" i="11"/>
  <c r="AG27" i="11"/>
  <c r="AG32" i="11" s="1"/>
  <c r="AF27" i="11"/>
  <c r="AE27" i="11"/>
  <c r="AE32" i="11" s="1"/>
  <c r="AD27" i="11"/>
  <c r="AQ27" i="11" s="1"/>
  <c r="AB27" i="11"/>
  <c r="AA27" i="11"/>
  <c r="Z27" i="11"/>
  <c r="Y27" i="11"/>
  <c r="X27" i="11"/>
  <c r="V27" i="11"/>
  <c r="U27" i="11"/>
  <c r="U32" i="11" s="1"/>
  <c r="T27" i="11"/>
  <c r="T32" i="11" s="1"/>
  <c r="S27" i="11"/>
  <c r="R27" i="11"/>
  <c r="Q27" i="11"/>
  <c r="P27" i="11"/>
  <c r="N27" i="11"/>
  <c r="M27" i="11"/>
  <c r="L27" i="11"/>
  <c r="K27" i="11"/>
  <c r="J27" i="11"/>
  <c r="I27" i="11"/>
  <c r="H27" i="11"/>
  <c r="G27" i="11"/>
  <c r="G32" i="11" s="1"/>
  <c r="F27" i="11"/>
  <c r="E27" i="11"/>
  <c r="D27" i="11"/>
  <c r="C27" i="11"/>
  <c r="B27" i="11"/>
  <c r="AU26" i="11"/>
  <c r="AG26" i="11"/>
  <c r="AF26" i="11"/>
  <c r="AE26" i="11"/>
  <c r="AD26" i="11"/>
  <c r="AD32" i="11" s="1"/>
  <c r="AB26" i="11"/>
  <c r="AA26" i="11"/>
  <c r="Z26" i="11"/>
  <c r="Y26" i="11"/>
  <c r="X26" i="11"/>
  <c r="V26" i="11"/>
  <c r="U26" i="11"/>
  <c r="T26" i="11"/>
  <c r="S26" i="11"/>
  <c r="R26" i="11"/>
  <c r="Q26" i="11"/>
  <c r="P26" i="11"/>
  <c r="N26" i="11"/>
  <c r="M26" i="11"/>
  <c r="L26" i="11"/>
  <c r="L32" i="11" s="1"/>
  <c r="K26" i="11"/>
  <c r="J26" i="11"/>
  <c r="I26" i="11"/>
  <c r="H26" i="11"/>
  <c r="G26" i="11"/>
  <c r="F26" i="11"/>
  <c r="E26" i="11"/>
  <c r="C26" i="11"/>
  <c r="B26" i="11"/>
  <c r="AU25" i="11"/>
  <c r="AG25" i="11"/>
  <c r="AF25" i="11"/>
  <c r="AF32" i="11" s="1"/>
  <c r="AE25" i="11"/>
  <c r="AD25" i="11"/>
  <c r="AB25" i="11"/>
  <c r="AA25" i="11"/>
  <c r="Z25" i="11"/>
  <c r="Y25" i="11"/>
  <c r="X25" i="11"/>
  <c r="V25" i="11"/>
  <c r="U25" i="11"/>
  <c r="T25" i="11"/>
  <c r="S25" i="11"/>
  <c r="S32" i="11" s="1"/>
  <c r="R25" i="11"/>
  <c r="Q25" i="11"/>
  <c r="P25" i="11"/>
  <c r="N25" i="11"/>
  <c r="M25" i="11"/>
  <c r="L25" i="11"/>
  <c r="K25" i="11"/>
  <c r="J25" i="11"/>
  <c r="J32" i="11" s="1"/>
  <c r="I25" i="11"/>
  <c r="H25" i="11"/>
  <c r="G25" i="11"/>
  <c r="F25" i="11"/>
  <c r="F32" i="11" s="1"/>
  <c r="E25" i="11"/>
  <c r="D25" i="11"/>
  <c r="C25" i="11"/>
  <c r="B25" i="11"/>
  <c r="AM24" i="11"/>
  <c r="AM34" i="11" s="1"/>
  <c r="AK24" i="11"/>
  <c r="AK34" i="11" s="1"/>
  <c r="AJ24" i="11"/>
  <c r="AJ34" i="11" s="1"/>
  <c r="AF24" i="11"/>
  <c r="AF34" i="11" s="1"/>
  <c r="B77" i="11" s="1"/>
  <c r="AC24" i="11"/>
  <c r="AC34" i="11" s="1"/>
  <c r="AB24" i="11"/>
  <c r="Y24" i="11"/>
  <c r="W24" i="11"/>
  <c r="V24" i="11"/>
  <c r="Q24" i="11"/>
  <c r="P24" i="11"/>
  <c r="P34" i="11" s="1"/>
  <c r="B63" i="11" s="1"/>
  <c r="K24" i="11"/>
  <c r="K34" i="11" s="1"/>
  <c r="B59" i="11" s="1"/>
  <c r="AP22" i="11"/>
  <c r="AO22" i="11"/>
  <c r="AN22" i="11"/>
  <c r="AM22" i="11"/>
  <c r="AL22" i="11"/>
  <c r="AK22" i="11"/>
  <c r="AI22" i="11"/>
  <c r="AH22" i="11"/>
  <c r="AC22" i="11"/>
  <c r="Y22" i="11"/>
  <c r="X22" i="11"/>
  <c r="Q22" i="11"/>
  <c r="O22" i="11"/>
  <c r="J22" i="11"/>
  <c r="C22" i="11"/>
  <c r="AU21" i="11"/>
  <c r="AG21" i="11"/>
  <c r="AF21" i="11"/>
  <c r="AE21" i="11"/>
  <c r="AD21" i="11"/>
  <c r="AB21" i="11"/>
  <c r="AA21" i="11"/>
  <c r="Z21" i="11"/>
  <c r="Y21" i="11"/>
  <c r="X21" i="11"/>
  <c r="V21" i="11"/>
  <c r="U21" i="11"/>
  <c r="T21" i="11"/>
  <c r="S21" i="11"/>
  <c r="R21" i="11"/>
  <c r="Q21" i="11"/>
  <c r="P21" i="11"/>
  <c r="N21" i="11"/>
  <c r="M21" i="11"/>
  <c r="L21" i="11"/>
  <c r="K21" i="11"/>
  <c r="J21" i="11"/>
  <c r="I21" i="11"/>
  <c r="H21" i="11"/>
  <c r="G21" i="11"/>
  <c r="F21" i="11"/>
  <c r="D21" i="11"/>
  <c r="C21" i="11"/>
  <c r="B21" i="11"/>
  <c r="AU20" i="11"/>
  <c r="AQ20" i="11"/>
  <c r="AG20" i="11"/>
  <c r="AF20" i="11"/>
  <c r="AE20" i="11"/>
  <c r="AD20" i="11"/>
  <c r="AB20" i="11"/>
  <c r="AA20" i="11"/>
  <c r="Z20" i="11"/>
  <c r="Y20" i="11"/>
  <c r="X20" i="11"/>
  <c r="V20" i="11"/>
  <c r="U20" i="11"/>
  <c r="T20" i="11"/>
  <c r="S20" i="11"/>
  <c r="R20" i="11"/>
  <c r="Q20" i="11"/>
  <c r="P20" i="11"/>
  <c r="N20" i="11"/>
  <c r="M20" i="11"/>
  <c r="L20" i="11"/>
  <c r="K20" i="11"/>
  <c r="J20" i="11"/>
  <c r="I20" i="11"/>
  <c r="H20" i="11"/>
  <c r="G20" i="11"/>
  <c r="F20" i="11"/>
  <c r="C20" i="11"/>
  <c r="B20" i="11"/>
  <c r="AU19" i="11"/>
  <c r="AQ19" i="11"/>
  <c r="AG19" i="11"/>
  <c r="AF19" i="11"/>
  <c r="AF22" i="11" s="1"/>
  <c r="AE19" i="11"/>
  <c r="AD19" i="11"/>
  <c r="AB19" i="11"/>
  <c r="AA19" i="11"/>
  <c r="Z19" i="11"/>
  <c r="Y19" i="11"/>
  <c r="X19" i="11"/>
  <c r="V19" i="11"/>
  <c r="U19" i="11"/>
  <c r="T19" i="11"/>
  <c r="S19" i="11"/>
  <c r="R19" i="11"/>
  <c r="Q19" i="11"/>
  <c r="P19" i="11"/>
  <c r="N19" i="11"/>
  <c r="M19" i="11"/>
  <c r="L19" i="11"/>
  <c r="K19" i="11"/>
  <c r="J19" i="11"/>
  <c r="I19" i="11"/>
  <c r="H19" i="11"/>
  <c r="G19" i="11"/>
  <c r="F19" i="11"/>
  <c r="E19" i="11"/>
  <c r="C19" i="11"/>
  <c r="B19" i="11"/>
  <c r="AU18" i="11"/>
  <c r="AG18" i="11"/>
  <c r="AF18" i="11"/>
  <c r="AE18" i="11"/>
  <c r="AD18" i="11"/>
  <c r="AB18" i="11"/>
  <c r="AA18" i="11"/>
  <c r="Z18" i="11"/>
  <c r="Y18" i="11"/>
  <c r="X18" i="11"/>
  <c r="V18" i="11"/>
  <c r="U18" i="11"/>
  <c r="T18" i="11"/>
  <c r="S18" i="11"/>
  <c r="R18" i="11"/>
  <c r="Q18" i="11"/>
  <c r="P18" i="11"/>
  <c r="N18" i="11"/>
  <c r="M18" i="11"/>
  <c r="L18" i="11"/>
  <c r="K18" i="11"/>
  <c r="J18" i="11"/>
  <c r="I18" i="11"/>
  <c r="H18" i="11"/>
  <c r="G18" i="11"/>
  <c r="F18" i="11"/>
  <c r="E18" i="11"/>
  <c r="C18" i="11"/>
  <c r="B18" i="11"/>
  <c r="AU17" i="11"/>
  <c r="AQ17" i="11"/>
  <c r="AG17" i="11"/>
  <c r="AF17" i="11"/>
  <c r="AE17" i="11"/>
  <c r="AD17" i="11"/>
  <c r="AB17" i="11"/>
  <c r="AA17" i="11"/>
  <c r="Z17" i="11"/>
  <c r="Y17" i="11"/>
  <c r="X17" i="11"/>
  <c r="V17" i="11"/>
  <c r="V22" i="11" s="1"/>
  <c r="U17" i="11"/>
  <c r="T17" i="11"/>
  <c r="S17" i="11"/>
  <c r="R17" i="11"/>
  <c r="Q17" i="11"/>
  <c r="N17" i="11"/>
  <c r="M17" i="11"/>
  <c r="L17" i="11"/>
  <c r="K17" i="11"/>
  <c r="J17" i="11"/>
  <c r="I17" i="11"/>
  <c r="I22" i="11" s="1"/>
  <c r="H17" i="11"/>
  <c r="G17" i="11"/>
  <c r="F17" i="11"/>
  <c r="E17" i="11"/>
  <c r="C17" i="11"/>
  <c r="B17" i="11"/>
  <c r="AU16" i="11"/>
  <c r="AG16" i="11"/>
  <c r="AG22" i="11" s="1"/>
  <c r="AF16" i="11"/>
  <c r="AE16" i="11"/>
  <c r="AD16" i="11"/>
  <c r="AB16" i="11"/>
  <c r="AA16" i="11"/>
  <c r="Z16" i="11"/>
  <c r="Y16" i="11"/>
  <c r="X16" i="11"/>
  <c r="V16" i="11"/>
  <c r="U16" i="11"/>
  <c r="T16" i="11"/>
  <c r="S16" i="11"/>
  <c r="R16" i="11"/>
  <c r="Q16" i="11"/>
  <c r="P16" i="11"/>
  <c r="N16" i="11"/>
  <c r="N22" i="11" s="1"/>
  <c r="M16" i="11"/>
  <c r="L16" i="11"/>
  <c r="K16" i="11"/>
  <c r="J16" i="11"/>
  <c r="I16" i="11"/>
  <c r="H16" i="11"/>
  <c r="G16" i="11"/>
  <c r="F16" i="11"/>
  <c r="E16" i="11"/>
  <c r="C16" i="11"/>
  <c r="B16" i="11"/>
  <c r="AU15" i="11"/>
  <c r="AQ15" i="11"/>
  <c r="AG15" i="11"/>
  <c r="AF15" i="11"/>
  <c r="AE15" i="11"/>
  <c r="AD15" i="11"/>
  <c r="AB15" i="11"/>
  <c r="AA15" i="11"/>
  <c r="Z15" i="11"/>
  <c r="Y15" i="11"/>
  <c r="X15" i="11"/>
  <c r="V15" i="11"/>
  <c r="U15" i="11"/>
  <c r="U22" i="11" s="1"/>
  <c r="T15" i="11"/>
  <c r="S15" i="11"/>
  <c r="R15" i="11"/>
  <c r="Q15" i="11"/>
  <c r="P15" i="11"/>
  <c r="N15" i="11"/>
  <c r="M15" i="11"/>
  <c r="L15" i="11"/>
  <c r="K15" i="11"/>
  <c r="J15" i="11"/>
  <c r="I15" i="11"/>
  <c r="H15" i="11"/>
  <c r="H22" i="11" s="1"/>
  <c r="G15" i="11"/>
  <c r="G22" i="11" s="1"/>
  <c r="F15" i="11"/>
  <c r="E15" i="11"/>
  <c r="D15" i="11"/>
  <c r="C15" i="11"/>
  <c r="B15" i="11"/>
  <c r="AQ14" i="11"/>
  <c r="AM14" i="11"/>
  <c r="AL14" i="11"/>
  <c r="AL24" i="11" s="1"/>
  <c r="AL34" i="11" s="1"/>
  <c r="AK14" i="11"/>
  <c r="AJ14" i="11"/>
  <c r="AI14" i="11"/>
  <c r="AI24" i="11" s="1"/>
  <c r="AI34" i="11" s="1"/>
  <c r="B80" i="11" s="1"/>
  <c r="B55" i="3" s="1"/>
  <c r="AH14" i="11"/>
  <c r="AH24" i="11" s="1"/>
  <c r="AH34" i="11" s="1"/>
  <c r="B79" i="11" s="1"/>
  <c r="B54" i="3" s="1"/>
  <c r="AG14" i="11"/>
  <c r="AG24" i="11" s="1"/>
  <c r="AG34" i="11" s="1"/>
  <c r="B78" i="11" s="1"/>
  <c r="AF14" i="11"/>
  <c r="AD14" i="11"/>
  <c r="AC14" i="11"/>
  <c r="AB14" i="11"/>
  <c r="AA14" i="11"/>
  <c r="AA24" i="11" s="1"/>
  <c r="AA34" i="11" s="1"/>
  <c r="B73" i="11" s="1"/>
  <c r="Z14" i="11"/>
  <c r="Z24" i="11" s="1"/>
  <c r="Y14" i="11"/>
  <c r="W14" i="11"/>
  <c r="V14" i="11"/>
  <c r="U14" i="11"/>
  <c r="U24" i="11" s="1"/>
  <c r="T14" i="11"/>
  <c r="T24" i="11" s="1"/>
  <c r="S14" i="11"/>
  <c r="S24" i="11" s="1"/>
  <c r="R14" i="11"/>
  <c r="R24" i="11" s="1"/>
  <c r="Q14" i="11"/>
  <c r="P14" i="11"/>
  <c r="O14" i="11"/>
  <c r="N14" i="11"/>
  <c r="M14" i="11"/>
  <c r="L14" i="11"/>
  <c r="K14" i="11"/>
  <c r="I14" i="11"/>
  <c r="I24" i="11" s="1"/>
  <c r="I34" i="11" s="1"/>
  <c r="H14" i="11"/>
  <c r="H24" i="11" s="1"/>
  <c r="H34" i="11" s="1"/>
  <c r="G14" i="11"/>
  <c r="G24" i="11" s="1"/>
  <c r="G34" i="11" s="1"/>
  <c r="F14" i="11"/>
  <c r="E14" i="11"/>
  <c r="E24" i="11" s="1"/>
  <c r="D14" i="11"/>
  <c r="C14" i="11"/>
  <c r="B14" i="11"/>
  <c r="AP12" i="11"/>
  <c r="AP47" i="11" s="1"/>
  <c r="AO12" i="11"/>
  <c r="AO47" i="11" s="1"/>
  <c r="AN12" i="11"/>
  <c r="AM12" i="11"/>
  <c r="AL12" i="11"/>
  <c r="AL47" i="11" s="1"/>
  <c r="AK12" i="11"/>
  <c r="AK47" i="11" s="1"/>
  <c r="AI12" i="11"/>
  <c r="AI47" i="11" s="1"/>
  <c r="AH12" i="11"/>
  <c r="AC12" i="11"/>
  <c r="AC47" i="11" s="1"/>
  <c r="V12" i="11"/>
  <c r="U12" i="11"/>
  <c r="O12" i="11"/>
  <c r="M12" i="11"/>
  <c r="AU11" i="11"/>
  <c r="AG11" i="11"/>
  <c r="AF11" i="11"/>
  <c r="AE11" i="11"/>
  <c r="AD11" i="11"/>
  <c r="AB11" i="11"/>
  <c r="AA11" i="11"/>
  <c r="Z11" i="11"/>
  <c r="Y11" i="11"/>
  <c r="X11" i="11"/>
  <c r="AQ11" i="11" s="1"/>
  <c r="V11" i="11"/>
  <c r="U11" i="11"/>
  <c r="T11" i="11"/>
  <c r="S11" i="11"/>
  <c r="R11" i="11"/>
  <c r="Q11" i="11"/>
  <c r="P11" i="11"/>
  <c r="N11" i="11"/>
  <c r="M11" i="11"/>
  <c r="L11" i="11"/>
  <c r="K11" i="11"/>
  <c r="J11" i="11"/>
  <c r="I11" i="11"/>
  <c r="H11" i="11"/>
  <c r="G11" i="11"/>
  <c r="F11" i="11"/>
  <c r="E11" i="11"/>
  <c r="C11" i="11"/>
  <c r="B11" i="11"/>
  <c r="AU10" i="11"/>
  <c r="AG10" i="11"/>
  <c r="AF10" i="11"/>
  <c r="AQ10" i="11" s="1"/>
  <c r="AE10" i="11"/>
  <c r="AD10" i="11"/>
  <c r="AB10" i="11"/>
  <c r="AA10" i="11"/>
  <c r="Z10" i="11"/>
  <c r="Y10" i="11"/>
  <c r="X10" i="11"/>
  <c r="V10" i="11"/>
  <c r="U10" i="11"/>
  <c r="T10" i="11"/>
  <c r="S10" i="11"/>
  <c r="R10" i="11"/>
  <c r="Q10" i="11"/>
  <c r="P10" i="11"/>
  <c r="N10" i="11"/>
  <c r="M10" i="11"/>
  <c r="L10" i="11"/>
  <c r="K10" i="11"/>
  <c r="J10" i="11"/>
  <c r="I10" i="11"/>
  <c r="H10" i="11"/>
  <c r="G10" i="11"/>
  <c r="F10" i="11"/>
  <c r="E10" i="11"/>
  <c r="D10" i="11"/>
  <c r="B10" i="11"/>
  <c r="W10" i="11" s="1"/>
  <c r="AU9" i="11"/>
  <c r="AG9" i="11"/>
  <c r="AF9" i="11"/>
  <c r="AE9" i="11"/>
  <c r="AD9" i="11"/>
  <c r="AB9" i="11"/>
  <c r="AA9" i="11"/>
  <c r="Z9" i="11"/>
  <c r="AQ9" i="11" s="1"/>
  <c r="Y9" i="11"/>
  <c r="X9" i="11"/>
  <c r="V9" i="11"/>
  <c r="U9" i="11"/>
  <c r="T9" i="11"/>
  <c r="S9" i="11"/>
  <c r="R9" i="11"/>
  <c r="Q9" i="11"/>
  <c r="P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U8" i="11"/>
  <c r="AG8" i="11"/>
  <c r="AF8" i="11"/>
  <c r="AE8" i="11"/>
  <c r="AD8" i="11"/>
  <c r="AB8" i="11"/>
  <c r="AA8" i="11"/>
  <c r="Z8" i="11"/>
  <c r="Y8" i="11"/>
  <c r="X8" i="11"/>
  <c r="V8" i="11"/>
  <c r="U8" i="11"/>
  <c r="T8" i="11"/>
  <c r="S8" i="11"/>
  <c r="R8" i="11"/>
  <c r="Q8" i="11"/>
  <c r="P8" i="11"/>
  <c r="N8" i="11"/>
  <c r="M8" i="11"/>
  <c r="L8" i="11"/>
  <c r="K8" i="11"/>
  <c r="J8" i="11"/>
  <c r="I8" i="11"/>
  <c r="H8" i="11"/>
  <c r="G8" i="11"/>
  <c r="F8" i="11"/>
  <c r="C8" i="11"/>
  <c r="C12" i="11" s="1"/>
  <c r="B8" i="11"/>
  <c r="AU7" i="11"/>
  <c r="AG7" i="11"/>
  <c r="AF7" i="11"/>
  <c r="AE7" i="11"/>
  <c r="AD7" i="11"/>
  <c r="AB7" i="11"/>
  <c r="AA7" i="11"/>
  <c r="Z7" i="11"/>
  <c r="Y7" i="11"/>
  <c r="X7" i="11"/>
  <c r="AQ7" i="11" s="1"/>
  <c r="V7" i="11"/>
  <c r="U7" i="11"/>
  <c r="T7" i="11"/>
  <c r="S7" i="11"/>
  <c r="R7" i="11"/>
  <c r="Q7" i="11"/>
  <c r="N7" i="11"/>
  <c r="M7" i="11"/>
  <c r="L7" i="11"/>
  <c r="K7" i="11"/>
  <c r="J7" i="11"/>
  <c r="I7" i="11"/>
  <c r="H7" i="11"/>
  <c r="G7" i="11"/>
  <c r="F7" i="11"/>
  <c r="E7" i="11"/>
  <c r="B7" i="11"/>
  <c r="AU6" i="11"/>
  <c r="AG6" i="11"/>
  <c r="AG12" i="11" s="1"/>
  <c r="AF6" i="11"/>
  <c r="AE6" i="11"/>
  <c r="AD6" i="11"/>
  <c r="AB6" i="11"/>
  <c r="AA6" i="11"/>
  <c r="Z6" i="11"/>
  <c r="Y6" i="11"/>
  <c r="X6" i="11"/>
  <c r="V6" i="11"/>
  <c r="U6" i="11"/>
  <c r="T6" i="11"/>
  <c r="T12" i="11" s="1"/>
  <c r="S6" i="11"/>
  <c r="R6" i="11"/>
  <c r="Q6" i="11"/>
  <c r="P6" i="11"/>
  <c r="N6" i="11"/>
  <c r="M6" i="11"/>
  <c r="L6" i="11"/>
  <c r="K6" i="11"/>
  <c r="J6" i="11"/>
  <c r="I6" i="11"/>
  <c r="H6" i="11"/>
  <c r="G6" i="11"/>
  <c r="F6" i="11"/>
  <c r="E6" i="11"/>
  <c r="C6" i="11"/>
  <c r="B6" i="11"/>
  <c r="AU5" i="11"/>
  <c r="AG5" i="11"/>
  <c r="AF5" i="11"/>
  <c r="AE5" i="11"/>
  <c r="AD5" i="11"/>
  <c r="AB5" i="11"/>
  <c r="AA5" i="11"/>
  <c r="Z5" i="11"/>
  <c r="Z12" i="11" s="1"/>
  <c r="Y5" i="11"/>
  <c r="X5" i="11"/>
  <c r="V5" i="11"/>
  <c r="U5" i="11"/>
  <c r="T5" i="11"/>
  <c r="S5" i="11"/>
  <c r="R5" i="11"/>
  <c r="Q5" i="11"/>
  <c r="N5" i="11"/>
  <c r="M5" i="11"/>
  <c r="L5" i="11"/>
  <c r="K5" i="11"/>
  <c r="K12" i="11" s="1"/>
  <c r="J5" i="11"/>
  <c r="I5" i="11"/>
  <c r="H5" i="11"/>
  <c r="H12" i="11" s="1"/>
  <c r="G5" i="11"/>
  <c r="F5" i="11"/>
  <c r="E5" i="11"/>
  <c r="C5" i="11"/>
  <c r="B5" i="11"/>
  <c r="AE4" i="11"/>
  <c r="AE14" i="11" s="1"/>
  <c r="AE24" i="11" s="1"/>
  <c r="AE34" i="11" s="1"/>
  <c r="AA4" i="11"/>
  <c r="X4" i="11"/>
  <c r="X14" i="11" s="1"/>
  <c r="X24" i="11" s="1"/>
  <c r="J4" i="11"/>
  <c r="J14" i="11" s="1"/>
  <c r="J24" i="11" s="1"/>
  <c r="J34" i="11" s="1"/>
  <c r="B58" i="11" s="1"/>
  <c r="B4" i="11"/>
  <c r="Q121" i="10"/>
  <c r="L121" i="10"/>
  <c r="M119" i="10"/>
  <c r="S118" i="10"/>
  <c r="R118" i="10"/>
  <c r="O118" i="10"/>
  <c r="E118" i="10"/>
  <c r="C118" i="10"/>
  <c r="J118" i="10" s="1"/>
  <c r="B118" i="10"/>
  <c r="H117" i="10"/>
  <c r="S116" i="10"/>
  <c r="C116" i="10"/>
  <c r="A115" i="10"/>
  <c r="M115" i="10" s="1"/>
  <c r="O113" i="10"/>
  <c r="C112" i="10"/>
  <c r="A110" i="10"/>
  <c r="M110" i="10" s="1"/>
  <c r="S109" i="10"/>
  <c r="M107" i="10"/>
  <c r="C107" i="10"/>
  <c r="O107" i="10" s="1"/>
  <c r="S106" i="10"/>
  <c r="J105" i="10"/>
  <c r="A104" i="10"/>
  <c r="M104" i="10" s="1"/>
  <c r="M103" i="10"/>
  <c r="S102" i="10"/>
  <c r="O102" i="10"/>
  <c r="M102" i="10"/>
  <c r="J102" i="10"/>
  <c r="C101" i="10"/>
  <c r="A100" i="10"/>
  <c r="M100" i="10" s="1"/>
  <c r="O99" i="10"/>
  <c r="C99" i="10"/>
  <c r="J99" i="10" s="1"/>
  <c r="C98" i="10"/>
  <c r="S96" i="10"/>
  <c r="C96" i="10"/>
  <c r="O95" i="10"/>
  <c r="C95" i="10"/>
  <c r="J95" i="10" s="1"/>
  <c r="M90" i="10"/>
  <c r="R89" i="10"/>
  <c r="O89" i="10"/>
  <c r="O88" i="10"/>
  <c r="C88" i="10"/>
  <c r="J88" i="10" s="1"/>
  <c r="S87" i="10"/>
  <c r="J87" i="10"/>
  <c r="C87" i="10"/>
  <c r="O87" i="10" s="1"/>
  <c r="N86" i="10"/>
  <c r="M86" i="10"/>
  <c r="S83" i="10"/>
  <c r="S82" i="10"/>
  <c r="S80" i="10"/>
  <c r="O80" i="10"/>
  <c r="C80" i="10"/>
  <c r="J80" i="10" s="1"/>
  <c r="S79" i="10"/>
  <c r="S77" i="10"/>
  <c r="C77" i="10"/>
  <c r="A77" i="10"/>
  <c r="M77" i="10" s="1"/>
  <c r="J76" i="10"/>
  <c r="S73" i="10"/>
  <c r="O73" i="10"/>
  <c r="C73" i="10"/>
  <c r="J73" i="10" s="1"/>
  <c r="C72" i="10"/>
  <c r="O71" i="10"/>
  <c r="J71" i="10"/>
  <c r="C71" i="10"/>
  <c r="S70" i="10"/>
  <c r="O70" i="10"/>
  <c r="C70" i="10"/>
  <c r="J70" i="10" s="1"/>
  <c r="S69" i="10"/>
  <c r="J69" i="10"/>
  <c r="C69" i="10"/>
  <c r="O69" i="10" s="1"/>
  <c r="J68" i="10"/>
  <c r="S67" i="10"/>
  <c r="J67" i="10"/>
  <c r="C67" i="10"/>
  <c r="O67" i="10" s="1"/>
  <c r="O66" i="10"/>
  <c r="J66" i="10"/>
  <c r="C66" i="10"/>
  <c r="M61" i="10"/>
  <c r="A59" i="10"/>
  <c r="S58" i="10"/>
  <c r="C58" i="10"/>
  <c r="M57" i="10"/>
  <c r="A57" i="10"/>
  <c r="A86" i="10" s="1"/>
  <c r="J55" i="10"/>
  <c r="O53" i="10"/>
  <c r="J53" i="10"/>
  <c r="C53" i="10"/>
  <c r="A53" i="10"/>
  <c r="A82" i="10" s="1"/>
  <c r="M82" i="10" s="1"/>
  <c r="J52" i="10"/>
  <c r="C50" i="10"/>
  <c r="A49" i="10"/>
  <c r="M49" i="10" s="1"/>
  <c r="S48" i="10"/>
  <c r="C46" i="10"/>
  <c r="A46" i="10"/>
  <c r="M46" i="10" s="1"/>
  <c r="S45" i="10"/>
  <c r="G45" i="10"/>
  <c r="A44" i="10"/>
  <c r="J42" i="10"/>
  <c r="A42" i="10"/>
  <c r="S41" i="10"/>
  <c r="A40" i="10"/>
  <c r="C39" i="10"/>
  <c r="J38" i="10"/>
  <c r="M32" i="10"/>
  <c r="J32" i="10"/>
  <c r="S31" i="10"/>
  <c r="S29" i="6" s="1"/>
  <c r="R31" i="10"/>
  <c r="O31" i="10"/>
  <c r="A31" i="10"/>
  <c r="S30" i="10"/>
  <c r="O30" i="10"/>
  <c r="D30" i="10"/>
  <c r="C30" i="10"/>
  <c r="B30" i="10"/>
  <c r="A30" i="10"/>
  <c r="S29" i="10"/>
  <c r="O29" i="10"/>
  <c r="J29" i="10"/>
  <c r="C29" i="10"/>
  <c r="B29" i="10"/>
  <c r="D29" i="10" s="1"/>
  <c r="A29" i="10"/>
  <c r="A27" i="6" s="1"/>
  <c r="M27" i="6" s="1"/>
  <c r="S28" i="10"/>
  <c r="M28" i="10"/>
  <c r="B28" i="10"/>
  <c r="A28" i="10"/>
  <c r="S27" i="10"/>
  <c r="O27" i="10"/>
  <c r="M27" i="10"/>
  <c r="B27" i="10"/>
  <c r="A27" i="10"/>
  <c r="S26" i="10"/>
  <c r="O26" i="10"/>
  <c r="C26" i="10"/>
  <c r="J26" i="10" s="1"/>
  <c r="C55" i="10" s="1"/>
  <c r="O55" i="10" s="1"/>
  <c r="B26" i="10"/>
  <c r="A26" i="10"/>
  <c r="S25" i="10"/>
  <c r="S112" i="10" s="1"/>
  <c r="B25" i="10"/>
  <c r="A25" i="10"/>
  <c r="S24" i="10"/>
  <c r="O24" i="10"/>
  <c r="M24" i="10"/>
  <c r="D24" i="10"/>
  <c r="C24" i="10"/>
  <c r="J24" i="10" s="1"/>
  <c r="B24" i="10"/>
  <c r="A24" i="10"/>
  <c r="A111" i="10" s="1"/>
  <c r="M111" i="10" s="1"/>
  <c r="S23" i="10"/>
  <c r="O23" i="10"/>
  <c r="M23" i="10"/>
  <c r="B23" i="10"/>
  <c r="A23" i="10"/>
  <c r="A52" i="10" s="1"/>
  <c r="M52" i="10" s="1"/>
  <c r="S22" i="10"/>
  <c r="O22" i="10"/>
  <c r="C22" i="10"/>
  <c r="B22" i="10"/>
  <c r="A22" i="10"/>
  <c r="S21" i="10"/>
  <c r="O21" i="10"/>
  <c r="M21" i="10"/>
  <c r="J21" i="10"/>
  <c r="D21" i="10"/>
  <c r="C21" i="10"/>
  <c r="B21" i="10"/>
  <c r="A21" i="10"/>
  <c r="S20" i="10"/>
  <c r="M20" i="10"/>
  <c r="B20" i="10"/>
  <c r="A20" i="10"/>
  <c r="A107" i="10" s="1"/>
  <c r="S19" i="10"/>
  <c r="M19" i="10"/>
  <c r="J19" i="10"/>
  <c r="C48" i="10" s="1"/>
  <c r="B19" i="10"/>
  <c r="A19" i="10"/>
  <c r="A48" i="10" s="1"/>
  <c r="M48" i="10" s="1"/>
  <c r="S18" i="10"/>
  <c r="M18" i="10"/>
  <c r="C18" i="10"/>
  <c r="B18" i="10"/>
  <c r="A18" i="10"/>
  <c r="M17" i="10"/>
  <c r="A17" i="10"/>
  <c r="A15" i="6" s="1"/>
  <c r="S16" i="10"/>
  <c r="O16" i="10"/>
  <c r="M16" i="10"/>
  <c r="F16" i="10"/>
  <c r="E16" i="10"/>
  <c r="D16" i="10"/>
  <c r="C16" i="10"/>
  <c r="J16" i="10" s="1"/>
  <c r="C45" i="10" s="1"/>
  <c r="B16" i="10"/>
  <c r="A16" i="10"/>
  <c r="A103" i="10" s="1"/>
  <c r="S15" i="10"/>
  <c r="S44" i="10" s="1"/>
  <c r="M15" i="10"/>
  <c r="J15" i="10"/>
  <c r="C44" i="10" s="1"/>
  <c r="B15" i="10"/>
  <c r="A15" i="10"/>
  <c r="A102" i="10" s="1"/>
  <c r="S14" i="10"/>
  <c r="S43" i="10" s="1"/>
  <c r="C14" i="10"/>
  <c r="C12" i="6" s="1"/>
  <c r="O12" i="6" s="1"/>
  <c r="B14" i="10"/>
  <c r="A14" i="10"/>
  <c r="S13" i="10"/>
  <c r="O13" i="10"/>
  <c r="M13" i="10"/>
  <c r="J13" i="10"/>
  <c r="C42" i="10" s="1"/>
  <c r="O42" i="10" s="1"/>
  <c r="C13" i="10"/>
  <c r="B13" i="10"/>
  <c r="A13" i="10"/>
  <c r="A11" i="6" s="1"/>
  <c r="M11" i="6" s="1"/>
  <c r="S12" i="10"/>
  <c r="S99" i="10" s="1"/>
  <c r="C12" i="10"/>
  <c r="B12" i="10"/>
  <c r="A12" i="10"/>
  <c r="S11" i="10"/>
  <c r="S40" i="10" s="1"/>
  <c r="O11" i="10"/>
  <c r="M11" i="10"/>
  <c r="J11" i="10"/>
  <c r="C40" i="10" s="1"/>
  <c r="O40" i="10" s="1"/>
  <c r="C11" i="10"/>
  <c r="B11" i="10"/>
  <c r="D11" i="10" s="1"/>
  <c r="A11" i="10"/>
  <c r="A98" i="10" s="1"/>
  <c r="M98" i="10" s="1"/>
  <c r="S10" i="10"/>
  <c r="O10" i="10"/>
  <c r="C10" i="10"/>
  <c r="J10" i="10" s="1"/>
  <c r="B10" i="10"/>
  <c r="A10" i="10"/>
  <c r="S9" i="10"/>
  <c r="S38" i="10" s="1"/>
  <c r="O9" i="10"/>
  <c r="J9" i="10"/>
  <c r="C38" i="10" s="1"/>
  <c r="O38" i="10" s="1"/>
  <c r="C9" i="10"/>
  <c r="B9" i="10"/>
  <c r="A9" i="10"/>
  <c r="S8" i="10"/>
  <c r="C8" i="10"/>
  <c r="B8" i="10"/>
  <c r="A8" i="10"/>
  <c r="A1" i="10"/>
  <c r="G33" i="9"/>
  <c r="E33" i="9"/>
  <c r="G32" i="9"/>
  <c r="E32" i="9"/>
  <c r="D32" i="9"/>
  <c r="G31" i="9"/>
  <c r="G30" i="9"/>
  <c r="E30" i="9"/>
  <c r="G29" i="9"/>
  <c r="E29" i="9"/>
  <c r="G28" i="9"/>
  <c r="E28" i="9"/>
  <c r="G27" i="9"/>
  <c r="E27" i="9"/>
  <c r="G26" i="9"/>
  <c r="E26" i="9"/>
  <c r="E25" i="9"/>
  <c r="G24" i="9"/>
  <c r="G23" i="9"/>
  <c r="E23" i="9"/>
  <c r="G22" i="9"/>
  <c r="E22" i="9"/>
  <c r="G21" i="9"/>
  <c r="E21" i="9"/>
  <c r="E20" i="9"/>
  <c r="G19" i="9"/>
  <c r="E19" i="9"/>
  <c r="G18" i="9"/>
  <c r="E18" i="9"/>
  <c r="G17" i="9"/>
  <c r="E17" i="9"/>
  <c r="G16" i="9"/>
  <c r="E16" i="9"/>
  <c r="G15" i="9"/>
  <c r="E15" i="9"/>
  <c r="G14" i="9"/>
  <c r="E14" i="9"/>
  <c r="G13" i="9"/>
  <c r="E13" i="9"/>
  <c r="G12" i="9"/>
  <c r="E12" i="9"/>
  <c r="E11" i="9"/>
  <c r="G10" i="9"/>
  <c r="E10" i="9"/>
  <c r="G9" i="9"/>
  <c r="E9" i="9"/>
  <c r="G8" i="9"/>
  <c r="E8" i="9"/>
  <c r="G7" i="9"/>
  <c r="G6" i="9"/>
  <c r="E6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G5" i="9"/>
  <c r="G4" i="9"/>
  <c r="E4" i="9"/>
  <c r="A4" i="9"/>
  <c r="A5" i="9" s="1"/>
  <c r="AH3" i="9"/>
  <c r="AG3" i="9"/>
  <c r="AF3" i="9"/>
  <c r="G3" i="9"/>
  <c r="E3" i="9"/>
  <c r="J60" i="8"/>
  <c r="AF53" i="8"/>
  <c r="BT52" i="8"/>
  <c r="BV52" i="8" s="1"/>
  <c r="BP52" i="8"/>
  <c r="BN52" i="8"/>
  <c r="BL52" i="8"/>
  <c r="BK52" i="8"/>
  <c r="BM52" i="8" s="1"/>
  <c r="BI52" i="8"/>
  <c r="BH52" i="8"/>
  <c r="BJ52" i="8" s="1"/>
  <c r="BE52" i="8"/>
  <c r="BG52" i="8" s="1"/>
  <c r="BB52" i="8"/>
  <c r="BD52" i="8" s="1"/>
  <c r="AV52" i="8"/>
  <c r="AX52" i="8" s="1"/>
  <c r="AU52" i="8"/>
  <c r="AT52" i="8"/>
  <c r="AS52" i="8"/>
  <c r="AR52" i="8"/>
  <c r="AP52" i="8"/>
  <c r="AO52" i="8"/>
  <c r="AM52" i="8"/>
  <c r="AG52" i="8"/>
  <c r="AH52" i="8" s="1"/>
  <c r="AE52" i="8"/>
  <c r="AD52" i="8"/>
  <c r="AC52" i="8"/>
  <c r="Z52" i="8"/>
  <c r="AB52" i="8" s="1"/>
  <c r="Y52" i="8"/>
  <c r="W52" i="8"/>
  <c r="V52" i="8"/>
  <c r="U52" i="8"/>
  <c r="T52" i="8"/>
  <c r="R52" i="8"/>
  <c r="P52" i="8"/>
  <c r="O52" i="8"/>
  <c r="N52" i="8"/>
  <c r="L52" i="8"/>
  <c r="M52" i="8" s="1"/>
  <c r="K52" i="8"/>
  <c r="G52" i="8"/>
  <c r="E52" i="8"/>
  <c r="BV51" i="8"/>
  <c r="BT51" i="8"/>
  <c r="BQ51" i="8"/>
  <c r="BS51" i="8" s="1"/>
  <c r="BP51" i="8"/>
  <c r="BN51" i="8"/>
  <c r="BM51" i="8"/>
  <c r="BL51" i="8"/>
  <c r="BK51" i="8"/>
  <c r="BI51" i="8"/>
  <c r="BH51" i="8"/>
  <c r="BJ51" i="8" s="1"/>
  <c r="BG51" i="8"/>
  <c r="BE51" i="8"/>
  <c r="BB51" i="8"/>
  <c r="BD51" i="8" s="1"/>
  <c r="AY51" i="8"/>
  <c r="BA51" i="8" s="1"/>
  <c r="AV51" i="8"/>
  <c r="AX51" i="8" s="1"/>
  <c r="AT51" i="8"/>
  <c r="AP51" i="8"/>
  <c r="AR51" i="8" s="1"/>
  <c r="AO51" i="8"/>
  <c r="AM51" i="8"/>
  <c r="AH51" i="8"/>
  <c r="AG51" i="8"/>
  <c r="AD51" i="8"/>
  <c r="AE51" i="8" s="1"/>
  <c r="AC51" i="8"/>
  <c r="Z51" i="8"/>
  <c r="AB51" i="8" s="1"/>
  <c r="W51" i="8"/>
  <c r="Y51" i="8" s="1"/>
  <c r="U51" i="8"/>
  <c r="T51" i="8"/>
  <c r="V51" i="8" s="1"/>
  <c r="R51" i="8"/>
  <c r="S51" i="8" s="1"/>
  <c r="Q51" i="8"/>
  <c r="P51" i="8"/>
  <c r="O51" i="8"/>
  <c r="N51" i="8"/>
  <c r="L51" i="8"/>
  <c r="K51" i="8"/>
  <c r="M51" i="8" s="1"/>
  <c r="J51" i="8"/>
  <c r="H51" i="8"/>
  <c r="D51" i="8"/>
  <c r="B51" i="8"/>
  <c r="BS50" i="8"/>
  <c r="BQ50" i="8"/>
  <c r="BN50" i="8"/>
  <c r="BP50" i="8" s="1"/>
  <c r="BL50" i="8"/>
  <c r="BK50" i="8"/>
  <c r="BM50" i="8" s="1"/>
  <c r="BI50" i="8"/>
  <c r="BE50" i="8"/>
  <c r="BG50" i="8" s="1"/>
  <c r="BB50" i="8"/>
  <c r="BD50" i="8" s="1"/>
  <c r="AY50" i="8"/>
  <c r="BA50" i="8" s="1"/>
  <c r="AX50" i="8"/>
  <c r="AV50" i="8"/>
  <c r="AT50" i="8"/>
  <c r="AU50" i="8" s="1"/>
  <c r="AS50" i="8"/>
  <c r="AR50" i="8"/>
  <c r="AP50" i="8"/>
  <c r="AM50" i="8"/>
  <c r="AO50" i="8" s="1"/>
  <c r="AG50" i="8"/>
  <c r="AH50" i="8" s="1"/>
  <c r="AD50" i="8"/>
  <c r="AC50" i="8"/>
  <c r="AE50" i="8" s="1"/>
  <c r="AB50" i="8"/>
  <c r="Z50" i="8"/>
  <c r="W50" i="8"/>
  <c r="Y50" i="8" s="1"/>
  <c r="U50" i="8"/>
  <c r="T50" i="8"/>
  <c r="V50" i="8" s="1"/>
  <c r="R50" i="8"/>
  <c r="Q50" i="8"/>
  <c r="S50" i="8" s="1"/>
  <c r="O50" i="8"/>
  <c r="N50" i="8"/>
  <c r="P50" i="8" s="1"/>
  <c r="L50" i="8"/>
  <c r="M50" i="8" s="1"/>
  <c r="K50" i="8"/>
  <c r="J50" i="8"/>
  <c r="H50" i="8"/>
  <c r="G50" i="8"/>
  <c r="E50" i="8"/>
  <c r="BT49" i="8"/>
  <c r="BQ49" i="8"/>
  <c r="BS49" i="8" s="1"/>
  <c r="BN49" i="8"/>
  <c r="BP49" i="8" s="1"/>
  <c r="BL49" i="8"/>
  <c r="BI49" i="8"/>
  <c r="BH49" i="8"/>
  <c r="BJ49" i="8" s="1"/>
  <c r="BF49" i="8"/>
  <c r="BG49" i="8" s="1"/>
  <c r="BE49" i="8"/>
  <c r="BB49" i="8"/>
  <c r="BD49" i="8" s="1"/>
  <c r="BA49" i="8"/>
  <c r="AY49" i="8"/>
  <c r="AV49" i="8"/>
  <c r="AX49" i="8" s="1"/>
  <c r="AT49" i="8"/>
  <c r="AS49" i="8"/>
  <c r="AP49" i="8"/>
  <c r="AR49" i="8" s="1"/>
  <c r="AO49" i="8"/>
  <c r="AM49" i="8"/>
  <c r="AH49" i="8"/>
  <c r="AG49" i="8"/>
  <c r="AE49" i="8"/>
  <c r="AD49" i="8"/>
  <c r="AC49" i="8"/>
  <c r="Z49" i="8"/>
  <c r="AB49" i="8" s="1"/>
  <c r="Y49" i="8"/>
  <c r="W49" i="8"/>
  <c r="V49" i="8"/>
  <c r="U49" i="8"/>
  <c r="T49" i="8"/>
  <c r="R49" i="8"/>
  <c r="Q49" i="8"/>
  <c r="S49" i="8" s="1"/>
  <c r="P49" i="8"/>
  <c r="O49" i="8"/>
  <c r="N49" i="8"/>
  <c r="L49" i="8"/>
  <c r="K49" i="8"/>
  <c r="M49" i="8" s="1"/>
  <c r="J49" i="8"/>
  <c r="H49" i="8"/>
  <c r="G49" i="8"/>
  <c r="E49" i="8"/>
  <c r="B49" i="8"/>
  <c r="D49" i="8" s="1"/>
  <c r="BU48" i="8"/>
  <c r="BT48" i="8"/>
  <c r="BV48" i="8" s="1"/>
  <c r="BQ48" i="8"/>
  <c r="BS48" i="8" s="1"/>
  <c r="BN48" i="8"/>
  <c r="BP48" i="8" s="1"/>
  <c r="BL48" i="8"/>
  <c r="BK48" i="8"/>
  <c r="BM48" i="8" s="1"/>
  <c r="BI48" i="8"/>
  <c r="BH48" i="8"/>
  <c r="BJ48" i="8" s="1"/>
  <c r="BE48" i="8"/>
  <c r="BG48" i="8" s="1"/>
  <c r="BB48" i="8"/>
  <c r="BD48" i="8" s="1"/>
  <c r="BA48" i="8"/>
  <c r="AY48" i="8"/>
  <c r="AV48" i="8"/>
  <c r="AX48" i="8" s="1"/>
  <c r="AT48" i="8"/>
  <c r="AU48" i="8" s="1"/>
  <c r="AS48" i="8"/>
  <c r="AR48" i="8"/>
  <c r="AP48" i="8"/>
  <c r="AM48" i="8"/>
  <c r="AO48" i="8" s="1"/>
  <c r="AH48" i="8"/>
  <c r="AG48" i="8"/>
  <c r="AD48" i="8"/>
  <c r="AC48" i="8"/>
  <c r="AE48" i="8" s="1"/>
  <c r="Z48" i="8"/>
  <c r="AB48" i="8" s="1"/>
  <c r="Y48" i="8"/>
  <c r="W48" i="8"/>
  <c r="U48" i="8"/>
  <c r="T48" i="8"/>
  <c r="V48" i="8" s="1"/>
  <c r="O48" i="8"/>
  <c r="N48" i="8"/>
  <c r="P48" i="8" s="1"/>
  <c r="L48" i="8"/>
  <c r="K48" i="8"/>
  <c r="M48" i="8" s="1"/>
  <c r="H48" i="8"/>
  <c r="J48" i="8" s="1"/>
  <c r="E48" i="8"/>
  <c r="G48" i="8" s="1"/>
  <c r="B48" i="8"/>
  <c r="D48" i="8" s="1"/>
  <c r="BU47" i="8"/>
  <c r="BT47" i="8"/>
  <c r="BV47" i="8" s="1"/>
  <c r="BQ47" i="8"/>
  <c r="BS47" i="8" s="1"/>
  <c r="BN47" i="8"/>
  <c r="BP47" i="8" s="1"/>
  <c r="BL47" i="8"/>
  <c r="BM47" i="8" s="1"/>
  <c r="BK47" i="8"/>
  <c r="BI47" i="8"/>
  <c r="BH47" i="8"/>
  <c r="BE47" i="8"/>
  <c r="BG47" i="8" s="1"/>
  <c r="BD47" i="8"/>
  <c r="BB47" i="8"/>
  <c r="BA47" i="8"/>
  <c r="AY47" i="8"/>
  <c r="AX47" i="8"/>
  <c r="AV47" i="8"/>
  <c r="AT47" i="8"/>
  <c r="AS47" i="8"/>
  <c r="AU47" i="8" s="1"/>
  <c r="AP47" i="8"/>
  <c r="AR47" i="8" s="1"/>
  <c r="AM47" i="8"/>
  <c r="AO47" i="8" s="1"/>
  <c r="AH47" i="8"/>
  <c r="AG47" i="8"/>
  <c r="AE47" i="8"/>
  <c r="AD47" i="8"/>
  <c r="AC47" i="8"/>
  <c r="AB47" i="8"/>
  <c r="Z47" i="8"/>
  <c r="W47" i="8"/>
  <c r="Y47" i="8" s="1"/>
  <c r="U47" i="8"/>
  <c r="T47" i="8"/>
  <c r="V47" i="8" s="1"/>
  <c r="S47" i="8"/>
  <c r="R47" i="8"/>
  <c r="Q47" i="8"/>
  <c r="O47" i="8"/>
  <c r="N47" i="8"/>
  <c r="P47" i="8" s="1"/>
  <c r="L47" i="8"/>
  <c r="M47" i="8" s="1"/>
  <c r="K47" i="8"/>
  <c r="H47" i="8"/>
  <c r="J47" i="8" s="1"/>
  <c r="B47" i="8"/>
  <c r="D47" i="8" s="1"/>
  <c r="BU46" i="8"/>
  <c r="BV46" i="8" s="1"/>
  <c r="BT46" i="8"/>
  <c r="BQ46" i="8"/>
  <c r="BS46" i="8" s="1"/>
  <c r="BN46" i="8"/>
  <c r="BP46" i="8" s="1"/>
  <c r="BL46" i="8"/>
  <c r="BM46" i="8" s="1"/>
  <c r="BK46" i="8"/>
  <c r="BI46" i="8"/>
  <c r="BH46" i="8"/>
  <c r="BF46" i="8"/>
  <c r="BD46" i="8"/>
  <c r="BB46" i="8"/>
  <c r="BA46" i="8"/>
  <c r="AY46" i="8"/>
  <c r="AX46" i="8"/>
  <c r="AV46" i="8"/>
  <c r="AT46" i="8"/>
  <c r="AS46" i="8"/>
  <c r="AU46" i="8" s="1"/>
  <c r="AR46" i="8"/>
  <c r="AP46" i="8"/>
  <c r="AM46" i="8"/>
  <c r="AO46" i="8" s="1"/>
  <c r="AH46" i="8"/>
  <c r="AG46" i="8"/>
  <c r="AE46" i="8"/>
  <c r="AD46" i="8"/>
  <c r="AC46" i="8"/>
  <c r="Z46" i="8"/>
  <c r="AB46" i="8" s="1"/>
  <c r="Y46" i="8"/>
  <c r="W46" i="8"/>
  <c r="U46" i="8"/>
  <c r="V46" i="8" s="1"/>
  <c r="T46" i="8"/>
  <c r="S46" i="8"/>
  <c r="R46" i="8"/>
  <c r="Q46" i="8"/>
  <c r="O46" i="8"/>
  <c r="N46" i="8"/>
  <c r="P46" i="8" s="1"/>
  <c r="L46" i="8"/>
  <c r="K46" i="8"/>
  <c r="M46" i="8" s="1"/>
  <c r="J46" i="8"/>
  <c r="H46" i="8"/>
  <c r="G46" i="8"/>
  <c r="E46" i="8"/>
  <c r="B46" i="8"/>
  <c r="D46" i="8" s="1"/>
  <c r="BU45" i="8"/>
  <c r="BT45" i="8"/>
  <c r="BV45" i="8" s="1"/>
  <c r="BQ45" i="8"/>
  <c r="BS45" i="8" s="1"/>
  <c r="BN45" i="8"/>
  <c r="BP45" i="8" s="1"/>
  <c r="BL45" i="8"/>
  <c r="BM45" i="8" s="1"/>
  <c r="BK45" i="8"/>
  <c r="BI45" i="8"/>
  <c r="BH45" i="8"/>
  <c r="BJ45" i="8" s="1"/>
  <c r="BE45" i="8"/>
  <c r="BB45" i="8"/>
  <c r="BD45" i="8" s="1"/>
  <c r="BA45" i="8"/>
  <c r="AY45" i="8"/>
  <c r="AX45" i="8"/>
  <c r="AV45" i="8"/>
  <c r="AT45" i="8"/>
  <c r="AS45" i="8"/>
  <c r="AU45" i="8" s="1"/>
  <c r="AR45" i="8"/>
  <c r="AP45" i="8"/>
  <c r="AM45" i="8"/>
  <c r="AO45" i="8" s="1"/>
  <c r="AH45" i="8"/>
  <c r="AG45" i="8"/>
  <c r="AE45" i="8"/>
  <c r="AD45" i="8"/>
  <c r="AC45" i="8"/>
  <c r="AA45" i="8"/>
  <c r="Z45" i="8"/>
  <c r="AB45" i="8" s="1"/>
  <c r="Y45" i="8"/>
  <c r="W45" i="8"/>
  <c r="U45" i="8"/>
  <c r="T45" i="8"/>
  <c r="V45" i="8" s="1"/>
  <c r="R45" i="8"/>
  <c r="S45" i="8" s="1"/>
  <c r="Q45" i="8"/>
  <c r="O45" i="8"/>
  <c r="N45" i="8"/>
  <c r="P45" i="8" s="1"/>
  <c r="L45" i="8"/>
  <c r="K45" i="8"/>
  <c r="M45" i="8" s="1"/>
  <c r="J45" i="8"/>
  <c r="H45" i="8"/>
  <c r="G45" i="8"/>
  <c r="E45" i="8"/>
  <c r="D45" i="8"/>
  <c r="B45" i="8"/>
  <c r="BU44" i="8"/>
  <c r="BT44" i="8"/>
  <c r="BV44" i="8" s="1"/>
  <c r="BQ44" i="8"/>
  <c r="BS44" i="8" s="1"/>
  <c r="BP44" i="8"/>
  <c r="BN44" i="8"/>
  <c r="BM44" i="8"/>
  <c r="BL44" i="8"/>
  <c r="BK44" i="8"/>
  <c r="BI44" i="8"/>
  <c r="BG44" i="8"/>
  <c r="BF44" i="8"/>
  <c r="BE44" i="8"/>
  <c r="BD44" i="8"/>
  <c r="BB44" i="8"/>
  <c r="AV44" i="8"/>
  <c r="AX44" i="8" s="1"/>
  <c r="AT44" i="8"/>
  <c r="AS44" i="8"/>
  <c r="AU44" i="8" s="1"/>
  <c r="AR44" i="8"/>
  <c r="AP44" i="8"/>
  <c r="AG44" i="8"/>
  <c r="AH44" i="8" s="1"/>
  <c r="AH53" i="8" s="1"/>
  <c r="AD44" i="8"/>
  <c r="AA44" i="8"/>
  <c r="Z44" i="8"/>
  <c r="AB44" i="8" s="1"/>
  <c r="W44" i="8"/>
  <c r="Y44" i="8" s="1"/>
  <c r="U44" i="8"/>
  <c r="S44" i="8"/>
  <c r="R44" i="8"/>
  <c r="Q44" i="8"/>
  <c r="P44" i="8"/>
  <c r="O44" i="8"/>
  <c r="N44" i="8"/>
  <c r="L44" i="8"/>
  <c r="K44" i="8"/>
  <c r="H44" i="8"/>
  <c r="E44" i="8"/>
  <c r="G44" i="8" s="1"/>
  <c r="B44" i="8"/>
  <c r="D44" i="8" s="1"/>
  <c r="BU43" i="8"/>
  <c r="BT43" i="8"/>
  <c r="BV43" i="8" s="1"/>
  <c r="BQ43" i="8"/>
  <c r="BS43" i="8" s="1"/>
  <c r="BL43" i="8"/>
  <c r="BK43" i="8"/>
  <c r="BJ43" i="8"/>
  <c r="BI43" i="8"/>
  <c r="BH43" i="8"/>
  <c r="BF43" i="8"/>
  <c r="BG43" i="8" s="1"/>
  <c r="BE43" i="8"/>
  <c r="BA43" i="8"/>
  <c r="AY43" i="8"/>
  <c r="AV43" i="8"/>
  <c r="AT43" i="8"/>
  <c r="AS43" i="8"/>
  <c r="AU43" i="8" s="1"/>
  <c r="AP43" i="8"/>
  <c r="AP53" i="8" s="1"/>
  <c r="R106" i="10" s="1"/>
  <c r="N106" i="10" s="1"/>
  <c r="AO43" i="8"/>
  <c r="AM43" i="8"/>
  <c r="AH43" i="8"/>
  <c r="AG43" i="8"/>
  <c r="AD43" i="8"/>
  <c r="AC43" i="8"/>
  <c r="AA43" i="8"/>
  <c r="Z43" i="8"/>
  <c r="W43" i="8"/>
  <c r="W53" i="8" s="1"/>
  <c r="R100" i="10" s="1"/>
  <c r="N100" i="10" s="1"/>
  <c r="V43" i="8"/>
  <c r="U43" i="8"/>
  <c r="T43" i="8"/>
  <c r="R43" i="8"/>
  <c r="Q43" i="8"/>
  <c r="O43" i="8"/>
  <c r="N43" i="8"/>
  <c r="L43" i="8"/>
  <c r="K43" i="8"/>
  <c r="J43" i="8"/>
  <c r="H43" i="8"/>
  <c r="G43" i="8"/>
  <c r="E43" i="8"/>
  <c r="B43" i="8"/>
  <c r="D43" i="8" s="1"/>
  <c r="AI41" i="8"/>
  <c r="AF41" i="8"/>
  <c r="K41" i="8"/>
  <c r="BT38" i="8"/>
  <c r="R79" i="10" s="1"/>
  <c r="N79" i="10" s="1"/>
  <c r="BB38" i="8"/>
  <c r="R86" i="10" s="1"/>
  <c r="AF38" i="8"/>
  <c r="BV37" i="8"/>
  <c r="BU37" i="8"/>
  <c r="BT37" i="8"/>
  <c r="BS37" i="8"/>
  <c r="BR37" i="8"/>
  <c r="BQ37" i="8"/>
  <c r="BM37" i="8"/>
  <c r="BL37" i="8"/>
  <c r="BK37" i="8"/>
  <c r="BI37" i="8"/>
  <c r="BH37" i="8"/>
  <c r="BJ37" i="8" s="1"/>
  <c r="BG37" i="8"/>
  <c r="BF37" i="8"/>
  <c r="BE37" i="8"/>
  <c r="BD37" i="8"/>
  <c r="BB37" i="8"/>
  <c r="AY37" i="8"/>
  <c r="BA37" i="8" s="1"/>
  <c r="AV37" i="8"/>
  <c r="AX37" i="8" s="1"/>
  <c r="AT37" i="8"/>
  <c r="AP37" i="8"/>
  <c r="AR37" i="8" s="1"/>
  <c r="AM37" i="8"/>
  <c r="AO37" i="8" s="1"/>
  <c r="AG37" i="8"/>
  <c r="AH37" i="8" s="1"/>
  <c r="AD37" i="8"/>
  <c r="AC37" i="8"/>
  <c r="AE37" i="8" s="1"/>
  <c r="AA37" i="8"/>
  <c r="Z37" i="8"/>
  <c r="AB37" i="8" s="1"/>
  <c r="Y37" i="8"/>
  <c r="W37" i="8"/>
  <c r="U37" i="8"/>
  <c r="V37" i="8" s="1"/>
  <c r="T37" i="8"/>
  <c r="S37" i="8"/>
  <c r="R37" i="8"/>
  <c r="Q37" i="8"/>
  <c r="O37" i="8"/>
  <c r="L37" i="8"/>
  <c r="K37" i="8"/>
  <c r="M37" i="8" s="1"/>
  <c r="J37" i="8"/>
  <c r="H37" i="8"/>
  <c r="B37" i="8"/>
  <c r="D37" i="8" s="1"/>
  <c r="BV36" i="8"/>
  <c r="BU36" i="8"/>
  <c r="BT36" i="8"/>
  <c r="BR36" i="8"/>
  <c r="BS36" i="8" s="1"/>
  <c r="BQ36" i="8"/>
  <c r="BP36" i="8"/>
  <c r="BN36" i="8"/>
  <c r="BL36" i="8"/>
  <c r="BK36" i="8"/>
  <c r="BI36" i="8"/>
  <c r="BH36" i="8"/>
  <c r="BJ36" i="8" s="1"/>
  <c r="BF36" i="8"/>
  <c r="BE36" i="8"/>
  <c r="BG36" i="8" s="1"/>
  <c r="BB36" i="8"/>
  <c r="BD36" i="8" s="1"/>
  <c r="AY36" i="8"/>
  <c r="BA36" i="8" s="1"/>
  <c r="AV36" i="8"/>
  <c r="AX36" i="8" s="1"/>
  <c r="AT36" i="8"/>
  <c r="AU36" i="8" s="1"/>
  <c r="AS36" i="8"/>
  <c r="AP36" i="8"/>
  <c r="AR36" i="8" s="1"/>
  <c r="AO36" i="8"/>
  <c r="AM36" i="8"/>
  <c r="AG36" i="8"/>
  <c r="AH36" i="8" s="1"/>
  <c r="AE36" i="8"/>
  <c r="AD36" i="8"/>
  <c r="AC36" i="8"/>
  <c r="AA36" i="8"/>
  <c r="Z36" i="8"/>
  <c r="AB36" i="8" s="1"/>
  <c r="Y36" i="8"/>
  <c r="W36" i="8"/>
  <c r="U36" i="8"/>
  <c r="V36" i="8" s="1"/>
  <c r="T36" i="8"/>
  <c r="R36" i="8"/>
  <c r="Q36" i="8"/>
  <c r="S36" i="8" s="1"/>
  <c r="P36" i="8"/>
  <c r="O36" i="8"/>
  <c r="N36" i="8"/>
  <c r="L36" i="8"/>
  <c r="K36" i="8"/>
  <c r="M36" i="8" s="1"/>
  <c r="H36" i="8"/>
  <c r="J36" i="8" s="1"/>
  <c r="E36" i="8"/>
  <c r="G36" i="8" s="1"/>
  <c r="D36" i="8"/>
  <c r="B36" i="8"/>
  <c r="BV35" i="8"/>
  <c r="BU35" i="8"/>
  <c r="BT35" i="8"/>
  <c r="BR35" i="8"/>
  <c r="BS35" i="8" s="1"/>
  <c r="BQ35" i="8"/>
  <c r="BN35" i="8"/>
  <c r="BP35" i="8" s="1"/>
  <c r="BL35" i="8"/>
  <c r="BI35" i="8"/>
  <c r="BH35" i="8"/>
  <c r="BJ35" i="8" s="1"/>
  <c r="BF35" i="8"/>
  <c r="BB35" i="8"/>
  <c r="BD35" i="8" s="1"/>
  <c r="BA35" i="8"/>
  <c r="AY35" i="8"/>
  <c r="AU35" i="8"/>
  <c r="AT35" i="8"/>
  <c r="AS35" i="8"/>
  <c r="AR35" i="8"/>
  <c r="AP35" i="8"/>
  <c r="AO35" i="8"/>
  <c r="AM35" i="8"/>
  <c r="AH35" i="8"/>
  <c r="AG35" i="8"/>
  <c r="AD35" i="8"/>
  <c r="AC35" i="8"/>
  <c r="AE35" i="8" s="1"/>
  <c r="AB35" i="8"/>
  <c r="AA35" i="8"/>
  <c r="Z35" i="8"/>
  <c r="U35" i="8"/>
  <c r="T35" i="8"/>
  <c r="V35" i="8" s="1"/>
  <c r="R35" i="8"/>
  <c r="Q35" i="8"/>
  <c r="S35" i="8" s="1"/>
  <c r="P35" i="8"/>
  <c r="O35" i="8"/>
  <c r="N35" i="8"/>
  <c r="M35" i="8"/>
  <c r="L35" i="8"/>
  <c r="K35" i="8"/>
  <c r="H35" i="8"/>
  <c r="J35" i="8" s="1"/>
  <c r="E35" i="8"/>
  <c r="G35" i="8" s="1"/>
  <c r="C35" i="8"/>
  <c r="B35" i="8"/>
  <c r="BU34" i="8"/>
  <c r="BV34" i="8" s="1"/>
  <c r="BT34" i="8"/>
  <c r="BR34" i="8"/>
  <c r="BQ34" i="8"/>
  <c r="BS34" i="8" s="1"/>
  <c r="BN34" i="8"/>
  <c r="BP34" i="8" s="1"/>
  <c r="BL34" i="8"/>
  <c r="BK34" i="8"/>
  <c r="BM34" i="8" s="1"/>
  <c r="BJ34" i="8"/>
  <c r="BI34" i="8"/>
  <c r="BH34" i="8"/>
  <c r="BF34" i="8"/>
  <c r="BE34" i="8"/>
  <c r="BG34" i="8" s="1"/>
  <c r="BB34" i="8"/>
  <c r="BD34" i="8" s="1"/>
  <c r="AY34" i="8"/>
  <c r="BA34" i="8" s="1"/>
  <c r="AV34" i="8"/>
  <c r="AX34" i="8" s="1"/>
  <c r="AU34" i="8"/>
  <c r="AT34" i="8"/>
  <c r="AS34" i="8"/>
  <c r="AP34" i="8"/>
  <c r="AR34" i="8" s="1"/>
  <c r="AO34" i="8"/>
  <c r="AM34" i="8"/>
  <c r="AG34" i="8"/>
  <c r="AH34" i="8" s="1"/>
  <c r="AD34" i="8"/>
  <c r="AC34" i="8"/>
  <c r="AE34" i="8" s="1"/>
  <c r="AA34" i="8"/>
  <c r="W34" i="8"/>
  <c r="Y34" i="8" s="1"/>
  <c r="V34" i="8"/>
  <c r="U34" i="8"/>
  <c r="T34" i="8"/>
  <c r="S34" i="8"/>
  <c r="R34" i="8"/>
  <c r="Q34" i="8"/>
  <c r="P34" i="8"/>
  <c r="O34" i="8"/>
  <c r="N34" i="8"/>
  <c r="L34" i="8"/>
  <c r="K34" i="8"/>
  <c r="M34" i="8" s="1"/>
  <c r="H34" i="8"/>
  <c r="J34" i="8" s="1"/>
  <c r="E34" i="8"/>
  <c r="G34" i="8" s="1"/>
  <c r="D34" i="8"/>
  <c r="C34" i="8"/>
  <c r="B34" i="8"/>
  <c r="BU33" i="8"/>
  <c r="BT33" i="8"/>
  <c r="BV33" i="8" s="1"/>
  <c r="BQ33" i="8"/>
  <c r="BS33" i="8" s="1"/>
  <c r="BS38" i="8" s="1"/>
  <c r="T78" i="10" s="1"/>
  <c r="BN33" i="8"/>
  <c r="BP33" i="8" s="1"/>
  <c r="BM33" i="8"/>
  <c r="BL33" i="8"/>
  <c r="BK33" i="8"/>
  <c r="BI33" i="8"/>
  <c r="BF33" i="8"/>
  <c r="BE33" i="8"/>
  <c r="BG33" i="8" s="1"/>
  <c r="BB33" i="8"/>
  <c r="BD33" i="8" s="1"/>
  <c r="AY33" i="8"/>
  <c r="AX33" i="8"/>
  <c r="AV33" i="8"/>
  <c r="AU33" i="8"/>
  <c r="AT33" i="8"/>
  <c r="AS33" i="8"/>
  <c r="AP33" i="8"/>
  <c r="AR33" i="8" s="1"/>
  <c r="AM33" i="8"/>
  <c r="AO33" i="8" s="1"/>
  <c r="AG33" i="8"/>
  <c r="AH33" i="8" s="1"/>
  <c r="AE33" i="8"/>
  <c r="AD33" i="8"/>
  <c r="AC33" i="8"/>
  <c r="AA33" i="8"/>
  <c r="Z33" i="8"/>
  <c r="AB33" i="8" s="1"/>
  <c r="W33" i="8"/>
  <c r="Y33" i="8" s="1"/>
  <c r="U33" i="8"/>
  <c r="T33" i="8"/>
  <c r="V33" i="8" s="1"/>
  <c r="S33" i="8"/>
  <c r="R33" i="8"/>
  <c r="Q33" i="8"/>
  <c r="P33" i="8"/>
  <c r="O33" i="8"/>
  <c r="N33" i="8"/>
  <c r="M33" i="8"/>
  <c r="L33" i="8"/>
  <c r="K33" i="8"/>
  <c r="H33" i="8"/>
  <c r="J33" i="8" s="1"/>
  <c r="E33" i="8"/>
  <c r="D33" i="8"/>
  <c r="C33" i="8"/>
  <c r="B33" i="8"/>
  <c r="BU32" i="8"/>
  <c r="BV32" i="8" s="1"/>
  <c r="BT32" i="8"/>
  <c r="BQ32" i="8"/>
  <c r="BS32" i="8" s="1"/>
  <c r="BN32" i="8"/>
  <c r="BL32" i="8"/>
  <c r="BI32" i="8"/>
  <c r="BH32" i="8"/>
  <c r="BJ32" i="8" s="1"/>
  <c r="BG32" i="8"/>
  <c r="BF32" i="8"/>
  <c r="BE32" i="8"/>
  <c r="BD32" i="8"/>
  <c r="BB32" i="8"/>
  <c r="BA32" i="8"/>
  <c r="AY32" i="8"/>
  <c r="AX32" i="8"/>
  <c r="AV32" i="8"/>
  <c r="AT32" i="8"/>
  <c r="AS32" i="8"/>
  <c r="AR32" i="8"/>
  <c r="AP32" i="8"/>
  <c r="AM32" i="8"/>
  <c r="AO32" i="8" s="1"/>
  <c r="AH32" i="8"/>
  <c r="AG32" i="8"/>
  <c r="AE32" i="8"/>
  <c r="AD32" i="8"/>
  <c r="AC32" i="8"/>
  <c r="AA32" i="8"/>
  <c r="Z32" i="8"/>
  <c r="Y32" i="8"/>
  <c r="W32" i="8"/>
  <c r="U32" i="8"/>
  <c r="V32" i="8" s="1"/>
  <c r="T32" i="8"/>
  <c r="R32" i="8"/>
  <c r="S32" i="8" s="1"/>
  <c r="Q32" i="8"/>
  <c r="O32" i="8"/>
  <c r="N32" i="8"/>
  <c r="P32" i="8" s="1"/>
  <c r="L32" i="8"/>
  <c r="K32" i="8"/>
  <c r="M32" i="8" s="1"/>
  <c r="J32" i="8"/>
  <c r="H32" i="8"/>
  <c r="G32" i="8"/>
  <c r="E32" i="8"/>
  <c r="C32" i="8"/>
  <c r="BU31" i="8"/>
  <c r="BT31" i="8"/>
  <c r="BV31" i="8" s="1"/>
  <c r="BQ31" i="8"/>
  <c r="BS31" i="8" s="1"/>
  <c r="BN31" i="8"/>
  <c r="BP31" i="8" s="1"/>
  <c r="BL31" i="8"/>
  <c r="BK31" i="8"/>
  <c r="BI31" i="8"/>
  <c r="BH31" i="8"/>
  <c r="BF31" i="8"/>
  <c r="BG31" i="8" s="1"/>
  <c r="BE31" i="8"/>
  <c r="BD31" i="8"/>
  <c r="BB31" i="8"/>
  <c r="BA31" i="8"/>
  <c r="AY31" i="8"/>
  <c r="AV31" i="8"/>
  <c r="AX31" i="8" s="1"/>
  <c r="AU31" i="8"/>
  <c r="AT31" i="8"/>
  <c r="AS31" i="8"/>
  <c r="AP31" i="8"/>
  <c r="AM31" i="8"/>
  <c r="AH31" i="8"/>
  <c r="AG31" i="8"/>
  <c r="AD31" i="8"/>
  <c r="AC31" i="8"/>
  <c r="AE31" i="8" s="1"/>
  <c r="AA31" i="8"/>
  <c r="AB31" i="8" s="1"/>
  <c r="Z31" i="8"/>
  <c r="W31" i="8"/>
  <c r="Y31" i="8" s="1"/>
  <c r="V31" i="8"/>
  <c r="U31" i="8"/>
  <c r="T31" i="8"/>
  <c r="R31" i="8"/>
  <c r="Q31" i="8"/>
  <c r="O31" i="8"/>
  <c r="N31" i="8"/>
  <c r="M31" i="8"/>
  <c r="M38" i="8" s="1"/>
  <c r="T74" i="10" s="1"/>
  <c r="L31" i="8"/>
  <c r="K31" i="8"/>
  <c r="J31" i="8"/>
  <c r="H31" i="8"/>
  <c r="G31" i="8"/>
  <c r="E31" i="8"/>
  <c r="C31" i="8"/>
  <c r="B31" i="8"/>
  <c r="BB29" i="8"/>
  <c r="BB41" i="8" s="1"/>
  <c r="AI29" i="8"/>
  <c r="AF29" i="8"/>
  <c r="B29" i="8"/>
  <c r="BN26" i="8"/>
  <c r="R54" i="10" s="1"/>
  <c r="N54" i="10" s="1"/>
  <c r="AH26" i="8"/>
  <c r="AF26" i="8"/>
  <c r="AF55" i="8" s="1"/>
  <c r="N26" i="8"/>
  <c r="R39" i="10" s="1"/>
  <c r="N39" i="10" s="1"/>
  <c r="BU25" i="8"/>
  <c r="BT25" i="8"/>
  <c r="BV25" i="8" s="1"/>
  <c r="BR25" i="8"/>
  <c r="BS25" i="8" s="1"/>
  <c r="BQ25" i="8"/>
  <c r="BP25" i="8"/>
  <c r="BN25" i="8"/>
  <c r="BL25" i="8"/>
  <c r="BK25" i="8"/>
  <c r="BI25" i="8"/>
  <c r="BH25" i="8"/>
  <c r="BJ25" i="8" s="1"/>
  <c r="BF25" i="8"/>
  <c r="BE25" i="8"/>
  <c r="BG25" i="8" s="1"/>
  <c r="BB25" i="8"/>
  <c r="BD25" i="8" s="1"/>
  <c r="BA25" i="8"/>
  <c r="AY25" i="8"/>
  <c r="AV25" i="8"/>
  <c r="AX25" i="8" s="1"/>
  <c r="AU25" i="8"/>
  <c r="AT25" i="8"/>
  <c r="AS25" i="8"/>
  <c r="AP25" i="8"/>
  <c r="AR25" i="8" s="1"/>
  <c r="AG25" i="8"/>
  <c r="AH25" i="8" s="1"/>
  <c r="AD25" i="8"/>
  <c r="AC25" i="8"/>
  <c r="AE25" i="8" s="1"/>
  <c r="AA25" i="8"/>
  <c r="Z25" i="8"/>
  <c r="AB25" i="8" s="1"/>
  <c r="W25" i="8"/>
  <c r="Y25" i="8" s="1"/>
  <c r="U25" i="8"/>
  <c r="T25" i="8"/>
  <c r="V25" i="8" s="1"/>
  <c r="R25" i="8"/>
  <c r="Q25" i="8"/>
  <c r="S25" i="8" s="1"/>
  <c r="O25" i="8"/>
  <c r="N25" i="8"/>
  <c r="P25" i="8" s="1"/>
  <c r="L25" i="8"/>
  <c r="K25" i="8"/>
  <c r="M25" i="8" s="1"/>
  <c r="F25" i="8"/>
  <c r="E25" i="8"/>
  <c r="G25" i="8" s="1"/>
  <c r="C25" i="8"/>
  <c r="B25" i="8"/>
  <c r="D25" i="8" s="1"/>
  <c r="BV24" i="8"/>
  <c r="BU24" i="8"/>
  <c r="BT24" i="8"/>
  <c r="BR24" i="8"/>
  <c r="BQ24" i="8"/>
  <c r="BS24" i="8" s="1"/>
  <c r="BN24" i="8"/>
  <c r="BP24" i="8" s="1"/>
  <c r="BM24" i="8"/>
  <c r="BL24" i="8"/>
  <c r="BK24" i="8"/>
  <c r="BI24" i="8"/>
  <c r="BJ24" i="8" s="1"/>
  <c r="BH24" i="8"/>
  <c r="BG24" i="8"/>
  <c r="BF24" i="8"/>
  <c r="BE24" i="8"/>
  <c r="BB24" i="8"/>
  <c r="BD24" i="8" s="1"/>
  <c r="AY24" i="8"/>
  <c r="BA24" i="8" s="1"/>
  <c r="AX24" i="8"/>
  <c r="AV24" i="8"/>
  <c r="AT24" i="8"/>
  <c r="AU24" i="8" s="1"/>
  <c r="AS24" i="8"/>
  <c r="AR24" i="8"/>
  <c r="AP24" i="8"/>
  <c r="AM24" i="8"/>
  <c r="AO24" i="8" s="1"/>
  <c r="BY24" i="8" s="1"/>
  <c r="AG24" i="8"/>
  <c r="AH24" i="8" s="1"/>
  <c r="AD24" i="8"/>
  <c r="AC24" i="8"/>
  <c r="AE24" i="8" s="1"/>
  <c r="AB24" i="8"/>
  <c r="AA24" i="8"/>
  <c r="Z24" i="8"/>
  <c r="W24" i="8"/>
  <c r="Y24" i="8" s="1"/>
  <c r="U24" i="8"/>
  <c r="V24" i="8" s="1"/>
  <c r="T24" i="8"/>
  <c r="Q24" i="8"/>
  <c r="S24" i="8" s="1"/>
  <c r="P24" i="8"/>
  <c r="O24" i="8"/>
  <c r="N24" i="8"/>
  <c r="L24" i="8"/>
  <c r="M24" i="8" s="1"/>
  <c r="K24" i="8"/>
  <c r="F24" i="8"/>
  <c r="E24" i="8"/>
  <c r="G24" i="8" s="1"/>
  <c r="C24" i="8"/>
  <c r="B24" i="8"/>
  <c r="D24" i="8" s="1"/>
  <c r="BU23" i="8"/>
  <c r="BT23" i="8"/>
  <c r="BV23" i="8" s="1"/>
  <c r="BS23" i="8"/>
  <c r="BR23" i="8"/>
  <c r="BQ23" i="8"/>
  <c r="BP23" i="8"/>
  <c r="BN23" i="8"/>
  <c r="BM23" i="8"/>
  <c r="BL23" i="8"/>
  <c r="BK23" i="8"/>
  <c r="BJ23" i="8"/>
  <c r="BI23" i="8"/>
  <c r="BH23" i="8"/>
  <c r="BF23" i="8"/>
  <c r="BG23" i="8" s="1"/>
  <c r="BE23" i="8"/>
  <c r="BD23" i="8"/>
  <c r="BB23" i="8"/>
  <c r="AY23" i="8"/>
  <c r="BA23" i="8" s="1"/>
  <c r="AU23" i="8"/>
  <c r="AT23" i="8"/>
  <c r="AS23" i="8"/>
  <c r="AP23" i="8"/>
  <c r="AR23" i="8" s="1"/>
  <c r="AM23" i="8"/>
  <c r="AO23" i="8" s="1"/>
  <c r="AH23" i="8"/>
  <c r="AG23" i="8"/>
  <c r="AE23" i="8"/>
  <c r="AD23" i="8"/>
  <c r="AC23" i="8"/>
  <c r="AA23" i="8"/>
  <c r="Z23" i="8"/>
  <c r="AB23" i="8" s="1"/>
  <c r="W23" i="8"/>
  <c r="Y23" i="8" s="1"/>
  <c r="U23" i="8"/>
  <c r="T23" i="8"/>
  <c r="V23" i="8" s="1"/>
  <c r="S23" i="8"/>
  <c r="R23" i="8"/>
  <c r="Q23" i="8"/>
  <c r="P23" i="8"/>
  <c r="O23" i="8"/>
  <c r="N23" i="8"/>
  <c r="L23" i="8"/>
  <c r="K23" i="8"/>
  <c r="M23" i="8" s="1"/>
  <c r="H23" i="8"/>
  <c r="J23" i="8" s="1"/>
  <c r="G23" i="8"/>
  <c r="F23" i="8"/>
  <c r="E23" i="8"/>
  <c r="C23" i="8"/>
  <c r="B23" i="8"/>
  <c r="D23" i="8" s="1"/>
  <c r="BU22" i="8"/>
  <c r="BT22" i="8"/>
  <c r="BR22" i="8"/>
  <c r="BQ22" i="8"/>
  <c r="BS22" i="8" s="1"/>
  <c r="BN22" i="8"/>
  <c r="BP22" i="8" s="1"/>
  <c r="BL22" i="8"/>
  <c r="BK22" i="8"/>
  <c r="BM22" i="8" s="1"/>
  <c r="BI22" i="8"/>
  <c r="BH22" i="8"/>
  <c r="BJ22" i="8" s="1"/>
  <c r="BF22" i="8"/>
  <c r="BE22" i="8"/>
  <c r="BG22" i="8" s="1"/>
  <c r="BD22" i="8"/>
  <c r="BB22" i="8"/>
  <c r="AV22" i="8"/>
  <c r="AX22" i="8" s="1"/>
  <c r="AT22" i="8"/>
  <c r="AS22" i="8"/>
  <c r="AU22" i="8" s="1"/>
  <c r="AP22" i="8"/>
  <c r="AR22" i="8" s="1"/>
  <c r="AM22" i="8"/>
  <c r="AO22" i="8" s="1"/>
  <c r="AH22" i="8"/>
  <c r="AG22" i="8"/>
  <c r="AD22" i="8"/>
  <c r="AC22" i="8"/>
  <c r="AE22" i="8" s="1"/>
  <c r="AA22" i="8"/>
  <c r="Z22" i="8"/>
  <c r="AB22" i="8" s="1"/>
  <c r="Y22" i="8"/>
  <c r="W22" i="8"/>
  <c r="V22" i="8"/>
  <c r="U22" i="8"/>
  <c r="T22" i="8"/>
  <c r="R22" i="8"/>
  <c r="Q22" i="8"/>
  <c r="S22" i="8" s="1"/>
  <c r="O22" i="8"/>
  <c r="N22" i="8"/>
  <c r="P22" i="8" s="1"/>
  <c r="L22" i="8"/>
  <c r="K22" i="8"/>
  <c r="M22" i="8" s="1"/>
  <c r="J22" i="8"/>
  <c r="H22" i="8"/>
  <c r="G22" i="8"/>
  <c r="F22" i="8"/>
  <c r="E22" i="8"/>
  <c r="C22" i="8"/>
  <c r="B22" i="8"/>
  <c r="D22" i="8" s="1"/>
  <c r="BV21" i="8"/>
  <c r="BU21" i="8"/>
  <c r="BT21" i="8"/>
  <c r="BS21" i="8"/>
  <c r="BQ21" i="8"/>
  <c r="BN21" i="8"/>
  <c r="BP21" i="8" s="1"/>
  <c r="BL21" i="8"/>
  <c r="BK21" i="8"/>
  <c r="BM21" i="8" s="1"/>
  <c r="BI21" i="8"/>
  <c r="BH21" i="8"/>
  <c r="BJ21" i="8" s="1"/>
  <c r="BG21" i="8"/>
  <c r="BF21" i="8"/>
  <c r="BE21" i="8"/>
  <c r="BD21" i="8"/>
  <c r="BB21" i="8"/>
  <c r="AY21" i="8"/>
  <c r="BA21" i="8" s="1"/>
  <c r="AV21" i="8"/>
  <c r="AU21" i="8"/>
  <c r="AT21" i="8"/>
  <c r="AS21" i="8"/>
  <c r="AR21" i="8"/>
  <c r="AP21" i="8"/>
  <c r="AO21" i="8"/>
  <c r="AM21" i="8"/>
  <c r="AH21" i="8"/>
  <c r="AG21" i="8"/>
  <c r="AD21" i="8"/>
  <c r="AC21" i="8"/>
  <c r="AE21" i="8" s="1"/>
  <c r="AA21" i="8"/>
  <c r="AB21" i="8" s="1"/>
  <c r="Z21" i="8"/>
  <c r="W21" i="8"/>
  <c r="Y21" i="8" s="1"/>
  <c r="U21" i="8"/>
  <c r="T21" i="8"/>
  <c r="V21" i="8" s="1"/>
  <c r="R21" i="8"/>
  <c r="O21" i="8"/>
  <c r="N21" i="8"/>
  <c r="P21" i="8" s="1"/>
  <c r="P26" i="8" s="1"/>
  <c r="T39" i="10" s="1"/>
  <c r="M21" i="8"/>
  <c r="L21" i="8"/>
  <c r="K21" i="8"/>
  <c r="I21" i="8"/>
  <c r="H21" i="8"/>
  <c r="J21" i="8" s="1"/>
  <c r="F21" i="8"/>
  <c r="E21" i="8"/>
  <c r="G21" i="8" s="1"/>
  <c r="D21" i="8"/>
  <c r="C21" i="8"/>
  <c r="B21" i="8"/>
  <c r="BU20" i="8"/>
  <c r="BT20" i="8"/>
  <c r="BS20" i="8"/>
  <c r="BQ20" i="8"/>
  <c r="BN20" i="8"/>
  <c r="BP20" i="8" s="1"/>
  <c r="BL20" i="8"/>
  <c r="BK20" i="8"/>
  <c r="BM20" i="8" s="1"/>
  <c r="BI20" i="8"/>
  <c r="BF20" i="8"/>
  <c r="BE20" i="8"/>
  <c r="BB20" i="8"/>
  <c r="BD20" i="8" s="1"/>
  <c r="AY20" i="8"/>
  <c r="BA20" i="8" s="1"/>
  <c r="AV20" i="8"/>
  <c r="AX20" i="8" s="1"/>
  <c r="AT20" i="8"/>
  <c r="AS20" i="8"/>
  <c r="AU20" i="8" s="1"/>
  <c r="AP20" i="8"/>
  <c r="AR20" i="8" s="1"/>
  <c r="AM20" i="8"/>
  <c r="AH20" i="8"/>
  <c r="AG20" i="8"/>
  <c r="AD20" i="8"/>
  <c r="AE20" i="8" s="1"/>
  <c r="AC20" i="8"/>
  <c r="AB20" i="8"/>
  <c r="AA20" i="8"/>
  <c r="Z20" i="8"/>
  <c r="Y20" i="8"/>
  <c r="W20" i="8"/>
  <c r="U20" i="8"/>
  <c r="V20" i="8" s="1"/>
  <c r="T20" i="8"/>
  <c r="R20" i="8"/>
  <c r="Q20" i="8"/>
  <c r="S20" i="8" s="1"/>
  <c r="O20" i="8"/>
  <c r="N20" i="8"/>
  <c r="P20" i="8" s="1"/>
  <c r="L20" i="8"/>
  <c r="K20" i="8"/>
  <c r="M20" i="8" s="1"/>
  <c r="J20" i="8"/>
  <c r="I20" i="8"/>
  <c r="H20" i="8"/>
  <c r="G20" i="8"/>
  <c r="F20" i="8"/>
  <c r="E20" i="8"/>
  <c r="C20" i="8"/>
  <c r="B20" i="8"/>
  <c r="D20" i="8" s="1"/>
  <c r="BU19" i="8"/>
  <c r="BT19" i="8"/>
  <c r="BV19" i="8" s="1"/>
  <c r="BQ19" i="8"/>
  <c r="BP19" i="8"/>
  <c r="BP26" i="8" s="1"/>
  <c r="T54" i="10" s="1"/>
  <c r="BN19" i="8"/>
  <c r="BM19" i="8"/>
  <c r="BL19" i="8"/>
  <c r="BK19" i="8"/>
  <c r="BI19" i="8"/>
  <c r="BF19" i="8"/>
  <c r="BE19" i="8"/>
  <c r="BG19" i="8" s="1"/>
  <c r="BB19" i="8"/>
  <c r="BB26" i="8" s="1"/>
  <c r="R57" i="10" s="1"/>
  <c r="N57" i="10" s="1"/>
  <c r="AX19" i="8"/>
  <c r="AV19" i="8"/>
  <c r="AT19" i="8"/>
  <c r="AU19" i="8" s="1"/>
  <c r="AU26" i="8" s="1"/>
  <c r="T51" i="10" s="1"/>
  <c r="AS19" i="8"/>
  <c r="AP19" i="8"/>
  <c r="AM19" i="8"/>
  <c r="AO19" i="8" s="1"/>
  <c r="AG19" i="8"/>
  <c r="AH19" i="8" s="1"/>
  <c r="AD19" i="8"/>
  <c r="AC19" i="8"/>
  <c r="AA19" i="8"/>
  <c r="Z19" i="8"/>
  <c r="W19" i="8"/>
  <c r="U19" i="8"/>
  <c r="R19" i="8"/>
  <c r="S19" i="8" s="1"/>
  <c r="Q19" i="8"/>
  <c r="O19" i="8"/>
  <c r="N19" i="8"/>
  <c r="P19" i="8" s="1"/>
  <c r="M19" i="8"/>
  <c r="L19" i="8"/>
  <c r="K19" i="8"/>
  <c r="I19" i="8"/>
  <c r="J19" i="8" s="1"/>
  <c r="H19" i="8"/>
  <c r="F19" i="8"/>
  <c r="G19" i="8" s="1"/>
  <c r="E19" i="8"/>
  <c r="E26" i="8" s="1"/>
  <c r="R37" i="10" s="1"/>
  <c r="N37" i="10" s="1"/>
  <c r="D19" i="8"/>
  <c r="C19" i="8"/>
  <c r="B19" i="8"/>
  <c r="BH17" i="8"/>
  <c r="BH29" i="8" s="1"/>
  <c r="BH41" i="8" s="1"/>
  <c r="BE17" i="8"/>
  <c r="BB17" i="8"/>
  <c r="AI17" i="8"/>
  <c r="AF17" i="8"/>
  <c r="B17" i="8"/>
  <c r="AF14" i="8"/>
  <c r="BU13" i="8"/>
  <c r="BT13" i="8"/>
  <c r="BQ13" i="8"/>
  <c r="BS13" i="8" s="1"/>
  <c r="BP13" i="8"/>
  <c r="BN13" i="8"/>
  <c r="BM13" i="8"/>
  <c r="BL13" i="8"/>
  <c r="BK13" i="8"/>
  <c r="BI13" i="8"/>
  <c r="BH13" i="8"/>
  <c r="BJ13" i="8" s="1"/>
  <c r="BF13" i="8"/>
  <c r="BG13" i="8" s="1"/>
  <c r="BE13" i="8"/>
  <c r="BB13" i="8"/>
  <c r="BA13" i="8"/>
  <c r="AY13" i="8"/>
  <c r="AX13" i="8"/>
  <c r="AV13" i="8"/>
  <c r="AT13" i="8"/>
  <c r="AS13" i="8"/>
  <c r="AU13" i="8" s="1"/>
  <c r="AM13" i="8"/>
  <c r="AO13" i="8" s="1"/>
  <c r="AG13" i="8"/>
  <c r="AH13" i="8" s="1"/>
  <c r="AD13" i="8"/>
  <c r="AC13" i="8"/>
  <c r="AE13" i="8" s="1"/>
  <c r="AB13" i="8"/>
  <c r="AA13" i="8"/>
  <c r="Z13" i="8"/>
  <c r="X13" i="8"/>
  <c r="W13" i="8"/>
  <c r="Y13" i="8" s="1"/>
  <c r="U13" i="8"/>
  <c r="T13" i="8"/>
  <c r="V13" i="8" s="1"/>
  <c r="R13" i="8"/>
  <c r="Q13" i="8"/>
  <c r="S13" i="8" s="1"/>
  <c r="O13" i="8"/>
  <c r="N13" i="8"/>
  <c r="P13" i="8" s="1"/>
  <c r="L13" i="8"/>
  <c r="K13" i="8"/>
  <c r="M13" i="8" s="1"/>
  <c r="I13" i="8"/>
  <c r="H13" i="8"/>
  <c r="J13" i="8" s="1"/>
  <c r="E13" i="8"/>
  <c r="G13" i="8" s="1"/>
  <c r="C13" i="8"/>
  <c r="B13" i="8"/>
  <c r="D13" i="8" s="1"/>
  <c r="BU12" i="8"/>
  <c r="BT12" i="8"/>
  <c r="BV12" i="8" s="1"/>
  <c r="BN12" i="8"/>
  <c r="BP12" i="8" s="1"/>
  <c r="BL12" i="8"/>
  <c r="BI12" i="8"/>
  <c r="BH12" i="8"/>
  <c r="BJ12" i="8" s="1"/>
  <c r="BF12" i="8"/>
  <c r="BF48" i="8" s="1"/>
  <c r="BE12" i="8"/>
  <c r="BG12" i="8" s="1"/>
  <c r="BD12" i="8"/>
  <c r="BB12" i="8"/>
  <c r="AY12" i="8"/>
  <c r="BA12" i="8" s="1"/>
  <c r="AT12" i="8"/>
  <c r="AU12" i="8" s="1"/>
  <c r="AS12" i="8"/>
  <c r="AR12" i="8"/>
  <c r="AP12" i="8"/>
  <c r="AM12" i="8"/>
  <c r="AO12" i="8" s="1"/>
  <c r="AG12" i="8"/>
  <c r="AH12" i="8" s="1"/>
  <c r="AE12" i="8"/>
  <c r="AD12" i="8"/>
  <c r="AC12" i="8"/>
  <c r="AA12" i="8"/>
  <c r="Z12" i="8"/>
  <c r="AB12" i="8" s="1"/>
  <c r="X12" i="8"/>
  <c r="Y12" i="8" s="1"/>
  <c r="W12" i="8"/>
  <c r="U12" i="8"/>
  <c r="V12" i="8" s="1"/>
  <c r="T12" i="8"/>
  <c r="S12" i="8"/>
  <c r="R12" i="8"/>
  <c r="Q12" i="8"/>
  <c r="O12" i="8"/>
  <c r="N12" i="8"/>
  <c r="P12" i="8" s="1"/>
  <c r="L12" i="8"/>
  <c r="K12" i="8"/>
  <c r="M12" i="8" s="1"/>
  <c r="J12" i="8"/>
  <c r="I12" i="8"/>
  <c r="H12" i="8"/>
  <c r="G12" i="8"/>
  <c r="E12" i="8"/>
  <c r="C12" i="8"/>
  <c r="D12" i="8" s="1"/>
  <c r="B12" i="8"/>
  <c r="BU11" i="8"/>
  <c r="BV11" i="8" s="1"/>
  <c r="BT11" i="8"/>
  <c r="BL11" i="8"/>
  <c r="BK11" i="8"/>
  <c r="BM11" i="8" s="1"/>
  <c r="BI11" i="8"/>
  <c r="BH11" i="8"/>
  <c r="BJ11" i="8" s="1"/>
  <c r="BF11" i="8"/>
  <c r="BF47" i="8" s="1"/>
  <c r="BE11" i="8"/>
  <c r="BG11" i="8" s="1"/>
  <c r="BD11" i="8"/>
  <c r="BA11" i="8"/>
  <c r="AY11" i="8"/>
  <c r="AX11" i="8"/>
  <c r="AV11" i="8"/>
  <c r="AT11" i="8"/>
  <c r="AS11" i="8"/>
  <c r="AU11" i="8" s="1"/>
  <c r="AP11" i="8"/>
  <c r="AR11" i="8" s="1"/>
  <c r="AH11" i="8"/>
  <c r="AG11" i="8"/>
  <c r="AD11" i="8"/>
  <c r="AE11" i="8" s="1"/>
  <c r="AC11" i="8"/>
  <c r="AA11" i="8"/>
  <c r="Z11" i="8"/>
  <c r="AB11" i="8" s="1"/>
  <c r="X11" i="8"/>
  <c r="Y11" i="8" s="1"/>
  <c r="W11" i="8"/>
  <c r="U11" i="8"/>
  <c r="V11" i="8" s="1"/>
  <c r="T11" i="8"/>
  <c r="R11" i="8"/>
  <c r="Q11" i="8"/>
  <c r="S11" i="8" s="1"/>
  <c r="O11" i="8"/>
  <c r="L11" i="8"/>
  <c r="M11" i="8" s="1"/>
  <c r="K11" i="8"/>
  <c r="I11" i="8"/>
  <c r="J11" i="8" s="1"/>
  <c r="H11" i="8"/>
  <c r="E11" i="8"/>
  <c r="G11" i="8" s="1"/>
  <c r="D11" i="8"/>
  <c r="C11" i="8"/>
  <c r="B11" i="8"/>
  <c r="BU10" i="8"/>
  <c r="BT10" i="8"/>
  <c r="BV10" i="8" s="1"/>
  <c r="BQ10" i="8"/>
  <c r="BS10" i="8" s="1"/>
  <c r="BN10" i="8"/>
  <c r="BP10" i="8" s="1"/>
  <c r="BL10" i="8"/>
  <c r="BK10" i="8"/>
  <c r="BJ10" i="8"/>
  <c r="BI10" i="8"/>
  <c r="BH10" i="8"/>
  <c r="BF10" i="8"/>
  <c r="BG10" i="8" s="1"/>
  <c r="BE10" i="8"/>
  <c r="AY10" i="8"/>
  <c r="BA10" i="8" s="1"/>
  <c r="AV10" i="8"/>
  <c r="AX10" i="8" s="1"/>
  <c r="AU10" i="8"/>
  <c r="AT10" i="8"/>
  <c r="AS10" i="8"/>
  <c r="AM10" i="8"/>
  <c r="AO10" i="8" s="1"/>
  <c r="AH10" i="8"/>
  <c r="AG10" i="8"/>
  <c r="AD10" i="8"/>
  <c r="AC10" i="8"/>
  <c r="AE10" i="8" s="1"/>
  <c r="AA10" i="8"/>
  <c r="Z10" i="8"/>
  <c r="AB10" i="8" s="1"/>
  <c r="X10" i="8"/>
  <c r="W10" i="8"/>
  <c r="Y10" i="8" s="1"/>
  <c r="U10" i="8"/>
  <c r="T10" i="8"/>
  <c r="S10" i="8"/>
  <c r="S14" i="8" s="1"/>
  <c r="R10" i="8"/>
  <c r="Q10" i="8"/>
  <c r="O10" i="8"/>
  <c r="N10" i="8"/>
  <c r="P10" i="8" s="1"/>
  <c r="L10" i="8"/>
  <c r="K10" i="8"/>
  <c r="M10" i="8" s="1"/>
  <c r="I10" i="8"/>
  <c r="H10" i="8"/>
  <c r="J10" i="8" s="1"/>
  <c r="E10" i="8"/>
  <c r="G10" i="8" s="1"/>
  <c r="D10" i="8"/>
  <c r="C10" i="8"/>
  <c r="B10" i="8"/>
  <c r="BU9" i="8"/>
  <c r="BT9" i="8"/>
  <c r="BV9" i="8" s="1"/>
  <c r="BR9" i="8"/>
  <c r="BQ9" i="8"/>
  <c r="BS9" i="8" s="1"/>
  <c r="BP9" i="8"/>
  <c r="BN9" i="8"/>
  <c r="BL9" i="8"/>
  <c r="BM9" i="8" s="1"/>
  <c r="BK9" i="8"/>
  <c r="BI9" i="8"/>
  <c r="BJ9" i="8" s="1"/>
  <c r="BH9" i="8"/>
  <c r="BF9" i="8"/>
  <c r="BF45" i="8" s="1"/>
  <c r="BG45" i="8" s="1"/>
  <c r="BE9" i="8"/>
  <c r="AY9" i="8"/>
  <c r="BA9" i="8" s="1"/>
  <c r="AV9" i="8"/>
  <c r="AX9" i="8" s="1"/>
  <c r="AT9" i="8"/>
  <c r="AS9" i="8"/>
  <c r="AU9" i="8" s="1"/>
  <c r="AP9" i="8"/>
  <c r="AR9" i="8" s="1"/>
  <c r="AO9" i="8"/>
  <c r="AN9" i="8"/>
  <c r="AM9" i="8"/>
  <c r="AH9" i="8"/>
  <c r="AG9" i="8"/>
  <c r="AE9" i="8"/>
  <c r="AD9" i="8"/>
  <c r="AC9" i="8"/>
  <c r="AA9" i="8"/>
  <c r="Z9" i="8"/>
  <c r="AB9" i="8" s="1"/>
  <c r="X9" i="8"/>
  <c r="U9" i="8"/>
  <c r="V9" i="8" s="1"/>
  <c r="T9" i="8"/>
  <c r="R9" i="8"/>
  <c r="Q9" i="8"/>
  <c r="S9" i="8" s="1"/>
  <c r="P9" i="8"/>
  <c r="O9" i="8"/>
  <c r="N9" i="8"/>
  <c r="L9" i="8"/>
  <c r="M9" i="8" s="1"/>
  <c r="K9" i="8"/>
  <c r="I9" i="8"/>
  <c r="J9" i="8" s="1"/>
  <c r="H9" i="8"/>
  <c r="E9" i="8"/>
  <c r="G9" i="8" s="1"/>
  <c r="C9" i="8"/>
  <c r="B9" i="8"/>
  <c r="BU8" i="8"/>
  <c r="BR8" i="8"/>
  <c r="BQ8" i="8"/>
  <c r="BS8" i="8" s="1"/>
  <c r="BL8" i="8"/>
  <c r="BK8" i="8"/>
  <c r="BM8" i="8" s="1"/>
  <c r="BJ8" i="8"/>
  <c r="BI8" i="8"/>
  <c r="BH8" i="8"/>
  <c r="BF8" i="8"/>
  <c r="BE8" i="8"/>
  <c r="BG8" i="8" s="1"/>
  <c r="BD8" i="8"/>
  <c r="BC8" i="8"/>
  <c r="BC9" i="8" s="1"/>
  <c r="BC10" i="8" s="1"/>
  <c r="BC11" i="8" s="1"/>
  <c r="BC12" i="8" s="1"/>
  <c r="BC13" i="8" s="1"/>
  <c r="BD13" i="8" s="1"/>
  <c r="BB8" i="8"/>
  <c r="AY8" i="8"/>
  <c r="BA8" i="8" s="1"/>
  <c r="AV8" i="8"/>
  <c r="AX8" i="8" s="1"/>
  <c r="AT8" i="8"/>
  <c r="AS8" i="8"/>
  <c r="AU8" i="8" s="1"/>
  <c r="AM8" i="8"/>
  <c r="AO8" i="8" s="1"/>
  <c r="AG8" i="8"/>
  <c r="AH8" i="8" s="1"/>
  <c r="AD8" i="8"/>
  <c r="AE8" i="8" s="1"/>
  <c r="AC8" i="8"/>
  <c r="AA8" i="8"/>
  <c r="AB8" i="8" s="1"/>
  <c r="Z8" i="8"/>
  <c r="X8" i="8"/>
  <c r="Y8" i="8" s="1"/>
  <c r="W8" i="8"/>
  <c r="U8" i="8"/>
  <c r="T8" i="8"/>
  <c r="V8" i="8" s="1"/>
  <c r="S8" i="8"/>
  <c r="R8" i="8"/>
  <c r="Q8" i="8"/>
  <c r="O8" i="8"/>
  <c r="P8" i="8" s="1"/>
  <c r="N8" i="8"/>
  <c r="M8" i="8"/>
  <c r="L8" i="8"/>
  <c r="K8" i="8"/>
  <c r="J8" i="8"/>
  <c r="I8" i="8"/>
  <c r="H8" i="8"/>
  <c r="E8" i="8"/>
  <c r="G8" i="8" s="1"/>
  <c r="C8" i="8"/>
  <c r="B8" i="8"/>
  <c r="D8" i="8" s="1"/>
  <c r="BT7" i="8"/>
  <c r="BS7" i="8"/>
  <c r="BQ7" i="8"/>
  <c r="BP7" i="8"/>
  <c r="BN7" i="8"/>
  <c r="BK7" i="8"/>
  <c r="BM7" i="8" s="1"/>
  <c r="BJ7" i="8"/>
  <c r="BH7" i="8"/>
  <c r="BE7" i="8"/>
  <c r="BG7" i="8" s="1"/>
  <c r="BB7" i="8"/>
  <c r="AY7" i="8"/>
  <c r="AY14" i="8" s="1"/>
  <c r="AX7" i="8"/>
  <c r="AV7" i="8"/>
  <c r="AS7" i="8"/>
  <c r="AU7" i="8" s="1"/>
  <c r="AR7" i="8"/>
  <c r="AP7" i="8"/>
  <c r="AH7" i="8"/>
  <c r="AC7" i="8"/>
  <c r="Z7" i="8"/>
  <c r="Z14" i="8" s="1"/>
  <c r="W7" i="8"/>
  <c r="Y7" i="8" s="1"/>
  <c r="V7" i="8"/>
  <c r="T7" i="8"/>
  <c r="S7" i="8"/>
  <c r="Q7" i="8"/>
  <c r="N7" i="8"/>
  <c r="P7" i="8" s="1"/>
  <c r="K7" i="8"/>
  <c r="H7" i="8"/>
  <c r="H14" i="8" s="1"/>
  <c r="E7" i="8"/>
  <c r="G7" i="8" s="1"/>
  <c r="D7" i="8"/>
  <c r="B7" i="8"/>
  <c r="BT5" i="8"/>
  <c r="BT17" i="8" s="1"/>
  <c r="BT29" i="8" s="1"/>
  <c r="BT41" i="8" s="1"/>
  <c r="BQ5" i="8"/>
  <c r="BQ17" i="8" s="1"/>
  <c r="BQ29" i="8" s="1"/>
  <c r="BQ41" i="8" s="1"/>
  <c r="BH5" i="8"/>
  <c r="AM5" i="8"/>
  <c r="K5" i="8"/>
  <c r="K17" i="8" s="1"/>
  <c r="K29" i="8" s="1"/>
  <c r="H5" i="8"/>
  <c r="E5" i="8"/>
  <c r="E1" i="8"/>
  <c r="AO55" i="7"/>
  <c r="AI55" i="7"/>
  <c r="AF55" i="7"/>
  <c r="BH53" i="7"/>
  <c r="E116" i="10" s="1"/>
  <c r="AV53" i="7"/>
  <c r="E109" i="10" s="1"/>
  <c r="AL53" i="7"/>
  <c r="AI53" i="7"/>
  <c r="AF53" i="7"/>
  <c r="CF52" i="7"/>
  <c r="BY52" i="7"/>
  <c r="BX52" i="7"/>
  <c r="C108" i="10" s="1"/>
  <c r="O108" i="10" s="1"/>
  <c r="BW52" i="7"/>
  <c r="BU52" i="7"/>
  <c r="BR52" i="5" s="1"/>
  <c r="BT52" i="7"/>
  <c r="BV52" i="7" s="1"/>
  <c r="BR52" i="7"/>
  <c r="BQ52" i="7"/>
  <c r="BS52" i="7" s="1"/>
  <c r="BO52" i="7"/>
  <c r="C113" i="10" s="1"/>
  <c r="J113" i="10" s="1"/>
  <c r="BN52" i="7"/>
  <c r="BL52" i="7"/>
  <c r="BK52" i="7"/>
  <c r="BM52" i="7" s="1"/>
  <c r="BJ52" i="7"/>
  <c r="BH52" i="7"/>
  <c r="BG52" i="7"/>
  <c r="BF52" i="7"/>
  <c r="C115" i="10" s="1"/>
  <c r="BE52" i="7"/>
  <c r="BC52" i="7"/>
  <c r="C114" i="10" s="1"/>
  <c r="J114" i="10" s="1"/>
  <c r="BB52" i="7"/>
  <c r="BD52" i="7" s="1"/>
  <c r="BA52" i="7"/>
  <c r="AZ52" i="7"/>
  <c r="AY52" i="7"/>
  <c r="AW52" i="7"/>
  <c r="AV52" i="7"/>
  <c r="AU52" i="7"/>
  <c r="AT52" i="7"/>
  <c r="C106" i="10" s="1"/>
  <c r="AS52" i="7"/>
  <c r="AQ52" i="7"/>
  <c r="C105" i="10" s="1"/>
  <c r="O105" i="10" s="1"/>
  <c r="AP52" i="7"/>
  <c r="AR52" i="7" s="1"/>
  <c r="AN52" i="7"/>
  <c r="AM52" i="7"/>
  <c r="AJ52" i="7"/>
  <c r="AK52" i="7" s="1"/>
  <c r="AG52" i="7"/>
  <c r="AH52" i="7" s="1"/>
  <c r="AE52" i="7"/>
  <c r="AD52" i="7"/>
  <c r="C102" i="10" s="1"/>
  <c r="AC52" i="7"/>
  <c r="AB52" i="7"/>
  <c r="Z52" i="7"/>
  <c r="W52" i="7"/>
  <c r="T52" i="7"/>
  <c r="V52" i="7" s="1"/>
  <c r="Q52" i="7"/>
  <c r="S52" i="7" s="1"/>
  <c r="P52" i="7"/>
  <c r="O52" i="7"/>
  <c r="C97" i="10" s="1"/>
  <c r="N52" i="7"/>
  <c r="L52" i="7"/>
  <c r="C103" i="10" s="1"/>
  <c r="K52" i="7"/>
  <c r="M52" i="7" s="1"/>
  <c r="J52" i="7"/>
  <c r="H52" i="7"/>
  <c r="G52" i="7"/>
  <c r="E52" i="7"/>
  <c r="B52" i="7"/>
  <c r="D52" i="7" s="1"/>
  <c r="CF51" i="7"/>
  <c r="BX51" i="7"/>
  <c r="BW51" i="7"/>
  <c r="BY51" i="7" s="1"/>
  <c r="BU51" i="7"/>
  <c r="BR51" i="5" s="1"/>
  <c r="BS51" i="5" s="1"/>
  <c r="BT51" i="7"/>
  <c r="BV51" i="7" s="1"/>
  <c r="BR51" i="7"/>
  <c r="BQ51" i="7"/>
  <c r="BS51" i="7" s="1"/>
  <c r="BP51" i="7"/>
  <c r="BO51" i="7"/>
  <c r="BN51" i="7"/>
  <c r="BL51" i="7"/>
  <c r="BK51" i="7"/>
  <c r="BH51" i="7"/>
  <c r="BJ51" i="7" s="1"/>
  <c r="BF51" i="7"/>
  <c r="BE51" i="7"/>
  <c r="BG51" i="7" s="1"/>
  <c r="BD51" i="7"/>
  <c r="BC51" i="7"/>
  <c r="BB51" i="7"/>
  <c r="AZ51" i="7"/>
  <c r="AY51" i="7"/>
  <c r="BA51" i="7" s="1"/>
  <c r="AX51" i="7"/>
  <c r="AW51" i="7"/>
  <c r="AV51" i="7"/>
  <c r="AT51" i="7"/>
  <c r="AS51" i="7"/>
  <c r="AU51" i="7" s="1"/>
  <c r="AR51" i="7"/>
  <c r="AQ51" i="7"/>
  <c r="AP51" i="7"/>
  <c r="AN51" i="7"/>
  <c r="AM51" i="7"/>
  <c r="AK51" i="7"/>
  <c r="AJ51" i="7"/>
  <c r="AG51" i="7"/>
  <c r="AH51" i="7" s="1"/>
  <c r="AD51" i="7"/>
  <c r="AC51" i="7"/>
  <c r="AE51" i="7" s="1"/>
  <c r="AB51" i="7"/>
  <c r="Z51" i="7"/>
  <c r="W51" i="7"/>
  <c r="T51" i="7"/>
  <c r="V51" i="7" s="1"/>
  <c r="Q51" i="7"/>
  <c r="S51" i="7" s="1"/>
  <c r="O51" i="7"/>
  <c r="N51" i="7"/>
  <c r="P51" i="7" s="1"/>
  <c r="M51" i="7"/>
  <c r="L51" i="7"/>
  <c r="K51" i="7"/>
  <c r="J51" i="7"/>
  <c r="H51" i="7"/>
  <c r="E51" i="7"/>
  <c r="G51" i="7" s="1"/>
  <c r="B51" i="7"/>
  <c r="D51" i="7" s="1"/>
  <c r="CF50" i="7"/>
  <c r="BY50" i="7"/>
  <c r="BX50" i="7"/>
  <c r="BW50" i="7"/>
  <c r="BU50" i="7"/>
  <c r="BR50" i="5" s="1"/>
  <c r="BT50" i="7"/>
  <c r="BV50" i="7" s="1"/>
  <c r="BR50" i="7"/>
  <c r="BQ50" i="7"/>
  <c r="BS50" i="7" s="1"/>
  <c r="BO50" i="7"/>
  <c r="BN50" i="7"/>
  <c r="BP50" i="7" s="1"/>
  <c r="BM50" i="7"/>
  <c r="BL50" i="7"/>
  <c r="BK50" i="7"/>
  <c r="BH50" i="7"/>
  <c r="BJ50" i="7" s="1"/>
  <c r="BF50" i="7"/>
  <c r="BE50" i="7"/>
  <c r="BG50" i="7" s="1"/>
  <c r="BC50" i="7"/>
  <c r="BB50" i="7"/>
  <c r="BA50" i="7"/>
  <c r="AZ50" i="7"/>
  <c r="AY50" i="7"/>
  <c r="AW50" i="7"/>
  <c r="AV50" i="7"/>
  <c r="AX50" i="7" s="1"/>
  <c r="AT50" i="7"/>
  <c r="AQ50" i="5" s="1"/>
  <c r="AS50" i="7"/>
  <c r="AU50" i="7" s="1"/>
  <c r="AQ50" i="7"/>
  <c r="AN50" i="5" s="1"/>
  <c r="AP50" i="7"/>
  <c r="AR50" i="7" s="1"/>
  <c r="AN50" i="7"/>
  <c r="AM50" i="7"/>
  <c r="AJ50" i="7"/>
  <c r="AK50" i="7" s="1"/>
  <c r="AG50" i="7"/>
  <c r="AH50" i="7" s="1"/>
  <c r="AE50" i="7"/>
  <c r="AD50" i="7"/>
  <c r="AC50" i="7"/>
  <c r="Z50" i="7"/>
  <c r="W50" i="7"/>
  <c r="V50" i="7"/>
  <c r="T50" i="7"/>
  <c r="Q50" i="7"/>
  <c r="S50" i="7" s="1"/>
  <c r="P50" i="7"/>
  <c r="O50" i="7"/>
  <c r="O50" i="5" s="1"/>
  <c r="N50" i="7"/>
  <c r="L50" i="7"/>
  <c r="K50" i="7"/>
  <c r="M50" i="7" s="1"/>
  <c r="H50" i="7"/>
  <c r="J50" i="7" s="1"/>
  <c r="G50" i="7"/>
  <c r="E50" i="7"/>
  <c r="B50" i="7"/>
  <c r="D50" i="7" s="1"/>
  <c r="CF49" i="7"/>
  <c r="BX49" i="7"/>
  <c r="BY49" i="7" s="1"/>
  <c r="BW49" i="7"/>
  <c r="BU49" i="7"/>
  <c r="BV49" i="7" s="1"/>
  <c r="BT49" i="7"/>
  <c r="BR49" i="7"/>
  <c r="BQ49" i="7"/>
  <c r="BS49" i="7" s="1"/>
  <c r="BO49" i="7"/>
  <c r="BN49" i="7"/>
  <c r="BP49" i="7" s="1"/>
  <c r="BM49" i="7"/>
  <c r="BL49" i="7"/>
  <c r="BK49" i="7"/>
  <c r="BH49" i="7"/>
  <c r="BJ49" i="7" s="1"/>
  <c r="BF49" i="7"/>
  <c r="BC49" i="5" s="1"/>
  <c r="BE49" i="7"/>
  <c r="BG49" i="7" s="1"/>
  <c r="BC49" i="7"/>
  <c r="BB49" i="7"/>
  <c r="BD49" i="7" s="1"/>
  <c r="AZ49" i="7"/>
  <c r="AY49" i="7"/>
  <c r="BA49" i="7" s="1"/>
  <c r="AW49" i="7"/>
  <c r="AV49" i="7"/>
  <c r="AX49" i="7" s="1"/>
  <c r="AT49" i="7"/>
  <c r="AQ49" i="5" s="1"/>
  <c r="AS49" i="7"/>
  <c r="AQ49" i="7"/>
  <c r="AR49" i="7" s="1"/>
  <c r="AP49" i="7"/>
  <c r="AM49" i="7"/>
  <c r="AN49" i="7" s="1"/>
  <c r="AK49" i="7"/>
  <c r="AJ49" i="7"/>
  <c r="AG49" i="7"/>
  <c r="AH49" i="7" s="1"/>
  <c r="AD49" i="7"/>
  <c r="AC49" i="7"/>
  <c r="AE49" i="7" s="1"/>
  <c r="Z49" i="7"/>
  <c r="W49" i="7"/>
  <c r="V49" i="7"/>
  <c r="T49" i="7"/>
  <c r="S49" i="7"/>
  <c r="Q49" i="7"/>
  <c r="O49" i="7"/>
  <c r="N49" i="7"/>
  <c r="M49" i="7"/>
  <c r="L49" i="7"/>
  <c r="K49" i="7"/>
  <c r="J49" i="7"/>
  <c r="H49" i="7"/>
  <c r="G49" i="7"/>
  <c r="E49" i="7"/>
  <c r="D49" i="7"/>
  <c r="B49" i="7"/>
  <c r="CF48" i="7"/>
  <c r="BY48" i="7"/>
  <c r="BX48" i="7"/>
  <c r="BW48" i="7"/>
  <c r="BV48" i="7"/>
  <c r="BU48" i="7"/>
  <c r="BT48" i="7"/>
  <c r="BR48" i="7"/>
  <c r="BQ48" i="7"/>
  <c r="BS48" i="7" s="1"/>
  <c r="BO48" i="7"/>
  <c r="BL48" i="5" s="1"/>
  <c r="BN48" i="7"/>
  <c r="BM48" i="7"/>
  <c r="BL48" i="7"/>
  <c r="BK48" i="7"/>
  <c r="BJ48" i="7"/>
  <c r="BH48" i="7"/>
  <c r="BF48" i="7"/>
  <c r="BG48" i="7" s="1"/>
  <c r="BE48" i="7"/>
  <c r="BD48" i="7"/>
  <c r="BC48" i="7"/>
  <c r="BB48" i="7"/>
  <c r="BA48" i="7"/>
  <c r="AZ48" i="7"/>
  <c r="AY48" i="7"/>
  <c r="AX48" i="7"/>
  <c r="AW48" i="7"/>
  <c r="AV48" i="7"/>
  <c r="AT48" i="7"/>
  <c r="AU48" i="7" s="1"/>
  <c r="AS48" i="7"/>
  <c r="AR48" i="7"/>
  <c r="AQ48" i="7"/>
  <c r="AP48" i="7"/>
  <c r="AM48" i="7"/>
  <c r="AN48" i="7" s="1"/>
  <c r="AK48" i="7"/>
  <c r="AJ48" i="7"/>
  <c r="AH48" i="7"/>
  <c r="AG48" i="7"/>
  <c r="AD48" i="7"/>
  <c r="AE48" i="7" s="1"/>
  <c r="AC48" i="7"/>
  <c r="AA48" i="7"/>
  <c r="Z48" i="7"/>
  <c r="W48" i="7"/>
  <c r="V48" i="7"/>
  <c r="T48" i="7"/>
  <c r="Q48" i="7"/>
  <c r="S48" i="7" s="1"/>
  <c r="O48" i="7"/>
  <c r="N48" i="7"/>
  <c r="P48" i="7" s="1"/>
  <c r="L48" i="7"/>
  <c r="K48" i="7"/>
  <c r="M48" i="7" s="1"/>
  <c r="H48" i="7"/>
  <c r="J48" i="7" s="1"/>
  <c r="G48" i="7"/>
  <c r="E48" i="7"/>
  <c r="B48" i="7"/>
  <c r="D48" i="7" s="1"/>
  <c r="CF47" i="7"/>
  <c r="BX47" i="7"/>
  <c r="BW47" i="7"/>
  <c r="BY47" i="7" s="1"/>
  <c r="BU47" i="7"/>
  <c r="BT47" i="7"/>
  <c r="BV47" i="7" s="1"/>
  <c r="BR47" i="7"/>
  <c r="BQ47" i="7"/>
  <c r="BS47" i="7" s="1"/>
  <c r="BO47" i="7"/>
  <c r="BL47" i="5" s="1"/>
  <c r="BM47" i="5" s="1"/>
  <c r="BN47" i="7"/>
  <c r="BP47" i="7" s="1"/>
  <c r="BM47" i="7"/>
  <c r="BL47" i="7"/>
  <c r="BI47" i="5" s="1"/>
  <c r="BK47" i="7"/>
  <c r="BH47" i="7"/>
  <c r="BJ47" i="7" s="1"/>
  <c r="BG47" i="7"/>
  <c r="BF47" i="7"/>
  <c r="BE47" i="7"/>
  <c r="BC47" i="7"/>
  <c r="BB47" i="7"/>
  <c r="BD47" i="7" s="1"/>
  <c r="AZ47" i="7"/>
  <c r="AW47" i="5" s="1"/>
  <c r="AY47" i="7"/>
  <c r="AX47" i="7"/>
  <c r="AW47" i="7"/>
  <c r="AV47" i="7"/>
  <c r="AU47" i="7"/>
  <c r="AT47" i="7"/>
  <c r="AS47" i="7"/>
  <c r="AQ47" i="7"/>
  <c r="AP47" i="7"/>
  <c r="AR47" i="7" s="1"/>
  <c r="AM47" i="7"/>
  <c r="AN47" i="7" s="1"/>
  <c r="AJ47" i="7"/>
  <c r="AK47" i="7" s="1"/>
  <c r="AH47" i="7"/>
  <c r="AG47" i="7"/>
  <c r="AE47" i="7"/>
  <c r="AD47" i="7"/>
  <c r="AC47" i="7"/>
  <c r="Z47" i="7"/>
  <c r="W47" i="7"/>
  <c r="T47" i="7"/>
  <c r="V47" i="7" s="1"/>
  <c r="Q47" i="7"/>
  <c r="S47" i="7" s="1"/>
  <c r="O47" i="7"/>
  <c r="N47" i="7"/>
  <c r="P47" i="7" s="1"/>
  <c r="L47" i="7"/>
  <c r="K47" i="7"/>
  <c r="M47" i="7" s="1"/>
  <c r="H47" i="7"/>
  <c r="J47" i="7" s="1"/>
  <c r="E47" i="7"/>
  <c r="G47" i="7" s="1"/>
  <c r="B47" i="7"/>
  <c r="D47" i="7" s="1"/>
  <c r="CF46" i="7"/>
  <c r="BY46" i="7"/>
  <c r="BX46" i="7"/>
  <c r="BW46" i="7"/>
  <c r="BU46" i="7"/>
  <c r="BT46" i="7"/>
  <c r="BR46" i="7"/>
  <c r="BO46" i="5" s="1"/>
  <c r="BQ46" i="7"/>
  <c r="BO46" i="7"/>
  <c r="BP46" i="7" s="1"/>
  <c r="BN46" i="7"/>
  <c r="BL46" i="7"/>
  <c r="BM46" i="7" s="1"/>
  <c r="BK46" i="7"/>
  <c r="BH46" i="7"/>
  <c r="BJ46" i="7" s="1"/>
  <c r="BG46" i="7"/>
  <c r="BF46" i="7"/>
  <c r="BC46" i="5" s="1"/>
  <c r="BE46" i="7"/>
  <c r="BC46" i="7"/>
  <c r="BB46" i="7"/>
  <c r="BD46" i="7" s="1"/>
  <c r="AZ46" i="7"/>
  <c r="AY46" i="7"/>
  <c r="BA46" i="7" s="1"/>
  <c r="AW46" i="7"/>
  <c r="AT46" i="4" s="1"/>
  <c r="AV46" i="7"/>
  <c r="AT46" i="7"/>
  <c r="AS46" i="7"/>
  <c r="AU46" i="7" s="1"/>
  <c r="AQ46" i="7"/>
  <c r="AP46" i="7"/>
  <c r="AR46" i="7" s="1"/>
  <c r="AM46" i="7"/>
  <c r="AN46" i="7" s="1"/>
  <c r="AJ46" i="7"/>
  <c r="AK46" i="7" s="1"/>
  <c r="AG46" i="7"/>
  <c r="AH46" i="7" s="1"/>
  <c r="AE46" i="7"/>
  <c r="AD46" i="7"/>
  <c r="AC46" i="7"/>
  <c r="Z46" i="7"/>
  <c r="X46" i="7"/>
  <c r="X46" i="5" s="1"/>
  <c r="Y46" i="5" s="1"/>
  <c r="W46" i="7"/>
  <c r="Y46" i="7" s="1"/>
  <c r="V46" i="7"/>
  <c r="T46" i="7"/>
  <c r="Q46" i="7"/>
  <c r="S46" i="7" s="1"/>
  <c r="P46" i="7"/>
  <c r="O46" i="7"/>
  <c r="N46" i="7"/>
  <c r="M46" i="7"/>
  <c r="L46" i="7"/>
  <c r="K46" i="7"/>
  <c r="H46" i="7"/>
  <c r="J46" i="7" s="1"/>
  <c r="G46" i="7"/>
  <c r="E46" i="7"/>
  <c r="B46" i="7"/>
  <c r="D46" i="7" s="1"/>
  <c r="CF45" i="7"/>
  <c r="CF53" i="7" s="1"/>
  <c r="BX45" i="7"/>
  <c r="BW45" i="7"/>
  <c r="BY45" i="7" s="1"/>
  <c r="BU45" i="7"/>
  <c r="BT45" i="7"/>
  <c r="BV45" i="7" s="1"/>
  <c r="BR45" i="7"/>
  <c r="BS45" i="7" s="1"/>
  <c r="BQ45" i="7"/>
  <c r="BP45" i="7"/>
  <c r="BO45" i="7"/>
  <c r="BN45" i="7"/>
  <c r="BL45" i="7"/>
  <c r="BK45" i="7"/>
  <c r="BJ45" i="7"/>
  <c r="BH45" i="7"/>
  <c r="BF45" i="7"/>
  <c r="BE45" i="7"/>
  <c r="BG45" i="7" s="1"/>
  <c r="BC45" i="7"/>
  <c r="AZ45" i="5" s="1"/>
  <c r="BB45" i="7"/>
  <c r="BA45" i="7"/>
  <c r="AZ45" i="7"/>
  <c r="AY45" i="7"/>
  <c r="AX45" i="7"/>
  <c r="AW45" i="7"/>
  <c r="AV45" i="7"/>
  <c r="AT45" i="7"/>
  <c r="AS45" i="7"/>
  <c r="AU45" i="7" s="1"/>
  <c r="AQ45" i="7"/>
  <c r="AN45" i="5" s="1"/>
  <c r="AP45" i="7"/>
  <c r="AN45" i="7"/>
  <c r="AM45" i="7"/>
  <c r="AJ45" i="7"/>
  <c r="AK45" i="7" s="1"/>
  <c r="AH45" i="7"/>
  <c r="AG45" i="7"/>
  <c r="AD45" i="7"/>
  <c r="AC45" i="7"/>
  <c r="AE45" i="7" s="1"/>
  <c r="AA45" i="7"/>
  <c r="Z45" i="7"/>
  <c r="W45" i="7"/>
  <c r="V45" i="7"/>
  <c r="T45" i="7"/>
  <c r="S45" i="7"/>
  <c r="Q45" i="7"/>
  <c r="O45" i="7"/>
  <c r="N45" i="7"/>
  <c r="P45" i="7" s="1"/>
  <c r="M45" i="7"/>
  <c r="L45" i="7"/>
  <c r="K45" i="7"/>
  <c r="J45" i="7"/>
  <c r="H45" i="7"/>
  <c r="E45" i="7"/>
  <c r="D45" i="7"/>
  <c r="B45" i="7"/>
  <c r="CF44" i="7"/>
  <c r="BX44" i="7"/>
  <c r="BW44" i="7"/>
  <c r="BY44" i="7" s="1"/>
  <c r="BU44" i="7"/>
  <c r="BT44" i="7"/>
  <c r="BR44" i="7"/>
  <c r="BQ44" i="7"/>
  <c r="BP44" i="7"/>
  <c r="BO44" i="7"/>
  <c r="BN44" i="7"/>
  <c r="BL44" i="7"/>
  <c r="BK44" i="7"/>
  <c r="BM44" i="7" s="1"/>
  <c r="BH44" i="7"/>
  <c r="BJ44" i="7" s="1"/>
  <c r="BG44" i="7"/>
  <c r="BF44" i="7"/>
  <c r="BE44" i="7"/>
  <c r="BC44" i="7"/>
  <c r="BB44" i="7"/>
  <c r="BD44" i="7" s="1"/>
  <c r="BA44" i="7"/>
  <c r="AZ44" i="7"/>
  <c r="AY44" i="7"/>
  <c r="AW44" i="7"/>
  <c r="AV44" i="7"/>
  <c r="AX44" i="7" s="1"/>
  <c r="AT44" i="7"/>
  <c r="AS44" i="7"/>
  <c r="AQ44" i="7"/>
  <c r="AP44" i="7"/>
  <c r="AR44" i="7" s="1"/>
  <c r="AN44" i="7"/>
  <c r="AM44" i="7"/>
  <c r="AK44" i="7"/>
  <c r="AJ44" i="7"/>
  <c r="AG44" i="7"/>
  <c r="AH44" i="7" s="1"/>
  <c r="AD44" i="7"/>
  <c r="AC44" i="7"/>
  <c r="AE44" i="7" s="1"/>
  <c r="AB44" i="7"/>
  <c r="AA44" i="7"/>
  <c r="Z44" i="7"/>
  <c r="Y44" i="7"/>
  <c r="W44" i="7"/>
  <c r="V44" i="7"/>
  <c r="T44" i="7"/>
  <c r="Q44" i="7"/>
  <c r="S44" i="7" s="1"/>
  <c r="O44" i="7"/>
  <c r="O44" i="5" s="1"/>
  <c r="N44" i="7"/>
  <c r="P44" i="7" s="1"/>
  <c r="L44" i="7"/>
  <c r="L44" i="5" s="1"/>
  <c r="M44" i="5" s="1"/>
  <c r="K44" i="7"/>
  <c r="M44" i="7" s="1"/>
  <c r="H44" i="7"/>
  <c r="J44" i="7" s="1"/>
  <c r="G44" i="7"/>
  <c r="E44" i="7"/>
  <c r="D44" i="7"/>
  <c r="B44" i="7"/>
  <c r="CF43" i="7"/>
  <c r="BX43" i="7"/>
  <c r="BU43" i="5" s="1"/>
  <c r="BW43" i="7"/>
  <c r="BW53" i="7" s="1"/>
  <c r="E108" i="10" s="1"/>
  <c r="BV43" i="7"/>
  <c r="BU43" i="7"/>
  <c r="BT43" i="7"/>
  <c r="BR43" i="7"/>
  <c r="BQ43" i="7"/>
  <c r="BS43" i="7" s="1"/>
  <c r="BO43" i="7"/>
  <c r="BN43" i="7"/>
  <c r="BM43" i="7"/>
  <c r="BL43" i="7"/>
  <c r="BI43" i="5" s="1"/>
  <c r="BK43" i="7"/>
  <c r="BJ43" i="7"/>
  <c r="BH43" i="7"/>
  <c r="BF43" i="7"/>
  <c r="BE43" i="7"/>
  <c r="BC43" i="7"/>
  <c r="BB43" i="7"/>
  <c r="AZ43" i="7"/>
  <c r="AY43" i="7"/>
  <c r="BA43" i="7" s="1"/>
  <c r="AW43" i="7"/>
  <c r="AV43" i="7"/>
  <c r="AX43" i="7" s="1"/>
  <c r="AT43" i="7"/>
  <c r="AS43" i="7"/>
  <c r="AR43" i="7"/>
  <c r="AQ43" i="7"/>
  <c r="AP43" i="7"/>
  <c r="AM43" i="7"/>
  <c r="AN43" i="7" s="1"/>
  <c r="AK43" i="7"/>
  <c r="AJ43" i="7"/>
  <c r="AH43" i="7"/>
  <c r="AG43" i="7"/>
  <c r="AD43" i="7"/>
  <c r="AC43" i="7"/>
  <c r="AB43" i="7"/>
  <c r="AA43" i="7"/>
  <c r="Z43" i="7"/>
  <c r="X43" i="7"/>
  <c r="X44" i="7" s="1"/>
  <c r="X45" i="7" s="1"/>
  <c r="Y45" i="7" s="1"/>
  <c r="W43" i="7"/>
  <c r="Y43" i="7" s="1"/>
  <c r="T43" i="7"/>
  <c r="V43" i="7" s="1"/>
  <c r="S43" i="7"/>
  <c r="Q43" i="7"/>
  <c r="O43" i="7"/>
  <c r="O43" i="5" s="1"/>
  <c r="N43" i="7"/>
  <c r="L43" i="7"/>
  <c r="M43" i="7" s="1"/>
  <c r="M53" i="7" s="1"/>
  <c r="F103" i="10" s="1"/>
  <c r="K43" i="7"/>
  <c r="H43" i="7"/>
  <c r="J43" i="7" s="1"/>
  <c r="E43" i="7"/>
  <c r="G43" i="7" s="1"/>
  <c r="D43" i="7"/>
  <c r="B43" i="7"/>
  <c r="BE41" i="7"/>
  <c r="B41" i="7"/>
  <c r="AL38" i="7"/>
  <c r="AI38" i="7"/>
  <c r="AF38" i="7"/>
  <c r="K38" i="7"/>
  <c r="E74" i="10" s="1"/>
  <c r="B38" i="7"/>
  <c r="E88" i="10" s="1"/>
  <c r="CF37" i="7"/>
  <c r="BX37" i="7"/>
  <c r="BU37" i="4" s="1"/>
  <c r="BW37" i="7"/>
  <c r="BY37" i="7" s="1"/>
  <c r="BV37" i="7"/>
  <c r="BU37" i="7"/>
  <c r="C78" i="10" s="1"/>
  <c r="J78" i="10" s="1"/>
  <c r="BT37" i="7"/>
  <c r="BR37" i="7"/>
  <c r="C83" i="10" s="1"/>
  <c r="BQ37" i="7"/>
  <c r="BS37" i="7" s="1"/>
  <c r="BO37" i="7"/>
  <c r="BP37" i="7" s="1"/>
  <c r="BN37" i="7"/>
  <c r="BL37" i="7"/>
  <c r="C82" i="10" s="1"/>
  <c r="BK37" i="7"/>
  <c r="BM37" i="7" s="1"/>
  <c r="BJ37" i="7"/>
  <c r="BH37" i="7"/>
  <c r="BG37" i="7"/>
  <c r="BF37" i="7"/>
  <c r="C86" i="10" s="1"/>
  <c r="J86" i="10" s="1"/>
  <c r="BE37" i="7"/>
  <c r="BC37" i="7"/>
  <c r="BB37" i="7"/>
  <c r="BD37" i="7" s="1"/>
  <c r="AZ37" i="7"/>
  <c r="C81" i="10" s="1"/>
  <c r="AY37" i="7"/>
  <c r="BA37" i="7" s="1"/>
  <c r="AV37" i="7"/>
  <c r="AX37" i="7" s="1"/>
  <c r="AT37" i="7"/>
  <c r="AU37" i="7" s="1"/>
  <c r="AS37" i="7"/>
  <c r="AQ37" i="7"/>
  <c r="C76" i="10" s="1"/>
  <c r="O76" i="10" s="1"/>
  <c r="AP37" i="7"/>
  <c r="AM37" i="7"/>
  <c r="AN37" i="7" s="1"/>
  <c r="AK37" i="7"/>
  <c r="AJ37" i="7"/>
  <c r="AG37" i="7"/>
  <c r="AH37" i="7" s="1"/>
  <c r="AC37" i="7"/>
  <c r="AE37" i="7" s="1"/>
  <c r="AA37" i="7"/>
  <c r="Z37" i="7"/>
  <c r="AB37" i="7" s="1"/>
  <c r="W37" i="7"/>
  <c r="Y37" i="7" s="1"/>
  <c r="V37" i="7"/>
  <c r="T37" i="7"/>
  <c r="Q37" i="7"/>
  <c r="S37" i="7" s="1"/>
  <c r="P37" i="7"/>
  <c r="O37" i="7"/>
  <c r="C68" i="10" s="1"/>
  <c r="O68" i="10" s="1"/>
  <c r="N37" i="7"/>
  <c r="L37" i="7"/>
  <c r="C74" i="10" s="1"/>
  <c r="K37" i="7"/>
  <c r="M37" i="7" s="1"/>
  <c r="H37" i="7"/>
  <c r="J37" i="7" s="1"/>
  <c r="G37" i="7"/>
  <c r="E37" i="7"/>
  <c r="D37" i="7"/>
  <c r="B37" i="7"/>
  <c r="CF36" i="7"/>
  <c r="BX36" i="7"/>
  <c r="BW36" i="7"/>
  <c r="BY36" i="7" s="1"/>
  <c r="BU36" i="7"/>
  <c r="BR36" i="5" s="1"/>
  <c r="BT36" i="7"/>
  <c r="BV36" i="7" s="1"/>
  <c r="BR36" i="7"/>
  <c r="BQ36" i="7"/>
  <c r="BS36" i="7" s="1"/>
  <c r="BP36" i="7"/>
  <c r="BO36" i="7"/>
  <c r="BN36" i="7"/>
  <c r="BL36" i="7"/>
  <c r="BK36" i="7"/>
  <c r="BM36" i="7" s="1"/>
  <c r="BH36" i="7"/>
  <c r="BJ36" i="7" s="1"/>
  <c r="BF36" i="7"/>
  <c r="BE36" i="7"/>
  <c r="BG36" i="7" s="1"/>
  <c r="BC36" i="7"/>
  <c r="BB36" i="7"/>
  <c r="BA36" i="7"/>
  <c r="AZ36" i="7"/>
  <c r="AY36" i="7"/>
  <c r="AV36" i="7"/>
  <c r="AX36" i="7" s="1"/>
  <c r="AT36" i="7"/>
  <c r="AS36" i="7"/>
  <c r="AU36" i="7" s="1"/>
  <c r="AQ36" i="7"/>
  <c r="AN36" i="4" s="1"/>
  <c r="AP36" i="7"/>
  <c r="AR36" i="7" s="1"/>
  <c r="AM36" i="7"/>
  <c r="AN36" i="7" s="1"/>
  <c r="AK36" i="7"/>
  <c r="AJ36" i="7"/>
  <c r="AH36" i="7"/>
  <c r="AG36" i="7"/>
  <c r="AC36" i="7"/>
  <c r="AE36" i="7" s="1"/>
  <c r="AA36" i="7"/>
  <c r="Z36" i="7"/>
  <c r="AB36" i="7" s="1"/>
  <c r="Y36" i="7"/>
  <c r="W36" i="7"/>
  <c r="V36" i="7"/>
  <c r="T36" i="7"/>
  <c r="Q36" i="7"/>
  <c r="S36" i="7" s="1"/>
  <c r="P36" i="7"/>
  <c r="O36" i="7"/>
  <c r="N36" i="7"/>
  <c r="L36" i="7"/>
  <c r="K36" i="7"/>
  <c r="J36" i="7"/>
  <c r="H36" i="7"/>
  <c r="G36" i="7"/>
  <c r="E36" i="7"/>
  <c r="B36" i="7"/>
  <c r="D36" i="7" s="1"/>
  <c r="CF35" i="7"/>
  <c r="BX35" i="7"/>
  <c r="BW35" i="7"/>
  <c r="BY35" i="7" s="1"/>
  <c r="BV35" i="7"/>
  <c r="BU35" i="7"/>
  <c r="BT35" i="7"/>
  <c r="BR35" i="7"/>
  <c r="BQ35" i="7"/>
  <c r="BO35" i="7"/>
  <c r="BL35" i="5" s="1"/>
  <c r="BN35" i="7"/>
  <c r="BP35" i="7" s="1"/>
  <c r="BL35" i="7"/>
  <c r="BK35" i="7"/>
  <c r="BM35" i="7" s="1"/>
  <c r="BJ35" i="7"/>
  <c r="BH35" i="7"/>
  <c r="BG35" i="7"/>
  <c r="BF35" i="7"/>
  <c r="BE35" i="7"/>
  <c r="BC35" i="7"/>
  <c r="AZ35" i="5" s="1"/>
  <c r="BB35" i="7"/>
  <c r="BD35" i="7" s="1"/>
  <c r="BA35" i="7"/>
  <c r="AZ35" i="7"/>
  <c r="AY35" i="7"/>
  <c r="AV35" i="7"/>
  <c r="AX35" i="7" s="1"/>
  <c r="AT35" i="7"/>
  <c r="AU35" i="7" s="1"/>
  <c r="AS35" i="7"/>
  <c r="AQ35" i="7"/>
  <c r="AP35" i="7"/>
  <c r="AM35" i="7"/>
  <c r="AN35" i="7" s="1"/>
  <c r="AJ35" i="7"/>
  <c r="AK35" i="7" s="1"/>
  <c r="AG35" i="7"/>
  <c r="AH35" i="7" s="1"/>
  <c r="AC35" i="7"/>
  <c r="AE35" i="7" s="1"/>
  <c r="AA35" i="7"/>
  <c r="Z35" i="7"/>
  <c r="AB35" i="7" s="1"/>
  <c r="W35" i="7"/>
  <c r="Y35" i="7" s="1"/>
  <c r="V35" i="7"/>
  <c r="T35" i="7"/>
  <c r="Q35" i="7"/>
  <c r="S35" i="7" s="1"/>
  <c r="P35" i="7"/>
  <c r="O35" i="7"/>
  <c r="N35" i="7"/>
  <c r="L35" i="7"/>
  <c r="K35" i="7"/>
  <c r="M35" i="7" s="1"/>
  <c r="H35" i="7"/>
  <c r="J35" i="7" s="1"/>
  <c r="G35" i="7"/>
  <c r="E35" i="7"/>
  <c r="C35" i="7"/>
  <c r="B35" i="7"/>
  <c r="D35" i="7" s="1"/>
  <c r="CF34" i="7"/>
  <c r="BX34" i="7"/>
  <c r="BW34" i="7"/>
  <c r="BY34" i="7" s="1"/>
  <c r="BU34" i="7"/>
  <c r="BR34" i="5" s="1"/>
  <c r="BT34" i="7"/>
  <c r="BV34" i="7" s="1"/>
  <c r="BR34" i="7"/>
  <c r="BQ34" i="7"/>
  <c r="BS34" i="7" s="1"/>
  <c r="BO34" i="7"/>
  <c r="BP34" i="7" s="1"/>
  <c r="BN34" i="7"/>
  <c r="BL34" i="7"/>
  <c r="BK34" i="7"/>
  <c r="BM34" i="7" s="1"/>
  <c r="BH34" i="7"/>
  <c r="BJ34" i="7" s="1"/>
  <c r="BF34" i="7"/>
  <c r="BE34" i="7"/>
  <c r="BG34" i="7" s="1"/>
  <c r="BD34" i="7"/>
  <c r="BC34" i="7"/>
  <c r="BB34" i="7"/>
  <c r="AZ34" i="7"/>
  <c r="AY34" i="7"/>
  <c r="BA34" i="7" s="1"/>
  <c r="AX34" i="7"/>
  <c r="AV34" i="7"/>
  <c r="AT34" i="7"/>
  <c r="AS34" i="7"/>
  <c r="AU34" i="7" s="1"/>
  <c r="AQ34" i="7"/>
  <c r="AR34" i="7" s="1"/>
  <c r="AP34" i="7"/>
  <c r="AN34" i="7"/>
  <c r="AM34" i="7"/>
  <c r="AJ34" i="7"/>
  <c r="AK34" i="7" s="1"/>
  <c r="AG34" i="7"/>
  <c r="AH34" i="7" s="1"/>
  <c r="AE34" i="7"/>
  <c r="AC34" i="7"/>
  <c r="AA34" i="7"/>
  <c r="Z34" i="7"/>
  <c r="AB34" i="7" s="1"/>
  <c r="W34" i="7"/>
  <c r="Y34" i="7" s="1"/>
  <c r="V34" i="7"/>
  <c r="T34" i="7"/>
  <c r="Q34" i="7"/>
  <c r="Q38" i="7" s="1"/>
  <c r="E69" i="10" s="1"/>
  <c r="O34" i="7"/>
  <c r="O34" i="5" s="1"/>
  <c r="P34" i="5" s="1"/>
  <c r="N34" i="7"/>
  <c r="P34" i="7" s="1"/>
  <c r="L34" i="7"/>
  <c r="K34" i="7"/>
  <c r="M34" i="7" s="1"/>
  <c r="H34" i="7"/>
  <c r="J34" i="7" s="1"/>
  <c r="G34" i="7"/>
  <c r="E34" i="7"/>
  <c r="C34" i="7"/>
  <c r="C34" i="5" s="1"/>
  <c r="B34" i="7"/>
  <c r="D34" i="7" s="1"/>
  <c r="CF33" i="7"/>
  <c r="BX33" i="7"/>
  <c r="BY33" i="7" s="1"/>
  <c r="BW33" i="7"/>
  <c r="BV33" i="7"/>
  <c r="BU33" i="7"/>
  <c r="BT33" i="7"/>
  <c r="BR33" i="7"/>
  <c r="BQ33" i="7"/>
  <c r="BO33" i="7"/>
  <c r="BL33" i="5" s="1"/>
  <c r="BN33" i="7"/>
  <c r="BL33" i="7"/>
  <c r="BM33" i="7" s="1"/>
  <c r="BK33" i="7"/>
  <c r="BJ33" i="7"/>
  <c r="BH33" i="7"/>
  <c r="BF33" i="7"/>
  <c r="BE33" i="7"/>
  <c r="BG33" i="7" s="1"/>
  <c r="BC33" i="7"/>
  <c r="BB33" i="7"/>
  <c r="AZ33" i="7"/>
  <c r="AW33" i="5" s="1"/>
  <c r="AY33" i="7"/>
  <c r="AV33" i="7"/>
  <c r="AX33" i="7" s="1"/>
  <c r="AT33" i="7"/>
  <c r="AS33" i="7"/>
  <c r="AU33" i="7" s="1"/>
  <c r="AQ33" i="7"/>
  <c r="AP33" i="7"/>
  <c r="AR33" i="7" s="1"/>
  <c r="AM33" i="7"/>
  <c r="AN33" i="7" s="1"/>
  <c r="AK33" i="7"/>
  <c r="AJ33" i="7"/>
  <c r="AG33" i="7"/>
  <c r="AH33" i="7" s="1"/>
  <c r="AE33" i="7"/>
  <c r="AC33" i="7"/>
  <c r="AA33" i="7"/>
  <c r="Z33" i="7"/>
  <c r="Y33" i="7"/>
  <c r="W33" i="7"/>
  <c r="T33" i="7"/>
  <c r="V33" i="7" s="1"/>
  <c r="S33" i="7"/>
  <c r="Q33" i="7"/>
  <c r="P33" i="7"/>
  <c r="O33" i="7"/>
  <c r="N33" i="7"/>
  <c r="L33" i="7"/>
  <c r="K33" i="7"/>
  <c r="J33" i="7"/>
  <c r="H33" i="7"/>
  <c r="E33" i="7"/>
  <c r="G33" i="7" s="1"/>
  <c r="D33" i="7"/>
  <c r="C33" i="7"/>
  <c r="B33" i="7"/>
  <c r="CF32" i="7"/>
  <c r="BX32" i="7"/>
  <c r="BU32" i="4" s="1"/>
  <c r="BW32" i="7"/>
  <c r="BU32" i="7"/>
  <c r="BR32" i="5" s="1"/>
  <c r="BT32" i="7"/>
  <c r="BS32" i="7"/>
  <c r="BR32" i="7"/>
  <c r="BQ32" i="7"/>
  <c r="BO32" i="7"/>
  <c r="BN32" i="7"/>
  <c r="BP32" i="7" s="1"/>
  <c r="BL32" i="7"/>
  <c r="BK32" i="7"/>
  <c r="BM32" i="7" s="1"/>
  <c r="BJ32" i="7"/>
  <c r="BH32" i="7"/>
  <c r="BF32" i="7"/>
  <c r="BC32" i="5" s="1"/>
  <c r="BD32" i="5" s="1"/>
  <c r="BE32" i="7"/>
  <c r="BD32" i="7"/>
  <c r="BC32" i="7"/>
  <c r="BB32" i="7"/>
  <c r="AZ32" i="7"/>
  <c r="AY32" i="7"/>
  <c r="BA32" i="7" s="1"/>
  <c r="AV32" i="7"/>
  <c r="AX32" i="7" s="1"/>
  <c r="AX38" i="7" s="1"/>
  <c r="F80" i="10" s="1"/>
  <c r="AU32" i="7"/>
  <c r="AT32" i="7"/>
  <c r="AQ32" i="5" s="1"/>
  <c r="AR32" i="5" s="1"/>
  <c r="AS32" i="7"/>
  <c r="AQ32" i="7"/>
  <c r="AR32" i="7" s="1"/>
  <c r="AP32" i="7"/>
  <c r="AM32" i="7"/>
  <c r="AN32" i="7" s="1"/>
  <c r="AK32" i="7"/>
  <c r="AJ32" i="7"/>
  <c r="AG32" i="7"/>
  <c r="AH32" i="7" s="1"/>
  <c r="AC32" i="7"/>
  <c r="AE32" i="7" s="1"/>
  <c r="AB32" i="7"/>
  <c r="AA32" i="7"/>
  <c r="Z32" i="7"/>
  <c r="Y32" i="7"/>
  <c r="W32" i="7"/>
  <c r="V32" i="7"/>
  <c r="T32" i="7"/>
  <c r="Q32" i="7"/>
  <c r="S32" i="7" s="1"/>
  <c r="O32" i="7"/>
  <c r="N32" i="7"/>
  <c r="M32" i="7"/>
  <c r="L32" i="7"/>
  <c r="K32" i="7"/>
  <c r="J32" i="7"/>
  <c r="H32" i="7"/>
  <c r="E32" i="7"/>
  <c r="G32" i="7" s="1"/>
  <c r="C32" i="7"/>
  <c r="B32" i="7"/>
  <c r="D32" i="7" s="1"/>
  <c r="CF31" i="7"/>
  <c r="BX31" i="7"/>
  <c r="BY31" i="7" s="1"/>
  <c r="BW31" i="7"/>
  <c r="BU31" i="7"/>
  <c r="BR31" i="4" s="1"/>
  <c r="BT31" i="7"/>
  <c r="BR31" i="7"/>
  <c r="BQ31" i="7"/>
  <c r="BO31" i="7"/>
  <c r="BN31" i="7"/>
  <c r="BP31" i="7" s="1"/>
  <c r="BL31" i="7"/>
  <c r="BM31" i="7" s="1"/>
  <c r="BK31" i="7"/>
  <c r="BH31" i="7"/>
  <c r="BF31" i="7"/>
  <c r="BC31" i="5" s="1"/>
  <c r="BD31" i="5" s="1"/>
  <c r="BD38" i="5" s="1"/>
  <c r="H86" i="10" s="1"/>
  <c r="BE31" i="7"/>
  <c r="BE38" i="7" s="1"/>
  <c r="E86" i="10" s="1"/>
  <c r="BC31" i="7"/>
  <c r="BB31" i="7"/>
  <c r="BB38" i="7" s="1"/>
  <c r="E85" i="10" s="1"/>
  <c r="BA31" i="7"/>
  <c r="AZ31" i="7"/>
  <c r="AY31" i="7"/>
  <c r="AX31" i="7"/>
  <c r="AV31" i="7"/>
  <c r="AT31" i="7"/>
  <c r="AQ31" i="4" s="1"/>
  <c r="AR31" i="4" s="1"/>
  <c r="AS31" i="7"/>
  <c r="AQ31" i="7"/>
  <c r="AN31" i="5" s="1"/>
  <c r="AP31" i="7"/>
  <c r="AP38" i="7" s="1"/>
  <c r="E76" i="10" s="1"/>
  <c r="AM31" i="7"/>
  <c r="AN31" i="7" s="1"/>
  <c r="AN38" i="7" s="1"/>
  <c r="AJ31" i="7"/>
  <c r="AK31" i="7" s="1"/>
  <c r="AH31" i="7"/>
  <c r="AG31" i="7"/>
  <c r="AC31" i="7"/>
  <c r="AA31" i="7"/>
  <c r="AA31" i="4" s="1"/>
  <c r="AB31" i="4" s="1"/>
  <c r="Z31" i="7"/>
  <c r="W31" i="7"/>
  <c r="V31" i="7"/>
  <c r="T31" i="7"/>
  <c r="S31" i="7"/>
  <c r="Q31" i="7"/>
  <c r="O31" i="7"/>
  <c r="N31" i="7"/>
  <c r="L31" i="7"/>
  <c r="K31" i="7"/>
  <c r="M31" i="7" s="1"/>
  <c r="H31" i="7"/>
  <c r="G31" i="7"/>
  <c r="E31" i="7"/>
  <c r="D31" i="7"/>
  <c r="C31" i="7"/>
  <c r="B31" i="7"/>
  <c r="BK29" i="7"/>
  <c r="BK41" i="7" s="1"/>
  <c r="BH29" i="7"/>
  <c r="BH41" i="7" s="1"/>
  <c r="BE29" i="7"/>
  <c r="K29" i="7"/>
  <c r="K41" i="7" s="1"/>
  <c r="B29" i="7"/>
  <c r="BB26" i="7"/>
  <c r="E56" i="10" s="1"/>
  <c r="AL26" i="7"/>
  <c r="AI26" i="7"/>
  <c r="AF26" i="7"/>
  <c r="K26" i="7"/>
  <c r="E45" i="10" s="1"/>
  <c r="CF25" i="7"/>
  <c r="BW25" i="7"/>
  <c r="BY25" i="7" s="1"/>
  <c r="BU25" i="7"/>
  <c r="BV25" i="7" s="1"/>
  <c r="BT25" i="7"/>
  <c r="BS25" i="7"/>
  <c r="BR25" i="7"/>
  <c r="BQ25" i="7"/>
  <c r="BO25" i="7"/>
  <c r="BN25" i="7"/>
  <c r="BP25" i="7" s="1"/>
  <c r="BM25" i="7"/>
  <c r="BL25" i="7"/>
  <c r="BK25" i="7"/>
  <c r="BH25" i="7"/>
  <c r="BJ25" i="7" s="1"/>
  <c r="BF25" i="7"/>
  <c r="BG25" i="7" s="1"/>
  <c r="BE25" i="7"/>
  <c r="BC25" i="7"/>
  <c r="AZ25" i="5" s="1"/>
  <c r="BB25" i="7"/>
  <c r="BD25" i="7" s="1"/>
  <c r="AZ25" i="7"/>
  <c r="AY25" i="7"/>
  <c r="BA25" i="7" s="1"/>
  <c r="AX25" i="7"/>
  <c r="AV25" i="7"/>
  <c r="AU25" i="7"/>
  <c r="AT25" i="7"/>
  <c r="AS25" i="7"/>
  <c r="AQ25" i="7"/>
  <c r="AP25" i="7"/>
  <c r="AR25" i="7" s="1"/>
  <c r="AM25" i="7"/>
  <c r="AN25" i="7" s="1"/>
  <c r="AJ25" i="7"/>
  <c r="AK25" i="7" s="1"/>
  <c r="AH25" i="7"/>
  <c r="AG25" i="7"/>
  <c r="AE25" i="7"/>
  <c r="AD25" i="7"/>
  <c r="AC25" i="7"/>
  <c r="AA25" i="7"/>
  <c r="Z25" i="7"/>
  <c r="AB25" i="7" s="1"/>
  <c r="W25" i="7"/>
  <c r="Y25" i="7" s="1"/>
  <c r="T25" i="7"/>
  <c r="V25" i="7" s="1"/>
  <c r="R25" i="7"/>
  <c r="R25" i="5" s="1"/>
  <c r="S25" i="5" s="1"/>
  <c r="Q25" i="7"/>
  <c r="S25" i="7" s="1"/>
  <c r="O25" i="7"/>
  <c r="P25" i="7" s="1"/>
  <c r="N25" i="7"/>
  <c r="L25" i="7"/>
  <c r="K25" i="7"/>
  <c r="M25" i="7" s="1"/>
  <c r="J25" i="7"/>
  <c r="H25" i="7"/>
  <c r="E25" i="7"/>
  <c r="G25" i="7" s="1"/>
  <c r="C25" i="7"/>
  <c r="C25" i="5" s="1"/>
  <c r="B25" i="7"/>
  <c r="CF24" i="7"/>
  <c r="BX24" i="7"/>
  <c r="BW24" i="7"/>
  <c r="BY24" i="7" s="1"/>
  <c r="BV24" i="7"/>
  <c r="BU24" i="7"/>
  <c r="BT24" i="7"/>
  <c r="BR24" i="7"/>
  <c r="BS24" i="7" s="1"/>
  <c r="BQ24" i="7"/>
  <c r="BP24" i="7"/>
  <c r="BO24" i="7"/>
  <c r="BN24" i="7"/>
  <c r="BL24" i="7"/>
  <c r="BK24" i="7"/>
  <c r="BM24" i="7" s="1"/>
  <c r="BH24" i="7"/>
  <c r="BJ24" i="7" s="1"/>
  <c r="BG24" i="7"/>
  <c r="BF24" i="7"/>
  <c r="BE24" i="7"/>
  <c r="BD24" i="7"/>
  <c r="BC24" i="7"/>
  <c r="BB24" i="7"/>
  <c r="AZ24" i="7"/>
  <c r="AY24" i="7"/>
  <c r="AV24" i="7"/>
  <c r="AX24" i="7" s="1"/>
  <c r="AT24" i="7"/>
  <c r="AQ24" i="5" s="1"/>
  <c r="AR24" i="5" s="1"/>
  <c r="AS24" i="7"/>
  <c r="AU24" i="7" s="1"/>
  <c r="AR24" i="7"/>
  <c r="AQ24" i="7"/>
  <c r="AP24" i="7"/>
  <c r="AM24" i="7"/>
  <c r="AN24" i="7" s="1"/>
  <c r="AK24" i="7"/>
  <c r="AJ24" i="7"/>
  <c r="AH24" i="7"/>
  <c r="AG24" i="7"/>
  <c r="AD24" i="7"/>
  <c r="AC24" i="7"/>
  <c r="AE24" i="7" s="1"/>
  <c r="AB24" i="7"/>
  <c r="AA24" i="7"/>
  <c r="Z24" i="7"/>
  <c r="W24" i="7"/>
  <c r="Y24" i="7" s="1"/>
  <c r="T24" i="7"/>
  <c r="V24" i="7" s="1"/>
  <c r="S24" i="7"/>
  <c r="R24" i="7"/>
  <c r="Q24" i="7"/>
  <c r="O24" i="7"/>
  <c r="O24" i="5" s="1"/>
  <c r="P24" i="5" s="1"/>
  <c r="N24" i="7"/>
  <c r="P24" i="7" s="1"/>
  <c r="L24" i="7"/>
  <c r="M24" i="7" s="1"/>
  <c r="K24" i="7"/>
  <c r="H24" i="7"/>
  <c r="J24" i="7" s="1"/>
  <c r="G24" i="7"/>
  <c r="E24" i="7"/>
  <c r="C24" i="7"/>
  <c r="D24" i="7" s="1"/>
  <c r="B24" i="7"/>
  <c r="CF23" i="7"/>
  <c r="BY23" i="7"/>
  <c r="BX23" i="7"/>
  <c r="BW23" i="7"/>
  <c r="BU23" i="7"/>
  <c r="BR23" i="4" s="1"/>
  <c r="BT23" i="7"/>
  <c r="BV23" i="7" s="1"/>
  <c r="BS23" i="7"/>
  <c r="BR23" i="7"/>
  <c r="BQ23" i="7"/>
  <c r="BP23" i="7"/>
  <c r="BO23" i="7"/>
  <c r="BN23" i="7"/>
  <c r="BM23" i="7"/>
  <c r="BL23" i="7"/>
  <c r="BK23" i="7"/>
  <c r="BH23" i="7"/>
  <c r="BJ23" i="7" s="1"/>
  <c r="BG23" i="7"/>
  <c r="BF23" i="7"/>
  <c r="BE23" i="7"/>
  <c r="BD23" i="7"/>
  <c r="BC23" i="7"/>
  <c r="BB23" i="7"/>
  <c r="AZ23" i="7"/>
  <c r="BA23" i="7" s="1"/>
  <c r="AY23" i="7"/>
  <c r="AV23" i="7"/>
  <c r="AX23" i="7" s="1"/>
  <c r="AT23" i="7"/>
  <c r="AS23" i="7"/>
  <c r="AU23" i="7" s="1"/>
  <c r="AR23" i="7"/>
  <c r="AQ23" i="7"/>
  <c r="AN23" i="5" s="1"/>
  <c r="AP23" i="7"/>
  <c r="AN23" i="7"/>
  <c r="AM23" i="7"/>
  <c r="AK23" i="7"/>
  <c r="AJ23" i="7"/>
  <c r="AG23" i="7"/>
  <c r="AH23" i="7" s="1"/>
  <c r="AD23" i="7"/>
  <c r="AC23" i="7"/>
  <c r="AE23" i="7" s="1"/>
  <c r="AA23" i="7"/>
  <c r="AB23" i="7" s="1"/>
  <c r="Z23" i="7"/>
  <c r="Y23" i="7"/>
  <c r="W23" i="7"/>
  <c r="V23" i="7"/>
  <c r="T23" i="7"/>
  <c r="R23" i="7"/>
  <c r="Q23" i="7"/>
  <c r="S23" i="7" s="1"/>
  <c r="O23" i="7"/>
  <c r="N23" i="7"/>
  <c r="P23" i="7" s="1"/>
  <c r="L23" i="7"/>
  <c r="K23" i="7"/>
  <c r="J23" i="7"/>
  <c r="H23" i="7"/>
  <c r="E23" i="7"/>
  <c r="G23" i="7" s="1"/>
  <c r="C23" i="7"/>
  <c r="B23" i="7"/>
  <c r="D23" i="7" s="1"/>
  <c r="CF22" i="7"/>
  <c r="BX22" i="7"/>
  <c r="BU22" i="5" s="1"/>
  <c r="BV22" i="5" s="1"/>
  <c r="BW22" i="7"/>
  <c r="BV22" i="7"/>
  <c r="BU22" i="7"/>
  <c r="BT22" i="7"/>
  <c r="BR22" i="7"/>
  <c r="BQ22" i="7"/>
  <c r="BS22" i="7" s="1"/>
  <c r="BO22" i="7"/>
  <c r="BP22" i="7" s="1"/>
  <c r="BN22" i="7"/>
  <c r="BL22" i="7"/>
  <c r="BI22" i="5" s="1"/>
  <c r="BK22" i="7"/>
  <c r="BJ22" i="7"/>
  <c r="BH22" i="7"/>
  <c r="BF22" i="7"/>
  <c r="BE22" i="7"/>
  <c r="BC22" i="7"/>
  <c r="AZ22" i="5" s="1"/>
  <c r="BB22" i="7"/>
  <c r="BD22" i="7" s="1"/>
  <c r="AZ22" i="7"/>
  <c r="AT22" i="5" s="1"/>
  <c r="AY22" i="7"/>
  <c r="AV22" i="7"/>
  <c r="AX22" i="7" s="1"/>
  <c r="AT22" i="7"/>
  <c r="AS22" i="7"/>
  <c r="AU22" i="7" s="1"/>
  <c r="AR22" i="7"/>
  <c r="AQ22" i="7"/>
  <c r="AP22" i="7"/>
  <c r="AM22" i="7"/>
  <c r="AN22" i="7" s="1"/>
  <c r="AJ22" i="7"/>
  <c r="AK22" i="7" s="1"/>
  <c r="AG22" i="7"/>
  <c r="AH22" i="7" s="1"/>
  <c r="AD22" i="7"/>
  <c r="AC22" i="7"/>
  <c r="AE22" i="7" s="1"/>
  <c r="AA22" i="7"/>
  <c r="Z22" i="7"/>
  <c r="AB22" i="7" s="1"/>
  <c r="Y22" i="7"/>
  <c r="W22" i="7"/>
  <c r="T22" i="7"/>
  <c r="V22" i="7" s="1"/>
  <c r="R22" i="7"/>
  <c r="S22" i="7" s="1"/>
  <c r="Q22" i="7"/>
  <c r="O22" i="7"/>
  <c r="N22" i="7"/>
  <c r="L22" i="7"/>
  <c r="K22" i="7"/>
  <c r="J22" i="7"/>
  <c r="H22" i="7"/>
  <c r="G22" i="7"/>
  <c r="E22" i="7"/>
  <c r="D22" i="7"/>
  <c r="C22" i="7"/>
  <c r="B22" i="7"/>
  <c r="CF21" i="7"/>
  <c r="BY21" i="7"/>
  <c r="BX21" i="7"/>
  <c r="BW21" i="7"/>
  <c r="BV21" i="7"/>
  <c r="BU21" i="7"/>
  <c r="BT21" i="7"/>
  <c r="BS21" i="7"/>
  <c r="BR21" i="7"/>
  <c r="BQ21" i="7"/>
  <c r="BO21" i="7"/>
  <c r="BN21" i="7"/>
  <c r="BP21" i="7" s="1"/>
  <c r="BM21" i="7"/>
  <c r="BL21" i="7"/>
  <c r="BK21" i="7"/>
  <c r="BJ21" i="7"/>
  <c r="BH21" i="7"/>
  <c r="BF21" i="7"/>
  <c r="BG21" i="7" s="1"/>
  <c r="BE21" i="7"/>
  <c r="BC21" i="7"/>
  <c r="AZ21" i="5" s="1"/>
  <c r="BB21" i="7"/>
  <c r="BD21" i="7" s="1"/>
  <c r="BD26" i="7" s="1"/>
  <c r="F56" i="10" s="1"/>
  <c r="AZ21" i="7"/>
  <c r="AY21" i="7"/>
  <c r="BA21" i="7" s="1"/>
  <c r="AX21" i="7"/>
  <c r="AV21" i="7"/>
  <c r="AU21" i="7"/>
  <c r="AT21" i="7"/>
  <c r="AS21" i="7"/>
  <c r="AQ21" i="7"/>
  <c r="AP21" i="7"/>
  <c r="AR21" i="7" s="1"/>
  <c r="AM21" i="7"/>
  <c r="AN21" i="7" s="1"/>
  <c r="AK21" i="7"/>
  <c r="AJ21" i="7"/>
  <c r="AG21" i="7"/>
  <c r="AH21" i="7" s="1"/>
  <c r="AE21" i="7"/>
  <c r="AD21" i="7"/>
  <c r="AC21" i="7"/>
  <c r="AA21" i="7"/>
  <c r="Z21" i="7"/>
  <c r="AB21" i="7" s="1"/>
  <c r="W21" i="7"/>
  <c r="Y21" i="7" s="1"/>
  <c r="T21" i="7"/>
  <c r="V21" i="7" s="1"/>
  <c r="S21" i="7"/>
  <c r="R21" i="7"/>
  <c r="Q21" i="7"/>
  <c r="O21" i="7"/>
  <c r="P21" i="7" s="1"/>
  <c r="N21" i="7"/>
  <c r="L21" i="7"/>
  <c r="K21" i="7"/>
  <c r="I21" i="7"/>
  <c r="H21" i="7"/>
  <c r="E21" i="7"/>
  <c r="G21" i="7" s="1"/>
  <c r="D21" i="7"/>
  <c r="C21" i="7"/>
  <c r="B21" i="7"/>
  <c r="CF20" i="7"/>
  <c r="BX20" i="7"/>
  <c r="BW20" i="7"/>
  <c r="BY20" i="7" s="1"/>
  <c r="BV20" i="7"/>
  <c r="BU20" i="7"/>
  <c r="BT20" i="7"/>
  <c r="BS20" i="7"/>
  <c r="BR20" i="7"/>
  <c r="BQ20" i="7"/>
  <c r="BO20" i="7"/>
  <c r="BN20" i="7"/>
  <c r="BM20" i="7"/>
  <c r="BL20" i="7"/>
  <c r="BK20" i="7"/>
  <c r="BH20" i="7"/>
  <c r="BJ20" i="7" s="1"/>
  <c r="BG20" i="7"/>
  <c r="BF20" i="7"/>
  <c r="BE20" i="7"/>
  <c r="BD20" i="7"/>
  <c r="BC20" i="7"/>
  <c r="BB20" i="7"/>
  <c r="AZ20" i="7"/>
  <c r="AY20" i="7"/>
  <c r="AV20" i="7"/>
  <c r="AX20" i="7" s="1"/>
  <c r="AT20" i="7"/>
  <c r="AS20" i="7"/>
  <c r="AU20" i="7" s="1"/>
  <c r="AQ20" i="7"/>
  <c r="AR20" i="7" s="1"/>
  <c r="AP20" i="7"/>
  <c r="AM20" i="7"/>
  <c r="AN20" i="7" s="1"/>
  <c r="AJ20" i="7"/>
  <c r="AK20" i="7" s="1"/>
  <c r="AH20" i="7"/>
  <c r="AG20" i="7"/>
  <c r="AD20" i="7"/>
  <c r="AC20" i="7"/>
  <c r="AE20" i="7" s="1"/>
  <c r="AA20" i="7"/>
  <c r="AB20" i="7" s="1"/>
  <c r="Z20" i="7"/>
  <c r="W20" i="7"/>
  <c r="Y20" i="7" s="1"/>
  <c r="V20" i="7"/>
  <c r="T20" i="7"/>
  <c r="R20" i="7"/>
  <c r="Q20" i="7"/>
  <c r="P20" i="7"/>
  <c r="O20" i="7"/>
  <c r="N20" i="7"/>
  <c r="M20" i="7"/>
  <c r="L20" i="7"/>
  <c r="K20" i="7"/>
  <c r="J20" i="7"/>
  <c r="I20" i="7"/>
  <c r="H20" i="7"/>
  <c r="E20" i="7"/>
  <c r="G20" i="7" s="1"/>
  <c r="D20" i="7"/>
  <c r="C20" i="7"/>
  <c r="B20" i="7"/>
  <c r="CF19" i="7"/>
  <c r="BX19" i="7"/>
  <c r="BU19" i="5" s="1"/>
  <c r="BW19" i="7"/>
  <c r="BV19" i="7"/>
  <c r="BU19" i="7"/>
  <c r="BR19" i="4" s="1"/>
  <c r="BT19" i="7"/>
  <c r="BR19" i="7"/>
  <c r="BQ19" i="7"/>
  <c r="BS19" i="7" s="1"/>
  <c r="BS26" i="7" s="1"/>
  <c r="F54" i="10" s="1"/>
  <c r="BO19" i="7"/>
  <c r="BP19" i="7" s="1"/>
  <c r="BN19" i="7"/>
  <c r="BL19" i="7"/>
  <c r="BK19" i="7"/>
  <c r="BH19" i="7"/>
  <c r="BJ19" i="7" s="1"/>
  <c r="BF19" i="7"/>
  <c r="BG19" i="7" s="1"/>
  <c r="BE19" i="7"/>
  <c r="BE26" i="7" s="1"/>
  <c r="E57" i="10" s="1"/>
  <c r="BD19" i="7"/>
  <c r="BC19" i="7"/>
  <c r="BB19" i="7"/>
  <c r="AZ19" i="7"/>
  <c r="AY19" i="7"/>
  <c r="BA19" i="7" s="1"/>
  <c r="AV19" i="7"/>
  <c r="AX19" i="7" s="1"/>
  <c r="AT19" i="7"/>
  <c r="AS19" i="7"/>
  <c r="AQ19" i="7"/>
  <c r="AP19" i="7"/>
  <c r="AP26" i="7" s="1"/>
  <c r="E47" i="10" s="1"/>
  <c r="AN19" i="7"/>
  <c r="AM19" i="7"/>
  <c r="AJ19" i="7"/>
  <c r="AK19" i="7" s="1"/>
  <c r="AH19" i="7"/>
  <c r="AG19" i="7"/>
  <c r="AD19" i="7"/>
  <c r="AC19" i="7"/>
  <c r="AA19" i="7"/>
  <c r="AA19" i="4" s="1"/>
  <c r="Z19" i="7"/>
  <c r="Z26" i="7" s="1"/>
  <c r="E43" i="10" s="1"/>
  <c r="Y19" i="7"/>
  <c r="Y26" i="7" s="1"/>
  <c r="F42" i="10" s="1"/>
  <c r="W19" i="7"/>
  <c r="T19" i="7"/>
  <c r="S19" i="7"/>
  <c r="R19" i="7"/>
  <c r="Q19" i="7"/>
  <c r="O19" i="7"/>
  <c r="N19" i="7"/>
  <c r="P19" i="7" s="1"/>
  <c r="M19" i="7"/>
  <c r="L19" i="7"/>
  <c r="K19" i="7"/>
  <c r="I19" i="7"/>
  <c r="H19" i="7"/>
  <c r="G19" i="7"/>
  <c r="E19" i="7"/>
  <c r="C19" i="7"/>
  <c r="B19" i="7"/>
  <c r="D19" i="7" s="1"/>
  <c r="BT17" i="7"/>
  <c r="BT29" i="7" s="1"/>
  <c r="BT41" i="7" s="1"/>
  <c r="BH17" i="7"/>
  <c r="BE17" i="7"/>
  <c r="B17" i="7"/>
  <c r="BJ14" i="7"/>
  <c r="BH14" i="7"/>
  <c r="AL14" i="7"/>
  <c r="AI14" i="7"/>
  <c r="AF14" i="7"/>
  <c r="AC14" i="7"/>
  <c r="Z14" i="7"/>
  <c r="K14" i="7"/>
  <c r="CF13" i="7"/>
  <c r="BX13" i="7"/>
  <c r="BW13" i="7"/>
  <c r="BY13" i="7" s="1"/>
  <c r="BU13" i="7"/>
  <c r="BR13" i="5" s="1"/>
  <c r="BT13" i="7"/>
  <c r="BV13" i="7" s="1"/>
  <c r="BR13" i="7"/>
  <c r="BQ13" i="7"/>
  <c r="BP13" i="7"/>
  <c r="BO13" i="7"/>
  <c r="BN13" i="7"/>
  <c r="BL13" i="7"/>
  <c r="BK13" i="7"/>
  <c r="BM13" i="7" s="1"/>
  <c r="BH13" i="7"/>
  <c r="BJ13" i="7" s="1"/>
  <c r="BF13" i="7"/>
  <c r="BE13" i="7"/>
  <c r="BG13" i="7" s="1"/>
  <c r="BC13" i="7"/>
  <c r="BD13" i="7" s="1"/>
  <c r="BB13" i="7"/>
  <c r="BA13" i="7"/>
  <c r="AZ13" i="7"/>
  <c r="AY13" i="7"/>
  <c r="AV13" i="7"/>
  <c r="AX13" i="7" s="1"/>
  <c r="AT13" i="7"/>
  <c r="AS13" i="7"/>
  <c r="AU13" i="7" s="1"/>
  <c r="AQ13" i="7"/>
  <c r="AP13" i="7"/>
  <c r="AR13" i="7" s="1"/>
  <c r="AM13" i="7"/>
  <c r="AN13" i="7" s="1"/>
  <c r="AJ13" i="7"/>
  <c r="AK13" i="7" s="1"/>
  <c r="AH13" i="7"/>
  <c r="AG13" i="7"/>
  <c r="AD13" i="7"/>
  <c r="AC13" i="7"/>
  <c r="AE13" i="7" s="1"/>
  <c r="AA13" i="7"/>
  <c r="AA50" i="7" s="1"/>
  <c r="Z13" i="7"/>
  <c r="AB13" i="7" s="1"/>
  <c r="W13" i="7"/>
  <c r="Y13" i="7" s="1"/>
  <c r="T13" i="7"/>
  <c r="V13" i="7" s="1"/>
  <c r="R13" i="7"/>
  <c r="R13" i="5" s="1"/>
  <c r="S13" i="5" s="1"/>
  <c r="Q13" i="7"/>
  <c r="O13" i="7"/>
  <c r="N13" i="7"/>
  <c r="P13" i="7" s="1"/>
  <c r="L13" i="7"/>
  <c r="M13" i="7" s="1"/>
  <c r="K13" i="7"/>
  <c r="J13" i="7"/>
  <c r="I13" i="7"/>
  <c r="H13" i="7"/>
  <c r="E13" i="7"/>
  <c r="G13" i="7" s="1"/>
  <c r="D13" i="7"/>
  <c r="C13" i="7"/>
  <c r="B13" i="7"/>
  <c r="CF12" i="7"/>
  <c r="BX12" i="7"/>
  <c r="BY12" i="7" s="1"/>
  <c r="BW12" i="7"/>
  <c r="BU12" i="7"/>
  <c r="BR12" i="5" s="1"/>
  <c r="BS12" i="5" s="1"/>
  <c r="BT12" i="7"/>
  <c r="BR12" i="7"/>
  <c r="BO12" i="5" s="1"/>
  <c r="BP12" i="5" s="1"/>
  <c r="BQ12" i="7"/>
  <c r="BS12" i="7" s="1"/>
  <c r="BO12" i="7"/>
  <c r="BN12" i="7"/>
  <c r="BP12" i="7" s="1"/>
  <c r="BL12" i="7"/>
  <c r="BM12" i="7" s="1"/>
  <c r="BK12" i="7"/>
  <c r="BH12" i="7"/>
  <c r="BJ12" i="7" s="1"/>
  <c r="BF12" i="7"/>
  <c r="BE12" i="7"/>
  <c r="BG12" i="7" s="1"/>
  <c r="BD12" i="7"/>
  <c r="BC12" i="7"/>
  <c r="AZ12" i="5" s="1"/>
  <c r="BA12" i="5" s="1"/>
  <c r="BB12" i="7"/>
  <c r="BA12" i="7"/>
  <c r="AZ12" i="7"/>
  <c r="AY12" i="7"/>
  <c r="AV12" i="7"/>
  <c r="AX12" i="7" s="1"/>
  <c r="AT12" i="7"/>
  <c r="AS12" i="7"/>
  <c r="AQ12" i="7"/>
  <c r="AN12" i="5" s="1"/>
  <c r="AO12" i="5" s="1"/>
  <c r="AP12" i="7"/>
  <c r="AR12" i="7" s="1"/>
  <c r="AN12" i="7"/>
  <c r="AM12" i="7"/>
  <c r="AJ12" i="7"/>
  <c r="AK12" i="7" s="1"/>
  <c r="AG12" i="7"/>
  <c r="AH12" i="7" s="1"/>
  <c r="AD12" i="7"/>
  <c r="AC12" i="7"/>
  <c r="AA12" i="7"/>
  <c r="Z12" i="7"/>
  <c r="W12" i="7"/>
  <c r="Y12" i="7" s="1"/>
  <c r="T12" i="7"/>
  <c r="V12" i="7" s="1"/>
  <c r="R12" i="7"/>
  <c r="Q12" i="7"/>
  <c r="S12" i="7" s="1"/>
  <c r="O12" i="7"/>
  <c r="N12" i="7"/>
  <c r="P12" i="7" s="1"/>
  <c r="L12" i="7"/>
  <c r="K12" i="7"/>
  <c r="M12" i="7" s="1"/>
  <c r="J12" i="7"/>
  <c r="I12" i="7"/>
  <c r="H12" i="7"/>
  <c r="E12" i="7"/>
  <c r="G12" i="7" s="1"/>
  <c r="D12" i="7"/>
  <c r="C12" i="7"/>
  <c r="B12" i="7"/>
  <c r="CF11" i="7"/>
  <c r="BX11" i="7"/>
  <c r="BY11" i="7" s="1"/>
  <c r="BW11" i="7"/>
  <c r="BV11" i="7"/>
  <c r="BU11" i="7"/>
  <c r="BT11" i="7"/>
  <c r="BS11" i="7"/>
  <c r="BR11" i="7"/>
  <c r="BQ11" i="7"/>
  <c r="BO11" i="7"/>
  <c r="BL11" i="5" s="1"/>
  <c r="BM11" i="5" s="1"/>
  <c r="BN11" i="7"/>
  <c r="BM11" i="7"/>
  <c r="BL11" i="7"/>
  <c r="BK11" i="7"/>
  <c r="BJ11" i="7"/>
  <c r="BH11" i="7"/>
  <c r="BF11" i="7"/>
  <c r="BE11" i="7"/>
  <c r="BG11" i="7" s="1"/>
  <c r="BC11" i="7"/>
  <c r="BB11" i="7"/>
  <c r="BD11" i="7" s="1"/>
  <c r="AZ11" i="7"/>
  <c r="BA11" i="7" s="1"/>
  <c r="AY11" i="7"/>
  <c r="AV11" i="7"/>
  <c r="AX11" i="7" s="1"/>
  <c r="AT11" i="7"/>
  <c r="AS11" i="7"/>
  <c r="AU11" i="7" s="1"/>
  <c r="AR11" i="7"/>
  <c r="AQ11" i="7"/>
  <c r="AP11" i="7"/>
  <c r="AN11" i="7"/>
  <c r="AM11" i="7"/>
  <c r="AJ11" i="7"/>
  <c r="AK11" i="7" s="1"/>
  <c r="AG11" i="7"/>
  <c r="AH11" i="7" s="1"/>
  <c r="AD11" i="7"/>
  <c r="AC11" i="7"/>
  <c r="AE11" i="7" s="1"/>
  <c r="AA11" i="7"/>
  <c r="Z11" i="7"/>
  <c r="AB11" i="7" s="1"/>
  <c r="W11" i="7"/>
  <c r="Y11" i="7" s="1"/>
  <c r="T11" i="7"/>
  <c r="V11" i="7" s="1"/>
  <c r="R11" i="7"/>
  <c r="S11" i="7" s="1"/>
  <c r="Q11" i="7"/>
  <c r="O11" i="7"/>
  <c r="O11" i="5" s="1"/>
  <c r="P11" i="5" s="1"/>
  <c r="N11" i="7"/>
  <c r="M11" i="7"/>
  <c r="L11" i="7"/>
  <c r="K11" i="7"/>
  <c r="I11" i="7"/>
  <c r="H11" i="7"/>
  <c r="J11" i="7" s="1"/>
  <c r="E11" i="7"/>
  <c r="G11" i="7" s="1"/>
  <c r="C11" i="7"/>
  <c r="B11" i="7"/>
  <c r="D11" i="7" s="1"/>
  <c r="CF10" i="7"/>
  <c r="BY10" i="7"/>
  <c r="BX10" i="7"/>
  <c r="BW10" i="7"/>
  <c r="BV10" i="7"/>
  <c r="BU10" i="7"/>
  <c r="BT10" i="7"/>
  <c r="BR10" i="7"/>
  <c r="BQ10" i="7"/>
  <c r="BS10" i="7" s="1"/>
  <c r="BO10" i="7"/>
  <c r="BN10" i="7"/>
  <c r="BL10" i="7"/>
  <c r="BI10" i="5" s="1"/>
  <c r="BK10" i="7"/>
  <c r="BJ10" i="7"/>
  <c r="BH10" i="7"/>
  <c r="BG10" i="7"/>
  <c r="BF10" i="7"/>
  <c r="BE10" i="7"/>
  <c r="BC10" i="7"/>
  <c r="BB10" i="7"/>
  <c r="BD10" i="7" s="1"/>
  <c r="BA10" i="7"/>
  <c r="AZ10" i="7"/>
  <c r="AW10" i="5" s="1"/>
  <c r="AY10" i="7"/>
  <c r="AX10" i="7"/>
  <c r="AV10" i="7"/>
  <c r="AT10" i="7"/>
  <c r="AS10" i="7"/>
  <c r="AU10" i="7" s="1"/>
  <c r="AQ10" i="7"/>
  <c r="AP10" i="7"/>
  <c r="AM10" i="7"/>
  <c r="AN10" i="7" s="1"/>
  <c r="AJ10" i="7"/>
  <c r="AK10" i="7" s="1"/>
  <c r="AH10" i="7"/>
  <c r="AG10" i="7"/>
  <c r="AD10" i="7"/>
  <c r="AC10" i="7"/>
  <c r="AE10" i="7" s="1"/>
  <c r="AA10" i="7"/>
  <c r="AA47" i="7" s="1"/>
  <c r="Z10" i="7"/>
  <c r="Y10" i="7"/>
  <c r="W10" i="7"/>
  <c r="T10" i="7"/>
  <c r="V10" i="7" s="1"/>
  <c r="R10" i="7"/>
  <c r="R10" i="5" s="1"/>
  <c r="Q10" i="7"/>
  <c r="P10" i="7"/>
  <c r="O10" i="7"/>
  <c r="N10" i="7"/>
  <c r="M10" i="7"/>
  <c r="L10" i="7"/>
  <c r="K10" i="7"/>
  <c r="I10" i="7"/>
  <c r="H10" i="7"/>
  <c r="J10" i="7" s="1"/>
  <c r="E10" i="7"/>
  <c r="G10" i="7" s="1"/>
  <c r="C10" i="7"/>
  <c r="B10" i="7"/>
  <c r="D10" i="7" s="1"/>
  <c r="CF9" i="7"/>
  <c r="BX9" i="7"/>
  <c r="BU9" i="4" s="1"/>
  <c r="BW9" i="7"/>
  <c r="BU9" i="7"/>
  <c r="BT9" i="7"/>
  <c r="BV9" i="7" s="1"/>
  <c r="BR9" i="7"/>
  <c r="BQ9" i="7"/>
  <c r="BS9" i="7" s="1"/>
  <c r="BO9" i="7"/>
  <c r="BL9" i="4" s="1"/>
  <c r="BN9" i="7"/>
  <c r="BL9" i="7"/>
  <c r="BI9" i="5" s="1"/>
  <c r="BK9" i="7"/>
  <c r="BK14" i="7" s="1"/>
  <c r="BJ9" i="7"/>
  <c r="BH9" i="7"/>
  <c r="BG9" i="7"/>
  <c r="BF9" i="7"/>
  <c r="BE9" i="7"/>
  <c r="BC9" i="7"/>
  <c r="BB9" i="7"/>
  <c r="BD9" i="7" s="1"/>
  <c r="AZ9" i="7"/>
  <c r="AW9" i="4" s="1"/>
  <c r="AY9" i="7"/>
  <c r="BA9" i="7" s="1"/>
  <c r="AX9" i="7"/>
  <c r="AV9" i="7"/>
  <c r="AV14" i="7" s="1"/>
  <c r="AU9" i="7"/>
  <c r="AT9" i="7"/>
  <c r="AS9" i="7"/>
  <c r="AR9" i="7"/>
  <c r="AQ9" i="7"/>
  <c r="AP9" i="7"/>
  <c r="AM9" i="7"/>
  <c r="AN9" i="7" s="1"/>
  <c r="AN14" i="7" s="1"/>
  <c r="AJ9" i="7"/>
  <c r="AK9" i="7" s="1"/>
  <c r="AH9" i="7"/>
  <c r="AG9" i="7"/>
  <c r="AE9" i="7"/>
  <c r="AD9" i="7"/>
  <c r="AC9" i="7"/>
  <c r="AB9" i="7"/>
  <c r="AA9" i="7"/>
  <c r="AA46" i="7" s="1"/>
  <c r="AA46" i="5" s="1"/>
  <c r="Z9" i="7"/>
  <c r="W9" i="7"/>
  <c r="Y9" i="7" s="1"/>
  <c r="T9" i="7"/>
  <c r="S9" i="7"/>
  <c r="R9" i="7"/>
  <c r="Q9" i="7"/>
  <c r="P9" i="7"/>
  <c r="O9" i="7"/>
  <c r="N9" i="7"/>
  <c r="L9" i="7"/>
  <c r="K9" i="7"/>
  <c r="M9" i="7" s="1"/>
  <c r="I9" i="7"/>
  <c r="I9" i="5" s="1"/>
  <c r="H9" i="7"/>
  <c r="J9" i="7" s="1"/>
  <c r="E9" i="7"/>
  <c r="G9" i="7" s="1"/>
  <c r="D9" i="7"/>
  <c r="C9" i="7"/>
  <c r="B9" i="7"/>
  <c r="CF8" i="7"/>
  <c r="BX8" i="7"/>
  <c r="BW8" i="7"/>
  <c r="BU8" i="7"/>
  <c r="BT8" i="7"/>
  <c r="BV8" i="7" s="1"/>
  <c r="BR8" i="7"/>
  <c r="BO8" i="5" s="1"/>
  <c r="BQ8" i="7"/>
  <c r="BO8" i="7"/>
  <c r="BN8" i="7"/>
  <c r="BL8" i="7"/>
  <c r="BK8" i="7"/>
  <c r="BM8" i="7" s="1"/>
  <c r="BH8" i="7"/>
  <c r="BJ8" i="7" s="1"/>
  <c r="BF8" i="7"/>
  <c r="BE8" i="7"/>
  <c r="BG8" i="7" s="1"/>
  <c r="BD8" i="7"/>
  <c r="BC8" i="7"/>
  <c r="BB8" i="7"/>
  <c r="AZ8" i="7"/>
  <c r="AY8" i="7"/>
  <c r="BA8" i="7" s="1"/>
  <c r="AV8" i="7"/>
  <c r="AX8" i="7" s="1"/>
  <c r="AU8" i="7"/>
  <c r="AT8" i="7"/>
  <c r="AS8" i="7"/>
  <c r="AQ8" i="7"/>
  <c r="AR8" i="7" s="1"/>
  <c r="AP8" i="7"/>
  <c r="AN8" i="7"/>
  <c r="AM8" i="7"/>
  <c r="AJ8" i="7"/>
  <c r="AK8" i="7" s="1"/>
  <c r="AH8" i="7"/>
  <c r="AG8" i="7"/>
  <c r="AD8" i="7"/>
  <c r="AC8" i="7"/>
  <c r="AA8" i="7"/>
  <c r="AB8" i="7" s="1"/>
  <c r="Z8" i="7"/>
  <c r="Y8" i="7"/>
  <c r="W8" i="7"/>
  <c r="T8" i="7"/>
  <c r="V8" i="7" s="1"/>
  <c r="S8" i="7"/>
  <c r="R8" i="7"/>
  <c r="Q8" i="7"/>
  <c r="O8" i="7"/>
  <c r="O8" i="4" s="1"/>
  <c r="P8" i="4" s="1"/>
  <c r="N8" i="7"/>
  <c r="P8" i="7" s="1"/>
  <c r="M8" i="7"/>
  <c r="L8" i="7"/>
  <c r="K8" i="7"/>
  <c r="I8" i="7"/>
  <c r="H8" i="7"/>
  <c r="G8" i="7"/>
  <c r="E8" i="7"/>
  <c r="C8" i="7"/>
  <c r="B8" i="7"/>
  <c r="D8" i="7" s="1"/>
  <c r="CF7" i="7"/>
  <c r="CF14" i="7" s="1"/>
  <c r="BY7" i="7"/>
  <c r="BW7" i="7"/>
  <c r="BU7" i="7"/>
  <c r="C20" i="10" s="1"/>
  <c r="BT7" i="7"/>
  <c r="BR7" i="7"/>
  <c r="BQ7" i="7"/>
  <c r="BP7" i="7"/>
  <c r="BN7" i="7"/>
  <c r="BM7" i="7"/>
  <c r="BK7" i="7"/>
  <c r="BJ7" i="7"/>
  <c r="BH7" i="7"/>
  <c r="BF7" i="7"/>
  <c r="C28" i="10" s="1"/>
  <c r="O28" i="10" s="1"/>
  <c r="BE7" i="7"/>
  <c r="BC7" i="7"/>
  <c r="C27" i="10" s="1"/>
  <c r="J27" i="10" s="1"/>
  <c r="C56" i="10" s="1"/>
  <c r="BB7" i="7"/>
  <c r="BA7" i="7"/>
  <c r="AZ7" i="7"/>
  <c r="C23" i="10" s="1"/>
  <c r="J23" i="10" s="1"/>
  <c r="C52" i="10" s="1"/>
  <c r="O52" i="10" s="1"/>
  <c r="AY7" i="7"/>
  <c r="AV7" i="7"/>
  <c r="AX7" i="7" s="1"/>
  <c r="AT7" i="7"/>
  <c r="C19" i="10" s="1"/>
  <c r="O19" i="10" s="1"/>
  <c r="AS7" i="7"/>
  <c r="AR7" i="7"/>
  <c r="AQ7" i="7"/>
  <c r="AP7" i="7"/>
  <c r="AK7" i="7"/>
  <c r="AK14" i="7" s="1"/>
  <c r="AH7" i="7"/>
  <c r="AE7" i="7"/>
  <c r="AD7" i="7"/>
  <c r="C15" i="10" s="1"/>
  <c r="AC7" i="7"/>
  <c r="AB7" i="7"/>
  <c r="Z7" i="7"/>
  <c r="W7" i="7"/>
  <c r="T7" i="7"/>
  <c r="V7" i="7" s="1"/>
  <c r="S7" i="7"/>
  <c r="Q7" i="7"/>
  <c r="N7" i="7"/>
  <c r="M7" i="7"/>
  <c r="M14" i="7" s="1"/>
  <c r="K7" i="7"/>
  <c r="J7" i="7"/>
  <c r="H7" i="7"/>
  <c r="E7" i="7"/>
  <c r="G7" i="7" s="1"/>
  <c r="B7" i="7"/>
  <c r="B14" i="7" s="1"/>
  <c r="E30" i="10" s="1"/>
  <c r="BW5" i="7"/>
  <c r="BW17" i="7" s="1"/>
  <c r="BW29" i="7" s="1"/>
  <c r="BW41" i="7" s="1"/>
  <c r="BT5" i="7"/>
  <c r="BK5" i="7"/>
  <c r="BK17" i="7" s="1"/>
  <c r="K5" i="7"/>
  <c r="K17" i="7" s="1"/>
  <c r="H5" i="7"/>
  <c r="E5" i="7"/>
  <c r="M30" i="6"/>
  <c r="R29" i="6"/>
  <c r="J29" i="6"/>
  <c r="C29" i="6"/>
  <c r="O29" i="6" s="1"/>
  <c r="A29" i="6"/>
  <c r="M29" i="6" s="1"/>
  <c r="O28" i="6"/>
  <c r="M28" i="6"/>
  <c r="C28" i="6"/>
  <c r="B28" i="6"/>
  <c r="D28" i="6" s="1"/>
  <c r="A28" i="6"/>
  <c r="S27" i="6"/>
  <c r="O27" i="6"/>
  <c r="C27" i="6"/>
  <c r="B27" i="6"/>
  <c r="S26" i="6"/>
  <c r="M26" i="6"/>
  <c r="B26" i="6"/>
  <c r="A26" i="6"/>
  <c r="J25" i="6"/>
  <c r="C25" i="6"/>
  <c r="B25" i="6"/>
  <c r="A25" i="6"/>
  <c r="M25" i="6" s="1"/>
  <c r="O24" i="6"/>
  <c r="J24" i="6"/>
  <c r="C24" i="6"/>
  <c r="S23" i="6"/>
  <c r="B23" i="6"/>
  <c r="A23" i="6"/>
  <c r="M23" i="6" s="1"/>
  <c r="S22" i="6"/>
  <c r="O22" i="6"/>
  <c r="C22" i="6"/>
  <c r="B22" i="6"/>
  <c r="A22" i="6"/>
  <c r="M22" i="6" s="1"/>
  <c r="S21" i="6"/>
  <c r="C21" i="6"/>
  <c r="O21" i="6" s="1"/>
  <c r="A21" i="6"/>
  <c r="M21" i="6" s="1"/>
  <c r="B20" i="6"/>
  <c r="A20" i="6"/>
  <c r="M20" i="6" s="1"/>
  <c r="D19" i="6"/>
  <c r="C19" i="6"/>
  <c r="O19" i="6" s="1"/>
  <c r="B19" i="6"/>
  <c r="A19" i="6"/>
  <c r="M19" i="6" s="1"/>
  <c r="S18" i="6"/>
  <c r="B18" i="6"/>
  <c r="A18" i="6"/>
  <c r="M18" i="6" s="1"/>
  <c r="S17" i="6"/>
  <c r="C17" i="6"/>
  <c r="O17" i="6" s="1"/>
  <c r="B17" i="6"/>
  <c r="A17" i="6"/>
  <c r="M17" i="6" s="1"/>
  <c r="J16" i="6"/>
  <c r="B16" i="6"/>
  <c r="O15" i="6"/>
  <c r="M15" i="6"/>
  <c r="C15" i="6"/>
  <c r="S14" i="6"/>
  <c r="O14" i="6"/>
  <c r="C14" i="6"/>
  <c r="B14" i="6"/>
  <c r="A14" i="6"/>
  <c r="M14" i="6" s="1"/>
  <c r="S13" i="6"/>
  <c r="M13" i="6"/>
  <c r="J13" i="6"/>
  <c r="B13" i="6"/>
  <c r="A13" i="6"/>
  <c r="S12" i="6"/>
  <c r="S11" i="6"/>
  <c r="C11" i="6"/>
  <c r="O11" i="6" s="1"/>
  <c r="S10" i="6"/>
  <c r="J10" i="6"/>
  <c r="C10" i="6"/>
  <c r="O10" i="6" s="1"/>
  <c r="B10" i="6"/>
  <c r="A10" i="6"/>
  <c r="M10" i="6" s="1"/>
  <c r="S9" i="6"/>
  <c r="M9" i="6"/>
  <c r="C9" i="6"/>
  <c r="O9" i="6" s="1"/>
  <c r="B9" i="6"/>
  <c r="D9" i="6" s="1"/>
  <c r="A9" i="6"/>
  <c r="S8" i="6"/>
  <c r="C8" i="6"/>
  <c r="O8" i="6" s="1"/>
  <c r="B8" i="6"/>
  <c r="S7" i="6"/>
  <c r="C7" i="6"/>
  <c r="O7" i="6" s="1"/>
  <c r="J6" i="6"/>
  <c r="AF53" i="5"/>
  <c r="Q53" i="5"/>
  <c r="G98" i="10" s="1"/>
  <c r="BU52" i="5"/>
  <c r="BT52" i="5"/>
  <c r="BV52" i="5" s="1"/>
  <c r="BS52" i="5"/>
  <c r="BQ52" i="5"/>
  <c r="BP52" i="5"/>
  <c r="BO52" i="5"/>
  <c r="BN52" i="5"/>
  <c r="BL52" i="5"/>
  <c r="BK52" i="5"/>
  <c r="BH52" i="5"/>
  <c r="BF52" i="5"/>
  <c r="BE52" i="5"/>
  <c r="BG52" i="5" s="1"/>
  <c r="BD52" i="5"/>
  <c r="BC52" i="5"/>
  <c r="BB52" i="5"/>
  <c r="AZ52" i="5"/>
  <c r="AY52" i="5"/>
  <c r="BA52" i="5" s="1"/>
  <c r="AV52" i="5"/>
  <c r="AT52" i="5"/>
  <c r="AU52" i="5" s="1"/>
  <c r="AS52" i="5"/>
  <c r="AR52" i="5"/>
  <c r="AQ52" i="5"/>
  <c r="AP52" i="5"/>
  <c r="AN52" i="5"/>
  <c r="AM52" i="5"/>
  <c r="AH52" i="5"/>
  <c r="AG52" i="5"/>
  <c r="AD52" i="5"/>
  <c r="AC52" i="5"/>
  <c r="AE52" i="5" s="1"/>
  <c r="AB52" i="5"/>
  <c r="AA52" i="5"/>
  <c r="Z52" i="5"/>
  <c r="W52" i="5"/>
  <c r="U52" i="5"/>
  <c r="V52" i="5" s="1"/>
  <c r="T52" i="5"/>
  <c r="R52" i="5"/>
  <c r="Q52" i="5"/>
  <c r="S52" i="5" s="1"/>
  <c r="P52" i="5"/>
  <c r="O52" i="5"/>
  <c r="N52" i="5"/>
  <c r="L52" i="5"/>
  <c r="K52" i="5"/>
  <c r="I52" i="5"/>
  <c r="H52" i="5"/>
  <c r="J52" i="5" s="1"/>
  <c r="F52" i="5"/>
  <c r="E52" i="5"/>
  <c r="G52" i="5" s="1"/>
  <c r="D52" i="5"/>
  <c r="C52" i="5"/>
  <c r="B52" i="5"/>
  <c r="BV51" i="5"/>
  <c r="BU51" i="5"/>
  <c r="BT51" i="5"/>
  <c r="BQ51" i="5"/>
  <c r="BN51" i="5"/>
  <c r="BL51" i="5"/>
  <c r="BK51" i="5"/>
  <c r="BI51" i="5"/>
  <c r="BH51" i="5"/>
  <c r="BJ51" i="5" s="1"/>
  <c r="BF51" i="5"/>
  <c r="BE51" i="5"/>
  <c r="BG51" i="5" s="1"/>
  <c r="BB51" i="5"/>
  <c r="AZ51" i="5"/>
  <c r="AY51" i="5"/>
  <c r="BA51" i="5" s="1"/>
  <c r="AX51" i="5"/>
  <c r="AW51" i="5"/>
  <c r="AV51" i="5"/>
  <c r="AT51" i="5"/>
  <c r="AS51" i="5"/>
  <c r="AU51" i="5" s="1"/>
  <c r="AP51" i="5"/>
  <c r="AN51" i="5"/>
  <c r="AO51" i="5" s="1"/>
  <c r="AM51" i="5"/>
  <c r="AH51" i="5"/>
  <c r="AG51" i="5"/>
  <c r="AD51" i="5"/>
  <c r="AC51" i="5"/>
  <c r="AE51" i="5" s="1"/>
  <c r="AB51" i="5"/>
  <c r="AA51" i="5"/>
  <c r="Z51" i="5"/>
  <c r="W51" i="5"/>
  <c r="V51" i="5"/>
  <c r="U51" i="5"/>
  <c r="T51" i="5"/>
  <c r="R51" i="5"/>
  <c r="Q51" i="5"/>
  <c r="S51" i="5" s="1"/>
  <c r="O51" i="5"/>
  <c r="N51" i="5"/>
  <c r="P51" i="5" s="1"/>
  <c r="L51" i="5"/>
  <c r="K51" i="5"/>
  <c r="M51" i="5" s="1"/>
  <c r="I51" i="5"/>
  <c r="H51" i="5"/>
  <c r="J51" i="5" s="1"/>
  <c r="G51" i="5"/>
  <c r="F51" i="5"/>
  <c r="E51" i="5"/>
  <c r="C51" i="5"/>
  <c r="B51" i="5"/>
  <c r="D51" i="5" s="1"/>
  <c r="BU50" i="5"/>
  <c r="BT50" i="5"/>
  <c r="BV50" i="5" s="1"/>
  <c r="BS50" i="5"/>
  <c r="BQ50" i="5"/>
  <c r="BN50" i="5"/>
  <c r="BL50" i="5"/>
  <c r="BK50" i="5"/>
  <c r="BI50" i="5"/>
  <c r="BH50" i="5"/>
  <c r="BJ50" i="5" s="1"/>
  <c r="BF50" i="5"/>
  <c r="BE50" i="5"/>
  <c r="BG50" i="5" s="1"/>
  <c r="BB50" i="5"/>
  <c r="AY50" i="5"/>
  <c r="AW50" i="5"/>
  <c r="AV50" i="5"/>
  <c r="AX50" i="5" s="1"/>
  <c r="AU50" i="5"/>
  <c r="AT50" i="5"/>
  <c r="AS50" i="5"/>
  <c r="AP50" i="5"/>
  <c r="AR50" i="5" s="1"/>
  <c r="AO50" i="5"/>
  <c r="AM50" i="5"/>
  <c r="AG50" i="5"/>
  <c r="AH50" i="5" s="1"/>
  <c r="AD50" i="5"/>
  <c r="AC50" i="5"/>
  <c r="AE50" i="5" s="1"/>
  <c r="Z50" i="5"/>
  <c r="W50" i="5"/>
  <c r="V50" i="5"/>
  <c r="U50" i="5"/>
  <c r="T50" i="5"/>
  <c r="R50" i="5"/>
  <c r="Q50" i="5"/>
  <c r="S50" i="5" s="1"/>
  <c r="N50" i="5"/>
  <c r="P50" i="5" s="1"/>
  <c r="L50" i="5"/>
  <c r="K50" i="5"/>
  <c r="M50" i="5" s="1"/>
  <c r="I50" i="5"/>
  <c r="J50" i="5" s="1"/>
  <c r="H50" i="5"/>
  <c r="F50" i="5"/>
  <c r="E50" i="5"/>
  <c r="G50" i="5" s="1"/>
  <c r="C50" i="5"/>
  <c r="B50" i="5"/>
  <c r="D50" i="5" s="1"/>
  <c r="BU49" i="5"/>
  <c r="BT49" i="5"/>
  <c r="BV49" i="5" s="1"/>
  <c r="BS49" i="5"/>
  <c r="BR49" i="5"/>
  <c r="BQ49" i="5"/>
  <c r="BO49" i="5"/>
  <c r="BN49" i="5"/>
  <c r="BP49" i="5" s="1"/>
  <c r="BL49" i="5"/>
  <c r="BK49" i="5"/>
  <c r="BM49" i="5" s="1"/>
  <c r="BI49" i="5"/>
  <c r="BH49" i="5"/>
  <c r="BJ49" i="5" s="1"/>
  <c r="BG49" i="5"/>
  <c r="BF49" i="5"/>
  <c r="BE49" i="5"/>
  <c r="BB49" i="5"/>
  <c r="BD49" i="5" s="1"/>
  <c r="AZ49" i="5"/>
  <c r="AY49" i="5"/>
  <c r="BA49" i="5" s="1"/>
  <c r="AW49" i="5"/>
  <c r="AV49" i="5"/>
  <c r="AX49" i="5" s="1"/>
  <c r="AT49" i="5"/>
  <c r="AS49" i="5"/>
  <c r="AU49" i="5" s="1"/>
  <c r="AP49" i="5"/>
  <c r="AR49" i="5" s="1"/>
  <c r="AN49" i="5"/>
  <c r="AM49" i="5"/>
  <c r="AO49" i="5" s="1"/>
  <c r="AG49" i="5"/>
  <c r="AH49" i="5" s="1"/>
  <c r="AD49" i="5"/>
  <c r="AC49" i="5"/>
  <c r="AE49" i="5" s="1"/>
  <c r="Z49" i="5"/>
  <c r="W49" i="5"/>
  <c r="U49" i="5"/>
  <c r="T49" i="5"/>
  <c r="V49" i="5" s="1"/>
  <c r="R49" i="5"/>
  <c r="Q49" i="5"/>
  <c r="S49" i="5" s="1"/>
  <c r="N49" i="5"/>
  <c r="L49" i="5"/>
  <c r="K49" i="5"/>
  <c r="M49" i="5" s="1"/>
  <c r="J49" i="5"/>
  <c r="I49" i="5"/>
  <c r="H49" i="5"/>
  <c r="F49" i="5"/>
  <c r="E49" i="5"/>
  <c r="G49" i="5" s="1"/>
  <c r="C49" i="5"/>
  <c r="B49" i="5"/>
  <c r="D49" i="5" s="1"/>
  <c r="BV48" i="5"/>
  <c r="BU48" i="5"/>
  <c r="BT48" i="5"/>
  <c r="BR48" i="5"/>
  <c r="BQ48" i="5"/>
  <c r="BS48" i="5" s="1"/>
  <c r="BO48" i="5"/>
  <c r="BN48" i="5"/>
  <c r="BP48" i="5" s="1"/>
  <c r="BK48" i="5"/>
  <c r="BM48" i="5" s="1"/>
  <c r="BI48" i="5"/>
  <c r="BJ48" i="5" s="1"/>
  <c r="BH48" i="5"/>
  <c r="BF48" i="5"/>
  <c r="BE48" i="5"/>
  <c r="BG48" i="5" s="1"/>
  <c r="BC48" i="5"/>
  <c r="BB48" i="5"/>
  <c r="BD48" i="5" s="1"/>
  <c r="AZ48" i="5"/>
  <c r="BA48" i="5" s="1"/>
  <c r="AY48" i="5"/>
  <c r="AW48" i="5"/>
  <c r="AV48" i="5"/>
  <c r="AX48" i="5" s="1"/>
  <c r="AU48" i="5"/>
  <c r="AT48" i="5"/>
  <c r="AS48" i="5"/>
  <c r="AQ48" i="5"/>
  <c r="AP48" i="5"/>
  <c r="AR48" i="5" s="1"/>
  <c r="AM48" i="5"/>
  <c r="AG48" i="5"/>
  <c r="AH48" i="5" s="1"/>
  <c r="AE48" i="5"/>
  <c r="AD48" i="5"/>
  <c r="AC48" i="5"/>
  <c r="Z48" i="5"/>
  <c r="W48" i="5"/>
  <c r="U48" i="5"/>
  <c r="T48" i="5"/>
  <c r="V48" i="5" s="1"/>
  <c r="R48" i="5"/>
  <c r="Q48" i="5"/>
  <c r="S48" i="5" s="1"/>
  <c r="O48" i="5"/>
  <c r="N48" i="5"/>
  <c r="P48" i="5" s="1"/>
  <c r="L48" i="5"/>
  <c r="K48" i="5"/>
  <c r="M48" i="5" s="1"/>
  <c r="I48" i="5"/>
  <c r="H48" i="5"/>
  <c r="J48" i="5" s="1"/>
  <c r="F48" i="5"/>
  <c r="G48" i="5" s="1"/>
  <c r="E48" i="5"/>
  <c r="C48" i="5"/>
  <c r="B48" i="5"/>
  <c r="D48" i="5" s="1"/>
  <c r="BU47" i="5"/>
  <c r="BT47" i="5"/>
  <c r="BV47" i="5" s="1"/>
  <c r="BR47" i="5"/>
  <c r="BQ47" i="5"/>
  <c r="BS47" i="5" s="1"/>
  <c r="BO47" i="5"/>
  <c r="BN47" i="5"/>
  <c r="BP47" i="5" s="1"/>
  <c r="BK47" i="5"/>
  <c r="BH47" i="5"/>
  <c r="BF47" i="5"/>
  <c r="BE47" i="5"/>
  <c r="BG47" i="5" s="1"/>
  <c r="BC47" i="5"/>
  <c r="BB47" i="5"/>
  <c r="BD47" i="5" s="1"/>
  <c r="BA47" i="5"/>
  <c r="AZ47" i="5"/>
  <c r="AY47" i="5"/>
  <c r="AV47" i="5"/>
  <c r="AU47" i="5"/>
  <c r="AT47" i="5"/>
  <c r="AS47" i="5"/>
  <c r="AQ47" i="5"/>
  <c r="AP47" i="5"/>
  <c r="AR47" i="5" s="1"/>
  <c r="AO47" i="5"/>
  <c r="AN47" i="5"/>
  <c r="AM47" i="5"/>
  <c r="AG47" i="5"/>
  <c r="AH47" i="5" s="1"/>
  <c r="AD47" i="5"/>
  <c r="AC47" i="5"/>
  <c r="AE47" i="5" s="1"/>
  <c r="Z47" i="5"/>
  <c r="W47" i="5"/>
  <c r="V47" i="5"/>
  <c r="U47" i="5"/>
  <c r="T47" i="5"/>
  <c r="R47" i="5"/>
  <c r="Q47" i="5"/>
  <c r="S47" i="5" s="1"/>
  <c r="O47" i="5"/>
  <c r="N47" i="5"/>
  <c r="P47" i="5" s="1"/>
  <c r="L47" i="5"/>
  <c r="M47" i="5" s="1"/>
  <c r="K47" i="5"/>
  <c r="I47" i="5"/>
  <c r="J47" i="5" s="1"/>
  <c r="H47" i="5"/>
  <c r="F47" i="5"/>
  <c r="E47" i="5"/>
  <c r="G47" i="5" s="1"/>
  <c r="C47" i="5"/>
  <c r="B47" i="5"/>
  <c r="D47" i="5" s="1"/>
  <c r="BV46" i="5"/>
  <c r="BU46" i="5"/>
  <c r="BT46" i="5"/>
  <c r="BS46" i="5"/>
  <c r="BR46" i="5"/>
  <c r="BQ46" i="5"/>
  <c r="BN46" i="5"/>
  <c r="BP46" i="5" s="1"/>
  <c r="BM46" i="5"/>
  <c r="BL46" i="5"/>
  <c r="BK46" i="5"/>
  <c r="BH46" i="5"/>
  <c r="BG46" i="5"/>
  <c r="BF46" i="5"/>
  <c r="BE46" i="5"/>
  <c r="BB46" i="5"/>
  <c r="BD46" i="5" s="1"/>
  <c r="AZ46" i="5"/>
  <c r="AY46" i="5"/>
  <c r="BA46" i="5" s="1"/>
  <c r="AX46" i="5"/>
  <c r="AW46" i="5"/>
  <c r="AV46" i="5"/>
  <c r="AS46" i="5"/>
  <c r="AQ46" i="5"/>
  <c r="AP46" i="5"/>
  <c r="AR46" i="5" s="1"/>
  <c r="AN46" i="5"/>
  <c r="AM46" i="5"/>
  <c r="AO46" i="5" s="1"/>
  <c r="AG46" i="5"/>
  <c r="AH46" i="5" s="1"/>
  <c r="AD46" i="5"/>
  <c r="AC46" i="5"/>
  <c r="AE46" i="5" s="1"/>
  <c r="Z46" i="5"/>
  <c r="AB46" i="5" s="1"/>
  <c r="W46" i="5"/>
  <c r="U46" i="5"/>
  <c r="T46" i="5"/>
  <c r="V46" i="5" s="1"/>
  <c r="R46" i="5"/>
  <c r="Q46" i="5"/>
  <c r="S46" i="5" s="1"/>
  <c r="N46" i="5"/>
  <c r="M46" i="5"/>
  <c r="L46" i="5"/>
  <c r="K46" i="5"/>
  <c r="J46" i="5"/>
  <c r="I46" i="5"/>
  <c r="H46" i="5"/>
  <c r="F46" i="5"/>
  <c r="E46" i="5"/>
  <c r="G46" i="5" s="1"/>
  <c r="C46" i="5"/>
  <c r="B46" i="5"/>
  <c r="D46" i="5" s="1"/>
  <c r="BV45" i="5"/>
  <c r="BU45" i="5"/>
  <c r="BT45" i="5"/>
  <c r="BR45" i="5"/>
  <c r="BQ45" i="5"/>
  <c r="BS45" i="5" s="1"/>
  <c r="BN45" i="5"/>
  <c r="BL45" i="5"/>
  <c r="BK45" i="5"/>
  <c r="BM45" i="5" s="1"/>
  <c r="BI45" i="5"/>
  <c r="BH45" i="5"/>
  <c r="BJ45" i="5" s="1"/>
  <c r="BG45" i="5"/>
  <c r="BF45" i="5"/>
  <c r="BE45" i="5"/>
  <c r="BB45" i="5"/>
  <c r="AY45" i="5"/>
  <c r="AW45" i="5"/>
  <c r="AV45" i="5"/>
  <c r="AX45" i="5" s="1"/>
  <c r="AT45" i="5"/>
  <c r="AU45" i="5" s="1"/>
  <c r="AS45" i="5"/>
  <c r="AP45" i="5"/>
  <c r="AM45" i="5"/>
  <c r="AO45" i="5" s="1"/>
  <c r="AH45" i="5"/>
  <c r="AG45" i="5"/>
  <c r="AD45" i="5"/>
  <c r="AC45" i="5"/>
  <c r="Z45" i="5"/>
  <c r="Y45" i="5"/>
  <c r="X45" i="5"/>
  <c r="W45" i="5"/>
  <c r="U45" i="5"/>
  <c r="T45" i="5"/>
  <c r="V45" i="5" s="1"/>
  <c r="S45" i="5"/>
  <c r="R45" i="5"/>
  <c r="Q45" i="5"/>
  <c r="O45" i="5"/>
  <c r="N45" i="5"/>
  <c r="P45" i="5" s="1"/>
  <c r="M45" i="5"/>
  <c r="L45" i="5"/>
  <c r="K45" i="5"/>
  <c r="I45" i="5"/>
  <c r="H45" i="5"/>
  <c r="J45" i="5" s="1"/>
  <c r="F45" i="5"/>
  <c r="E45" i="5"/>
  <c r="C45" i="5"/>
  <c r="B45" i="5"/>
  <c r="D45" i="5" s="1"/>
  <c r="BU44" i="5"/>
  <c r="BT44" i="5"/>
  <c r="BV44" i="5" s="1"/>
  <c r="BR44" i="5"/>
  <c r="BQ44" i="5"/>
  <c r="BN44" i="5"/>
  <c r="BL44" i="5"/>
  <c r="BM44" i="5" s="1"/>
  <c r="BK44" i="5"/>
  <c r="BJ44" i="5"/>
  <c r="BI44" i="5"/>
  <c r="BH44" i="5"/>
  <c r="BF44" i="5"/>
  <c r="BE44" i="5"/>
  <c r="BG44" i="5" s="1"/>
  <c r="BB44" i="5"/>
  <c r="AZ44" i="5"/>
  <c r="AY44" i="5"/>
  <c r="BA44" i="5" s="1"/>
  <c r="AW44" i="5"/>
  <c r="AX44" i="5" s="1"/>
  <c r="AV44" i="5"/>
  <c r="AU44" i="5"/>
  <c r="AT44" i="5"/>
  <c r="AS44" i="5"/>
  <c r="AP44" i="5"/>
  <c r="AN44" i="5"/>
  <c r="AM44" i="5"/>
  <c r="AO44" i="5" s="1"/>
  <c r="AG44" i="5"/>
  <c r="AH44" i="5" s="1"/>
  <c r="AC44" i="5"/>
  <c r="Z44" i="5"/>
  <c r="X44" i="5"/>
  <c r="W44" i="5"/>
  <c r="Y44" i="5" s="1"/>
  <c r="U44" i="5"/>
  <c r="T44" i="5"/>
  <c r="V44" i="5" s="1"/>
  <c r="R44" i="5"/>
  <c r="Q44" i="5"/>
  <c r="S44" i="5" s="1"/>
  <c r="N44" i="5"/>
  <c r="P44" i="5" s="1"/>
  <c r="K44" i="5"/>
  <c r="I44" i="5"/>
  <c r="H44" i="5"/>
  <c r="J44" i="5" s="1"/>
  <c r="F44" i="5"/>
  <c r="E44" i="5"/>
  <c r="C44" i="5"/>
  <c r="B44" i="5"/>
  <c r="D44" i="5" s="1"/>
  <c r="BT43" i="5"/>
  <c r="BR43" i="5"/>
  <c r="BS43" i="5" s="1"/>
  <c r="BQ43" i="5"/>
  <c r="BO43" i="5"/>
  <c r="BN43" i="5"/>
  <c r="BP43" i="5" s="1"/>
  <c r="BL43" i="5"/>
  <c r="BM43" i="5" s="1"/>
  <c r="BK43" i="5"/>
  <c r="BH43" i="5"/>
  <c r="BF43" i="5"/>
  <c r="BE43" i="5"/>
  <c r="BB43" i="5"/>
  <c r="BA43" i="5"/>
  <c r="AZ43" i="5"/>
  <c r="AY43" i="5"/>
  <c r="AX43" i="5"/>
  <c r="AW43" i="5"/>
  <c r="AV43" i="5"/>
  <c r="AT43" i="5"/>
  <c r="AS43" i="5"/>
  <c r="AP43" i="5"/>
  <c r="AN43" i="5"/>
  <c r="AM43" i="5"/>
  <c r="AH43" i="5"/>
  <c r="AG43" i="5"/>
  <c r="AC43" i="5"/>
  <c r="Z43" i="5"/>
  <c r="Y43" i="5"/>
  <c r="X43" i="5"/>
  <c r="W43" i="5"/>
  <c r="U43" i="5"/>
  <c r="T43" i="5"/>
  <c r="R43" i="5"/>
  <c r="S43" i="5" s="1"/>
  <c r="S53" i="5" s="1"/>
  <c r="H98" i="10" s="1"/>
  <c r="Q43" i="5"/>
  <c r="N43" i="5"/>
  <c r="P43" i="5" s="1"/>
  <c r="K43" i="5"/>
  <c r="I43" i="5"/>
  <c r="H43" i="5"/>
  <c r="G43" i="5"/>
  <c r="F43" i="5"/>
  <c r="E43" i="5"/>
  <c r="C43" i="5"/>
  <c r="B43" i="5"/>
  <c r="AI41" i="5"/>
  <c r="AF41" i="5"/>
  <c r="B41" i="5"/>
  <c r="BT38" i="5"/>
  <c r="G79" i="10" s="1"/>
  <c r="BN38" i="5"/>
  <c r="G83" i="10" s="1"/>
  <c r="BB38" i="5"/>
  <c r="G86" i="10" s="1"/>
  <c r="AP38" i="5"/>
  <c r="G77" i="10" s="1"/>
  <c r="AF38" i="5"/>
  <c r="AF55" i="5" s="1"/>
  <c r="AC38" i="5"/>
  <c r="G73" i="10" s="1"/>
  <c r="Z38" i="5"/>
  <c r="G72" i="10" s="1"/>
  <c r="N38" i="5"/>
  <c r="G68" i="10" s="1"/>
  <c r="BT37" i="5"/>
  <c r="BR37" i="5"/>
  <c r="BQ37" i="5"/>
  <c r="BS37" i="5" s="1"/>
  <c r="BO37" i="5"/>
  <c r="BP37" i="5" s="1"/>
  <c r="BN37" i="5"/>
  <c r="BK37" i="5"/>
  <c r="BI37" i="5"/>
  <c r="BH37" i="5"/>
  <c r="BJ37" i="5" s="1"/>
  <c r="BF37" i="5"/>
  <c r="BE37" i="5"/>
  <c r="BG37" i="5" s="1"/>
  <c r="BD37" i="5"/>
  <c r="BC37" i="5"/>
  <c r="BB37" i="5"/>
  <c r="AY37" i="5"/>
  <c r="AW37" i="5"/>
  <c r="AV37" i="5"/>
  <c r="AX37" i="5" s="1"/>
  <c r="AT37" i="5"/>
  <c r="AS37" i="5"/>
  <c r="AU37" i="5" s="1"/>
  <c r="AQ37" i="5"/>
  <c r="AR37" i="5" s="1"/>
  <c r="AP37" i="5"/>
  <c r="AN37" i="5"/>
  <c r="AM37" i="5"/>
  <c r="AG37" i="5"/>
  <c r="AH37" i="5" s="1"/>
  <c r="AD37" i="5"/>
  <c r="AC37" i="5"/>
  <c r="AA37" i="5"/>
  <c r="AB37" i="5" s="1"/>
  <c r="Z37" i="5"/>
  <c r="X37" i="5"/>
  <c r="W37" i="5"/>
  <c r="Y37" i="5" s="1"/>
  <c r="V37" i="5"/>
  <c r="U37" i="5"/>
  <c r="T37" i="5"/>
  <c r="R37" i="5"/>
  <c r="Q37" i="5"/>
  <c r="S37" i="5" s="1"/>
  <c r="P37" i="5"/>
  <c r="O37" i="5"/>
  <c r="N37" i="5"/>
  <c r="L37" i="5"/>
  <c r="K37" i="5"/>
  <c r="M37" i="5" s="1"/>
  <c r="J37" i="5"/>
  <c r="I37" i="5"/>
  <c r="H37" i="5"/>
  <c r="F37" i="5"/>
  <c r="E37" i="5"/>
  <c r="G37" i="5" s="1"/>
  <c r="C37" i="5"/>
  <c r="D37" i="5" s="1"/>
  <c r="B37" i="5"/>
  <c r="BU36" i="5"/>
  <c r="BV36" i="5" s="1"/>
  <c r="BT36" i="5"/>
  <c r="BQ36" i="5"/>
  <c r="BS36" i="5" s="1"/>
  <c r="BN36" i="5"/>
  <c r="BL36" i="5"/>
  <c r="BK36" i="5"/>
  <c r="BM36" i="5" s="1"/>
  <c r="BI36" i="5"/>
  <c r="BJ36" i="5" s="1"/>
  <c r="BH36" i="5"/>
  <c r="BG36" i="5"/>
  <c r="BF36" i="5"/>
  <c r="BE36" i="5"/>
  <c r="BC36" i="5"/>
  <c r="BD36" i="5" s="1"/>
  <c r="BB36" i="5"/>
  <c r="AY36" i="5"/>
  <c r="AW36" i="5"/>
  <c r="AV36" i="5"/>
  <c r="AX36" i="5" s="1"/>
  <c r="AU36" i="5"/>
  <c r="AT36" i="5"/>
  <c r="AS36" i="5"/>
  <c r="AQ36" i="5"/>
  <c r="AR36" i="5" s="1"/>
  <c r="AP36" i="5"/>
  <c r="AN36" i="5"/>
  <c r="AM36" i="5"/>
  <c r="AO36" i="5" s="1"/>
  <c r="AG36" i="5"/>
  <c r="AH36" i="5" s="1"/>
  <c r="AD36" i="5"/>
  <c r="AE36" i="5" s="1"/>
  <c r="AC36" i="5"/>
  <c r="AA36" i="5"/>
  <c r="AB36" i="5" s="1"/>
  <c r="Z36" i="5"/>
  <c r="X36" i="5"/>
  <c r="W36" i="5"/>
  <c r="Y36" i="5" s="1"/>
  <c r="V36" i="5"/>
  <c r="U36" i="5"/>
  <c r="T36" i="5"/>
  <c r="R36" i="5"/>
  <c r="Q36" i="5"/>
  <c r="S36" i="5" s="1"/>
  <c r="P36" i="5"/>
  <c r="O36" i="5"/>
  <c r="N36" i="5"/>
  <c r="L36" i="5"/>
  <c r="K36" i="5"/>
  <c r="M36" i="5" s="1"/>
  <c r="I36" i="5"/>
  <c r="H36" i="5"/>
  <c r="J36" i="5" s="1"/>
  <c r="F36" i="5"/>
  <c r="E36" i="5"/>
  <c r="G36" i="5" s="1"/>
  <c r="D36" i="5"/>
  <c r="C36" i="5"/>
  <c r="B36" i="5"/>
  <c r="BU35" i="5"/>
  <c r="BT35" i="5"/>
  <c r="BV35" i="5" s="1"/>
  <c r="BR35" i="5"/>
  <c r="BQ35" i="5"/>
  <c r="BS35" i="5" s="1"/>
  <c r="BP35" i="5"/>
  <c r="BO35" i="5"/>
  <c r="BN35" i="5"/>
  <c r="BK35" i="5"/>
  <c r="BI35" i="5"/>
  <c r="BH35" i="5"/>
  <c r="BJ35" i="5" s="1"/>
  <c r="BF35" i="5"/>
  <c r="BE35" i="5"/>
  <c r="BG35" i="5" s="1"/>
  <c r="BC35" i="5"/>
  <c r="BD35" i="5" s="1"/>
  <c r="BB35" i="5"/>
  <c r="AY35" i="5"/>
  <c r="AW35" i="5"/>
  <c r="AV35" i="5"/>
  <c r="AX35" i="5" s="1"/>
  <c r="AT35" i="5"/>
  <c r="AS35" i="5"/>
  <c r="AU35" i="5" s="1"/>
  <c r="AQ35" i="5"/>
  <c r="AR35" i="5" s="1"/>
  <c r="AP35" i="5"/>
  <c r="AN35" i="5"/>
  <c r="AM35" i="5"/>
  <c r="AG35" i="5"/>
  <c r="AH35" i="5" s="1"/>
  <c r="AD35" i="5"/>
  <c r="AC35" i="5"/>
  <c r="AE35" i="5" s="1"/>
  <c r="AA35" i="5"/>
  <c r="AB35" i="5" s="1"/>
  <c r="Z35" i="5"/>
  <c r="X35" i="5"/>
  <c r="W35" i="5"/>
  <c r="Y35" i="5" s="1"/>
  <c r="V35" i="5"/>
  <c r="U35" i="5"/>
  <c r="T35" i="5"/>
  <c r="R35" i="5"/>
  <c r="Q35" i="5"/>
  <c r="O35" i="5"/>
  <c r="P35" i="5" s="1"/>
  <c r="N35" i="5"/>
  <c r="L35" i="5"/>
  <c r="K35" i="5"/>
  <c r="J35" i="5"/>
  <c r="I35" i="5"/>
  <c r="H35" i="5"/>
  <c r="F35" i="5"/>
  <c r="E35" i="5"/>
  <c r="G35" i="5" s="1"/>
  <c r="D35" i="5"/>
  <c r="C35" i="5"/>
  <c r="B35" i="5"/>
  <c r="BU34" i="5"/>
  <c r="BV34" i="5" s="1"/>
  <c r="BT34" i="5"/>
  <c r="BQ34" i="5"/>
  <c r="BO34" i="5"/>
  <c r="BP34" i="5" s="1"/>
  <c r="BN34" i="5"/>
  <c r="BL34" i="5"/>
  <c r="BK34" i="5"/>
  <c r="BI34" i="5"/>
  <c r="BH34" i="5"/>
  <c r="BJ34" i="5" s="1"/>
  <c r="BG34" i="5"/>
  <c r="BF34" i="5"/>
  <c r="BE34" i="5"/>
  <c r="BC34" i="5"/>
  <c r="BD34" i="5" s="1"/>
  <c r="BB34" i="5"/>
  <c r="AZ34" i="5"/>
  <c r="AY34" i="5"/>
  <c r="BA34" i="5" s="1"/>
  <c r="AX34" i="5"/>
  <c r="AW34" i="5"/>
  <c r="AV34" i="5"/>
  <c r="AU34" i="5"/>
  <c r="AT34" i="5"/>
  <c r="AS34" i="5"/>
  <c r="AQ34" i="5"/>
  <c r="AR34" i="5" s="1"/>
  <c r="AP34" i="5"/>
  <c r="AN34" i="5"/>
  <c r="AM34" i="5"/>
  <c r="AG34" i="5"/>
  <c r="AH34" i="5" s="1"/>
  <c r="AE34" i="5"/>
  <c r="AD34" i="5"/>
  <c r="AC34" i="5"/>
  <c r="AA34" i="5"/>
  <c r="AB34" i="5" s="1"/>
  <c r="Z34" i="5"/>
  <c r="X34" i="5"/>
  <c r="W34" i="5"/>
  <c r="Y34" i="5" s="1"/>
  <c r="V34" i="5"/>
  <c r="U34" i="5"/>
  <c r="T34" i="5"/>
  <c r="R34" i="5"/>
  <c r="S34" i="5" s="1"/>
  <c r="Q34" i="5"/>
  <c r="N34" i="5"/>
  <c r="L34" i="5"/>
  <c r="K34" i="5"/>
  <c r="M34" i="5" s="1"/>
  <c r="I34" i="5"/>
  <c r="H34" i="5"/>
  <c r="G34" i="5"/>
  <c r="F34" i="5"/>
  <c r="E34" i="5"/>
  <c r="D34" i="5"/>
  <c r="B34" i="5"/>
  <c r="BU33" i="5"/>
  <c r="BT33" i="5"/>
  <c r="BV33" i="5" s="1"/>
  <c r="BR33" i="5"/>
  <c r="BQ33" i="5"/>
  <c r="BS33" i="5" s="1"/>
  <c r="BN33" i="5"/>
  <c r="BK33" i="5"/>
  <c r="BI33" i="5"/>
  <c r="BH33" i="5"/>
  <c r="BF33" i="5"/>
  <c r="BE33" i="5"/>
  <c r="BG33" i="5" s="1"/>
  <c r="BC33" i="5"/>
  <c r="BD33" i="5" s="1"/>
  <c r="BB33" i="5"/>
  <c r="AY33" i="5"/>
  <c r="AV33" i="5"/>
  <c r="AX33" i="5" s="1"/>
  <c r="AT33" i="5"/>
  <c r="AS33" i="5"/>
  <c r="AU33" i="5" s="1"/>
  <c r="AR33" i="5"/>
  <c r="AQ33" i="5"/>
  <c r="AP33" i="5"/>
  <c r="AN33" i="5"/>
  <c r="AM33" i="5"/>
  <c r="AG33" i="5"/>
  <c r="AH33" i="5" s="1"/>
  <c r="AD33" i="5"/>
  <c r="AC33" i="5"/>
  <c r="AE33" i="5" s="1"/>
  <c r="AA33" i="5"/>
  <c r="AB33" i="5" s="1"/>
  <c r="Z33" i="5"/>
  <c r="X33" i="5"/>
  <c r="W33" i="5"/>
  <c r="V33" i="5"/>
  <c r="U33" i="5"/>
  <c r="T33" i="5"/>
  <c r="R33" i="5"/>
  <c r="Q33" i="5"/>
  <c r="S33" i="5" s="1"/>
  <c r="O33" i="5"/>
  <c r="P33" i="5" s="1"/>
  <c r="N33" i="5"/>
  <c r="L33" i="5"/>
  <c r="K33" i="5"/>
  <c r="M33" i="5" s="1"/>
  <c r="J33" i="5"/>
  <c r="I33" i="5"/>
  <c r="H33" i="5"/>
  <c r="F33" i="5"/>
  <c r="E33" i="5"/>
  <c r="G33" i="5" s="1"/>
  <c r="C33" i="5"/>
  <c r="D33" i="5" s="1"/>
  <c r="B33" i="5"/>
  <c r="BU32" i="5"/>
  <c r="BV32" i="5" s="1"/>
  <c r="BT32" i="5"/>
  <c r="BQ32" i="5"/>
  <c r="BO32" i="5"/>
  <c r="BP32" i="5" s="1"/>
  <c r="BN32" i="5"/>
  <c r="BL32" i="5"/>
  <c r="BK32" i="5"/>
  <c r="BM32" i="5" s="1"/>
  <c r="BI32" i="5"/>
  <c r="BH32" i="5"/>
  <c r="BJ32" i="5" s="1"/>
  <c r="BG32" i="5"/>
  <c r="BF32" i="5"/>
  <c r="BE32" i="5"/>
  <c r="BB32" i="5"/>
  <c r="AZ32" i="5"/>
  <c r="AY32" i="5"/>
  <c r="BA32" i="5" s="1"/>
  <c r="AW32" i="5"/>
  <c r="AV32" i="5"/>
  <c r="AX32" i="5" s="1"/>
  <c r="AU32" i="5"/>
  <c r="AT32" i="5"/>
  <c r="AS32" i="5"/>
  <c r="AP32" i="5"/>
  <c r="AN32" i="5"/>
  <c r="AM32" i="5"/>
  <c r="AG32" i="5"/>
  <c r="AH32" i="5" s="1"/>
  <c r="AH38" i="5" s="1"/>
  <c r="AE32" i="5"/>
  <c r="AD32" i="5"/>
  <c r="AC32" i="5"/>
  <c r="AA32" i="5"/>
  <c r="AB32" i="5" s="1"/>
  <c r="Z32" i="5"/>
  <c r="X32" i="5"/>
  <c r="W32" i="5"/>
  <c r="Y32" i="5" s="1"/>
  <c r="V32" i="5"/>
  <c r="U32" i="5"/>
  <c r="T32" i="5"/>
  <c r="R32" i="5"/>
  <c r="Q32" i="5"/>
  <c r="S32" i="5" s="1"/>
  <c r="P32" i="5"/>
  <c r="O32" i="5"/>
  <c r="N32" i="5"/>
  <c r="L32" i="5"/>
  <c r="K32" i="5"/>
  <c r="M32" i="5" s="1"/>
  <c r="I32" i="5"/>
  <c r="J32" i="5" s="1"/>
  <c r="H32" i="5"/>
  <c r="F32" i="5"/>
  <c r="E32" i="5"/>
  <c r="G32" i="5" s="1"/>
  <c r="D32" i="5"/>
  <c r="C32" i="5"/>
  <c r="B32" i="5"/>
  <c r="BU31" i="5"/>
  <c r="BT31" i="5"/>
  <c r="BV31" i="5" s="1"/>
  <c r="BQ31" i="5"/>
  <c r="BN31" i="5"/>
  <c r="BL31" i="5"/>
  <c r="BK31" i="5"/>
  <c r="BM31" i="5" s="1"/>
  <c r="BI31" i="5"/>
  <c r="BH31" i="5"/>
  <c r="BF31" i="5"/>
  <c r="BE31" i="5"/>
  <c r="BB31" i="5"/>
  <c r="AY31" i="5"/>
  <c r="AW31" i="5"/>
  <c r="AV31" i="5"/>
  <c r="AT31" i="5"/>
  <c r="AS31" i="5"/>
  <c r="AP31" i="5"/>
  <c r="AM31" i="5"/>
  <c r="AG31" i="5"/>
  <c r="AH31" i="5" s="1"/>
  <c r="AD31" i="5"/>
  <c r="AC31" i="5"/>
  <c r="AE31" i="5" s="1"/>
  <c r="AA31" i="5"/>
  <c r="AB31" i="5" s="1"/>
  <c r="AB38" i="5" s="1"/>
  <c r="H72" i="10" s="1"/>
  <c r="Z31" i="5"/>
  <c r="X31" i="5"/>
  <c r="W31" i="5"/>
  <c r="V31" i="5"/>
  <c r="U31" i="5"/>
  <c r="T31" i="5"/>
  <c r="R31" i="5"/>
  <c r="Q31" i="5"/>
  <c r="S31" i="5" s="1"/>
  <c r="O31" i="5"/>
  <c r="P31" i="5" s="1"/>
  <c r="N31" i="5"/>
  <c r="L31" i="5"/>
  <c r="K31" i="5"/>
  <c r="M31" i="5" s="1"/>
  <c r="J31" i="5"/>
  <c r="I31" i="5"/>
  <c r="H31" i="5"/>
  <c r="F31" i="5"/>
  <c r="E31" i="5"/>
  <c r="C31" i="5"/>
  <c r="D31" i="5" s="1"/>
  <c r="B31" i="5"/>
  <c r="B38" i="5" s="1"/>
  <c r="G88" i="10" s="1"/>
  <c r="BH29" i="5"/>
  <c r="BH41" i="5" s="1"/>
  <c r="BB29" i="5"/>
  <c r="BB41" i="5" s="1"/>
  <c r="AI29" i="5"/>
  <c r="AF29" i="5"/>
  <c r="B29" i="5"/>
  <c r="BK26" i="5"/>
  <c r="G55" i="10" s="1"/>
  <c r="AY26" i="5"/>
  <c r="G56" i="10" s="1"/>
  <c r="AM26" i="5"/>
  <c r="G47" i="10" s="1"/>
  <c r="AF26" i="5"/>
  <c r="W26" i="5"/>
  <c r="G42" i="10" s="1"/>
  <c r="T26" i="5"/>
  <c r="G41" i="10" s="1"/>
  <c r="K26" i="5"/>
  <c r="BU25" i="5"/>
  <c r="BV25" i="5" s="1"/>
  <c r="BT25" i="5"/>
  <c r="BR25" i="5"/>
  <c r="BQ25" i="5"/>
  <c r="BS25" i="5" s="1"/>
  <c r="BO25" i="5"/>
  <c r="BN25" i="5"/>
  <c r="BP25" i="5" s="1"/>
  <c r="BK25" i="5"/>
  <c r="BI25" i="5"/>
  <c r="BH25" i="5"/>
  <c r="BJ25" i="5" s="1"/>
  <c r="BG25" i="5"/>
  <c r="BF25" i="5"/>
  <c r="BE25" i="5"/>
  <c r="BC25" i="5"/>
  <c r="BB25" i="5"/>
  <c r="BA25" i="5"/>
  <c r="AY25" i="5"/>
  <c r="AW25" i="5"/>
  <c r="AV25" i="5"/>
  <c r="AX25" i="5" s="1"/>
  <c r="AS25" i="5"/>
  <c r="AQ25" i="5"/>
  <c r="AP25" i="5"/>
  <c r="AR25" i="5" s="1"/>
  <c r="AO25" i="5"/>
  <c r="AN25" i="5"/>
  <c r="AM25" i="5"/>
  <c r="AG25" i="5"/>
  <c r="AH25" i="5" s="1"/>
  <c r="AE25" i="5"/>
  <c r="AD25" i="5"/>
  <c r="AC25" i="5"/>
  <c r="AA25" i="5"/>
  <c r="Z25" i="5"/>
  <c r="AB25" i="5" s="1"/>
  <c r="Y25" i="5"/>
  <c r="X25" i="5"/>
  <c r="W25" i="5"/>
  <c r="U25" i="5"/>
  <c r="T25" i="5"/>
  <c r="V25" i="5" s="1"/>
  <c r="Q25" i="5"/>
  <c r="O25" i="5"/>
  <c r="N25" i="5"/>
  <c r="P25" i="5" s="1"/>
  <c r="M25" i="5"/>
  <c r="L25" i="5"/>
  <c r="K25" i="5"/>
  <c r="I25" i="5"/>
  <c r="J25" i="5" s="1"/>
  <c r="H25" i="5"/>
  <c r="G25" i="5"/>
  <c r="F25" i="5"/>
  <c r="E25" i="5"/>
  <c r="B25" i="5"/>
  <c r="D25" i="5" s="1"/>
  <c r="BU24" i="5"/>
  <c r="BT24" i="5"/>
  <c r="BV24" i="5" s="1"/>
  <c r="BR24" i="5"/>
  <c r="BQ24" i="5"/>
  <c r="BS24" i="5" s="1"/>
  <c r="BP24" i="5"/>
  <c r="BO24" i="5"/>
  <c r="BN24" i="5"/>
  <c r="BM24" i="5"/>
  <c r="BL24" i="5"/>
  <c r="BK24" i="5"/>
  <c r="BI24" i="5"/>
  <c r="BH24" i="5"/>
  <c r="BJ24" i="5" s="1"/>
  <c r="BF24" i="5"/>
  <c r="BE24" i="5"/>
  <c r="BG24" i="5" s="1"/>
  <c r="BD24" i="5"/>
  <c r="BC24" i="5"/>
  <c r="BB24" i="5"/>
  <c r="BA24" i="5"/>
  <c r="AZ24" i="5"/>
  <c r="AY24" i="5"/>
  <c r="AW24" i="5"/>
  <c r="AV24" i="5"/>
  <c r="AX24" i="5" s="1"/>
  <c r="AT24" i="5"/>
  <c r="AS24" i="5"/>
  <c r="AU24" i="5" s="1"/>
  <c r="AP24" i="5"/>
  <c r="AO24" i="5"/>
  <c r="AN24" i="5"/>
  <c r="AM24" i="5"/>
  <c r="AG24" i="5"/>
  <c r="AH24" i="5" s="1"/>
  <c r="AD24" i="5"/>
  <c r="AC24" i="5"/>
  <c r="AE24" i="5" s="1"/>
  <c r="AB24" i="5"/>
  <c r="AA24" i="5"/>
  <c r="Z24" i="5"/>
  <c r="Y24" i="5"/>
  <c r="X24" i="5"/>
  <c r="W24" i="5"/>
  <c r="U24" i="5"/>
  <c r="T24" i="5"/>
  <c r="V24" i="5" s="1"/>
  <c r="R24" i="5"/>
  <c r="Q24" i="5"/>
  <c r="S24" i="5" s="1"/>
  <c r="N24" i="5"/>
  <c r="M24" i="5"/>
  <c r="L24" i="5"/>
  <c r="K24" i="5"/>
  <c r="I24" i="5"/>
  <c r="H24" i="5"/>
  <c r="J24" i="5" s="1"/>
  <c r="F24" i="5"/>
  <c r="E24" i="5"/>
  <c r="G24" i="5" s="1"/>
  <c r="D24" i="5"/>
  <c r="C24" i="5"/>
  <c r="B24" i="5"/>
  <c r="BV23" i="5"/>
  <c r="BU23" i="5"/>
  <c r="BT23" i="5"/>
  <c r="BR23" i="5"/>
  <c r="BQ23" i="5"/>
  <c r="BS23" i="5" s="1"/>
  <c r="BP23" i="5"/>
  <c r="BO23" i="5"/>
  <c r="BN23" i="5"/>
  <c r="BM23" i="5"/>
  <c r="BL23" i="5"/>
  <c r="BK23" i="5"/>
  <c r="BJ23" i="5"/>
  <c r="BI23" i="5"/>
  <c r="BH23" i="5"/>
  <c r="BF23" i="5"/>
  <c r="BE23" i="5"/>
  <c r="BG23" i="5" s="1"/>
  <c r="BC23" i="5"/>
  <c r="BD23" i="5" s="1"/>
  <c r="BB23" i="5"/>
  <c r="BA23" i="5"/>
  <c r="AZ23" i="5"/>
  <c r="AY23" i="5"/>
  <c r="AX23" i="5"/>
  <c r="AW23" i="5"/>
  <c r="AV23" i="5"/>
  <c r="AT23" i="5"/>
  <c r="AS23" i="5"/>
  <c r="AU23" i="5" s="1"/>
  <c r="AQ23" i="5"/>
  <c r="AR23" i="5" s="1"/>
  <c r="AP23" i="5"/>
  <c r="AO23" i="5"/>
  <c r="AM23" i="5"/>
  <c r="AG23" i="5"/>
  <c r="AH23" i="5" s="1"/>
  <c r="AD23" i="5"/>
  <c r="AC23" i="5"/>
  <c r="AE23" i="5" s="1"/>
  <c r="AA23" i="5"/>
  <c r="Z23" i="5"/>
  <c r="AB23" i="5" s="1"/>
  <c r="Y23" i="5"/>
  <c r="X23" i="5"/>
  <c r="W23" i="5"/>
  <c r="U23" i="5"/>
  <c r="T23" i="5"/>
  <c r="S23" i="5"/>
  <c r="R23" i="5"/>
  <c r="Q23" i="5"/>
  <c r="O23" i="5"/>
  <c r="N23" i="5"/>
  <c r="P23" i="5" s="1"/>
  <c r="K23" i="5"/>
  <c r="I23" i="5"/>
  <c r="H23" i="5"/>
  <c r="J23" i="5" s="1"/>
  <c r="F23" i="5"/>
  <c r="E23" i="5"/>
  <c r="G23" i="5" s="1"/>
  <c r="D23" i="5"/>
  <c r="C23" i="5"/>
  <c r="B23" i="5"/>
  <c r="BT22" i="5"/>
  <c r="BR22" i="5"/>
  <c r="BQ22" i="5"/>
  <c r="BS22" i="5" s="1"/>
  <c r="BO22" i="5"/>
  <c r="BN22" i="5"/>
  <c r="BP22" i="5" s="1"/>
  <c r="BK22" i="5"/>
  <c r="BJ22" i="5"/>
  <c r="BH22" i="5"/>
  <c r="BF22" i="5"/>
  <c r="BE22" i="5"/>
  <c r="BG22" i="5" s="1"/>
  <c r="BC22" i="5"/>
  <c r="BB22" i="5"/>
  <c r="BD22" i="5" s="1"/>
  <c r="BA22" i="5"/>
  <c r="BA26" i="5" s="1"/>
  <c r="H56" i="10" s="1"/>
  <c r="AY22" i="5"/>
  <c r="AW22" i="5"/>
  <c r="AX22" i="5" s="1"/>
  <c r="AV22" i="5"/>
  <c r="AS22" i="5"/>
  <c r="AU22" i="5" s="1"/>
  <c r="AQ22" i="5"/>
  <c r="AP22" i="5"/>
  <c r="AR22" i="5" s="1"/>
  <c r="AO22" i="5"/>
  <c r="AN22" i="5"/>
  <c r="AM22" i="5"/>
  <c r="AH22" i="5"/>
  <c r="AG22" i="5"/>
  <c r="AD22" i="5"/>
  <c r="AC22" i="5"/>
  <c r="AE22" i="5" s="1"/>
  <c r="AB22" i="5"/>
  <c r="AA22" i="5"/>
  <c r="Z22" i="5"/>
  <c r="Y22" i="5"/>
  <c r="X22" i="5"/>
  <c r="W22" i="5"/>
  <c r="U22" i="5"/>
  <c r="V22" i="5" s="1"/>
  <c r="T22" i="5"/>
  <c r="R22" i="5"/>
  <c r="Q22" i="5"/>
  <c r="S22" i="5" s="1"/>
  <c r="O22" i="5"/>
  <c r="P22" i="5" s="1"/>
  <c r="N22" i="5"/>
  <c r="K22" i="5"/>
  <c r="I22" i="5"/>
  <c r="H22" i="5"/>
  <c r="G22" i="5"/>
  <c r="F22" i="5"/>
  <c r="E22" i="5"/>
  <c r="C22" i="5"/>
  <c r="B22" i="5"/>
  <c r="D22" i="5" s="1"/>
  <c r="BU21" i="5"/>
  <c r="BT21" i="5"/>
  <c r="BV21" i="5" s="1"/>
  <c r="BR21" i="5"/>
  <c r="BS21" i="5" s="1"/>
  <c r="BQ21" i="5"/>
  <c r="BO21" i="5"/>
  <c r="BN21" i="5"/>
  <c r="BP21" i="5" s="1"/>
  <c r="BK21" i="5"/>
  <c r="BI21" i="5"/>
  <c r="BJ21" i="5" s="1"/>
  <c r="BH21" i="5"/>
  <c r="BF21" i="5"/>
  <c r="BE21" i="5"/>
  <c r="BG21" i="5" s="1"/>
  <c r="BD21" i="5"/>
  <c r="BC21" i="5"/>
  <c r="BB21" i="5"/>
  <c r="BA21" i="5"/>
  <c r="AY21" i="5"/>
  <c r="AW21" i="5"/>
  <c r="AV21" i="5"/>
  <c r="AX21" i="5" s="1"/>
  <c r="AS21" i="5"/>
  <c r="AR21" i="5"/>
  <c r="AQ21" i="5"/>
  <c r="AP21" i="5"/>
  <c r="AO21" i="5"/>
  <c r="AN21" i="5"/>
  <c r="AM21" i="5"/>
  <c r="AG21" i="5"/>
  <c r="AH21" i="5" s="1"/>
  <c r="AD21" i="5"/>
  <c r="AC21" i="5"/>
  <c r="AE21" i="5" s="1"/>
  <c r="AB21" i="5"/>
  <c r="AA21" i="5"/>
  <c r="Z21" i="5"/>
  <c r="Y21" i="5"/>
  <c r="X21" i="5"/>
  <c r="W21" i="5"/>
  <c r="V21" i="5"/>
  <c r="U21" i="5"/>
  <c r="T21" i="5"/>
  <c r="Q21" i="5"/>
  <c r="P21" i="5"/>
  <c r="O21" i="5"/>
  <c r="N21" i="5"/>
  <c r="M21" i="5"/>
  <c r="L21" i="5"/>
  <c r="K21" i="5"/>
  <c r="I21" i="5"/>
  <c r="H21" i="5"/>
  <c r="F21" i="5"/>
  <c r="E21" i="5"/>
  <c r="G21" i="5" s="1"/>
  <c r="D21" i="5"/>
  <c r="C21" i="5"/>
  <c r="B21" i="5"/>
  <c r="BU20" i="5"/>
  <c r="BT20" i="5"/>
  <c r="BV20" i="5" s="1"/>
  <c r="BR20" i="5"/>
  <c r="BQ20" i="5"/>
  <c r="BS20" i="5" s="1"/>
  <c r="BP20" i="5"/>
  <c r="BO20" i="5"/>
  <c r="BN20" i="5"/>
  <c r="BM20" i="5"/>
  <c r="BL20" i="5"/>
  <c r="BK20" i="5"/>
  <c r="BI20" i="5"/>
  <c r="BH20" i="5"/>
  <c r="BJ20" i="5" s="1"/>
  <c r="BF20" i="5"/>
  <c r="BE20" i="5"/>
  <c r="BG20" i="5" s="1"/>
  <c r="BC20" i="5"/>
  <c r="BD20" i="5" s="1"/>
  <c r="BB20" i="5"/>
  <c r="BA20" i="5"/>
  <c r="AZ20" i="5"/>
  <c r="AY20" i="5"/>
  <c r="AV20" i="5"/>
  <c r="AS20" i="5"/>
  <c r="AQ20" i="5"/>
  <c r="AP20" i="5"/>
  <c r="AR20" i="5" s="1"/>
  <c r="AO20" i="5"/>
  <c r="AN20" i="5"/>
  <c r="AM20" i="5"/>
  <c r="AG20" i="5"/>
  <c r="AH20" i="5" s="1"/>
  <c r="AD20" i="5"/>
  <c r="AC20" i="5"/>
  <c r="AE20" i="5" s="1"/>
  <c r="AA20" i="5"/>
  <c r="Z20" i="5"/>
  <c r="Z26" i="5" s="1"/>
  <c r="G43" i="10" s="1"/>
  <c r="Y20" i="5"/>
  <c r="X20" i="5"/>
  <c r="W20" i="5"/>
  <c r="U20" i="5"/>
  <c r="T20" i="5"/>
  <c r="V20" i="5" s="1"/>
  <c r="R20" i="5"/>
  <c r="Q20" i="5"/>
  <c r="S20" i="5" s="1"/>
  <c r="O20" i="5"/>
  <c r="N20" i="5"/>
  <c r="P20" i="5" s="1"/>
  <c r="M20" i="5"/>
  <c r="L20" i="5"/>
  <c r="K20" i="5"/>
  <c r="I20" i="5"/>
  <c r="H20" i="5"/>
  <c r="J20" i="5" s="1"/>
  <c r="F20" i="5"/>
  <c r="E20" i="5"/>
  <c r="G20" i="5" s="1"/>
  <c r="C20" i="5"/>
  <c r="B20" i="5"/>
  <c r="D20" i="5" s="1"/>
  <c r="BT19" i="5"/>
  <c r="BR19" i="5"/>
  <c r="BS19" i="5" s="1"/>
  <c r="BQ19" i="5"/>
  <c r="BO19" i="5"/>
  <c r="BN19" i="5"/>
  <c r="BN26" i="5" s="1"/>
  <c r="G54" i="10" s="1"/>
  <c r="BM19" i="5"/>
  <c r="BL19" i="5"/>
  <c r="BK19" i="5"/>
  <c r="BI19" i="5"/>
  <c r="BH19" i="5"/>
  <c r="BF19" i="5"/>
  <c r="BE19" i="5"/>
  <c r="BB19" i="5"/>
  <c r="BA19" i="5"/>
  <c r="AZ19" i="5"/>
  <c r="AY19" i="5"/>
  <c r="AW19" i="5"/>
  <c r="AV19" i="5"/>
  <c r="AX19" i="5" s="1"/>
  <c r="AT19" i="5"/>
  <c r="AS19" i="5"/>
  <c r="AU19" i="5" s="1"/>
  <c r="AP19" i="5"/>
  <c r="AM19" i="5"/>
  <c r="AG19" i="5"/>
  <c r="AH19" i="5" s="1"/>
  <c r="AD19" i="5"/>
  <c r="AC19" i="5"/>
  <c r="AE19" i="5" s="1"/>
  <c r="Z19" i="5"/>
  <c r="Y19" i="5"/>
  <c r="Y26" i="5" s="1"/>
  <c r="H42" i="10" s="1"/>
  <c r="X19" i="5"/>
  <c r="W19" i="5"/>
  <c r="V19" i="5"/>
  <c r="U19" i="5"/>
  <c r="T19" i="5"/>
  <c r="R19" i="5"/>
  <c r="Q19" i="5"/>
  <c r="O19" i="5"/>
  <c r="P19" i="5" s="1"/>
  <c r="P26" i="5" s="1"/>
  <c r="H39" i="10" s="1"/>
  <c r="N19" i="5"/>
  <c r="M19" i="5"/>
  <c r="L19" i="5"/>
  <c r="K19" i="5"/>
  <c r="J19" i="5"/>
  <c r="I19" i="5"/>
  <c r="H19" i="5"/>
  <c r="F19" i="5"/>
  <c r="E19" i="5"/>
  <c r="C19" i="5"/>
  <c r="B19" i="5"/>
  <c r="BT17" i="5"/>
  <c r="BT29" i="5" s="1"/>
  <c r="BT41" i="5" s="1"/>
  <c r="BE17" i="5"/>
  <c r="BB17" i="5"/>
  <c r="AI17" i="5"/>
  <c r="AF17" i="5"/>
  <c r="B17" i="5"/>
  <c r="BQ14" i="5"/>
  <c r="G20" i="10" s="1"/>
  <c r="AF14" i="5"/>
  <c r="AC14" i="5"/>
  <c r="G15" i="10" s="1"/>
  <c r="H14" i="5"/>
  <c r="BU13" i="5"/>
  <c r="BT13" i="5"/>
  <c r="BV13" i="5" s="1"/>
  <c r="BQ13" i="5"/>
  <c r="BN13" i="5"/>
  <c r="BL13" i="5"/>
  <c r="BM13" i="5" s="1"/>
  <c r="BK13" i="5"/>
  <c r="BI13" i="5"/>
  <c r="BH13" i="5"/>
  <c r="BF13" i="5"/>
  <c r="BE13" i="5"/>
  <c r="BG13" i="5" s="1"/>
  <c r="BB13" i="5"/>
  <c r="AY13" i="5"/>
  <c r="AW13" i="5"/>
  <c r="AV13" i="5"/>
  <c r="AT13" i="5"/>
  <c r="AS13" i="5"/>
  <c r="AU13" i="5" s="1"/>
  <c r="AQ13" i="5"/>
  <c r="AR13" i="5" s="1"/>
  <c r="AP13" i="5"/>
  <c r="AM13" i="5"/>
  <c r="AG13" i="5"/>
  <c r="AH13" i="5" s="1"/>
  <c r="AE13" i="5"/>
  <c r="AD13" i="5"/>
  <c r="AC13" i="5"/>
  <c r="AA13" i="5"/>
  <c r="Z13" i="5"/>
  <c r="AB13" i="5" s="1"/>
  <c r="Y13" i="5"/>
  <c r="X13" i="5"/>
  <c r="W13" i="5"/>
  <c r="U13" i="5"/>
  <c r="T13" i="5"/>
  <c r="V13" i="5" s="1"/>
  <c r="Q13" i="5"/>
  <c r="O13" i="5"/>
  <c r="N13" i="5"/>
  <c r="P13" i="5" s="1"/>
  <c r="L13" i="5"/>
  <c r="M13" i="5" s="1"/>
  <c r="K13" i="5"/>
  <c r="I13" i="5"/>
  <c r="H13" i="5"/>
  <c r="F13" i="5"/>
  <c r="G13" i="5" s="1"/>
  <c r="E13" i="5"/>
  <c r="C13" i="5"/>
  <c r="B13" i="5"/>
  <c r="D13" i="5" s="1"/>
  <c r="BU12" i="5"/>
  <c r="BT12" i="5"/>
  <c r="BV12" i="5" s="1"/>
  <c r="BQ12" i="5"/>
  <c r="BN12" i="5"/>
  <c r="BL12" i="5"/>
  <c r="BM12" i="5" s="1"/>
  <c r="BK12" i="5"/>
  <c r="BI12" i="5"/>
  <c r="BH12" i="5"/>
  <c r="BJ12" i="5" s="1"/>
  <c r="BF12" i="5"/>
  <c r="BE12" i="5"/>
  <c r="BG12" i="5" s="1"/>
  <c r="BC12" i="5"/>
  <c r="BD12" i="5" s="1"/>
  <c r="BB12" i="5"/>
  <c r="AY12" i="5"/>
  <c r="AW12" i="5"/>
  <c r="AV12" i="5"/>
  <c r="AX12" i="5" s="1"/>
  <c r="AT12" i="5"/>
  <c r="AS12" i="5"/>
  <c r="AU12" i="5" s="1"/>
  <c r="AQ12" i="5"/>
  <c r="AP12" i="5"/>
  <c r="AR12" i="5" s="1"/>
  <c r="AM12" i="5"/>
  <c r="AG12" i="5"/>
  <c r="AH12" i="5" s="1"/>
  <c r="AD12" i="5"/>
  <c r="AC12" i="5"/>
  <c r="AE12" i="5" s="1"/>
  <c r="AA12" i="5"/>
  <c r="Z12" i="5"/>
  <c r="Y12" i="5"/>
  <c r="X12" i="5"/>
  <c r="W12" i="5"/>
  <c r="U12" i="5"/>
  <c r="T12" i="5"/>
  <c r="V12" i="5" s="1"/>
  <c r="S12" i="5"/>
  <c r="R12" i="5"/>
  <c r="Q12" i="5"/>
  <c r="O12" i="5"/>
  <c r="N12" i="5"/>
  <c r="P12" i="5" s="1"/>
  <c r="M12" i="5"/>
  <c r="L12" i="5"/>
  <c r="K12" i="5"/>
  <c r="I12" i="5"/>
  <c r="H12" i="5"/>
  <c r="J12" i="5" s="1"/>
  <c r="F12" i="5"/>
  <c r="E12" i="5"/>
  <c r="G12" i="5" s="1"/>
  <c r="C12" i="5"/>
  <c r="B12" i="5"/>
  <c r="D12" i="5" s="1"/>
  <c r="BU11" i="5"/>
  <c r="BT11" i="5"/>
  <c r="BR11" i="5"/>
  <c r="BQ11" i="5"/>
  <c r="BS11" i="5" s="1"/>
  <c r="BO11" i="5"/>
  <c r="BN11" i="5"/>
  <c r="BP11" i="5" s="1"/>
  <c r="BK11" i="5"/>
  <c r="BI11" i="5"/>
  <c r="BH11" i="5"/>
  <c r="BJ11" i="5" s="1"/>
  <c r="BG11" i="5"/>
  <c r="BF11" i="5"/>
  <c r="BE11" i="5"/>
  <c r="BC11" i="5"/>
  <c r="BB11" i="5"/>
  <c r="BD11" i="5" s="1"/>
  <c r="BA11" i="5"/>
  <c r="AZ11" i="5"/>
  <c r="AY11" i="5"/>
  <c r="AV11" i="5"/>
  <c r="AU11" i="5"/>
  <c r="AT11" i="5"/>
  <c r="AS11" i="5"/>
  <c r="AQ11" i="5"/>
  <c r="AP11" i="5"/>
  <c r="AR11" i="5" s="1"/>
  <c r="AM11" i="5"/>
  <c r="AH11" i="5"/>
  <c r="AG11" i="5"/>
  <c r="AD11" i="5"/>
  <c r="AE11" i="5" s="1"/>
  <c r="AC11" i="5"/>
  <c r="AA11" i="5"/>
  <c r="Z11" i="5"/>
  <c r="AB11" i="5" s="1"/>
  <c r="X11" i="5"/>
  <c r="Y11" i="5" s="1"/>
  <c r="W11" i="5"/>
  <c r="U11" i="5"/>
  <c r="T11" i="5"/>
  <c r="V11" i="5" s="1"/>
  <c r="S11" i="5"/>
  <c r="R11" i="5"/>
  <c r="Q11" i="5"/>
  <c r="N11" i="5"/>
  <c r="L11" i="5"/>
  <c r="M11" i="5" s="1"/>
  <c r="K11" i="5"/>
  <c r="I11" i="5"/>
  <c r="H11" i="5"/>
  <c r="J11" i="5" s="1"/>
  <c r="F11" i="5"/>
  <c r="E11" i="5"/>
  <c r="G11" i="5" s="1"/>
  <c r="D11" i="5"/>
  <c r="C11" i="5"/>
  <c r="B11" i="5"/>
  <c r="BU10" i="5"/>
  <c r="BT10" i="5"/>
  <c r="BV10" i="5" s="1"/>
  <c r="BR10" i="5"/>
  <c r="BQ10" i="5"/>
  <c r="BS10" i="5" s="1"/>
  <c r="BO10" i="5"/>
  <c r="BN10" i="5"/>
  <c r="BP10" i="5" s="1"/>
  <c r="BK10" i="5"/>
  <c r="BH10" i="5"/>
  <c r="BJ10" i="5" s="1"/>
  <c r="BG10" i="5"/>
  <c r="BF10" i="5"/>
  <c r="BE10" i="5"/>
  <c r="BC10" i="5"/>
  <c r="BB10" i="5"/>
  <c r="BD10" i="5" s="1"/>
  <c r="BA10" i="5"/>
  <c r="AZ10" i="5"/>
  <c r="AY10" i="5"/>
  <c r="AV10" i="5"/>
  <c r="AT10" i="5"/>
  <c r="AS10" i="5"/>
  <c r="AU10" i="5" s="1"/>
  <c r="AQ10" i="5"/>
  <c r="AP10" i="5"/>
  <c r="AR10" i="5" s="1"/>
  <c r="AN10" i="5"/>
  <c r="AO10" i="5" s="1"/>
  <c r="AM10" i="5"/>
  <c r="AG10" i="5"/>
  <c r="AH10" i="5" s="1"/>
  <c r="AD10" i="5"/>
  <c r="AC10" i="5"/>
  <c r="AE10" i="5" s="1"/>
  <c r="AA10" i="5"/>
  <c r="Z10" i="5"/>
  <c r="AB10" i="5" s="1"/>
  <c r="X10" i="5"/>
  <c r="W10" i="5"/>
  <c r="W14" i="5" s="1"/>
  <c r="G13" i="10" s="1"/>
  <c r="U10" i="5"/>
  <c r="T10" i="5"/>
  <c r="Q10" i="5"/>
  <c r="S10" i="5" s="1"/>
  <c r="O10" i="5"/>
  <c r="N10" i="5"/>
  <c r="P10" i="5" s="1"/>
  <c r="L10" i="5"/>
  <c r="K10" i="5"/>
  <c r="M10" i="5" s="1"/>
  <c r="I10" i="5"/>
  <c r="H10" i="5"/>
  <c r="F10" i="5"/>
  <c r="E10" i="5"/>
  <c r="G10" i="5" s="1"/>
  <c r="C10" i="5"/>
  <c r="D10" i="5" s="1"/>
  <c r="B10" i="5"/>
  <c r="BU9" i="5"/>
  <c r="BT9" i="5"/>
  <c r="BV9" i="5" s="1"/>
  <c r="BS9" i="5"/>
  <c r="BR9" i="5"/>
  <c r="BQ9" i="5"/>
  <c r="BO9" i="5"/>
  <c r="BN9" i="5"/>
  <c r="BP9" i="5" s="1"/>
  <c r="BK9" i="5"/>
  <c r="BH9" i="5"/>
  <c r="BG9" i="5"/>
  <c r="BF9" i="5"/>
  <c r="BE9" i="5"/>
  <c r="BC9" i="5"/>
  <c r="BB9" i="5"/>
  <c r="BD9" i="5" s="1"/>
  <c r="AZ9" i="5"/>
  <c r="AY9" i="5"/>
  <c r="BA9" i="5" s="1"/>
  <c r="AW9" i="5"/>
  <c r="AV9" i="5"/>
  <c r="AT9" i="5"/>
  <c r="AU9" i="5" s="1"/>
  <c r="AS9" i="5"/>
  <c r="AQ9" i="5"/>
  <c r="AP9" i="5"/>
  <c r="AR9" i="5" s="1"/>
  <c r="AN9" i="5"/>
  <c r="AM9" i="5"/>
  <c r="AO9" i="5" s="1"/>
  <c r="AG9" i="5"/>
  <c r="AH9" i="5" s="1"/>
  <c r="AD9" i="5"/>
  <c r="AE9" i="5" s="1"/>
  <c r="AC9" i="5"/>
  <c r="AB9" i="5"/>
  <c r="AA9" i="5"/>
  <c r="Z9" i="5"/>
  <c r="X9" i="5"/>
  <c r="W9" i="5"/>
  <c r="U9" i="5"/>
  <c r="T9" i="5"/>
  <c r="V9" i="5" s="1"/>
  <c r="R9" i="5"/>
  <c r="Q9" i="5"/>
  <c r="S9" i="5" s="1"/>
  <c r="P9" i="5"/>
  <c r="O9" i="5"/>
  <c r="N9" i="5"/>
  <c r="L9" i="5"/>
  <c r="K9" i="5"/>
  <c r="M9" i="5" s="1"/>
  <c r="H9" i="5"/>
  <c r="F9" i="5"/>
  <c r="E9" i="5"/>
  <c r="G9" i="5" s="1"/>
  <c r="C9" i="5"/>
  <c r="D9" i="5" s="1"/>
  <c r="B9" i="5"/>
  <c r="BU8" i="5"/>
  <c r="BT8" i="5"/>
  <c r="BV8" i="5" s="1"/>
  <c r="BS8" i="5"/>
  <c r="BR8" i="5"/>
  <c r="BQ8" i="5"/>
  <c r="BN8" i="5"/>
  <c r="BM8" i="5"/>
  <c r="BL8" i="5"/>
  <c r="BK8" i="5"/>
  <c r="BI8" i="5"/>
  <c r="BH8" i="5"/>
  <c r="BJ8" i="5" s="1"/>
  <c r="BF8" i="5"/>
  <c r="BE8" i="5"/>
  <c r="BE14" i="5" s="1"/>
  <c r="BC8" i="5"/>
  <c r="BB8" i="5"/>
  <c r="BD8" i="5" s="1"/>
  <c r="BA8" i="5"/>
  <c r="AZ8" i="5"/>
  <c r="AY8" i="5"/>
  <c r="AW8" i="5"/>
  <c r="AV8" i="5"/>
  <c r="AX8" i="5" s="1"/>
  <c r="AT8" i="5"/>
  <c r="AS8" i="5"/>
  <c r="AR8" i="5"/>
  <c r="AQ8" i="5"/>
  <c r="AP8" i="5"/>
  <c r="AN8" i="5"/>
  <c r="AO8" i="5" s="1"/>
  <c r="AM8" i="5"/>
  <c r="AG8" i="5"/>
  <c r="AH8" i="5" s="1"/>
  <c r="AC8" i="5"/>
  <c r="AA8" i="5"/>
  <c r="Z8" i="5"/>
  <c r="Z14" i="5" s="1"/>
  <c r="Y8" i="5"/>
  <c r="X8" i="5"/>
  <c r="W8" i="5"/>
  <c r="U8" i="5"/>
  <c r="T8" i="5"/>
  <c r="R8" i="5"/>
  <c r="Q8" i="5"/>
  <c r="S8" i="5" s="1"/>
  <c r="N8" i="5"/>
  <c r="L8" i="5"/>
  <c r="K8" i="5"/>
  <c r="I8" i="5"/>
  <c r="H8" i="5"/>
  <c r="F8" i="5"/>
  <c r="E8" i="5"/>
  <c r="G8" i="5" s="1"/>
  <c r="C8" i="5"/>
  <c r="B8" i="5"/>
  <c r="D8" i="5" s="1"/>
  <c r="BU7" i="5"/>
  <c r="BT7" i="5"/>
  <c r="BS7" i="5"/>
  <c r="BR7" i="5"/>
  <c r="BQ7" i="5"/>
  <c r="BN7" i="5"/>
  <c r="BL7" i="5"/>
  <c r="BK7" i="5"/>
  <c r="BK14" i="5" s="1"/>
  <c r="BI7" i="5"/>
  <c r="BH7" i="5"/>
  <c r="BG7" i="5"/>
  <c r="BF7" i="5"/>
  <c r="BE7" i="5"/>
  <c r="BC7" i="5"/>
  <c r="BB7" i="5"/>
  <c r="AZ7" i="5"/>
  <c r="AY7" i="5"/>
  <c r="AW7" i="5"/>
  <c r="AV7" i="5"/>
  <c r="AT7" i="5"/>
  <c r="AU7" i="5" s="1"/>
  <c r="AS7" i="5"/>
  <c r="AQ7" i="5"/>
  <c r="AP7" i="5"/>
  <c r="AN7" i="5"/>
  <c r="AM7" i="5"/>
  <c r="AM14" i="5" s="1"/>
  <c r="AH7" i="5"/>
  <c r="AD7" i="5"/>
  <c r="AC7" i="5"/>
  <c r="AE7" i="5" s="1"/>
  <c r="AB7" i="5"/>
  <c r="AA7" i="5"/>
  <c r="Z7" i="5"/>
  <c r="X7" i="5"/>
  <c r="W7" i="5"/>
  <c r="U7" i="5"/>
  <c r="T7" i="5"/>
  <c r="S7" i="5"/>
  <c r="R7" i="5"/>
  <c r="Q7" i="5"/>
  <c r="P7" i="5"/>
  <c r="O7" i="5"/>
  <c r="N7" i="5"/>
  <c r="L7" i="5"/>
  <c r="K7" i="5"/>
  <c r="I7" i="5"/>
  <c r="H7" i="5"/>
  <c r="J7" i="5" s="1"/>
  <c r="F7" i="5"/>
  <c r="E7" i="5"/>
  <c r="E14" i="5" s="1"/>
  <c r="D7" i="5"/>
  <c r="C7" i="5"/>
  <c r="B7" i="5"/>
  <c r="BT5" i="5"/>
  <c r="BQ5" i="5"/>
  <c r="BQ17" i="5" s="1"/>
  <c r="BQ29" i="5" s="1"/>
  <c r="BQ41" i="5" s="1"/>
  <c r="BH5" i="5"/>
  <c r="BH17" i="5" s="1"/>
  <c r="AM5" i="5"/>
  <c r="K5" i="5"/>
  <c r="K17" i="5" s="1"/>
  <c r="K29" i="5" s="1"/>
  <c r="K41" i="5" s="1"/>
  <c r="H5" i="5"/>
  <c r="E5" i="5"/>
  <c r="E1" i="5"/>
  <c r="AF53" i="4"/>
  <c r="BU52" i="4"/>
  <c r="BT52" i="4"/>
  <c r="BV52" i="4" s="1"/>
  <c r="BR52" i="4"/>
  <c r="BO52" i="4"/>
  <c r="BN52" i="4"/>
  <c r="BP52" i="4" s="1"/>
  <c r="BL52" i="4"/>
  <c r="BK52" i="4"/>
  <c r="BM52" i="4" s="1"/>
  <c r="BI52" i="4"/>
  <c r="BH52" i="4"/>
  <c r="BJ52" i="4" s="1"/>
  <c r="BF52" i="4"/>
  <c r="BG52" i="4" s="1"/>
  <c r="BE52" i="4"/>
  <c r="BC52" i="4"/>
  <c r="BB52" i="4"/>
  <c r="BD52" i="4" s="1"/>
  <c r="AZ52" i="4"/>
  <c r="AX52" i="4"/>
  <c r="AW52" i="4"/>
  <c r="AV52" i="4"/>
  <c r="AS52" i="4"/>
  <c r="AQ52" i="4"/>
  <c r="AP52" i="4"/>
  <c r="AR52" i="4" s="1"/>
  <c r="AN52" i="4"/>
  <c r="AO52" i="4" s="1"/>
  <c r="AM52" i="4"/>
  <c r="AH52" i="4"/>
  <c r="AG52" i="4"/>
  <c r="AD52" i="4"/>
  <c r="AE52" i="4" s="1"/>
  <c r="AC52" i="4"/>
  <c r="AA52" i="4"/>
  <c r="Z52" i="4"/>
  <c r="AB52" i="4" s="1"/>
  <c r="W52" i="4"/>
  <c r="U52" i="4"/>
  <c r="V52" i="4" s="1"/>
  <c r="T52" i="4"/>
  <c r="R52" i="4"/>
  <c r="O52" i="4"/>
  <c r="N52" i="4"/>
  <c r="P52" i="4" s="1"/>
  <c r="L52" i="4"/>
  <c r="K52" i="4"/>
  <c r="M52" i="4" s="1"/>
  <c r="I52" i="4"/>
  <c r="H52" i="4"/>
  <c r="J52" i="4" s="1"/>
  <c r="F52" i="4"/>
  <c r="G52" i="4" s="1"/>
  <c r="E52" i="4"/>
  <c r="C52" i="4"/>
  <c r="BU51" i="4"/>
  <c r="BT51" i="4"/>
  <c r="BV51" i="4" s="1"/>
  <c r="BR51" i="4"/>
  <c r="BS51" i="4" s="1"/>
  <c r="BQ51" i="4"/>
  <c r="BN51" i="4"/>
  <c r="BL51" i="4"/>
  <c r="BK51" i="4"/>
  <c r="BM51" i="4" s="1"/>
  <c r="BI51" i="4"/>
  <c r="BH51" i="4"/>
  <c r="BJ51" i="4" s="1"/>
  <c r="BF51" i="4"/>
  <c r="BG51" i="4" s="1"/>
  <c r="BE51" i="4"/>
  <c r="BB51" i="4"/>
  <c r="BA51" i="4"/>
  <c r="AZ51" i="4"/>
  <c r="AY51" i="4"/>
  <c r="AW51" i="4"/>
  <c r="AV51" i="4"/>
  <c r="AX51" i="4" s="1"/>
  <c r="AT51" i="4"/>
  <c r="AP51" i="4"/>
  <c r="AN51" i="4"/>
  <c r="AM51" i="4"/>
  <c r="AO51" i="4" s="1"/>
  <c r="AH51" i="4"/>
  <c r="AG51" i="4"/>
  <c r="AD51" i="4"/>
  <c r="AE51" i="4" s="1"/>
  <c r="AC51" i="4"/>
  <c r="AA51" i="4"/>
  <c r="Z51" i="4"/>
  <c r="AB51" i="4" s="1"/>
  <c r="W51" i="4"/>
  <c r="U51" i="4"/>
  <c r="V51" i="4" s="1"/>
  <c r="T51" i="4"/>
  <c r="R51" i="4"/>
  <c r="S51" i="4" s="1"/>
  <c r="Q51" i="4"/>
  <c r="O51" i="4"/>
  <c r="N51" i="4"/>
  <c r="P51" i="4" s="1"/>
  <c r="L51" i="4"/>
  <c r="K51" i="4"/>
  <c r="M51" i="4" s="1"/>
  <c r="I51" i="4"/>
  <c r="H51" i="4"/>
  <c r="J51" i="4" s="1"/>
  <c r="F51" i="4"/>
  <c r="C51" i="4"/>
  <c r="B51" i="4"/>
  <c r="D51" i="4" s="1"/>
  <c r="BU50" i="4"/>
  <c r="BR50" i="4"/>
  <c r="BS50" i="4" s="1"/>
  <c r="BQ50" i="4"/>
  <c r="BN50" i="4"/>
  <c r="BL50" i="4"/>
  <c r="BK50" i="4"/>
  <c r="BM50" i="4" s="1"/>
  <c r="BI50" i="4"/>
  <c r="BH50" i="4"/>
  <c r="BJ50" i="4" s="1"/>
  <c r="BG50" i="4"/>
  <c r="BF50" i="4"/>
  <c r="BE50" i="4"/>
  <c r="BB50" i="4"/>
  <c r="AW50" i="4"/>
  <c r="AV50" i="4"/>
  <c r="AX50" i="4" s="1"/>
  <c r="AT50" i="4"/>
  <c r="AU50" i="4" s="1"/>
  <c r="AS50" i="4"/>
  <c r="AQ50" i="4"/>
  <c r="AP50" i="4"/>
  <c r="AR50" i="4" s="1"/>
  <c r="AM50" i="4"/>
  <c r="AG50" i="4"/>
  <c r="AH50" i="4" s="1"/>
  <c r="AD50" i="4"/>
  <c r="AE50" i="4" s="1"/>
  <c r="AC50" i="4"/>
  <c r="Z50" i="4"/>
  <c r="W50" i="4"/>
  <c r="U50" i="4"/>
  <c r="T50" i="4"/>
  <c r="V50" i="4" s="1"/>
  <c r="R50" i="4"/>
  <c r="S50" i="4" s="1"/>
  <c r="Q50" i="4"/>
  <c r="O50" i="4"/>
  <c r="N50" i="4"/>
  <c r="P50" i="4" s="1"/>
  <c r="L50" i="4"/>
  <c r="K50" i="4"/>
  <c r="M50" i="4" s="1"/>
  <c r="J50" i="4"/>
  <c r="I50" i="4"/>
  <c r="H50" i="4"/>
  <c r="F50" i="4"/>
  <c r="G50" i="4" s="1"/>
  <c r="E50" i="4"/>
  <c r="C50" i="4"/>
  <c r="BU49" i="4"/>
  <c r="BV49" i="4" s="1"/>
  <c r="BT49" i="4"/>
  <c r="BR49" i="4"/>
  <c r="BS49" i="4" s="1"/>
  <c r="BQ49" i="4"/>
  <c r="BO49" i="4"/>
  <c r="BN49" i="4"/>
  <c r="BP49" i="4" s="1"/>
  <c r="BL49" i="4"/>
  <c r="BI49" i="4"/>
  <c r="BH49" i="4"/>
  <c r="BJ49" i="4" s="1"/>
  <c r="BG49" i="4"/>
  <c r="BF49" i="4"/>
  <c r="BE49" i="4"/>
  <c r="BC49" i="4"/>
  <c r="BB49" i="4"/>
  <c r="BD49" i="4" s="1"/>
  <c r="AZ49" i="4"/>
  <c r="BA49" i="4" s="1"/>
  <c r="AY49" i="4"/>
  <c r="AW49" i="4"/>
  <c r="AV49" i="4"/>
  <c r="AX49" i="4" s="1"/>
  <c r="AU49" i="4"/>
  <c r="AT49" i="4"/>
  <c r="AS49" i="4"/>
  <c r="AQ49" i="4"/>
  <c r="AP49" i="4"/>
  <c r="AR49" i="4" s="1"/>
  <c r="AO49" i="4"/>
  <c r="AN49" i="4"/>
  <c r="AM49" i="4"/>
  <c r="AG49" i="4"/>
  <c r="AH49" i="4" s="1"/>
  <c r="AD49" i="4"/>
  <c r="AE49" i="4" s="1"/>
  <c r="AC49" i="4"/>
  <c r="Z49" i="4"/>
  <c r="W49" i="4"/>
  <c r="U49" i="4"/>
  <c r="T49" i="4"/>
  <c r="V49" i="4" s="1"/>
  <c r="S49" i="4"/>
  <c r="R49" i="4"/>
  <c r="Q49" i="4"/>
  <c r="N49" i="4"/>
  <c r="L49" i="4"/>
  <c r="K49" i="4"/>
  <c r="M49" i="4" s="1"/>
  <c r="I49" i="4"/>
  <c r="H49" i="4"/>
  <c r="J49" i="4" s="1"/>
  <c r="F49" i="4"/>
  <c r="G49" i="4" s="1"/>
  <c r="E49" i="4"/>
  <c r="C49" i="4"/>
  <c r="B49" i="4"/>
  <c r="D49" i="4" s="1"/>
  <c r="BU48" i="4"/>
  <c r="BT48" i="4"/>
  <c r="BV48" i="4" s="1"/>
  <c r="BR48" i="4"/>
  <c r="BS48" i="4" s="1"/>
  <c r="BQ48" i="4"/>
  <c r="BO48" i="4"/>
  <c r="BN48" i="4"/>
  <c r="BP48" i="4" s="1"/>
  <c r="BL48" i="4"/>
  <c r="BM48" i="4" s="1"/>
  <c r="BK48" i="4"/>
  <c r="BI48" i="4"/>
  <c r="BH48" i="4"/>
  <c r="BJ48" i="4" s="1"/>
  <c r="BF48" i="4"/>
  <c r="BG48" i="4" s="1"/>
  <c r="BE48" i="4"/>
  <c r="BC48" i="4"/>
  <c r="BB48" i="4"/>
  <c r="BD48" i="4" s="1"/>
  <c r="AZ48" i="4"/>
  <c r="AY48" i="4"/>
  <c r="BA48" i="4" s="1"/>
  <c r="AW48" i="4"/>
  <c r="AV48" i="4"/>
  <c r="AX48" i="4" s="1"/>
  <c r="AT48" i="4"/>
  <c r="AU48" i="4" s="1"/>
  <c r="AS48" i="4"/>
  <c r="AQ48" i="4"/>
  <c r="AP48" i="4"/>
  <c r="AR48" i="4" s="1"/>
  <c r="AM48" i="4"/>
  <c r="AH48" i="4"/>
  <c r="AG48" i="4"/>
  <c r="AD48" i="4"/>
  <c r="AE48" i="4" s="1"/>
  <c r="AC48" i="4"/>
  <c r="Z48" i="4"/>
  <c r="W48" i="4"/>
  <c r="U48" i="4"/>
  <c r="T48" i="4"/>
  <c r="V48" i="4" s="1"/>
  <c r="S48" i="4"/>
  <c r="R48" i="4"/>
  <c r="Q48" i="4"/>
  <c r="O48" i="4"/>
  <c r="N48" i="4"/>
  <c r="P48" i="4" s="1"/>
  <c r="M48" i="4"/>
  <c r="L48" i="4"/>
  <c r="K48" i="4"/>
  <c r="I48" i="4"/>
  <c r="H48" i="4"/>
  <c r="J48" i="4" s="1"/>
  <c r="G48" i="4"/>
  <c r="F48" i="4"/>
  <c r="E48" i="4"/>
  <c r="C48" i="4"/>
  <c r="B48" i="4"/>
  <c r="D48" i="4" s="1"/>
  <c r="BU47" i="4"/>
  <c r="BT47" i="4"/>
  <c r="BV47" i="4" s="1"/>
  <c r="BR47" i="4"/>
  <c r="BS47" i="4" s="1"/>
  <c r="BQ47" i="4"/>
  <c r="BO47" i="4"/>
  <c r="BN47" i="4"/>
  <c r="BP47" i="4" s="1"/>
  <c r="BL47" i="4"/>
  <c r="BK47" i="4"/>
  <c r="BM47" i="4" s="1"/>
  <c r="BJ47" i="4"/>
  <c r="BI47" i="4"/>
  <c r="BH47" i="4"/>
  <c r="BF47" i="4"/>
  <c r="BG47" i="4" s="1"/>
  <c r="BE47" i="4"/>
  <c r="BC47" i="4"/>
  <c r="BB47" i="4"/>
  <c r="BD47" i="4" s="1"/>
  <c r="AZ47" i="4"/>
  <c r="AY47" i="4"/>
  <c r="BA47" i="4" s="1"/>
  <c r="AW47" i="4"/>
  <c r="AV47" i="4"/>
  <c r="AX47" i="4" s="1"/>
  <c r="AU47" i="4"/>
  <c r="AT47" i="4"/>
  <c r="AS47" i="4"/>
  <c r="AQ47" i="4"/>
  <c r="AP47" i="4"/>
  <c r="AR47" i="4" s="1"/>
  <c r="AN47" i="4"/>
  <c r="AM47" i="4"/>
  <c r="AO47" i="4" s="1"/>
  <c r="AG47" i="4"/>
  <c r="AH47" i="4" s="1"/>
  <c r="AD47" i="4"/>
  <c r="AE47" i="4" s="1"/>
  <c r="AC47" i="4"/>
  <c r="Z47" i="4"/>
  <c r="W47" i="4"/>
  <c r="U47" i="4"/>
  <c r="T47" i="4"/>
  <c r="V47" i="4" s="1"/>
  <c r="R47" i="4"/>
  <c r="S47" i="4" s="1"/>
  <c r="Q47" i="4"/>
  <c r="O47" i="4"/>
  <c r="N47" i="4"/>
  <c r="M47" i="4"/>
  <c r="L47" i="4"/>
  <c r="K47" i="4"/>
  <c r="I47" i="4"/>
  <c r="H47" i="4"/>
  <c r="J47" i="4" s="1"/>
  <c r="F47" i="4"/>
  <c r="C47" i="4"/>
  <c r="B47" i="4"/>
  <c r="D47" i="4" s="1"/>
  <c r="BV46" i="4"/>
  <c r="BU46" i="4"/>
  <c r="BT46" i="4"/>
  <c r="BR46" i="4"/>
  <c r="BS46" i="4" s="1"/>
  <c r="BQ46" i="4"/>
  <c r="BO46" i="4"/>
  <c r="BN46" i="4"/>
  <c r="BP46" i="4" s="1"/>
  <c r="BL46" i="4"/>
  <c r="BK46" i="4"/>
  <c r="BM46" i="4" s="1"/>
  <c r="BI46" i="4"/>
  <c r="BJ46" i="4" s="1"/>
  <c r="BH46" i="4"/>
  <c r="BF46" i="4"/>
  <c r="BC46" i="4"/>
  <c r="BB46" i="4"/>
  <c r="BD46" i="4" s="1"/>
  <c r="AZ46" i="4"/>
  <c r="AY46" i="4"/>
  <c r="BA46" i="4" s="1"/>
  <c r="AW46" i="4"/>
  <c r="AV46" i="4"/>
  <c r="AV53" i="4" s="1"/>
  <c r="AU46" i="4"/>
  <c r="AS46" i="4"/>
  <c r="AQ46" i="4"/>
  <c r="AP46" i="4"/>
  <c r="AR46" i="4" s="1"/>
  <c r="AN46" i="4"/>
  <c r="AM46" i="4"/>
  <c r="AO46" i="4" s="1"/>
  <c r="AG46" i="4"/>
  <c r="AH46" i="4" s="1"/>
  <c r="AD46" i="4"/>
  <c r="AE46" i="4" s="1"/>
  <c r="AC46" i="4"/>
  <c r="AA46" i="4"/>
  <c r="Z46" i="4"/>
  <c r="AB46" i="4" s="1"/>
  <c r="W46" i="4"/>
  <c r="U46" i="4"/>
  <c r="T46" i="4"/>
  <c r="V46" i="4" s="1"/>
  <c r="R46" i="4"/>
  <c r="S46" i="4" s="1"/>
  <c r="Q46" i="4"/>
  <c r="N46" i="4"/>
  <c r="L46" i="4"/>
  <c r="K46" i="4"/>
  <c r="M46" i="4" s="1"/>
  <c r="J46" i="4"/>
  <c r="I46" i="4"/>
  <c r="H46" i="4"/>
  <c r="F46" i="4"/>
  <c r="G46" i="4" s="1"/>
  <c r="E46" i="4"/>
  <c r="C46" i="4"/>
  <c r="B46" i="4"/>
  <c r="D46" i="4" s="1"/>
  <c r="BU45" i="4"/>
  <c r="BT45" i="4"/>
  <c r="BV45" i="4" s="1"/>
  <c r="BS45" i="4"/>
  <c r="BR45" i="4"/>
  <c r="BQ45" i="4"/>
  <c r="BN45" i="4"/>
  <c r="BL45" i="4"/>
  <c r="BM45" i="4" s="1"/>
  <c r="BK45" i="4"/>
  <c r="BI45" i="4"/>
  <c r="BH45" i="4"/>
  <c r="BJ45" i="4" s="1"/>
  <c r="BF45" i="4"/>
  <c r="BG45" i="4" s="1"/>
  <c r="BE45" i="4"/>
  <c r="BB45" i="4"/>
  <c r="AZ45" i="4"/>
  <c r="BA45" i="4" s="1"/>
  <c r="AY45" i="4"/>
  <c r="AX45" i="4"/>
  <c r="AW45" i="4"/>
  <c r="AV45" i="4"/>
  <c r="AT45" i="4"/>
  <c r="AU45" i="4" s="1"/>
  <c r="AS45" i="4"/>
  <c r="AP45" i="4"/>
  <c r="AN45" i="4"/>
  <c r="AM45" i="4"/>
  <c r="AO45" i="4" s="1"/>
  <c r="AH45" i="4"/>
  <c r="AH53" i="4" s="1"/>
  <c r="AG45" i="4"/>
  <c r="AE45" i="4"/>
  <c r="AD45" i="4"/>
  <c r="AC45" i="4"/>
  <c r="Z45" i="4"/>
  <c r="X45" i="4"/>
  <c r="W45" i="4"/>
  <c r="Y45" i="4" s="1"/>
  <c r="U45" i="4"/>
  <c r="T45" i="4"/>
  <c r="V45" i="4" s="1"/>
  <c r="S45" i="4"/>
  <c r="R45" i="4"/>
  <c r="Q45" i="4"/>
  <c r="O45" i="4"/>
  <c r="N45" i="4"/>
  <c r="P45" i="4" s="1"/>
  <c r="L45" i="4"/>
  <c r="K45" i="4"/>
  <c r="M45" i="4" s="1"/>
  <c r="I45" i="4"/>
  <c r="H45" i="4"/>
  <c r="J45" i="4" s="1"/>
  <c r="F45" i="4"/>
  <c r="G45" i="4" s="1"/>
  <c r="E45" i="4"/>
  <c r="C45" i="4"/>
  <c r="B45" i="4"/>
  <c r="D45" i="4" s="1"/>
  <c r="BU44" i="4"/>
  <c r="BT44" i="4"/>
  <c r="BV44" i="4" s="1"/>
  <c r="BR44" i="4"/>
  <c r="BS44" i="4" s="1"/>
  <c r="BQ44" i="4"/>
  <c r="BN44" i="4"/>
  <c r="BL44" i="4"/>
  <c r="BK44" i="4"/>
  <c r="BM44" i="4" s="1"/>
  <c r="BI44" i="4"/>
  <c r="BF44" i="4"/>
  <c r="BG44" i="4" s="1"/>
  <c r="BE44" i="4"/>
  <c r="BB44" i="4"/>
  <c r="AZ44" i="4"/>
  <c r="AW44" i="4"/>
  <c r="AV44" i="4"/>
  <c r="AX44" i="4" s="1"/>
  <c r="AT44" i="4"/>
  <c r="AU44" i="4" s="1"/>
  <c r="AS44" i="4"/>
  <c r="AP44" i="4"/>
  <c r="AN44" i="4"/>
  <c r="AH44" i="4"/>
  <c r="AG44" i="4"/>
  <c r="Z44" i="4"/>
  <c r="X44" i="4"/>
  <c r="W44" i="4"/>
  <c r="Y44" i="4" s="1"/>
  <c r="U44" i="4"/>
  <c r="S44" i="4"/>
  <c r="R44" i="4"/>
  <c r="Q44" i="4"/>
  <c r="O44" i="4"/>
  <c r="N44" i="4"/>
  <c r="P44" i="4" s="1"/>
  <c r="L44" i="4"/>
  <c r="K44" i="4"/>
  <c r="J44" i="4"/>
  <c r="I44" i="4"/>
  <c r="H44" i="4"/>
  <c r="F44" i="4"/>
  <c r="G44" i="4" s="1"/>
  <c r="E44" i="4"/>
  <c r="C44" i="4"/>
  <c r="B44" i="4"/>
  <c r="D44" i="4" s="1"/>
  <c r="BU43" i="4"/>
  <c r="BT43" i="4"/>
  <c r="BV43" i="4" s="1"/>
  <c r="BR43" i="4"/>
  <c r="BO43" i="4"/>
  <c r="BL43" i="4"/>
  <c r="BK43" i="4"/>
  <c r="BM43" i="4" s="1"/>
  <c r="BI43" i="4"/>
  <c r="BH43" i="4"/>
  <c r="BF43" i="4"/>
  <c r="BG43" i="4" s="1"/>
  <c r="BE43" i="4"/>
  <c r="BB43" i="4"/>
  <c r="BA43" i="4"/>
  <c r="AZ43" i="4"/>
  <c r="AY43" i="4"/>
  <c r="AW43" i="4"/>
  <c r="AV43" i="4"/>
  <c r="AX43" i="4" s="1"/>
  <c r="AT43" i="4"/>
  <c r="AU43" i="4" s="1"/>
  <c r="AS43" i="4"/>
  <c r="AP43" i="4"/>
  <c r="AN43" i="4"/>
  <c r="AO43" i="4" s="1"/>
  <c r="AM43" i="4"/>
  <c r="AG43" i="4"/>
  <c r="AH43" i="4" s="1"/>
  <c r="AC43" i="4"/>
  <c r="Z43" i="4"/>
  <c r="X43" i="4"/>
  <c r="W43" i="4"/>
  <c r="U43" i="4"/>
  <c r="V43" i="4" s="1"/>
  <c r="T43" i="4"/>
  <c r="R43" i="4"/>
  <c r="S43" i="4" s="1"/>
  <c r="Q43" i="4"/>
  <c r="O43" i="4"/>
  <c r="N43" i="4"/>
  <c r="P43" i="4" s="1"/>
  <c r="K43" i="4"/>
  <c r="I43" i="4"/>
  <c r="H43" i="4"/>
  <c r="G43" i="4"/>
  <c r="F43" i="4"/>
  <c r="E43" i="4"/>
  <c r="C43" i="4"/>
  <c r="B43" i="4"/>
  <c r="AI41" i="4"/>
  <c r="AF41" i="4"/>
  <c r="B41" i="4"/>
  <c r="BB38" i="4"/>
  <c r="AF38" i="4"/>
  <c r="Z38" i="4"/>
  <c r="BT37" i="4"/>
  <c r="BR37" i="4"/>
  <c r="BQ37" i="4"/>
  <c r="BS37" i="4" s="1"/>
  <c r="BO37" i="4"/>
  <c r="BK37" i="4"/>
  <c r="BI37" i="4"/>
  <c r="BH37" i="4"/>
  <c r="BJ37" i="4" s="1"/>
  <c r="BF37" i="4"/>
  <c r="BE37" i="4"/>
  <c r="BG37" i="4" s="1"/>
  <c r="BD37" i="4"/>
  <c r="BC37" i="4"/>
  <c r="BB37" i="4"/>
  <c r="AZ37" i="4"/>
  <c r="AY37" i="4"/>
  <c r="BA37" i="4" s="1"/>
  <c r="AW37" i="4"/>
  <c r="AV37" i="4"/>
  <c r="AX37" i="4" s="1"/>
  <c r="AT37" i="4"/>
  <c r="AS37" i="4"/>
  <c r="AU37" i="4" s="1"/>
  <c r="AQ37" i="4"/>
  <c r="AN37" i="4"/>
  <c r="AM37" i="4"/>
  <c r="AH37" i="4"/>
  <c r="AG37" i="4"/>
  <c r="AD37" i="4"/>
  <c r="AC37" i="4"/>
  <c r="AE37" i="4" s="1"/>
  <c r="AB37" i="4"/>
  <c r="AA37" i="4"/>
  <c r="Z37" i="4"/>
  <c r="X37" i="4"/>
  <c r="W37" i="4"/>
  <c r="Y37" i="4" s="1"/>
  <c r="V37" i="4"/>
  <c r="U37" i="4"/>
  <c r="T37" i="4"/>
  <c r="R37" i="4"/>
  <c r="Q37" i="4"/>
  <c r="S37" i="4" s="1"/>
  <c r="O37" i="4"/>
  <c r="L37" i="4"/>
  <c r="K37" i="4"/>
  <c r="M37" i="4" s="1"/>
  <c r="M38" i="4" s="1"/>
  <c r="P74" i="10" s="1"/>
  <c r="I37" i="4"/>
  <c r="H37" i="4"/>
  <c r="F37" i="4"/>
  <c r="D37" i="4"/>
  <c r="C37" i="4"/>
  <c r="B37" i="4"/>
  <c r="BU36" i="4"/>
  <c r="BT36" i="4"/>
  <c r="BV36" i="4" s="1"/>
  <c r="BR36" i="4"/>
  <c r="BQ36" i="4"/>
  <c r="BS36" i="4" s="1"/>
  <c r="BN36" i="4"/>
  <c r="BL36" i="4"/>
  <c r="BK36" i="4"/>
  <c r="BM36" i="4" s="1"/>
  <c r="BI36" i="4"/>
  <c r="BH36" i="4"/>
  <c r="BJ36" i="4" s="1"/>
  <c r="BF36" i="4"/>
  <c r="BE36" i="4"/>
  <c r="BG36" i="4" s="1"/>
  <c r="BC36" i="4"/>
  <c r="BD36" i="4" s="1"/>
  <c r="BB36" i="4"/>
  <c r="AY36" i="4"/>
  <c r="AW36" i="4"/>
  <c r="AV36" i="4"/>
  <c r="AT36" i="4"/>
  <c r="AS36" i="4"/>
  <c r="AU36" i="4" s="1"/>
  <c r="AQ36" i="4"/>
  <c r="AR36" i="4" s="1"/>
  <c r="AP36" i="4"/>
  <c r="AM36" i="4"/>
  <c r="AG36" i="4"/>
  <c r="AH36" i="4" s="1"/>
  <c r="AD36" i="4"/>
  <c r="AE36" i="4" s="1"/>
  <c r="AC36" i="4"/>
  <c r="AA36" i="4"/>
  <c r="AB36" i="4" s="1"/>
  <c r="Z36" i="4"/>
  <c r="X36" i="4"/>
  <c r="W36" i="4"/>
  <c r="U36" i="4"/>
  <c r="T36" i="4"/>
  <c r="V36" i="4" s="1"/>
  <c r="R36" i="4"/>
  <c r="Q36" i="4"/>
  <c r="S36" i="4" s="1"/>
  <c r="P36" i="4"/>
  <c r="O36" i="4"/>
  <c r="N36" i="4"/>
  <c r="L36" i="4"/>
  <c r="K36" i="4"/>
  <c r="M36" i="4" s="1"/>
  <c r="I36" i="4"/>
  <c r="H36" i="4"/>
  <c r="J36" i="4" s="1"/>
  <c r="F36" i="4"/>
  <c r="E36" i="4"/>
  <c r="G36" i="4" s="1"/>
  <c r="C36" i="4"/>
  <c r="D36" i="4" s="1"/>
  <c r="B36" i="4"/>
  <c r="BV35" i="4"/>
  <c r="BU35" i="4"/>
  <c r="BT35" i="4"/>
  <c r="BR35" i="4"/>
  <c r="BQ35" i="4"/>
  <c r="BS35" i="4" s="1"/>
  <c r="BO35" i="4"/>
  <c r="BP35" i="4" s="1"/>
  <c r="BN35" i="4"/>
  <c r="BL35" i="4"/>
  <c r="BK35" i="4"/>
  <c r="BM35" i="4" s="1"/>
  <c r="BJ35" i="4"/>
  <c r="BI35" i="4"/>
  <c r="BH35" i="4"/>
  <c r="BF35" i="4"/>
  <c r="BE35" i="4"/>
  <c r="BG35" i="4" s="1"/>
  <c r="BC35" i="4"/>
  <c r="BD35" i="4" s="1"/>
  <c r="BB35" i="4"/>
  <c r="AZ35" i="4"/>
  <c r="AY35" i="4"/>
  <c r="BA35" i="4" s="1"/>
  <c r="AX35" i="4"/>
  <c r="AW35" i="4"/>
  <c r="AV35" i="4"/>
  <c r="AT35" i="4"/>
  <c r="AS35" i="4"/>
  <c r="AU35" i="4" s="1"/>
  <c r="AQ35" i="4"/>
  <c r="AR35" i="4" s="1"/>
  <c r="AP35" i="4"/>
  <c r="AN35" i="4"/>
  <c r="AM35" i="4"/>
  <c r="AO35" i="4" s="1"/>
  <c r="AG35" i="4"/>
  <c r="AH35" i="4" s="1"/>
  <c r="AE35" i="4"/>
  <c r="AD35" i="4"/>
  <c r="AC35" i="4"/>
  <c r="AA35" i="4"/>
  <c r="AB35" i="4" s="1"/>
  <c r="Z35" i="4"/>
  <c r="X35" i="4"/>
  <c r="W35" i="4"/>
  <c r="Y35" i="4" s="1"/>
  <c r="U35" i="4"/>
  <c r="T35" i="4"/>
  <c r="V35" i="4" s="1"/>
  <c r="R35" i="4"/>
  <c r="S35" i="4" s="1"/>
  <c r="Q35" i="4"/>
  <c r="O35" i="4"/>
  <c r="P35" i="4" s="1"/>
  <c r="N35" i="4"/>
  <c r="L35" i="4"/>
  <c r="K35" i="4"/>
  <c r="M35" i="4" s="1"/>
  <c r="I35" i="4"/>
  <c r="H35" i="4"/>
  <c r="J35" i="4" s="1"/>
  <c r="F35" i="4"/>
  <c r="E35" i="4"/>
  <c r="G35" i="4" s="1"/>
  <c r="C35" i="4"/>
  <c r="BU34" i="4"/>
  <c r="BT34" i="4"/>
  <c r="BV34" i="4" s="1"/>
  <c r="BQ34" i="4"/>
  <c r="BO34" i="4"/>
  <c r="BP34" i="4" s="1"/>
  <c r="BN34" i="4"/>
  <c r="BL34" i="4"/>
  <c r="BK34" i="4"/>
  <c r="BM34" i="4" s="1"/>
  <c r="BJ34" i="4"/>
  <c r="BI34" i="4"/>
  <c r="BH34" i="4"/>
  <c r="BF34" i="4"/>
  <c r="BE34" i="4"/>
  <c r="BG34" i="4" s="1"/>
  <c r="BC34" i="4"/>
  <c r="BD34" i="4" s="1"/>
  <c r="BB34" i="4"/>
  <c r="AZ34" i="4"/>
  <c r="AY34" i="4"/>
  <c r="AW34" i="4"/>
  <c r="AV34" i="4"/>
  <c r="AX34" i="4" s="1"/>
  <c r="AT34" i="4"/>
  <c r="AS34" i="4"/>
  <c r="AU34" i="4" s="1"/>
  <c r="AQ34" i="4"/>
  <c r="AR34" i="4" s="1"/>
  <c r="AP34" i="4"/>
  <c r="AN34" i="4"/>
  <c r="AM34" i="4"/>
  <c r="AG34" i="4"/>
  <c r="AH34" i="4" s="1"/>
  <c r="AD34" i="4"/>
  <c r="AC34" i="4"/>
  <c r="AE34" i="4" s="1"/>
  <c r="AB34" i="4"/>
  <c r="AA34" i="4"/>
  <c r="Z34" i="4"/>
  <c r="X34" i="4"/>
  <c r="W34" i="4"/>
  <c r="Y34" i="4" s="1"/>
  <c r="U34" i="4"/>
  <c r="T34" i="4"/>
  <c r="V34" i="4" s="1"/>
  <c r="R34" i="4"/>
  <c r="Q34" i="4"/>
  <c r="S34" i="4" s="1"/>
  <c r="O34" i="4"/>
  <c r="P34" i="4" s="1"/>
  <c r="N34" i="4"/>
  <c r="L34" i="4"/>
  <c r="K34" i="4"/>
  <c r="M34" i="4" s="1"/>
  <c r="J34" i="4"/>
  <c r="I34" i="4"/>
  <c r="H34" i="4"/>
  <c r="F34" i="4"/>
  <c r="E34" i="4"/>
  <c r="G34" i="4" s="1"/>
  <c r="C34" i="4"/>
  <c r="D34" i="4" s="1"/>
  <c r="B34" i="4"/>
  <c r="BU33" i="4"/>
  <c r="BV33" i="4" s="1"/>
  <c r="BT33" i="4"/>
  <c r="BR33" i="4"/>
  <c r="BQ33" i="4"/>
  <c r="BS33" i="4" s="1"/>
  <c r="BN33" i="4"/>
  <c r="BL33" i="4"/>
  <c r="BK33" i="4"/>
  <c r="BM33" i="4" s="1"/>
  <c r="BI33" i="4"/>
  <c r="BF33" i="4"/>
  <c r="BE33" i="4"/>
  <c r="BG33" i="4" s="1"/>
  <c r="BC33" i="4"/>
  <c r="BD33" i="4" s="1"/>
  <c r="BB33" i="4"/>
  <c r="AY33" i="4"/>
  <c r="AW33" i="4"/>
  <c r="AX33" i="4" s="1"/>
  <c r="AV33" i="4"/>
  <c r="AU33" i="4"/>
  <c r="AT33" i="4"/>
  <c r="AS33" i="4"/>
  <c r="AQ33" i="4"/>
  <c r="AR33" i="4" s="1"/>
  <c r="AP33" i="4"/>
  <c r="AN33" i="4"/>
  <c r="AM33" i="4"/>
  <c r="AO33" i="4" s="1"/>
  <c r="AG33" i="4"/>
  <c r="AH33" i="4" s="1"/>
  <c r="AE33" i="4"/>
  <c r="AD33" i="4"/>
  <c r="AC33" i="4"/>
  <c r="AA33" i="4"/>
  <c r="AB33" i="4" s="1"/>
  <c r="Z33" i="4"/>
  <c r="X33" i="4"/>
  <c r="W33" i="4"/>
  <c r="Y33" i="4" s="1"/>
  <c r="U33" i="4"/>
  <c r="T33" i="4"/>
  <c r="V33" i="4" s="1"/>
  <c r="R33" i="4"/>
  <c r="Q33" i="4"/>
  <c r="S33" i="4" s="1"/>
  <c r="P33" i="4"/>
  <c r="O33" i="4"/>
  <c r="N33" i="4"/>
  <c r="L33" i="4"/>
  <c r="K33" i="4"/>
  <c r="M33" i="4" s="1"/>
  <c r="I33" i="4"/>
  <c r="H33" i="4"/>
  <c r="J33" i="4" s="1"/>
  <c r="F33" i="4"/>
  <c r="E33" i="4"/>
  <c r="G33" i="4" s="1"/>
  <c r="D33" i="4"/>
  <c r="C33" i="4"/>
  <c r="B33" i="4"/>
  <c r="BT32" i="4"/>
  <c r="BV32" i="4" s="1"/>
  <c r="BR32" i="4"/>
  <c r="BQ32" i="4"/>
  <c r="BS32" i="4" s="1"/>
  <c r="BO32" i="4"/>
  <c r="BP32" i="4" s="1"/>
  <c r="BN32" i="4"/>
  <c r="BL32" i="4"/>
  <c r="BI32" i="4"/>
  <c r="BH32" i="4"/>
  <c r="BJ32" i="4" s="1"/>
  <c r="BF32" i="4"/>
  <c r="BE32" i="4"/>
  <c r="BG32" i="4" s="1"/>
  <c r="BC32" i="4"/>
  <c r="BD32" i="4" s="1"/>
  <c r="BB32" i="4"/>
  <c r="AZ32" i="4"/>
  <c r="AY32" i="4"/>
  <c r="AW32" i="4"/>
  <c r="AV32" i="4"/>
  <c r="AT32" i="4"/>
  <c r="AS32" i="4"/>
  <c r="AU32" i="4" s="1"/>
  <c r="AQ32" i="4"/>
  <c r="AR32" i="4" s="1"/>
  <c r="AP32" i="4"/>
  <c r="AN32" i="4"/>
  <c r="AM32" i="4"/>
  <c r="AG32" i="4"/>
  <c r="AH32" i="4" s="1"/>
  <c r="AD32" i="4"/>
  <c r="AE32" i="4" s="1"/>
  <c r="AC32" i="4"/>
  <c r="AA32" i="4"/>
  <c r="AB32" i="4" s="1"/>
  <c r="Z32" i="4"/>
  <c r="X32" i="4"/>
  <c r="W32" i="4"/>
  <c r="Y32" i="4" s="1"/>
  <c r="U32" i="4"/>
  <c r="T32" i="4"/>
  <c r="V32" i="4" s="1"/>
  <c r="R32" i="4"/>
  <c r="Q32" i="4"/>
  <c r="S32" i="4" s="1"/>
  <c r="P32" i="4"/>
  <c r="O32" i="4"/>
  <c r="N32" i="4"/>
  <c r="L32" i="4"/>
  <c r="K32" i="4"/>
  <c r="M32" i="4" s="1"/>
  <c r="J32" i="4"/>
  <c r="I32" i="4"/>
  <c r="H32" i="4"/>
  <c r="F32" i="4"/>
  <c r="E32" i="4"/>
  <c r="G32" i="4" s="1"/>
  <c r="C32" i="4"/>
  <c r="BU31" i="4"/>
  <c r="BT31" i="4"/>
  <c r="BQ31" i="4"/>
  <c r="BN31" i="4"/>
  <c r="BL31" i="4"/>
  <c r="BK31" i="4"/>
  <c r="BI31" i="4"/>
  <c r="BJ31" i="4" s="1"/>
  <c r="BH31" i="4"/>
  <c r="BG31" i="4"/>
  <c r="BF31" i="4"/>
  <c r="BE31" i="4"/>
  <c r="BB31" i="4"/>
  <c r="AY31" i="4"/>
  <c r="AW31" i="4"/>
  <c r="AV31" i="4"/>
  <c r="AU31" i="4"/>
  <c r="AU38" i="4" s="1"/>
  <c r="P80" i="10" s="1"/>
  <c r="AT31" i="4"/>
  <c r="AS31" i="4"/>
  <c r="AP31" i="4"/>
  <c r="AM31" i="4"/>
  <c r="AG31" i="4"/>
  <c r="AH31" i="4" s="1"/>
  <c r="AH38" i="4" s="1"/>
  <c r="AD31" i="4"/>
  <c r="AC31" i="4"/>
  <c r="Z31" i="4"/>
  <c r="X31" i="4"/>
  <c r="W31" i="4"/>
  <c r="U31" i="4"/>
  <c r="T31" i="4"/>
  <c r="R31" i="4"/>
  <c r="Q31" i="4"/>
  <c r="P31" i="4"/>
  <c r="O31" i="4"/>
  <c r="N31" i="4"/>
  <c r="L31" i="4"/>
  <c r="K31" i="4"/>
  <c r="M31" i="4" s="1"/>
  <c r="I31" i="4"/>
  <c r="H31" i="4"/>
  <c r="J31" i="4" s="1"/>
  <c r="F31" i="4"/>
  <c r="E31" i="4"/>
  <c r="C31" i="4"/>
  <c r="AI29" i="4"/>
  <c r="AF29" i="4"/>
  <c r="B29" i="4"/>
  <c r="BK26" i="4"/>
  <c r="BE26" i="4"/>
  <c r="AM26" i="4"/>
  <c r="AF26" i="4"/>
  <c r="W26" i="4"/>
  <c r="K26" i="4"/>
  <c r="BU25" i="4"/>
  <c r="BT25" i="4"/>
  <c r="BV25" i="4" s="1"/>
  <c r="BR25" i="4"/>
  <c r="BQ25" i="4"/>
  <c r="BS25" i="4" s="1"/>
  <c r="BO25" i="4"/>
  <c r="BN25" i="4"/>
  <c r="BP25" i="4" s="1"/>
  <c r="BK25" i="4"/>
  <c r="BI25" i="4"/>
  <c r="BH25" i="4"/>
  <c r="BJ25" i="4" s="1"/>
  <c r="BF25" i="4"/>
  <c r="BG25" i="4" s="1"/>
  <c r="BG26" i="4" s="1"/>
  <c r="P58" i="10" s="1"/>
  <c r="BE25" i="4"/>
  <c r="BC25" i="4"/>
  <c r="BB25" i="4"/>
  <c r="BD25" i="4" s="1"/>
  <c r="BA25" i="4"/>
  <c r="AZ25" i="4"/>
  <c r="AY25" i="4"/>
  <c r="AV25" i="4"/>
  <c r="AT25" i="4"/>
  <c r="AS25" i="4"/>
  <c r="AU25" i="4" s="1"/>
  <c r="AR25" i="4"/>
  <c r="AQ25" i="4"/>
  <c r="AP25" i="4"/>
  <c r="AO25" i="4"/>
  <c r="AN25" i="4"/>
  <c r="AM25" i="4"/>
  <c r="AG25" i="4"/>
  <c r="AH25" i="4" s="1"/>
  <c r="AD25" i="4"/>
  <c r="AC25" i="4"/>
  <c r="AE25" i="4" s="1"/>
  <c r="AB25" i="4"/>
  <c r="AA25" i="4"/>
  <c r="Z25" i="4"/>
  <c r="Y25" i="4"/>
  <c r="X25" i="4"/>
  <c r="W25" i="4"/>
  <c r="U25" i="4"/>
  <c r="T25" i="4"/>
  <c r="V25" i="4" s="1"/>
  <c r="Q25" i="4"/>
  <c r="O25" i="4"/>
  <c r="N25" i="4"/>
  <c r="P25" i="4" s="1"/>
  <c r="M25" i="4"/>
  <c r="L25" i="4"/>
  <c r="K25" i="4"/>
  <c r="I25" i="4"/>
  <c r="H25" i="4"/>
  <c r="J25" i="4" s="1"/>
  <c r="F25" i="4"/>
  <c r="E25" i="4"/>
  <c r="G25" i="4" s="1"/>
  <c r="C25" i="4"/>
  <c r="B25" i="4"/>
  <c r="D25" i="4" s="1"/>
  <c r="BV24" i="4"/>
  <c r="BU24" i="4"/>
  <c r="BT24" i="4"/>
  <c r="BR24" i="4"/>
  <c r="BQ24" i="4"/>
  <c r="BS24" i="4" s="1"/>
  <c r="BO24" i="4"/>
  <c r="BN24" i="4"/>
  <c r="BP24" i="4" s="1"/>
  <c r="BM24" i="4"/>
  <c r="BL24" i="4"/>
  <c r="BK24" i="4"/>
  <c r="BJ24" i="4"/>
  <c r="BI24" i="4"/>
  <c r="BH24" i="4"/>
  <c r="BF24" i="4"/>
  <c r="BE24" i="4"/>
  <c r="BG24" i="4" s="1"/>
  <c r="BC24" i="4"/>
  <c r="BB24" i="4"/>
  <c r="BD24" i="4" s="1"/>
  <c r="BA24" i="4"/>
  <c r="AZ24" i="4"/>
  <c r="AY24" i="4"/>
  <c r="AX24" i="4"/>
  <c r="AW24" i="4"/>
  <c r="AV24" i="4"/>
  <c r="AT24" i="4"/>
  <c r="AS24" i="4"/>
  <c r="AP24" i="4"/>
  <c r="AO24" i="4"/>
  <c r="AN24" i="4"/>
  <c r="AM24" i="4"/>
  <c r="AH24" i="4"/>
  <c r="AG24" i="4"/>
  <c r="AD24" i="4"/>
  <c r="AC24" i="4"/>
  <c r="AA24" i="4"/>
  <c r="Z24" i="4"/>
  <c r="AB24" i="4" s="1"/>
  <c r="Y24" i="4"/>
  <c r="X24" i="4"/>
  <c r="W24" i="4"/>
  <c r="V24" i="4"/>
  <c r="U24" i="4"/>
  <c r="T24" i="4"/>
  <c r="R24" i="4"/>
  <c r="Q24" i="4"/>
  <c r="O24" i="4"/>
  <c r="N24" i="4"/>
  <c r="P24" i="4" s="1"/>
  <c r="M24" i="4"/>
  <c r="L24" i="4"/>
  <c r="K24" i="4"/>
  <c r="I24" i="4"/>
  <c r="F24" i="4"/>
  <c r="E24" i="4"/>
  <c r="D24" i="4"/>
  <c r="C24" i="4"/>
  <c r="B24" i="4"/>
  <c r="BU23" i="4"/>
  <c r="BT23" i="4"/>
  <c r="BV23" i="4" s="1"/>
  <c r="BQ23" i="4"/>
  <c r="BO23" i="4"/>
  <c r="BN23" i="4"/>
  <c r="BP23" i="4" s="1"/>
  <c r="BM23" i="4"/>
  <c r="BL23" i="4"/>
  <c r="BK23" i="4"/>
  <c r="BI23" i="4"/>
  <c r="BH23" i="4"/>
  <c r="BJ23" i="4" s="1"/>
  <c r="BF23" i="4"/>
  <c r="BE23" i="4"/>
  <c r="BG23" i="4" s="1"/>
  <c r="BC23" i="4"/>
  <c r="BB23" i="4"/>
  <c r="BD23" i="4" s="1"/>
  <c r="BA23" i="4"/>
  <c r="AZ23" i="4"/>
  <c r="AY23" i="4"/>
  <c r="AX23" i="4"/>
  <c r="AW23" i="4"/>
  <c r="AV23" i="4"/>
  <c r="AT23" i="4"/>
  <c r="AS23" i="4"/>
  <c r="AU23" i="4" s="1"/>
  <c r="AQ23" i="4"/>
  <c r="AP23" i="4"/>
  <c r="AR23" i="4" s="1"/>
  <c r="AO23" i="4"/>
  <c r="AN23" i="4"/>
  <c r="AM23" i="4"/>
  <c r="AH23" i="4"/>
  <c r="AG23" i="4"/>
  <c r="AD23" i="4"/>
  <c r="AC23" i="4"/>
  <c r="AE23" i="4" s="1"/>
  <c r="AA23" i="4"/>
  <c r="Z23" i="4"/>
  <c r="AB23" i="4" s="1"/>
  <c r="Y23" i="4"/>
  <c r="X23" i="4"/>
  <c r="W23" i="4"/>
  <c r="U23" i="4"/>
  <c r="T23" i="4"/>
  <c r="V23" i="4" s="1"/>
  <c r="R23" i="4"/>
  <c r="Q23" i="4"/>
  <c r="S23" i="4" s="1"/>
  <c r="O23" i="4"/>
  <c r="N23" i="4"/>
  <c r="P23" i="4" s="1"/>
  <c r="K23" i="4"/>
  <c r="I23" i="4"/>
  <c r="H23" i="4"/>
  <c r="G23" i="4"/>
  <c r="F23" i="4"/>
  <c r="E23" i="4"/>
  <c r="C23" i="4"/>
  <c r="B23" i="4"/>
  <c r="D23" i="4" s="1"/>
  <c r="BU22" i="4"/>
  <c r="BT22" i="4"/>
  <c r="BV22" i="4" s="1"/>
  <c r="BR22" i="4"/>
  <c r="BQ22" i="4"/>
  <c r="BS22" i="4" s="1"/>
  <c r="BO22" i="4"/>
  <c r="BN22" i="4"/>
  <c r="BP22" i="4" s="1"/>
  <c r="BK22" i="4"/>
  <c r="BI22" i="4"/>
  <c r="BH22" i="4"/>
  <c r="BJ22" i="4" s="1"/>
  <c r="BF22" i="4"/>
  <c r="BE22" i="4"/>
  <c r="BG22" i="4" s="1"/>
  <c r="BD22" i="4"/>
  <c r="BC22" i="4"/>
  <c r="BB22" i="4"/>
  <c r="AZ22" i="4"/>
  <c r="AV22" i="4"/>
  <c r="AT22" i="4"/>
  <c r="AS22" i="4"/>
  <c r="AU22" i="4" s="1"/>
  <c r="AQ22" i="4"/>
  <c r="AR22" i="4" s="1"/>
  <c r="AP22" i="4"/>
  <c r="AO22" i="4"/>
  <c r="AN22" i="4"/>
  <c r="AM22" i="4"/>
  <c r="AG22" i="4"/>
  <c r="AH22" i="4" s="1"/>
  <c r="AD22" i="4"/>
  <c r="AC22" i="4"/>
  <c r="AE22" i="4" s="1"/>
  <c r="AA22" i="4"/>
  <c r="AB22" i="4" s="1"/>
  <c r="Z22" i="4"/>
  <c r="Y22" i="4"/>
  <c r="X22" i="4"/>
  <c r="W22" i="4"/>
  <c r="U22" i="4"/>
  <c r="T22" i="4"/>
  <c r="V22" i="4" s="1"/>
  <c r="R22" i="4"/>
  <c r="Q22" i="4"/>
  <c r="S22" i="4" s="1"/>
  <c r="O22" i="4"/>
  <c r="P22" i="4" s="1"/>
  <c r="N22" i="4"/>
  <c r="K22" i="4"/>
  <c r="I22" i="4"/>
  <c r="J22" i="4" s="1"/>
  <c r="H22" i="4"/>
  <c r="F22" i="4"/>
  <c r="E22" i="4"/>
  <c r="G22" i="4" s="1"/>
  <c r="C22" i="4"/>
  <c r="B22" i="4"/>
  <c r="D22" i="4" s="1"/>
  <c r="BU21" i="4"/>
  <c r="BT21" i="4"/>
  <c r="BV21" i="4" s="1"/>
  <c r="BR21" i="4"/>
  <c r="BQ21" i="4"/>
  <c r="BS21" i="4" s="1"/>
  <c r="BO21" i="4"/>
  <c r="BN21" i="4"/>
  <c r="BP21" i="4" s="1"/>
  <c r="BK21" i="4"/>
  <c r="BI21" i="4"/>
  <c r="BH21" i="4"/>
  <c r="BJ21" i="4" s="1"/>
  <c r="BF21" i="4"/>
  <c r="BE21" i="4"/>
  <c r="BG21" i="4" s="1"/>
  <c r="BC21" i="4"/>
  <c r="BD21" i="4" s="1"/>
  <c r="BB21" i="4"/>
  <c r="BA21" i="4"/>
  <c r="AZ21" i="4"/>
  <c r="AY21" i="4"/>
  <c r="AV21" i="4"/>
  <c r="AT21" i="4"/>
  <c r="AS21" i="4"/>
  <c r="AU21" i="4" s="1"/>
  <c r="AQ21" i="4"/>
  <c r="AP21" i="4"/>
  <c r="AO21" i="4"/>
  <c r="AN21" i="4"/>
  <c r="AM21" i="4"/>
  <c r="AG21" i="4"/>
  <c r="AH21" i="4" s="1"/>
  <c r="AD21" i="4"/>
  <c r="AC21" i="4"/>
  <c r="AE21" i="4" s="1"/>
  <c r="AA21" i="4"/>
  <c r="Z21" i="4"/>
  <c r="AB21" i="4" s="1"/>
  <c r="Y21" i="4"/>
  <c r="X21" i="4"/>
  <c r="W21" i="4"/>
  <c r="U21" i="4"/>
  <c r="T21" i="4"/>
  <c r="V21" i="4" s="1"/>
  <c r="Q21" i="4"/>
  <c r="O21" i="4"/>
  <c r="N21" i="4"/>
  <c r="P21" i="4" s="1"/>
  <c r="M21" i="4"/>
  <c r="L21" i="4"/>
  <c r="K21" i="4"/>
  <c r="I21" i="4"/>
  <c r="H21" i="4"/>
  <c r="J21" i="4" s="1"/>
  <c r="F21" i="4"/>
  <c r="E21" i="4"/>
  <c r="G21" i="4" s="1"/>
  <c r="C21" i="4"/>
  <c r="B21" i="4"/>
  <c r="D21" i="4" s="1"/>
  <c r="BU20" i="4"/>
  <c r="BV20" i="4" s="1"/>
  <c r="BT20" i="4"/>
  <c r="BR20" i="4"/>
  <c r="BQ20" i="4"/>
  <c r="BS20" i="4" s="1"/>
  <c r="BO20" i="4"/>
  <c r="BN20" i="4"/>
  <c r="BP20" i="4" s="1"/>
  <c r="BM20" i="4"/>
  <c r="BL20" i="4"/>
  <c r="BK20" i="4"/>
  <c r="BI20" i="4"/>
  <c r="BJ20" i="4" s="1"/>
  <c r="BH20" i="4"/>
  <c r="BF20" i="4"/>
  <c r="BE20" i="4"/>
  <c r="BG20" i="4" s="1"/>
  <c r="BC20" i="4"/>
  <c r="BB20" i="4"/>
  <c r="BD20" i="4" s="1"/>
  <c r="BA20" i="4"/>
  <c r="AZ20" i="4"/>
  <c r="AY20" i="4"/>
  <c r="AV20" i="4"/>
  <c r="AS20" i="4"/>
  <c r="AR20" i="4"/>
  <c r="AQ20" i="4"/>
  <c r="AP20" i="4"/>
  <c r="AO20" i="4"/>
  <c r="AN20" i="4"/>
  <c r="AM20" i="4"/>
  <c r="AH20" i="4"/>
  <c r="AG20" i="4"/>
  <c r="AD20" i="4"/>
  <c r="AC20" i="4"/>
  <c r="AE20" i="4" s="1"/>
  <c r="AA20" i="4"/>
  <c r="Z20" i="4"/>
  <c r="Z26" i="4" s="1"/>
  <c r="Y20" i="4"/>
  <c r="X20" i="4"/>
  <c r="W20" i="4"/>
  <c r="U20" i="4"/>
  <c r="V20" i="4" s="1"/>
  <c r="T20" i="4"/>
  <c r="R20" i="4"/>
  <c r="Q20" i="4"/>
  <c r="S20" i="4" s="1"/>
  <c r="O20" i="4"/>
  <c r="N20" i="4"/>
  <c r="M20" i="4"/>
  <c r="L20" i="4"/>
  <c r="K20" i="4"/>
  <c r="I20" i="4"/>
  <c r="J20" i="4" s="1"/>
  <c r="H20" i="4"/>
  <c r="F20" i="4"/>
  <c r="E20" i="4"/>
  <c r="G20" i="4" s="1"/>
  <c r="C20" i="4"/>
  <c r="B20" i="4"/>
  <c r="D20" i="4" s="1"/>
  <c r="BT19" i="4"/>
  <c r="BO19" i="4"/>
  <c r="BN19" i="4"/>
  <c r="BM19" i="4"/>
  <c r="BL19" i="4"/>
  <c r="BK19" i="4"/>
  <c r="BI19" i="4"/>
  <c r="BH19" i="4"/>
  <c r="BG19" i="4"/>
  <c r="BF19" i="4"/>
  <c r="BE19" i="4"/>
  <c r="BB19" i="4"/>
  <c r="AZ19" i="4"/>
  <c r="AW19" i="4"/>
  <c r="AV19" i="4"/>
  <c r="AX19" i="4" s="1"/>
  <c r="AU19" i="4"/>
  <c r="AT19" i="4"/>
  <c r="AS19" i="4"/>
  <c r="AP19" i="4"/>
  <c r="AM19" i="4"/>
  <c r="AG19" i="4"/>
  <c r="AH19" i="4" s="1"/>
  <c r="AD19" i="4"/>
  <c r="AC19" i="4"/>
  <c r="AE19" i="4" s="1"/>
  <c r="Z19" i="4"/>
  <c r="AB19" i="4" s="1"/>
  <c r="Y19" i="4"/>
  <c r="Y26" i="4" s="1"/>
  <c r="P42" i="10" s="1"/>
  <c r="X19" i="4"/>
  <c r="W19" i="4"/>
  <c r="U19" i="4"/>
  <c r="T19" i="4"/>
  <c r="R19" i="4"/>
  <c r="Q19" i="4"/>
  <c r="O19" i="4"/>
  <c r="N19" i="4"/>
  <c r="P19" i="4" s="1"/>
  <c r="M19" i="4"/>
  <c r="L19" i="4"/>
  <c r="K19" i="4"/>
  <c r="I19" i="4"/>
  <c r="H19" i="4"/>
  <c r="J19" i="4" s="1"/>
  <c r="F19" i="4"/>
  <c r="E19" i="4"/>
  <c r="G19" i="4" s="1"/>
  <c r="C19" i="4"/>
  <c r="B19" i="4"/>
  <c r="BT17" i="4"/>
  <c r="BT29" i="4" s="1"/>
  <c r="BT41" i="4" s="1"/>
  <c r="BE17" i="4"/>
  <c r="BB17" i="4"/>
  <c r="BB29" i="4" s="1"/>
  <c r="BB41" i="4" s="1"/>
  <c r="AI17" i="4"/>
  <c r="AF17" i="4"/>
  <c r="B17" i="4"/>
  <c r="BN14" i="4"/>
  <c r="AF14" i="4"/>
  <c r="B14" i="4"/>
  <c r="BU13" i="4"/>
  <c r="BT13" i="4"/>
  <c r="BR13" i="4"/>
  <c r="BQ13" i="4"/>
  <c r="BS13" i="4" s="1"/>
  <c r="BN13" i="4"/>
  <c r="BL13" i="4"/>
  <c r="BM13" i="4" s="1"/>
  <c r="BK13" i="4"/>
  <c r="BI13" i="4"/>
  <c r="BH13" i="4"/>
  <c r="BG13" i="4"/>
  <c r="BF13" i="4"/>
  <c r="BE13" i="4"/>
  <c r="BB13" i="4"/>
  <c r="AY13" i="4"/>
  <c r="AW13" i="4"/>
  <c r="AV13" i="4"/>
  <c r="AX13" i="4" s="1"/>
  <c r="AT13" i="4"/>
  <c r="AS13" i="4"/>
  <c r="AU13" i="4" s="1"/>
  <c r="AQ13" i="4"/>
  <c r="AM13" i="4"/>
  <c r="AG13" i="4"/>
  <c r="AH13" i="4" s="1"/>
  <c r="AD13" i="4"/>
  <c r="AC13" i="4"/>
  <c r="AE13" i="4" s="1"/>
  <c r="AA13" i="4"/>
  <c r="Z13" i="4"/>
  <c r="AB13" i="4" s="1"/>
  <c r="Y13" i="4"/>
  <c r="X13" i="4"/>
  <c r="W13" i="4"/>
  <c r="U13" i="4"/>
  <c r="T13" i="4"/>
  <c r="V13" i="4" s="1"/>
  <c r="Q13" i="4"/>
  <c r="O13" i="4"/>
  <c r="N13" i="4"/>
  <c r="P13" i="4" s="1"/>
  <c r="K13" i="4"/>
  <c r="I13" i="4"/>
  <c r="H13" i="4"/>
  <c r="J13" i="4" s="1"/>
  <c r="F13" i="4"/>
  <c r="E13" i="4"/>
  <c r="G13" i="4" s="1"/>
  <c r="C13" i="4"/>
  <c r="B13" i="4"/>
  <c r="D13" i="4" s="1"/>
  <c r="BU12" i="4"/>
  <c r="BT12" i="4"/>
  <c r="BO12" i="4"/>
  <c r="BN12" i="4"/>
  <c r="BP12" i="4" s="1"/>
  <c r="BL12" i="4"/>
  <c r="BI12" i="4"/>
  <c r="BH12" i="4"/>
  <c r="BJ12" i="4" s="1"/>
  <c r="BF12" i="4"/>
  <c r="BE12" i="4"/>
  <c r="BG12" i="4" s="1"/>
  <c r="BC12" i="4"/>
  <c r="BD12" i="4" s="1"/>
  <c r="BB12" i="4"/>
  <c r="AZ12" i="4"/>
  <c r="BA12" i="4" s="1"/>
  <c r="AY12" i="4"/>
  <c r="AW12" i="4"/>
  <c r="AU12" i="4"/>
  <c r="AT12" i="4"/>
  <c r="AS12" i="4"/>
  <c r="AQ12" i="4"/>
  <c r="AP12" i="4"/>
  <c r="AR12" i="4" s="1"/>
  <c r="AO12" i="4"/>
  <c r="AN12" i="4"/>
  <c r="AM12" i="4"/>
  <c r="AG12" i="4"/>
  <c r="AH12" i="4" s="1"/>
  <c r="AD12" i="4"/>
  <c r="AE12" i="4" s="1"/>
  <c r="AC12" i="4"/>
  <c r="Z12" i="4"/>
  <c r="X12" i="4"/>
  <c r="Y12" i="4" s="1"/>
  <c r="Y14" i="4" s="1"/>
  <c r="W12" i="4"/>
  <c r="U12" i="4"/>
  <c r="T12" i="4"/>
  <c r="R12" i="4"/>
  <c r="Q12" i="4"/>
  <c r="S12" i="4" s="1"/>
  <c r="O12" i="4"/>
  <c r="N12" i="4"/>
  <c r="P12" i="4" s="1"/>
  <c r="L12" i="4"/>
  <c r="M12" i="4" s="1"/>
  <c r="K12" i="4"/>
  <c r="I12" i="4"/>
  <c r="H12" i="4"/>
  <c r="J12" i="4" s="1"/>
  <c r="G12" i="4"/>
  <c r="F12" i="4"/>
  <c r="E12" i="4"/>
  <c r="D12" i="4"/>
  <c r="C12" i="4"/>
  <c r="B12" i="4"/>
  <c r="BU11" i="4"/>
  <c r="BT11" i="4"/>
  <c r="BV11" i="4" s="1"/>
  <c r="BR11" i="4"/>
  <c r="BS11" i="4" s="1"/>
  <c r="BQ11" i="4"/>
  <c r="BP11" i="4"/>
  <c r="BO11" i="4"/>
  <c r="BN11" i="4"/>
  <c r="BL11" i="4"/>
  <c r="BK11" i="4"/>
  <c r="BM11" i="4" s="1"/>
  <c r="BI11" i="4"/>
  <c r="BF11" i="4"/>
  <c r="BE11" i="4"/>
  <c r="BG11" i="4" s="1"/>
  <c r="BD11" i="4"/>
  <c r="BC11" i="4"/>
  <c r="BB11" i="4"/>
  <c r="AZ11" i="4"/>
  <c r="AY11" i="4"/>
  <c r="BA11" i="4" s="1"/>
  <c r="AW11" i="4"/>
  <c r="AV11" i="4"/>
  <c r="AX11" i="4" s="1"/>
  <c r="AT11" i="4"/>
  <c r="AS11" i="4"/>
  <c r="AU11" i="4" s="1"/>
  <c r="AQ11" i="4"/>
  <c r="AR11" i="4" s="1"/>
  <c r="AP11" i="4"/>
  <c r="AM11" i="4"/>
  <c r="AG11" i="4"/>
  <c r="AH11" i="4" s="1"/>
  <c r="AD11" i="4"/>
  <c r="AC11" i="4"/>
  <c r="AE11" i="4" s="1"/>
  <c r="AA11" i="4"/>
  <c r="AB11" i="4" s="1"/>
  <c r="Z11" i="4"/>
  <c r="X11" i="4"/>
  <c r="W11" i="4"/>
  <c r="Y11" i="4" s="1"/>
  <c r="U11" i="4"/>
  <c r="T11" i="4"/>
  <c r="V11" i="4" s="1"/>
  <c r="R11" i="4"/>
  <c r="Q11" i="4"/>
  <c r="S11" i="4" s="1"/>
  <c r="O11" i="4"/>
  <c r="L11" i="4"/>
  <c r="K11" i="4"/>
  <c r="M11" i="4" s="1"/>
  <c r="J11" i="4"/>
  <c r="I11" i="4"/>
  <c r="H11" i="4"/>
  <c r="F11" i="4"/>
  <c r="E11" i="4"/>
  <c r="G11" i="4" s="1"/>
  <c r="C11" i="4"/>
  <c r="D11" i="4" s="1"/>
  <c r="B11" i="4"/>
  <c r="BU10" i="4"/>
  <c r="BT10" i="4"/>
  <c r="BV10" i="4" s="1"/>
  <c r="BR10" i="4"/>
  <c r="BQ10" i="4"/>
  <c r="BS10" i="4" s="1"/>
  <c r="BO10" i="4"/>
  <c r="BP10" i="4" s="1"/>
  <c r="BN10" i="4"/>
  <c r="BK10" i="4"/>
  <c r="BI10" i="4"/>
  <c r="BH10" i="4"/>
  <c r="BJ10" i="4" s="1"/>
  <c r="BF10" i="4"/>
  <c r="BG10" i="4" s="1"/>
  <c r="BE10" i="4"/>
  <c r="BC10" i="4"/>
  <c r="AZ10" i="4"/>
  <c r="AY10" i="4"/>
  <c r="BA10" i="4" s="1"/>
  <c r="AW10" i="4"/>
  <c r="AV10" i="4"/>
  <c r="AX10" i="4" s="1"/>
  <c r="AT10" i="4"/>
  <c r="AS10" i="4"/>
  <c r="AU10" i="4" s="1"/>
  <c r="AQ10" i="4"/>
  <c r="AN10" i="4"/>
  <c r="AM10" i="4"/>
  <c r="AO10" i="4" s="1"/>
  <c r="AG10" i="4"/>
  <c r="AH10" i="4" s="1"/>
  <c r="AD10" i="4"/>
  <c r="AC10" i="4"/>
  <c r="AE10" i="4" s="1"/>
  <c r="AA10" i="4"/>
  <c r="AB10" i="4" s="1"/>
  <c r="Z10" i="4"/>
  <c r="X10" i="4"/>
  <c r="W10" i="4"/>
  <c r="Y10" i="4" s="1"/>
  <c r="U10" i="4"/>
  <c r="T10" i="4"/>
  <c r="V10" i="4" s="1"/>
  <c r="Q10" i="4"/>
  <c r="O10" i="4"/>
  <c r="P10" i="4" s="1"/>
  <c r="N10" i="4"/>
  <c r="L10" i="4"/>
  <c r="K10" i="4"/>
  <c r="M10" i="4" s="1"/>
  <c r="I10" i="4"/>
  <c r="H10" i="4"/>
  <c r="J10" i="4" s="1"/>
  <c r="F10" i="4"/>
  <c r="E10" i="4"/>
  <c r="G10" i="4" s="1"/>
  <c r="C10" i="4"/>
  <c r="D10" i="4" s="1"/>
  <c r="B10" i="4"/>
  <c r="BV9" i="4"/>
  <c r="BT9" i="4"/>
  <c r="BR9" i="4"/>
  <c r="BQ9" i="4"/>
  <c r="BS9" i="4" s="1"/>
  <c r="BO9" i="4"/>
  <c r="BP9" i="4" s="1"/>
  <c r="BN9" i="4"/>
  <c r="BK9" i="4"/>
  <c r="BM9" i="4" s="1"/>
  <c r="BH9" i="4"/>
  <c r="BF9" i="4"/>
  <c r="BE9" i="4"/>
  <c r="BG9" i="4" s="1"/>
  <c r="BC9" i="4"/>
  <c r="AZ9" i="4"/>
  <c r="AY9" i="4"/>
  <c r="BA9" i="4" s="1"/>
  <c r="AV9" i="4"/>
  <c r="AX9" i="4" s="1"/>
  <c r="AU9" i="4"/>
  <c r="AT9" i="4"/>
  <c r="AS9" i="4"/>
  <c r="AQ9" i="4"/>
  <c r="AR9" i="4" s="1"/>
  <c r="AP9" i="4"/>
  <c r="AN9" i="4"/>
  <c r="AM9" i="4"/>
  <c r="AO9" i="4" s="1"/>
  <c r="AG9" i="4"/>
  <c r="AH9" i="4" s="1"/>
  <c r="AD9" i="4"/>
  <c r="AC9" i="4"/>
  <c r="AE9" i="4" s="1"/>
  <c r="AB9" i="4"/>
  <c r="AA9" i="4"/>
  <c r="Z9" i="4"/>
  <c r="X9" i="4"/>
  <c r="W9" i="4"/>
  <c r="Y9" i="4" s="1"/>
  <c r="U9" i="4"/>
  <c r="T9" i="4"/>
  <c r="V9" i="4" s="1"/>
  <c r="R9" i="4"/>
  <c r="Q9" i="4"/>
  <c r="S9" i="4" s="1"/>
  <c r="P9" i="4"/>
  <c r="O9" i="4"/>
  <c r="N9" i="4"/>
  <c r="L9" i="4"/>
  <c r="K9" i="4"/>
  <c r="M9" i="4" s="1"/>
  <c r="H9" i="4"/>
  <c r="F9" i="4"/>
  <c r="E9" i="4"/>
  <c r="G9" i="4" s="1"/>
  <c r="C9" i="4"/>
  <c r="D9" i="4" s="1"/>
  <c r="B9" i="4"/>
  <c r="BU8" i="4"/>
  <c r="BT8" i="4"/>
  <c r="BV8" i="4" s="1"/>
  <c r="BR8" i="4"/>
  <c r="BQ8" i="4"/>
  <c r="BS8" i="4" s="1"/>
  <c r="BO8" i="4"/>
  <c r="BP8" i="4" s="1"/>
  <c r="BN8" i="4"/>
  <c r="BL8" i="4"/>
  <c r="BK8" i="4"/>
  <c r="BM8" i="4" s="1"/>
  <c r="BI8" i="4"/>
  <c r="BH8" i="4"/>
  <c r="BJ8" i="4" s="1"/>
  <c r="BF8" i="4"/>
  <c r="BE8" i="4"/>
  <c r="BG8" i="4" s="1"/>
  <c r="BC8" i="4"/>
  <c r="BD8" i="4" s="1"/>
  <c r="BB8" i="4"/>
  <c r="AZ8" i="4"/>
  <c r="AY8" i="4"/>
  <c r="BA8" i="4" s="1"/>
  <c r="AW8" i="4"/>
  <c r="AV8" i="4"/>
  <c r="AX8" i="4" s="1"/>
  <c r="AT8" i="4"/>
  <c r="AS8" i="4"/>
  <c r="AU8" i="4" s="1"/>
  <c r="AQ8" i="4"/>
  <c r="AN8" i="4"/>
  <c r="AM8" i="4"/>
  <c r="AH8" i="4"/>
  <c r="AG8" i="4"/>
  <c r="AC8" i="4"/>
  <c r="AA8" i="4"/>
  <c r="AB8" i="4" s="1"/>
  <c r="Z8" i="4"/>
  <c r="X8" i="4"/>
  <c r="W8" i="4"/>
  <c r="Y8" i="4" s="1"/>
  <c r="V8" i="4"/>
  <c r="U8" i="4"/>
  <c r="T8" i="4"/>
  <c r="R8" i="4"/>
  <c r="Q8" i="4"/>
  <c r="S8" i="4" s="1"/>
  <c r="N8" i="4"/>
  <c r="L8" i="4"/>
  <c r="K8" i="4"/>
  <c r="M8" i="4" s="1"/>
  <c r="I8" i="4"/>
  <c r="H8" i="4"/>
  <c r="J8" i="4" s="1"/>
  <c r="G8" i="4"/>
  <c r="F8" i="4"/>
  <c r="E8" i="4"/>
  <c r="C8" i="4"/>
  <c r="D8" i="4" s="1"/>
  <c r="B8" i="4"/>
  <c r="BU7" i="4"/>
  <c r="BT7" i="4"/>
  <c r="BR7" i="4"/>
  <c r="BQ7" i="4"/>
  <c r="BP7" i="4"/>
  <c r="BO7" i="4"/>
  <c r="BN7" i="4"/>
  <c r="BL7" i="4"/>
  <c r="BK7" i="4"/>
  <c r="BM7" i="4" s="1"/>
  <c r="BI7" i="4"/>
  <c r="BH7" i="4"/>
  <c r="BJ7" i="4" s="1"/>
  <c r="BF7" i="4"/>
  <c r="BE7" i="4"/>
  <c r="BD7" i="4"/>
  <c r="BC7" i="4"/>
  <c r="BB7" i="4"/>
  <c r="AZ7" i="4"/>
  <c r="AY7" i="4"/>
  <c r="AW7" i="4"/>
  <c r="AV7" i="4"/>
  <c r="AX7" i="4" s="1"/>
  <c r="AT7" i="4"/>
  <c r="AS7" i="4"/>
  <c r="AQ7" i="4"/>
  <c r="AR7" i="4" s="1"/>
  <c r="AP7" i="4"/>
  <c r="AN7" i="4"/>
  <c r="AM7" i="4"/>
  <c r="AO7" i="4" s="1"/>
  <c r="AH7" i="4"/>
  <c r="AD7" i="4"/>
  <c r="AC7" i="4"/>
  <c r="AA7" i="4"/>
  <c r="Z7" i="4"/>
  <c r="X7" i="4"/>
  <c r="W7" i="4"/>
  <c r="Y7" i="4" s="1"/>
  <c r="U7" i="4"/>
  <c r="T7" i="4"/>
  <c r="T14" i="4" s="1"/>
  <c r="R7" i="4"/>
  <c r="Q7" i="4"/>
  <c r="Q14" i="4" s="1"/>
  <c r="O7" i="4"/>
  <c r="N7" i="4"/>
  <c r="L7" i="4"/>
  <c r="K7" i="4"/>
  <c r="M7" i="4" s="1"/>
  <c r="I7" i="4"/>
  <c r="H7" i="4"/>
  <c r="F7" i="4"/>
  <c r="E7" i="4"/>
  <c r="C7" i="4"/>
  <c r="B7" i="4"/>
  <c r="D7" i="4" s="1"/>
  <c r="BT5" i="4"/>
  <c r="BQ5" i="4"/>
  <c r="BQ17" i="4" s="1"/>
  <c r="BQ29" i="4" s="1"/>
  <c r="BQ41" i="4" s="1"/>
  <c r="BH5" i="4"/>
  <c r="BH17" i="4" s="1"/>
  <c r="BH29" i="4" s="1"/>
  <c r="BH41" i="4" s="1"/>
  <c r="AM5" i="4"/>
  <c r="K5" i="4"/>
  <c r="K17" i="4" s="1"/>
  <c r="K29" i="4" s="1"/>
  <c r="K41" i="4" s="1"/>
  <c r="H5" i="4"/>
  <c r="E5" i="4"/>
  <c r="E1" i="4"/>
  <c r="B68" i="3"/>
  <c r="B67" i="3"/>
  <c r="B66" i="3"/>
  <c r="B65" i="3"/>
  <c r="B64" i="3"/>
  <c r="C56" i="3"/>
  <c r="B56" i="3"/>
  <c r="C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6" i="3"/>
  <c r="B25" i="3"/>
  <c r="J34" i="2"/>
  <c r="I34" i="2"/>
  <c r="H34" i="2"/>
  <c r="F34" i="2"/>
  <c r="D34" i="2"/>
  <c r="B34" i="2"/>
  <c r="K33" i="2"/>
  <c r="J33" i="2"/>
  <c r="I33" i="2"/>
  <c r="H33" i="2"/>
  <c r="F33" i="2"/>
  <c r="B33" i="2"/>
  <c r="J32" i="2"/>
  <c r="I32" i="2"/>
  <c r="H32" i="2"/>
  <c r="F32" i="2"/>
  <c r="B32" i="2"/>
  <c r="J31" i="2"/>
  <c r="I31" i="2"/>
  <c r="H31" i="2"/>
  <c r="F31" i="2"/>
  <c r="D31" i="2"/>
  <c r="B31" i="2"/>
  <c r="J30" i="2"/>
  <c r="I30" i="2"/>
  <c r="H30" i="2"/>
  <c r="F30" i="2"/>
  <c r="B30" i="2"/>
  <c r="J29" i="2"/>
  <c r="I29" i="2"/>
  <c r="H29" i="2"/>
  <c r="F29" i="2"/>
  <c r="B29" i="2"/>
  <c r="J28" i="2"/>
  <c r="I28" i="2"/>
  <c r="H28" i="2"/>
  <c r="F28" i="2"/>
  <c r="B28" i="2"/>
  <c r="J27" i="2"/>
  <c r="I27" i="2"/>
  <c r="H27" i="2"/>
  <c r="F27" i="2"/>
  <c r="B27" i="2"/>
  <c r="J26" i="2"/>
  <c r="I26" i="2"/>
  <c r="H26" i="2"/>
  <c r="F26" i="2"/>
  <c r="B26" i="2"/>
  <c r="K25" i="2"/>
  <c r="J25" i="2"/>
  <c r="I25" i="2"/>
  <c r="H25" i="2"/>
  <c r="F25" i="2"/>
  <c r="B25" i="2"/>
  <c r="J24" i="2"/>
  <c r="I24" i="2"/>
  <c r="H24" i="2"/>
  <c r="F24" i="2"/>
  <c r="D24" i="2"/>
  <c r="B24" i="2"/>
  <c r="J23" i="2"/>
  <c r="I23" i="2"/>
  <c r="H23" i="2"/>
  <c r="F23" i="2"/>
  <c r="D23" i="2"/>
  <c r="B23" i="2"/>
  <c r="K22" i="2"/>
  <c r="J22" i="2"/>
  <c r="I22" i="2"/>
  <c r="H22" i="2"/>
  <c r="F22" i="2"/>
  <c r="B22" i="2"/>
  <c r="J21" i="2"/>
  <c r="I21" i="2"/>
  <c r="H21" i="2"/>
  <c r="F21" i="2"/>
  <c r="B21" i="2"/>
  <c r="J20" i="2"/>
  <c r="I20" i="2"/>
  <c r="H20" i="2"/>
  <c r="F20" i="2"/>
  <c r="B20" i="2"/>
  <c r="J19" i="2"/>
  <c r="I19" i="2"/>
  <c r="H19" i="2"/>
  <c r="F19" i="2"/>
  <c r="B19" i="2"/>
  <c r="K18" i="2"/>
  <c r="J18" i="2"/>
  <c r="I18" i="2"/>
  <c r="H18" i="2"/>
  <c r="F18" i="2"/>
  <c r="B18" i="2"/>
  <c r="J17" i="2"/>
  <c r="I17" i="2"/>
  <c r="H17" i="2"/>
  <c r="F17" i="2"/>
  <c r="D17" i="2"/>
  <c r="B17" i="2"/>
  <c r="K16" i="2"/>
  <c r="J16" i="2"/>
  <c r="I16" i="2"/>
  <c r="H16" i="2"/>
  <c r="F16" i="2"/>
  <c r="D16" i="2"/>
  <c r="B16" i="2"/>
  <c r="J15" i="2"/>
  <c r="I15" i="2"/>
  <c r="H15" i="2"/>
  <c r="F15" i="2"/>
  <c r="D15" i="2"/>
  <c r="B15" i="2"/>
  <c r="J14" i="2"/>
  <c r="I14" i="2"/>
  <c r="H14" i="2"/>
  <c r="F14" i="2"/>
  <c r="D14" i="2"/>
  <c r="B14" i="2"/>
  <c r="J13" i="2"/>
  <c r="I13" i="2"/>
  <c r="H13" i="2"/>
  <c r="F13" i="2"/>
  <c r="D13" i="2"/>
  <c r="B13" i="2"/>
  <c r="J12" i="2"/>
  <c r="I12" i="2"/>
  <c r="H12" i="2"/>
  <c r="F12" i="2"/>
  <c r="B12" i="2"/>
  <c r="K11" i="2"/>
  <c r="I11" i="2"/>
  <c r="H11" i="2"/>
  <c r="F11" i="2"/>
  <c r="B11" i="2"/>
  <c r="K10" i="2"/>
  <c r="J10" i="2"/>
  <c r="I10" i="2"/>
  <c r="H10" i="2"/>
  <c r="F10" i="2"/>
  <c r="B10" i="2"/>
  <c r="J9" i="2"/>
  <c r="I9" i="2"/>
  <c r="H9" i="2"/>
  <c r="F9" i="2"/>
  <c r="B9" i="2"/>
  <c r="K8" i="2"/>
  <c r="J8" i="2"/>
  <c r="I8" i="2"/>
  <c r="H8" i="2"/>
  <c r="F8" i="2"/>
  <c r="D8" i="2"/>
  <c r="B8" i="2"/>
  <c r="J7" i="2"/>
  <c r="I7" i="2"/>
  <c r="H7" i="2"/>
  <c r="H35" i="2" s="1"/>
  <c r="F7" i="2"/>
  <c r="F35" i="2" s="1"/>
  <c r="D7" i="2"/>
  <c r="B7" i="2"/>
  <c r="J6" i="2"/>
  <c r="I6" i="2"/>
  <c r="H6" i="2"/>
  <c r="F6" i="2"/>
  <c r="B6" i="2"/>
  <c r="J5" i="2"/>
  <c r="I5" i="2"/>
  <c r="H5" i="2"/>
  <c r="F5" i="2"/>
  <c r="B5" i="2"/>
  <c r="J4" i="2"/>
  <c r="I4" i="2"/>
  <c r="H4" i="2"/>
  <c r="F4" i="2"/>
  <c r="B4" i="2"/>
  <c r="BJ38" i="4" l="1"/>
  <c r="P82" i="10" s="1"/>
  <c r="AK36" i="4"/>
  <c r="P13" i="10"/>
  <c r="AK45" i="4"/>
  <c r="G26" i="4"/>
  <c r="P37" i="10" s="1"/>
  <c r="BQ38" i="4"/>
  <c r="AX53" i="4"/>
  <c r="P110" i="10" s="1"/>
  <c r="CA9" i="7"/>
  <c r="BO33" i="4"/>
  <c r="BP33" i="4" s="1"/>
  <c r="BO33" i="5"/>
  <c r="BP33" i="5" s="1"/>
  <c r="BD45" i="4"/>
  <c r="BA47" i="7"/>
  <c r="BA53" i="7" s="1"/>
  <c r="F110" i="10" s="1"/>
  <c r="AY53" i="7"/>
  <c r="E110" i="10" s="1"/>
  <c r="AM38" i="8"/>
  <c r="R76" i="10" s="1"/>
  <c r="N76" i="10" s="1"/>
  <c r="AO31" i="8"/>
  <c r="H25" i="29"/>
  <c r="BK32" i="8"/>
  <c r="BM32" i="8" s="1"/>
  <c r="BK32" i="4"/>
  <c r="BM32" i="4" s="1"/>
  <c r="AK38" i="7"/>
  <c r="AK34" i="4"/>
  <c r="BY35" i="4"/>
  <c r="M38" i="5"/>
  <c r="H74" i="10" s="1"/>
  <c r="AK46" i="5"/>
  <c r="H7" i="43"/>
  <c r="H16" i="43" s="1"/>
  <c r="E51" i="4"/>
  <c r="G51" i="4" s="1"/>
  <c r="E51" i="8"/>
  <c r="G51" i="8" s="1"/>
  <c r="V53" i="4"/>
  <c r="P99" i="10" s="1"/>
  <c r="AK32" i="5"/>
  <c r="M26" i="4"/>
  <c r="P45" i="10" s="1"/>
  <c r="G8" i="10"/>
  <c r="E55" i="5"/>
  <c r="G6" i="6" s="1"/>
  <c r="CF55" i="7"/>
  <c r="D14" i="4"/>
  <c r="T14" i="5"/>
  <c r="V7" i="5"/>
  <c r="AK20" i="8"/>
  <c r="BI9" i="4"/>
  <c r="BJ9" i="4" s="1"/>
  <c r="BJ19" i="4"/>
  <c r="BJ26" i="4" s="1"/>
  <c r="P53" i="10" s="1"/>
  <c r="BH26" i="4"/>
  <c r="S21" i="4"/>
  <c r="AK21" i="4" s="1"/>
  <c r="Q38" i="4"/>
  <c r="G7" i="5"/>
  <c r="AS14" i="5"/>
  <c r="AU8" i="5"/>
  <c r="AK9" i="5"/>
  <c r="BV37" i="5"/>
  <c r="BV38" i="5" s="1"/>
  <c r="H79" i="10" s="1"/>
  <c r="AU46" i="5"/>
  <c r="BM9" i="7"/>
  <c r="E29" i="10"/>
  <c r="BO31" i="5"/>
  <c r="BP31" i="5" s="1"/>
  <c r="BO31" i="4"/>
  <c r="BP31" i="4" s="1"/>
  <c r="H53" i="7"/>
  <c r="E96" i="10" s="1"/>
  <c r="E38" i="8"/>
  <c r="R66" i="10" s="1"/>
  <c r="O50" i="10"/>
  <c r="J50" i="10"/>
  <c r="G24" i="4"/>
  <c r="E26" i="4"/>
  <c r="K14" i="5"/>
  <c r="K55" i="5" s="1"/>
  <c r="M8" i="5"/>
  <c r="T14" i="7"/>
  <c r="V9" i="7"/>
  <c r="BP20" i="7"/>
  <c r="BP26" i="7" s="1"/>
  <c r="F55" i="10" s="1"/>
  <c r="BN26" i="7"/>
  <c r="E55" i="10" s="1"/>
  <c r="BS33" i="7"/>
  <c r="AB20" i="4"/>
  <c r="AB26" i="4" s="1"/>
  <c r="P43" i="10" s="1"/>
  <c r="AO48" i="4"/>
  <c r="BY48" i="4" s="1"/>
  <c r="J43" i="5"/>
  <c r="J53" i="5" s="1"/>
  <c r="H96" i="10" s="1"/>
  <c r="H53" i="5"/>
  <c r="G96" i="10" s="1"/>
  <c r="CA21" i="7"/>
  <c r="N37" i="8"/>
  <c r="P37" i="8" s="1"/>
  <c r="AK37" i="8" s="1"/>
  <c r="CA37" i="8" s="1"/>
  <c r="N37" i="4"/>
  <c r="H9" i="34"/>
  <c r="H10" i="44"/>
  <c r="Q52" i="4"/>
  <c r="Q52" i="8"/>
  <c r="S52" i="8" s="1"/>
  <c r="N26" i="4"/>
  <c r="P20" i="4"/>
  <c r="P26" i="4" s="1"/>
  <c r="P39" i="10" s="1"/>
  <c r="AC38" i="4"/>
  <c r="AE31" i="4"/>
  <c r="AE38" i="4" s="1"/>
  <c r="P73" i="10" s="1"/>
  <c r="BM53" i="4"/>
  <c r="P113" i="10" s="1"/>
  <c r="BC19" i="5"/>
  <c r="BC19" i="4"/>
  <c r="J53" i="7"/>
  <c r="F96" i="10" s="1"/>
  <c r="AP8" i="8"/>
  <c r="AP8" i="4"/>
  <c r="H27" i="16"/>
  <c r="H30" i="16" s="1"/>
  <c r="BB9" i="8"/>
  <c r="BD9" i="8" s="1"/>
  <c r="BY9" i="8" s="1"/>
  <c r="BB9" i="4"/>
  <c r="BD9" i="4" s="1"/>
  <c r="BY9" i="4" s="1"/>
  <c r="H22" i="19"/>
  <c r="AV12" i="8"/>
  <c r="AX12" i="8" s="1"/>
  <c r="BY12" i="8" s="1"/>
  <c r="CA12" i="8" s="1"/>
  <c r="AV12" i="4"/>
  <c r="AX12" i="4" s="1"/>
  <c r="AX14" i="4" s="1"/>
  <c r="AK24" i="5"/>
  <c r="H38" i="5"/>
  <c r="G67" i="10" s="1"/>
  <c r="J34" i="5"/>
  <c r="AK34" i="5" s="1"/>
  <c r="H31" i="14"/>
  <c r="BS7" i="4"/>
  <c r="K53" i="4"/>
  <c r="M44" i="4"/>
  <c r="G29" i="10"/>
  <c r="H29" i="10" s="1"/>
  <c r="B26" i="5"/>
  <c r="G59" i="10" s="1"/>
  <c r="D19" i="5"/>
  <c r="D26" i="5" s="1"/>
  <c r="H59" i="10" s="1"/>
  <c r="AN19" i="5"/>
  <c r="AO19" i="5" s="1"/>
  <c r="AN19" i="4"/>
  <c r="AO19" i="4" s="1"/>
  <c r="AR19" i="7"/>
  <c r="AR26" i="7" s="1"/>
  <c r="F47" i="10" s="1"/>
  <c r="AX26" i="8"/>
  <c r="T52" i="10" s="1"/>
  <c r="BE14" i="4"/>
  <c r="BG7" i="4"/>
  <c r="BG14" i="4" s="1"/>
  <c r="AK20" i="4"/>
  <c r="BY25" i="5"/>
  <c r="L43" i="5"/>
  <c r="L43" i="4"/>
  <c r="B53" i="8"/>
  <c r="R117" i="10" s="1"/>
  <c r="N117" i="10" s="1"/>
  <c r="D50" i="8"/>
  <c r="AK50" i="8" s="1"/>
  <c r="B50" i="4"/>
  <c r="D50" i="4" s="1"/>
  <c r="AO8" i="4"/>
  <c r="AM14" i="4"/>
  <c r="AH26" i="4"/>
  <c r="D14" i="5"/>
  <c r="BG8" i="5"/>
  <c r="BJ31" i="5"/>
  <c r="BH38" i="5"/>
  <c r="AH53" i="5"/>
  <c r="O25" i="6"/>
  <c r="D25" i="6"/>
  <c r="AD43" i="5"/>
  <c r="AE43" i="5" s="1"/>
  <c r="AD43" i="4"/>
  <c r="AE43" i="4" s="1"/>
  <c r="AS14" i="4"/>
  <c r="AU7" i="4"/>
  <c r="AU14" i="4" s="1"/>
  <c r="BR12" i="4"/>
  <c r="BJ13" i="4"/>
  <c r="AK22" i="4"/>
  <c r="S24" i="4"/>
  <c r="BM31" i="4"/>
  <c r="BM38" i="4" s="1"/>
  <c r="P84" i="10" s="1"/>
  <c r="BK38" i="4"/>
  <c r="J37" i="4"/>
  <c r="J38" i="4" s="1"/>
  <c r="P67" i="10" s="1"/>
  <c r="H38" i="4"/>
  <c r="H53" i="4"/>
  <c r="BP44" i="4"/>
  <c r="AB48" i="4"/>
  <c r="AB12" i="5"/>
  <c r="BN14" i="5"/>
  <c r="AK22" i="5"/>
  <c r="CA22" i="5" s="1"/>
  <c r="CD22" i="5" s="1"/>
  <c r="AC26" i="5"/>
  <c r="E53" i="5"/>
  <c r="G95" i="10" s="1"/>
  <c r="G45" i="5"/>
  <c r="AK45" i="5" s="1"/>
  <c r="BY49" i="5"/>
  <c r="F29" i="10"/>
  <c r="BJ55" i="7"/>
  <c r="F27" i="6" s="1"/>
  <c r="BS31" i="7"/>
  <c r="BS38" i="7" s="1"/>
  <c r="F83" i="10" s="1"/>
  <c r="BS35" i="7"/>
  <c r="BQ38" i="7"/>
  <c r="E83" i="10" s="1"/>
  <c r="AV38" i="7"/>
  <c r="E80" i="10" s="1"/>
  <c r="AN48" i="5"/>
  <c r="AO48" i="5" s="1"/>
  <c r="BY48" i="5" s="1"/>
  <c r="AN48" i="4"/>
  <c r="BZ48" i="7"/>
  <c r="C109" i="10"/>
  <c r="AX52" i="7"/>
  <c r="BZ52" i="7" s="1"/>
  <c r="AT52" i="4"/>
  <c r="AU52" i="4" s="1"/>
  <c r="BY52" i="4" s="1"/>
  <c r="R27" i="10"/>
  <c r="N27" i="10" s="1"/>
  <c r="T11" i="10"/>
  <c r="AK12" i="8"/>
  <c r="BV13" i="8"/>
  <c r="BS19" i="8"/>
  <c r="BS26" i="8" s="1"/>
  <c r="T49" i="10" s="1"/>
  <c r="BQ26" i="8"/>
  <c r="R49" i="10" s="1"/>
  <c r="N49" i="10" s="1"/>
  <c r="G33" i="8"/>
  <c r="AK33" i="8" s="1"/>
  <c r="Z53" i="8"/>
  <c r="R101" i="10" s="1"/>
  <c r="N101" i="10" s="1"/>
  <c r="AK51" i="8"/>
  <c r="BY33" i="4"/>
  <c r="N14" i="4"/>
  <c r="P7" i="4"/>
  <c r="P14" i="4" s="1"/>
  <c r="AD8" i="4"/>
  <c r="AD8" i="5"/>
  <c r="BY19" i="7"/>
  <c r="BW26" i="7"/>
  <c r="E50" i="10" s="1"/>
  <c r="H19" i="19"/>
  <c r="H30" i="19" s="1"/>
  <c r="H31" i="19" s="1"/>
  <c r="BQ12" i="8"/>
  <c r="BS12" i="8" s="1"/>
  <c r="BQ12" i="4"/>
  <c r="BQ14" i="4" s="1"/>
  <c r="S10" i="4"/>
  <c r="AK10" i="4" s="1"/>
  <c r="AK19" i="5"/>
  <c r="AE26" i="5"/>
  <c r="H44" i="10" s="1"/>
  <c r="S13" i="4"/>
  <c r="AP26" i="4"/>
  <c r="AR21" i="4"/>
  <c r="BB53" i="4"/>
  <c r="P47" i="4"/>
  <c r="N53" i="4"/>
  <c r="BY47" i="4"/>
  <c r="BY49" i="4"/>
  <c r="V26" i="5"/>
  <c r="H41" i="10" s="1"/>
  <c r="AK26" i="7"/>
  <c r="AK55" i="7" s="1"/>
  <c r="BB14" i="8"/>
  <c r="V10" i="8"/>
  <c r="T14" i="8"/>
  <c r="Y31" i="5"/>
  <c r="W38" i="5"/>
  <c r="BS53" i="5"/>
  <c r="H107" i="10" s="1"/>
  <c r="AZ33" i="5"/>
  <c r="BA33" i="5" s="1"/>
  <c r="AZ33" i="4"/>
  <c r="BV37" i="4"/>
  <c r="BL10" i="5"/>
  <c r="BM10" i="5" s="1"/>
  <c r="BY10" i="5" s="1"/>
  <c r="BL10" i="4"/>
  <c r="BV26" i="7"/>
  <c r="F49" i="10" s="1"/>
  <c r="AT20" i="4"/>
  <c r="AU20" i="4" s="1"/>
  <c r="AT20" i="5"/>
  <c r="AU20" i="5" s="1"/>
  <c r="AW20" i="5"/>
  <c r="AX20" i="5" s="1"/>
  <c r="AX26" i="5" s="1"/>
  <c r="H52" i="10" s="1"/>
  <c r="BA20" i="7"/>
  <c r="BA26" i="7" s="1"/>
  <c r="F52" i="10" s="1"/>
  <c r="AW20" i="4"/>
  <c r="AX20" i="4" s="1"/>
  <c r="BD33" i="7"/>
  <c r="C79" i="10"/>
  <c r="BU37" i="5"/>
  <c r="BY37" i="8"/>
  <c r="H9" i="18"/>
  <c r="N11" i="8"/>
  <c r="N11" i="4"/>
  <c r="P11" i="4" s="1"/>
  <c r="AK11" i="4" s="1"/>
  <c r="H25" i="19"/>
  <c r="BK12" i="8"/>
  <c r="BM12" i="8" s="1"/>
  <c r="BM14" i="8" s="1"/>
  <c r="BK12" i="4"/>
  <c r="BM12" i="4" s="1"/>
  <c r="H23" i="30"/>
  <c r="BH33" i="8"/>
  <c r="BJ33" i="8" s="1"/>
  <c r="BH33" i="4"/>
  <c r="BJ33" i="4" s="1"/>
  <c r="AE8" i="4"/>
  <c r="AK8" i="4" s="1"/>
  <c r="BS26" i="5"/>
  <c r="H49" i="10" s="1"/>
  <c r="O20" i="10"/>
  <c r="C18" i="6"/>
  <c r="O18" i="6" s="1"/>
  <c r="D20" i="10"/>
  <c r="J20" i="10"/>
  <c r="C49" i="10" s="1"/>
  <c r="AK23" i="8"/>
  <c r="AK33" i="4"/>
  <c r="BV20" i="8"/>
  <c r="BT26" i="8"/>
  <c r="R50" i="10" s="1"/>
  <c r="N50" i="10" s="1"/>
  <c r="H18" i="15"/>
  <c r="H30" i="15" s="1"/>
  <c r="H31" i="15" s="1"/>
  <c r="BT14" i="5"/>
  <c r="BV7" i="5"/>
  <c r="G9" i="10"/>
  <c r="P46" i="5"/>
  <c r="BJ26" i="7"/>
  <c r="F58" i="10" s="1"/>
  <c r="A113" i="10"/>
  <c r="M113" i="10" s="1"/>
  <c r="A55" i="10"/>
  <c r="A24" i="6"/>
  <c r="M24" i="6" s="1"/>
  <c r="M26" i="10"/>
  <c r="S14" i="5"/>
  <c r="BY9" i="5"/>
  <c r="CA9" i="5" s="1"/>
  <c r="CD9" i="5" s="1"/>
  <c r="H26" i="7"/>
  <c r="E38" i="10" s="1"/>
  <c r="J19" i="7"/>
  <c r="AE43" i="7"/>
  <c r="AE53" i="7" s="1"/>
  <c r="F102" i="10" s="1"/>
  <c r="AC53" i="7"/>
  <c r="E102" i="10" s="1"/>
  <c r="AS26" i="4"/>
  <c r="Z14" i="4"/>
  <c r="Z55" i="4" s="1"/>
  <c r="AB7" i="4"/>
  <c r="J23" i="4"/>
  <c r="AK23" i="4" s="1"/>
  <c r="CA23" i="4" s="1"/>
  <c r="CD23" i="4" s="1"/>
  <c r="AV38" i="4"/>
  <c r="AX31" i="4"/>
  <c r="AX38" i="4" s="1"/>
  <c r="P81" i="10" s="1"/>
  <c r="M43" i="4"/>
  <c r="AM53" i="4"/>
  <c r="AU14" i="5"/>
  <c r="G14" i="10"/>
  <c r="Z55" i="5"/>
  <c r="J21" i="5"/>
  <c r="AS38" i="5"/>
  <c r="G80" i="10" s="1"/>
  <c r="AU31" i="5"/>
  <c r="AU38" i="5" s="1"/>
  <c r="H80" i="10" s="1"/>
  <c r="AN11" i="4"/>
  <c r="AO11" i="4" s="1"/>
  <c r="AN11" i="5"/>
  <c r="AO11" i="5" s="1"/>
  <c r="R21" i="5"/>
  <c r="R21" i="4"/>
  <c r="AZ31" i="5"/>
  <c r="BA31" i="5" s="1"/>
  <c r="BD31" i="7"/>
  <c r="AZ31" i="4"/>
  <c r="AB48" i="7"/>
  <c r="Z53" i="7"/>
  <c r="E101" i="10" s="1"/>
  <c r="AK10" i="8"/>
  <c r="AC38" i="8"/>
  <c r="R73" i="10" s="1"/>
  <c r="N73" i="10" s="1"/>
  <c r="D80" i="11"/>
  <c r="C55" i="3" s="1"/>
  <c r="K34" i="13"/>
  <c r="AQ22" i="11"/>
  <c r="W25" i="11"/>
  <c r="T38" i="8"/>
  <c r="R70" i="10" s="1"/>
  <c r="N70" i="10" s="1"/>
  <c r="AC26" i="4"/>
  <c r="BA33" i="4"/>
  <c r="AS26" i="7"/>
  <c r="E48" i="10" s="1"/>
  <c r="AU19" i="7"/>
  <c r="AU26" i="7" s="1"/>
  <c r="F48" i="10" s="1"/>
  <c r="BZ46" i="7"/>
  <c r="BK53" i="8"/>
  <c r="R113" i="10" s="1"/>
  <c r="N113" i="10" s="1"/>
  <c r="BM43" i="8"/>
  <c r="BM53" i="8" s="1"/>
  <c r="T113" i="10" s="1"/>
  <c r="AK45" i="8"/>
  <c r="CA45" i="8" s="1"/>
  <c r="B6" i="6"/>
  <c r="D8" i="10"/>
  <c r="AC14" i="4"/>
  <c r="AV38" i="5"/>
  <c r="G81" i="10" s="1"/>
  <c r="AX31" i="5"/>
  <c r="AX38" i="5" s="1"/>
  <c r="H81" i="10" s="1"/>
  <c r="P53" i="5"/>
  <c r="H97" i="10" s="1"/>
  <c r="AR14" i="7"/>
  <c r="AB19" i="7"/>
  <c r="AB26" i="7" s="1"/>
  <c r="F43" i="10" s="1"/>
  <c r="AH38" i="7"/>
  <c r="Q26" i="4"/>
  <c r="R25" i="4"/>
  <c r="S25" i="4" s="1"/>
  <c r="AK25" i="4" s="1"/>
  <c r="BQ26" i="5"/>
  <c r="G49" i="10" s="1"/>
  <c r="BV31" i="7"/>
  <c r="BV38" i="7" s="1"/>
  <c r="F78" i="10" s="1"/>
  <c r="BT38" i="7"/>
  <c r="E78" i="10" s="1"/>
  <c r="AA48" i="5"/>
  <c r="AA48" i="4"/>
  <c r="BO51" i="5"/>
  <c r="BP51" i="5" s="1"/>
  <c r="BO51" i="4"/>
  <c r="AU32" i="8"/>
  <c r="BY32" i="8" s="1"/>
  <c r="AS38" i="8"/>
  <c r="R80" i="10" s="1"/>
  <c r="N80" i="10" s="1"/>
  <c r="S85" i="10"/>
  <c r="S114" i="10"/>
  <c r="S25" i="6"/>
  <c r="H19" i="44"/>
  <c r="BQ52" i="8"/>
  <c r="BS52" i="8" s="1"/>
  <c r="BY52" i="8" s="1"/>
  <c r="BQ52" i="4"/>
  <c r="BS52" i="4" s="1"/>
  <c r="G19" i="5"/>
  <c r="G26" i="5" s="1"/>
  <c r="H37" i="10" s="1"/>
  <c r="E26" i="5"/>
  <c r="G37" i="10" s="1"/>
  <c r="Z34" i="40"/>
  <c r="F40" i="11"/>
  <c r="W40" i="11" s="1"/>
  <c r="AS40" i="11" s="1"/>
  <c r="H30" i="13" s="1"/>
  <c r="H29" i="42"/>
  <c r="BH53" i="4"/>
  <c r="BG14" i="5"/>
  <c r="BG55" i="5" s="1"/>
  <c r="BE26" i="5"/>
  <c r="G58" i="10" s="1"/>
  <c r="AS26" i="5"/>
  <c r="G51" i="10" s="1"/>
  <c r="AR31" i="7"/>
  <c r="W53" i="7"/>
  <c r="E100" i="10" s="1"/>
  <c r="BA7" i="8"/>
  <c r="BA14" i="8" s="1"/>
  <c r="G26" i="8"/>
  <c r="T37" i="10" s="1"/>
  <c r="BN38" i="8"/>
  <c r="R83" i="10" s="1"/>
  <c r="BY34" i="8"/>
  <c r="Y43" i="8"/>
  <c r="Y53" i="8" s="1"/>
  <c r="T100" i="10" s="1"/>
  <c r="R10" i="4"/>
  <c r="AF55" i="4"/>
  <c r="W53" i="4"/>
  <c r="AX46" i="4"/>
  <c r="AB8" i="5"/>
  <c r="AB14" i="5" s="1"/>
  <c r="AK12" i="5"/>
  <c r="BP44" i="5"/>
  <c r="AX47" i="5"/>
  <c r="AX53" i="5" s="1"/>
  <c r="H110" i="10" s="1"/>
  <c r="BA50" i="5"/>
  <c r="BY50" i="5" s="1"/>
  <c r="V14" i="7"/>
  <c r="BO13" i="5"/>
  <c r="BP13" i="5" s="1"/>
  <c r="BO13" i="4"/>
  <c r="W38" i="7"/>
  <c r="E71" i="10" s="1"/>
  <c r="BO36" i="4"/>
  <c r="BP36" i="4" s="1"/>
  <c r="BO36" i="5"/>
  <c r="BP36" i="5" s="1"/>
  <c r="AQ44" i="5"/>
  <c r="AQ44" i="4"/>
  <c r="AR44" i="4" s="1"/>
  <c r="R14" i="10"/>
  <c r="N14" i="10" s="1"/>
  <c r="Q14" i="8"/>
  <c r="K53" i="8"/>
  <c r="R103" i="10" s="1"/>
  <c r="N103" i="10" s="1"/>
  <c r="S95" i="10"/>
  <c r="S66" i="10"/>
  <c r="S6" i="6"/>
  <c r="S37" i="10"/>
  <c r="O27" i="13"/>
  <c r="H26" i="42"/>
  <c r="AY50" i="4"/>
  <c r="BA50" i="4" s="1"/>
  <c r="H21" i="43"/>
  <c r="H30" i="43" s="1"/>
  <c r="H31" i="43" s="1"/>
  <c r="AS51" i="8"/>
  <c r="AU51" i="8" s="1"/>
  <c r="BY51" i="8" s="1"/>
  <c r="AS51" i="4"/>
  <c r="AU51" i="4" s="1"/>
  <c r="AU53" i="4" s="1"/>
  <c r="P109" i="10" s="1"/>
  <c r="H26" i="44"/>
  <c r="E14" i="4"/>
  <c r="BS23" i="4"/>
  <c r="S31" i="4"/>
  <c r="S38" i="4" s="1"/>
  <c r="P69" i="10" s="1"/>
  <c r="BL37" i="4"/>
  <c r="O8" i="5"/>
  <c r="P8" i="5" s="1"/>
  <c r="BG19" i="5"/>
  <c r="BG26" i="5" s="1"/>
  <c r="H58" i="10" s="1"/>
  <c r="BR31" i="5"/>
  <c r="BS31" i="5" s="1"/>
  <c r="BQ53" i="5"/>
  <c r="G107" i="10" s="1"/>
  <c r="E15" i="10"/>
  <c r="AC55" i="7"/>
  <c r="E13" i="6" s="1"/>
  <c r="CA22" i="7"/>
  <c r="Y31" i="7"/>
  <c r="Y38" i="7" s="1"/>
  <c r="F71" i="10" s="1"/>
  <c r="X47" i="7"/>
  <c r="AB7" i="8"/>
  <c r="AB14" i="8" s="1"/>
  <c r="J12" i="10"/>
  <c r="C41" i="10" s="1"/>
  <c r="O12" i="10"/>
  <c r="AC44" i="8"/>
  <c r="AE44" i="8" s="1"/>
  <c r="AC44" i="4"/>
  <c r="H20" i="42"/>
  <c r="H30" i="42" s="1"/>
  <c r="H31" i="42" s="1"/>
  <c r="S7" i="4"/>
  <c r="T38" i="4"/>
  <c r="BS31" i="4"/>
  <c r="AM53" i="5"/>
  <c r="G105" i="10" s="1"/>
  <c r="BT53" i="5"/>
  <c r="BV43" i="5"/>
  <c r="BV53" i="5" s="1"/>
  <c r="H108" i="10" s="1"/>
  <c r="AK11" i="5"/>
  <c r="BP9" i="7"/>
  <c r="BN14" i="7"/>
  <c r="B26" i="4"/>
  <c r="BA31" i="4"/>
  <c r="AY38" i="4"/>
  <c r="AB47" i="5"/>
  <c r="K14" i="4"/>
  <c r="K38" i="4"/>
  <c r="AB20" i="5"/>
  <c r="AK20" i="5" s="1"/>
  <c r="Y47" i="7"/>
  <c r="CA47" i="7" s="1"/>
  <c r="AB32" i="8"/>
  <c r="AE7" i="4"/>
  <c r="I9" i="4"/>
  <c r="J9" i="4" s="1"/>
  <c r="AK9" i="4" s="1"/>
  <c r="BP13" i="4"/>
  <c r="BP14" i="4" s="1"/>
  <c r="J43" i="4"/>
  <c r="J53" i="4" s="1"/>
  <c r="P96" i="10" s="1"/>
  <c r="BJ43" i="4"/>
  <c r="BJ53" i="4" s="1"/>
  <c r="P111" i="10" s="1"/>
  <c r="BD44" i="4"/>
  <c r="AB50" i="4"/>
  <c r="AE8" i="5"/>
  <c r="AE14" i="5" s="1"/>
  <c r="AU21" i="5"/>
  <c r="BY21" i="5" s="1"/>
  <c r="AV26" i="5"/>
  <c r="G52" i="10" s="1"/>
  <c r="BS13" i="7"/>
  <c r="AZ36" i="5"/>
  <c r="AZ36" i="4"/>
  <c r="V53" i="7"/>
  <c r="F99" i="10" s="1"/>
  <c r="D14" i="8"/>
  <c r="BQ38" i="8"/>
  <c r="R78" i="10" s="1"/>
  <c r="N78" i="10" s="1"/>
  <c r="AS29" i="11"/>
  <c r="H22" i="13" s="1"/>
  <c r="H17" i="36"/>
  <c r="H30" i="36" s="1"/>
  <c r="AM44" i="8"/>
  <c r="AO44" i="8" s="1"/>
  <c r="H23" i="36"/>
  <c r="H25" i="41"/>
  <c r="BK49" i="8"/>
  <c r="BM49" i="8" s="1"/>
  <c r="H23" i="42"/>
  <c r="R13" i="4"/>
  <c r="AZ13" i="4"/>
  <c r="BA13" i="4" s="1"/>
  <c r="BN26" i="4"/>
  <c r="BP19" i="4"/>
  <c r="BP26" i="4" s="1"/>
  <c r="P54" i="10" s="1"/>
  <c r="G31" i="4"/>
  <c r="G38" i="4" s="1"/>
  <c r="P66" i="10" s="1"/>
  <c r="BC31" i="4"/>
  <c r="BD31" i="4" s="1"/>
  <c r="BD38" i="4" s="1"/>
  <c r="P86" i="10" s="1"/>
  <c r="G26" i="10"/>
  <c r="H26" i="10" s="1"/>
  <c r="BK55" i="5"/>
  <c r="G26" i="6" s="1"/>
  <c r="AZ13" i="5"/>
  <c r="BA13" i="5" s="1"/>
  <c r="K38" i="5"/>
  <c r="G74" i="10" s="1"/>
  <c r="BB53" i="5"/>
  <c r="G115" i="10" s="1"/>
  <c r="AN13" i="5"/>
  <c r="AO13" i="5" s="1"/>
  <c r="AN13" i="4"/>
  <c r="AO13" i="4" s="1"/>
  <c r="G38" i="7"/>
  <c r="S34" i="7"/>
  <c r="S38" i="7" s="1"/>
  <c r="F69" i="10" s="1"/>
  <c r="B53" i="7"/>
  <c r="E117" i="10" s="1"/>
  <c r="BC43" i="5"/>
  <c r="BD43" i="5" s="1"/>
  <c r="BC43" i="4"/>
  <c r="BD43" i="4" s="1"/>
  <c r="O49" i="5"/>
  <c r="O49" i="4"/>
  <c r="AZ50" i="5"/>
  <c r="AZ50" i="4"/>
  <c r="AC14" i="8"/>
  <c r="AK13" i="8"/>
  <c r="M43" i="8"/>
  <c r="M53" i="8" s="1"/>
  <c r="T103" i="10" s="1"/>
  <c r="AB43" i="8"/>
  <c r="AB53" i="8" s="1"/>
  <c r="T101" i="10" s="1"/>
  <c r="AX43" i="8"/>
  <c r="AX53" i="8" s="1"/>
  <c r="T110" i="10" s="1"/>
  <c r="AV53" i="8"/>
  <c r="R110" i="10" s="1"/>
  <c r="N110" i="10" s="1"/>
  <c r="B52" i="8"/>
  <c r="A96" i="10"/>
  <c r="M96" i="10" s="1"/>
  <c r="A7" i="6"/>
  <c r="M7" i="6" s="1"/>
  <c r="M9" i="10"/>
  <c r="A38" i="10"/>
  <c r="M42" i="10"/>
  <c r="A71" i="10"/>
  <c r="M71" i="10" s="1"/>
  <c r="W27" i="11"/>
  <c r="AS27" i="11" s="1"/>
  <c r="H20" i="13" s="1"/>
  <c r="H27" i="35"/>
  <c r="BB43" i="8"/>
  <c r="H14" i="36"/>
  <c r="H28" i="38"/>
  <c r="BE46" i="4"/>
  <c r="G7" i="4"/>
  <c r="G14" i="4" s="1"/>
  <c r="AY14" i="4"/>
  <c r="BA7" i="4"/>
  <c r="BA14" i="4" s="1"/>
  <c r="T26" i="4"/>
  <c r="T55" i="4" s="1"/>
  <c r="BB26" i="4"/>
  <c r="BD19" i="4"/>
  <c r="BD26" i="4" s="1"/>
  <c r="P57" i="10" s="1"/>
  <c r="AQ24" i="4"/>
  <c r="AR24" i="4" s="1"/>
  <c r="BY24" i="4" s="1"/>
  <c r="AN31" i="4"/>
  <c r="AO31" i="4" s="1"/>
  <c r="BT38" i="4"/>
  <c r="N89" i="10" s="1"/>
  <c r="Z53" i="4"/>
  <c r="AX7" i="5"/>
  <c r="AV14" i="5"/>
  <c r="BP8" i="5"/>
  <c r="BJ9" i="5"/>
  <c r="BD13" i="5"/>
  <c r="T53" i="5"/>
  <c r="G99" i="10" s="1"/>
  <c r="BE53" i="5"/>
  <c r="G116" i="10" s="1"/>
  <c r="BD44" i="5"/>
  <c r="BY44" i="5" s="1"/>
  <c r="BS44" i="5"/>
  <c r="AC53" i="5"/>
  <c r="G102" i="10" s="1"/>
  <c r="AE45" i="5"/>
  <c r="BA45" i="5"/>
  <c r="AT46" i="5"/>
  <c r="BI46" i="5"/>
  <c r="BJ46" i="5" s="1"/>
  <c r="D18" i="6"/>
  <c r="BC13" i="4"/>
  <c r="BD13" i="4" s="1"/>
  <c r="BD14" i="4" s="1"/>
  <c r="BC13" i="5"/>
  <c r="L22" i="5"/>
  <c r="M22" i="5" s="1"/>
  <c r="L22" i="4"/>
  <c r="M22" i="4" s="1"/>
  <c r="BA22" i="7"/>
  <c r="B26" i="7"/>
  <c r="BQ26" i="7"/>
  <c r="E54" i="10" s="1"/>
  <c r="H38" i="7"/>
  <c r="E67" i="10" s="1"/>
  <c r="J31" i="7"/>
  <c r="J38" i="7" s="1"/>
  <c r="F67" i="10" s="1"/>
  <c r="AB38" i="4"/>
  <c r="P72" i="10" s="1"/>
  <c r="D53" i="7"/>
  <c r="F117" i="10" s="1"/>
  <c r="AD44" i="5"/>
  <c r="AE44" i="5" s="1"/>
  <c r="AD44" i="4"/>
  <c r="E53" i="7"/>
  <c r="E95" i="10" s="1"/>
  <c r="BD45" i="7"/>
  <c r="P49" i="7"/>
  <c r="BD50" i="7"/>
  <c r="R9" i="10"/>
  <c r="N9" i="10" s="1"/>
  <c r="AE7" i="8"/>
  <c r="AE14" i="8" s="1"/>
  <c r="AK8" i="8"/>
  <c r="V14" i="8"/>
  <c r="AM26" i="8"/>
  <c r="R47" i="10" s="1"/>
  <c r="N47" i="10" s="1"/>
  <c r="AV26" i="8"/>
  <c r="R52" i="10" s="1"/>
  <c r="N52" i="10" s="1"/>
  <c r="AX21" i="8"/>
  <c r="BY21" i="8" s="1"/>
  <c r="K38" i="8"/>
  <c r="R74" i="10" s="1"/>
  <c r="N74" i="10" s="1"/>
  <c r="N53" i="8"/>
  <c r="R97" i="10" s="1"/>
  <c r="N97" i="10" s="1"/>
  <c r="P43" i="8"/>
  <c r="P53" i="8" s="1"/>
  <c r="T97" i="10" s="1"/>
  <c r="AC53" i="8"/>
  <c r="R102" i="10" s="1"/>
  <c r="N102" i="10" s="1"/>
  <c r="AE43" i="8"/>
  <c r="AE53" i="8" s="1"/>
  <c r="T102" i="10" s="1"/>
  <c r="BE46" i="8"/>
  <c r="AK47" i="8"/>
  <c r="CA47" i="8" s="1"/>
  <c r="BT53" i="8"/>
  <c r="R108" i="10" s="1"/>
  <c r="N108" i="10" s="1"/>
  <c r="BV49" i="8"/>
  <c r="D18" i="10"/>
  <c r="M53" i="10"/>
  <c r="AV26" i="4"/>
  <c r="P49" i="4"/>
  <c r="AY52" i="4"/>
  <c r="BA52" i="4" s="1"/>
  <c r="BM7" i="5"/>
  <c r="B14" i="5"/>
  <c r="S21" i="5"/>
  <c r="D38" i="5"/>
  <c r="H88" i="10" s="1"/>
  <c r="AK31" i="5"/>
  <c r="AK36" i="5"/>
  <c r="AO43" i="5"/>
  <c r="BN53" i="5"/>
  <c r="G112" i="10" s="1"/>
  <c r="J8" i="7"/>
  <c r="J14" i="7" s="1"/>
  <c r="H14" i="7"/>
  <c r="M22" i="7"/>
  <c r="BL25" i="5"/>
  <c r="BM25" i="5" s="1"/>
  <c r="BL25" i="4"/>
  <c r="BM25" i="4" s="1"/>
  <c r="CA35" i="7"/>
  <c r="AR53" i="7"/>
  <c r="F105" i="10" s="1"/>
  <c r="AR45" i="7"/>
  <c r="AS37" i="8"/>
  <c r="AU37" i="8" s="1"/>
  <c r="AK46" i="8"/>
  <c r="V47" i="11"/>
  <c r="D69" i="11" s="1"/>
  <c r="C44" i="3" s="1"/>
  <c r="G15" i="12"/>
  <c r="B22" i="12"/>
  <c r="H8" i="26"/>
  <c r="H16" i="26" s="1"/>
  <c r="H24" i="8"/>
  <c r="J24" i="8" s="1"/>
  <c r="AK24" i="8" s="1"/>
  <c r="CA24" i="8" s="1"/>
  <c r="H24" i="4"/>
  <c r="J24" i="4" s="1"/>
  <c r="AK24" i="4" s="1"/>
  <c r="I35" i="2"/>
  <c r="V7" i="4"/>
  <c r="BV13" i="4"/>
  <c r="V19" i="4"/>
  <c r="V26" i="4" s="1"/>
  <c r="P41" i="10" s="1"/>
  <c r="BT26" i="4"/>
  <c r="AW22" i="4"/>
  <c r="AX22" i="4" s="1"/>
  <c r="BY22" i="4" s="1"/>
  <c r="AU24" i="4"/>
  <c r="Y31" i="4"/>
  <c r="Y38" i="4" s="1"/>
  <c r="P71" i="10" s="1"/>
  <c r="W38" i="4"/>
  <c r="BG38" i="4"/>
  <c r="P87" i="10" s="1"/>
  <c r="BV31" i="4"/>
  <c r="AX36" i="4"/>
  <c r="BH44" i="4"/>
  <c r="BJ44" i="4" s="1"/>
  <c r="AB47" i="4"/>
  <c r="BK49" i="4"/>
  <c r="BM49" i="4" s="1"/>
  <c r="Q14" i="5"/>
  <c r="AY14" i="5"/>
  <c r="BA7" i="5"/>
  <c r="BA14" i="5" s="1"/>
  <c r="BP7" i="5"/>
  <c r="BY8" i="5"/>
  <c r="M26" i="5"/>
  <c r="J22" i="5"/>
  <c r="BJ33" i="5"/>
  <c r="AE37" i="5"/>
  <c r="AE38" i="5" s="1"/>
  <c r="H73" i="10" s="1"/>
  <c r="BK38" i="5"/>
  <c r="G84" i="10" s="1"/>
  <c r="V43" i="5"/>
  <c r="V53" i="5" s="1"/>
  <c r="H99" i="10" s="1"/>
  <c r="AP53" i="5"/>
  <c r="G106" i="10" s="1"/>
  <c r="BG43" i="5"/>
  <c r="BG53" i="5" s="1"/>
  <c r="H116" i="10" s="1"/>
  <c r="D8" i="6"/>
  <c r="C13" i="6"/>
  <c r="O13" i="6" s="1"/>
  <c r="O15" i="10"/>
  <c r="BA14" i="7"/>
  <c r="C25" i="10"/>
  <c r="BO7" i="5"/>
  <c r="BY9" i="7"/>
  <c r="BM10" i="7"/>
  <c r="AA50" i="5"/>
  <c r="AB50" i="5" s="1"/>
  <c r="AA50" i="4"/>
  <c r="BE14" i="7"/>
  <c r="AT21" i="5"/>
  <c r="AW21" i="4"/>
  <c r="AX21" i="4" s="1"/>
  <c r="BY21" i="4" s="1"/>
  <c r="BL21" i="5"/>
  <c r="BM21" i="5" s="1"/>
  <c r="BM26" i="5" s="1"/>
  <c r="H55" i="10" s="1"/>
  <c r="BL21" i="4"/>
  <c r="BM21" i="4" s="1"/>
  <c r="BM26" i="4" s="1"/>
  <c r="P55" i="10" s="1"/>
  <c r="P22" i="7"/>
  <c r="N26" i="7"/>
  <c r="E39" i="10" s="1"/>
  <c r="L23" i="5"/>
  <c r="M23" i="5" s="1"/>
  <c r="L23" i="4"/>
  <c r="M23" i="4" s="1"/>
  <c r="M23" i="7"/>
  <c r="CA23" i="7" s="1"/>
  <c r="AT25" i="5"/>
  <c r="AU25" i="5" s="1"/>
  <c r="AW25" i="4"/>
  <c r="AX25" i="4" s="1"/>
  <c r="BY25" i="4" s="1"/>
  <c r="BG32" i="7"/>
  <c r="BV32" i="7"/>
  <c r="BA33" i="7"/>
  <c r="BA38" i="7" s="1"/>
  <c r="F81" i="10" s="1"/>
  <c r="BP33" i="7"/>
  <c r="BP38" i="7" s="1"/>
  <c r="F84" i="10" s="1"/>
  <c r="AA43" i="5"/>
  <c r="AB43" i="5" s="1"/>
  <c r="AA43" i="4"/>
  <c r="AB43" i="4" s="1"/>
  <c r="AU43" i="7"/>
  <c r="BY43" i="7"/>
  <c r="BP48" i="7"/>
  <c r="AS53" i="7"/>
  <c r="E106" i="10" s="1"/>
  <c r="BV22" i="8"/>
  <c r="AH38" i="8"/>
  <c r="BM36" i="8"/>
  <c r="BY36" i="8" s="1"/>
  <c r="G53" i="8"/>
  <c r="T95" i="10" s="1"/>
  <c r="BY45" i="8"/>
  <c r="J39" i="10"/>
  <c r="O39" i="10"/>
  <c r="M44" i="10"/>
  <c r="A73" i="10"/>
  <c r="M73" i="10" s="1"/>
  <c r="M32" i="11"/>
  <c r="Q26" i="5"/>
  <c r="G40" i="10" s="1"/>
  <c r="S19" i="5"/>
  <c r="BH26" i="7"/>
  <c r="E58" i="10" s="1"/>
  <c r="Y38" i="8"/>
  <c r="T71" i="10" s="1"/>
  <c r="B35" i="4"/>
  <c r="D35" i="4" s="1"/>
  <c r="AK35" i="4" s="1"/>
  <c r="CA35" i="4" s="1"/>
  <c r="CD35" i="4" s="1"/>
  <c r="D35" i="8"/>
  <c r="O44" i="10"/>
  <c r="J44" i="10"/>
  <c r="D26" i="10"/>
  <c r="B24" i="6"/>
  <c r="S56" i="10"/>
  <c r="BT14" i="4"/>
  <c r="AP53" i="4"/>
  <c r="AB44" i="4"/>
  <c r="AH26" i="5"/>
  <c r="BS8" i="7"/>
  <c r="S10" i="7"/>
  <c r="S14" i="7" s="1"/>
  <c r="AH26" i="7"/>
  <c r="BZ44" i="7"/>
  <c r="AH53" i="7"/>
  <c r="K53" i="7"/>
  <c r="E103" i="10" s="1"/>
  <c r="BT14" i="8"/>
  <c r="AR43" i="8"/>
  <c r="BH11" i="4"/>
  <c r="BY23" i="4"/>
  <c r="V38" i="5"/>
  <c r="H70" i="10" s="1"/>
  <c r="E14" i="10"/>
  <c r="I14" i="10" s="1"/>
  <c r="AQ19" i="5"/>
  <c r="AR19" i="5" s="1"/>
  <c r="AR26" i="5" s="1"/>
  <c r="H48" i="10" s="1"/>
  <c r="AQ19" i="4"/>
  <c r="P32" i="7"/>
  <c r="CA32" i="7" s="1"/>
  <c r="N38" i="7"/>
  <c r="E68" i="10" s="1"/>
  <c r="BZ47" i="7"/>
  <c r="BV7" i="8"/>
  <c r="BV14" i="8" s="1"/>
  <c r="Z26" i="8"/>
  <c r="R43" i="10" s="1"/>
  <c r="N43" i="10" s="1"/>
  <c r="AB19" i="8"/>
  <c r="AB26" i="8" s="1"/>
  <c r="T43" i="10" s="1"/>
  <c r="AY38" i="8"/>
  <c r="R85" i="10" s="1"/>
  <c r="N85" i="10" s="1"/>
  <c r="BA33" i="8"/>
  <c r="BA38" i="8" s="1"/>
  <c r="T85" i="10" s="1"/>
  <c r="E37" i="8"/>
  <c r="G37" i="8" s="1"/>
  <c r="H7" i="34"/>
  <c r="H16" i="34" s="1"/>
  <c r="E37" i="4"/>
  <c r="G37" i="4" s="1"/>
  <c r="AV14" i="4"/>
  <c r="AV55" i="4" s="1"/>
  <c r="BV7" i="4"/>
  <c r="BV14" i="4" s="1"/>
  <c r="BM10" i="4"/>
  <c r="BM14" i="4" s="1"/>
  <c r="AS38" i="4"/>
  <c r="BJ7" i="5"/>
  <c r="BH14" i="5"/>
  <c r="AP26" i="5"/>
  <c r="G48" i="10" s="1"/>
  <c r="AS38" i="7"/>
  <c r="E77" i="10" s="1"/>
  <c r="AU31" i="7"/>
  <c r="AU38" i="7" s="1"/>
  <c r="F77" i="10" s="1"/>
  <c r="BG31" i="7"/>
  <c r="BG38" i="7" s="1"/>
  <c r="F86" i="10" s="1"/>
  <c r="C84" i="10"/>
  <c r="BL37" i="5"/>
  <c r="BJ53" i="7"/>
  <c r="F116" i="10" s="1"/>
  <c r="BC51" i="5"/>
  <c r="BD51" i="5" s="1"/>
  <c r="BC51" i="4"/>
  <c r="BD51" i="4" s="1"/>
  <c r="BP32" i="8"/>
  <c r="J107" i="10"/>
  <c r="J18" i="6" s="1"/>
  <c r="AY44" i="8"/>
  <c r="AY44" i="4"/>
  <c r="H8" i="44"/>
  <c r="H52" i="8"/>
  <c r="J52" i="8" s="1"/>
  <c r="P38" i="5"/>
  <c r="H68" i="10" s="1"/>
  <c r="BA53" i="5"/>
  <c r="H114" i="10" s="1"/>
  <c r="S13" i="7"/>
  <c r="CA13" i="7" s="1"/>
  <c r="BL22" i="5"/>
  <c r="BM22" i="5" s="1"/>
  <c r="BL22" i="4"/>
  <c r="BM22" i="4" s="1"/>
  <c r="AN53" i="7"/>
  <c r="AU44" i="7"/>
  <c r="BO50" i="5"/>
  <c r="BO50" i="4"/>
  <c r="BP50" i="4" s="1"/>
  <c r="BD7" i="8"/>
  <c r="A101" i="10"/>
  <c r="M101" i="10" s="1"/>
  <c r="A43" i="10"/>
  <c r="A12" i="6"/>
  <c r="M12" i="6" s="1"/>
  <c r="M14" i="10"/>
  <c r="H11" i="36"/>
  <c r="H16" i="36" s="1"/>
  <c r="T44" i="8"/>
  <c r="V44" i="8" s="1"/>
  <c r="V53" i="8" s="1"/>
  <c r="T99" i="10" s="1"/>
  <c r="H7" i="39"/>
  <c r="H16" i="39" s="1"/>
  <c r="E47" i="4"/>
  <c r="G47" i="4" s="1"/>
  <c r="AB18" i="44"/>
  <c r="P44" i="11"/>
  <c r="P45" i="11" s="1"/>
  <c r="AH14" i="4"/>
  <c r="S19" i="4"/>
  <c r="AM38" i="4"/>
  <c r="BR34" i="4"/>
  <c r="BS34" i="4" s="1"/>
  <c r="Y43" i="4"/>
  <c r="AM44" i="4"/>
  <c r="AO44" i="4" s="1"/>
  <c r="BH26" i="5"/>
  <c r="G53" i="10" s="1"/>
  <c r="AB45" i="5"/>
  <c r="BK53" i="5"/>
  <c r="G113" i="10" s="1"/>
  <c r="D20" i="6"/>
  <c r="AA49" i="7"/>
  <c r="AA12" i="4"/>
  <c r="AB12" i="4" s="1"/>
  <c r="AK12" i="4" s="1"/>
  <c r="Z38" i="7"/>
  <c r="E72" i="10" s="1"/>
  <c r="AB31" i="7"/>
  <c r="AB38" i="7" s="1"/>
  <c r="F72" i="10" s="1"/>
  <c r="BD36" i="7"/>
  <c r="AP53" i="7"/>
  <c r="E105" i="10" s="1"/>
  <c r="BO45" i="5"/>
  <c r="BO45" i="4"/>
  <c r="AX46" i="7"/>
  <c r="AQ51" i="5"/>
  <c r="AR51" i="5" s="1"/>
  <c r="BY51" i="5" s="1"/>
  <c r="AQ51" i="4"/>
  <c r="AR51" i="4" s="1"/>
  <c r="G14" i="8"/>
  <c r="AK7" i="8"/>
  <c r="BV53" i="8"/>
  <c r="T108" i="10" s="1"/>
  <c r="D12" i="10"/>
  <c r="AQ26" i="11"/>
  <c r="F45" i="12"/>
  <c r="G35" i="12"/>
  <c r="H23" i="21"/>
  <c r="BH19" i="8"/>
  <c r="G6" i="12"/>
  <c r="L5" i="13" s="1"/>
  <c r="N5" i="13" s="1"/>
  <c r="B12" i="12"/>
  <c r="B47" i="12" s="1"/>
  <c r="D47" i="12"/>
  <c r="H14" i="4"/>
  <c r="V31" i="4"/>
  <c r="V38" i="4" s="1"/>
  <c r="P70" i="10" s="1"/>
  <c r="T44" i="4"/>
  <c r="V44" i="4" s="1"/>
  <c r="BT50" i="4"/>
  <c r="AK13" i="5"/>
  <c r="BE38" i="5"/>
  <c r="G87" i="10" s="1"/>
  <c r="D10" i="6"/>
  <c r="BQ14" i="7"/>
  <c r="BS7" i="7"/>
  <c r="BS14" i="7" s="1"/>
  <c r="G45" i="7"/>
  <c r="CA45" i="7" s="1"/>
  <c r="D1" i="11"/>
  <c r="C1" i="6"/>
  <c r="J7" i="8"/>
  <c r="J14" i="8" s="1"/>
  <c r="M26" i="8"/>
  <c r="T45" i="10" s="1"/>
  <c r="AO20" i="8"/>
  <c r="AO26" i="8" s="1"/>
  <c r="T47" i="10" s="1"/>
  <c r="BV38" i="8"/>
  <c r="T79" i="10" s="1"/>
  <c r="J18" i="10"/>
  <c r="C47" i="10" s="1"/>
  <c r="C16" i="6"/>
  <c r="O16" i="6" s="1"/>
  <c r="O18" i="10"/>
  <c r="D23" i="10"/>
  <c r="B21" i="6"/>
  <c r="S117" i="10"/>
  <c r="S59" i="10"/>
  <c r="S28" i="6"/>
  <c r="S88" i="10"/>
  <c r="J7" i="4"/>
  <c r="V12" i="4"/>
  <c r="W14" i="4"/>
  <c r="AR19" i="4"/>
  <c r="BU19" i="4"/>
  <c r="BV19" i="4" s="1"/>
  <c r="BV26" i="4" s="1"/>
  <c r="P50" i="10" s="1"/>
  <c r="AE24" i="4"/>
  <c r="AE26" i="4" s="1"/>
  <c r="P44" i="10" s="1"/>
  <c r="BH38" i="4"/>
  <c r="AX32" i="4"/>
  <c r="AO37" i="4"/>
  <c r="D43" i="4"/>
  <c r="BP45" i="4"/>
  <c r="X46" i="4"/>
  <c r="Y46" i="4" s="1"/>
  <c r="AH14" i="5"/>
  <c r="AH55" i="5" s="1"/>
  <c r="AX9" i="5"/>
  <c r="BL9" i="5"/>
  <c r="BM9" i="5" s="1"/>
  <c r="N26" i="5"/>
  <c r="G39" i="10" s="1"/>
  <c r="AA19" i="5"/>
  <c r="AB19" i="5" s="1"/>
  <c r="AK23" i="5"/>
  <c r="V23" i="5"/>
  <c r="AK25" i="5"/>
  <c r="AQ31" i="5"/>
  <c r="AR31" i="5" s="1"/>
  <c r="AR38" i="5" s="1"/>
  <c r="H77" i="10" s="1"/>
  <c r="BG31" i="5"/>
  <c r="BG38" i="5" s="1"/>
  <c r="H87" i="10" s="1"/>
  <c r="AO34" i="5"/>
  <c r="BS34" i="5"/>
  <c r="M35" i="5"/>
  <c r="AK35" i="5" s="1"/>
  <c r="CA35" i="5" s="1"/>
  <c r="CD35" i="5" s="1"/>
  <c r="W53" i="5"/>
  <c r="G100" i="10" s="1"/>
  <c r="AU43" i="5"/>
  <c r="AS53" i="5"/>
  <c r="G109" i="10" s="1"/>
  <c r="G44" i="5"/>
  <c r="BM50" i="5"/>
  <c r="M52" i="5"/>
  <c r="BJ52" i="5"/>
  <c r="BB14" i="7"/>
  <c r="BD7" i="7"/>
  <c r="BD14" i="7" s="1"/>
  <c r="AV55" i="7"/>
  <c r="E20" i="6" s="1"/>
  <c r="E22" i="10"/>
  <c r="E24" i="10"/>
  <c r="BP10" i="7"/>
  <c r="AP14" i="7"/>
  <c r="BV12" i="7"/>
  <c r="CF26" i="7"/>
  <c r="CA24" i="7"/>
  <c r="BW38" i="7"/>
  <c r="E79" i="10" s="1"/>
  <c r="BY32" i="7"/>
  <c r="BY38" i="7" s="1"/>
  <c r="F79" i="10" s="1"/>
  <c r="AQ43" i="5"/>
  <c r="AR43" i="5" s="1"/>
  <c r="AR53" i="5" s="1"/>
  <c r="H106" i="10" s="1"/>
  <c r="AQ43" i="4"/>
  <c r="AR43" i="4" s="1"/>
  <c r="BQ53" i="7"/>
  <c r="E112" i="10" s="1"/>
  <c r="BS44" i="7"/>
  <c r="BM10" i="8"/>
  <c r="AK36" i="8"/>
  <c r="BJ46" i="8"/>
  <c r="BJ53" i="8" s="1"/>
  <c r="T111" i="10" s="1"/>
  <c r="D13" i="10"/>
  <c r="B11" i="6"/>
  <c r="A60" i="10"/>
  <c r="M31" i="10"/>
  <c r="A118" i="10"/>
  <c r="M118" i="10" s="1"/>
  <c r="I32" i="11"/>
  <c r="V32" i="11"/>
  <c r="H32" i="11"/>
  <c r="H47" i="11" s="1"/>
  <c r="D56" i="11" s="1"/>
  <c r="C31" i="3" s="1"/>
  <c r="AM11" i="8"/>
  <c r="AO11" i="8" s="1"/>
  <c r="H17" i="18"/>
  <c r="R10" i="13"/>
  <c r="AP13" i="8"/>
  <c r="AR13" i="8" s="1"/>
  <c r="BY13" i="8" s="1"/>
  <c r="CA13" i="8" s="1"/>
  <c r="H18" i="20"/>
  <c r="H30" i="20" s="1"/>
  <c r="H31" i="20" s="1"/>
  <c r="AP13" i="4"/>
  <c r="AR13" i="4" s="1"/>
  <c r="P49" i="5"/>
  <c r="D22" i="6"/>
  <c r="AU7" i="7"/>
  <c r="AS14" i="7"/>
  <c r="BY12" i="5"/>
  <c r="CA12" i="5" s="1"/>
  <c r="CD12" i="5" s="1"/>
  <c r="AE19" i="7"/>
  <c r="AE26" i="7" s="1"/>
  <c r="F44" i="10" s="1"/>
  <c r="AC26" i="7"/>
  <c r="E44" i="10" s="1"/>
  <c r="BH38" i="7"/>
  <c r="E87" i="10" s="1"/>
  <c r="BJ31" i="7"/>
  <c r="BJ38" i="7" s="1"/>
  <c r="F87" i="10" s="1"/>
  <c r="N53" i="7"/>
  <c r="E97" i="10" s="1"/>
  <c r="P43" i="7"/>
  <c r="P53" i="7" s="1"/>
  <c r="F97" i="10" s="1"/>
  <c r="BO44" i="5"/>
  <c r="BO44" i="4"/>
  <c r="AA45" i="5"/>
  <c r="AA45" i="4"/>
  <c r="BC45" i="5"/>
  <c r="BC45" i="4"/>
  <c r="BZ50" i="7"/>
  <c r="K14" i="8"/>
  <c r="BV26" i="8"/>
  <c r="T50" i="10" s="1"/>
  <c r="N38" i="8"/>
  <c r="R68" i="10" s="1"/>
  <c r="N68" i="10" s="1"/>
  <c r="AE38" i="8"/>
  <c r="T73" i="10" s="1"/>
  <c r="J8" i="10"/>
  <c r="C37" i="10" s="1"/>
  <c r="C6" i="6"/>
  <c r="O6" i="6" s="1"/>
  <c r="D14" i="10"/>
  <c r="S50" i="10"/>
  <c r="S19" i="6"/>
  <c r="A54" i="10"/>
  <c r="M25" i="10"/>
  <c r="A112" i="10"/>
  <c r="M112" i="10" s="1"/>
  <c r="A69" i="10"/>
  <c r="M69" i="10" s="1"/>
  <c r="M40" i="10"/>
  <c r="S108" i="10"/>
  <c r="O47" i="11"/>
  <c r="H27" i="17"/>
  <c r="BB10" i="8"/>
  <c r="BD10" i="8" s="1"/>
  <c r="O11" i="13"/>
  <c r="Z32" i="21"/>
  <c r="F11" i="13" s="1"/>
  <c r="H26" i="21"/>
  <c r="H30" i="21" s="1"/>
  <c r="H31" i="21" s="1"/>
  <c r="AY19" i="8"/>
  <c r="AY19" i="4"/>
  <c r="H28" i="32"/>
  <c r="BE35" i="8"/>
  <c r="BG35" i="8" s="1"/>
  <c r="BG38" i="8" s="1"/>
  <c r="T87" i="10" s="1"/>
  <c r="H24" i="34"/>
  <c r="BN37" i="8"/>
  <c r="BP37" i="8" s="1"/>
  <c r="BN37" i="4"/>
  <c r="BN43" i="8"/>
  <c r="H24" i="35"/>
  <c r="BA36" i="4"/>
  <c r="E53" i="4"/>
  <c r="BB14" i="5"/>
  <c r="BD7" i="5"/>
  <c r="BD14" i="5" s="1"/>
  <c r="AX11" i="5"/>
  <c r="BB26" i="5"/>
  <c r="G57" i="10" s="1"/>
  <c r="J26" i="5"/>
  <c r="H38" i="10" s="1"/>
  <c r="M43" i="5"/>
  <c r="K53" i="5"/>
  <c r="G103" i="10" s="1"/>
  <c r="B12" i="6"/>
  <c r="Y7" i="7"/>
  <c r="Y14" i="7" s="1"/>
  <c r="W14" i="7"/>
  <c r="P26" i="7"/>
  <c r="F39" i="10" s="1"/>
  <c r="AX26" i="7"/>
  <c r="F51" i="10" s="1"/>
  <c r="Q26" i="7"/>
  <c r="E40" i="10" s="1"/>
  <c r="S20" i="7"/>
  <c r="CA20" i="7" s="1"/>
  <c r="BY22" i="7"/>
  <c r="C85" i="10"/>
  <c r="AZ37" i="5"/>
  <c r="AB45" i="7"/>
  <c r="AQ45" i="5"/>
  <c r="AQ45" i="4"/>
  <c r="AR45" i="4" s="1"/>
  <c r="BY45" i="4" s="1"/>
  <c r="BC50" i="5"/>
  <c r="BD50" i="5" s="1"/>
  <c r="BC50" i="4"/>
  <c r="BD50" i="4" s="1"/>
  <c r="J26" i="8"/>
  <c r="T38" i="10" s="1"/>
  <c r="BD19" i="8"/>
  <c r="BD26" i="8" s="1"/>
  <c r="T57" i="10" s="1"/>
  <c r="BE26" i="8"/>
  <c r="R58" i="10" s="1"/>
  <c r="N58" i="10" s="1"/>
  <c r="BV12" i="4"/>
  <c r="BQ19" i="4"/>
  <c r="BE38" i="4"/>
  <c r="BA32" i="4"/>
  <c r="BA34" i="4"/>
  <c r="AO36" i="4"/>
  <c r="BY36" i="4" s="1"/>
  <c r="Y7" i="5"/>
  <c r="AO7" i="5"/>
  <c r="J9" i="5"/>
  <c r="Y9" i="5"/>
  <c r="AW11" i="5"/>
  <c r="BS13" i="5"/>
  <c r="BS14" i="5" s="1"/>
  <c r="BP19" i="5"/>
  <c r="BP26" i="5" s="1"/>
  <c r="H54" i="10" s="1"/>
  <c r="H26" i="5"/>
  <c r="G38" i="10" s="1"/>
  <c r="BA36" i="5"/>
  <c r="BY36" i="5" s="1"/>
  <c r="Q38" i="5"/>
  <c r="AY53" i="5"/>
  <c r="G114" i="10" s="1"/>
  <c r="BP45" i="5"/>
  <c r="BJ47" i="5"/>
  <c r="D17" i="6"/>
  <c r="D7" i="7"/>
  <c r="E14" i="7"/>
  <c r="AU12" i="7"/>
  <c r="BM22" i="7"/>
  <c r="D25" i="7"/>
  <c r="CA25" i="7" s="1"/>
  <c r="BM38" i="7"/>
  <c r="F82" i="10" s="1"/>
  <c r="BV44" i="7"/>
  <c r="BV53" i="7" s="1"/>
  <c r="F107" i="10" s="1"/>
  <c r="O46" i="5"/>
  <c r="O46" i="4"/>
  <c r="AB50" i="7"/>
  <c r="K26" i="8"/>
  <c r="R45" i="10" s="1"/>
  <c r="N45" i="10" s="1"/>
  <c r="AE19" i="8"/>
  <c r="AE26" i="8" s="1"/>
  <c r="T44" i="10" s="1"/>
  <c r="AC26" i="8"/>
  <c r="R44" i="10" s="1"/>
  <c r="N44" i="10" s="1"/>
  <c r="BG26" i="8"/>
  <c r="T58" i="10" s="1"/>
  <c r="AK22" i="8"/>
  <c r="P31" i="8"/>
  <c r="BD38" i="8"/>
  <c r="T86" i="10" s="1"/>
  <c r="J44" i="8"/>
  <c r="AK44" i="8" s="1"/>
  <c r="J45" i="10"/>
  <c r="H45" i="10"/>
  <c r="O45" i="10"/>
  <c r="M22" i="10"/>
  <c r="A51" i="10"/>
  <c r="A109" i="10"/>
  <c r="M109" i="10" s="1"/>
  <c r="O98" i="10"/>
  <c r="J98" i="10"/>
  <c r="J9" i="6" s="1"/>
  <c r="AG47" i="11"/>
  <c r="D78" i="11" s="1"/>
  <c r="C53" i="3" s="1"/>
  <c r="AB18" i="14"/>
  <c r="P5" i="11"/>
  <c r="P12" i="11" s="1"/>
  <c r="D12" i="11"/>
  <c r="H19" i="18"/>
  <c r="BQ11" i="8"/>
  <c r="H10" i="23"/>
  <c r="Q21" i="8"/>
  <c r="H26" i="24"/>
  <c r="H30" i="24" s="1"/>
  <c r="H31" i="24" s="1"/>
  <c r="AY22" i="8"/>
  <c r="BA22" i="8" s="1"/>
  <c r="BY22" i="8" s="1"/>
  <c r="AY22" i="4"/>
  <c r="BA22" i="4" s="1"/>
  <c r="H25" i="32"/>
  <c r="BK35" i="8"/>
  <c r="BM35" i="8" s="1"/>
  <c r="BK53" i="4"/>
  <c r="AB45" i="4"/>
  <c r="G18" i="10"/>
  <c r="AM55" i="5"/>
  <c r="BY22" i="5"/>
  <c r="AY38" i="5"/>
  <c r="G85" i="10" s="1"/>
  <c r="O8" i="10"/>
  <c r="A8" i="6"/>
  <c r="M8" i="6" s="1"/>
  <c r="A39" i="10"/>
  <c r="M10" i="10"/>
  <c r="A97" i="10"/>
  <c r="M97" i="10" s="1"/>
  <c r="J14" i="10"/>
  <c r="C43" i="10" s="1"/>
  <c r="O14" i="10"/>
  <c r="A58" i="10"/>
  <c r="M29" i="10"/>
  <c r="A116" i="10"/>
  <c r="M116" i="10" s="1"/>
  <c r="A88" i="10"/>
  <c r="M88" i="10" s="1"/>
  <c r="M59" i="10"/>
  <c r="Q31" i="14"/>
  <c r="AB18" i="16"/>
  <c r="Z34" i="17"/>
  <c r="E8" i="11"/>
  <c r="E12" i="11" s="1"/>
  <c r="H18" i="17"/>
  <c r="H30" i="17" s="1"/>
  <c r="H31" i="17" s="1"/>
  <c r="AP10" i="8"/>
  <c r="AR10" i="8" s="1"/>
  <c r="BY10" i="8" s="1"/>
  <c r="CA10" i="8" s="1"/>
  <c r="R8" i="13"/>
  <c r="H11" i="21"/>
  <c r="T19" i="8"/>
  <c r="H18" i="34"/>
  <c r="AP37" i="4"/>
  <c r="BQ43" i="4"/>
  <c r="H19" i="35"/>
  <c r="J11" i="2"/>
  <c r="J35" i="2" s="1"/>
  <c r="AP10" i="4"/>
  <c r="AR10" i="4" s="1"/>
  <c r="BB10" i="4"/>
  <c r="BD10" i="4" s="1"/>
  <c r="L13" i="4"/>
  <c r="M13" i="4" s="1"/>
  <c r="M14" i="4" s="1"/>
  <c r="D19" i="4"/>
  <c r="AO32" i="4"/>
  <c r="AO34" i="4"/>
  <c r="Y36" i="4"/>
  <c r="BM37" i="4"/>
  <c r="G53" i="4"/>
  <c r="P95" i="10" s="1"/>
  <c r="T53" i="4"/>
  <c r="BN43" i="4"/>
  <c r="P46" i="4"/>
  <c r="P53" i="4" s="1"/>
  <c r="P97" i="10" s="1"/>
  <c r="AN50" i="4"/>
  <c r="AO50" i="4" s="1"/>
  <c r="BP51" i="4"/>
  <c r="M7" i="5"/>
  <c r="M14" i="5" s="1"/>
  <c r="AP14" i="5"/>
  <c r="Y10" i="5"/>
  <c r="J13" i="5"/>
  <c r="BD19" i="5"/>
  <c r="BD25" i="5"/>
  <c r="E38" i="5"/>
  <c r="G66" i="10" s="1"/>
  <c r="G31" i="5"/>
  <c r="G38" i="5" s="1"/>
  <c r="H66" i="10" s="1"/>
  <c r="BQ38" i="5"/>
  <c r="AO32" i="5"/>
  <c r="BS32" i="5"/>
  <c r="Y33" i="5"/>
  <c r="AK33" i="5" s="1"/>
  <c r="BM34" i="5"/>
  <c r="BM38" i="5" s="1"/>
  <c r="H84" i="10" s="1"/>
  <c r="S35" i="5"/>
  <c r="S38" i="5" s="1"/>
  <c r="H69" i="10" s="1"/>
  <c r="AO52" i="5"/>
  <c r="G14" i="7"/>
  <c r="AA47" i="5"/>
  <c r="AA47" i="4"/>
  <c r="P11" i="7"/>
  <c r="CA11" i="7" s="1"/>
  <c r="AB12" i="7"/>
  <c r="CA12" i="7" s="1"/>
  <c r="M33" i="7"/>
  <c r="CA33" i="7" s="1"/>
  <c r="BN38" i="7"/>
  <c r="BT53" i="7"/>
  <c r="E107" i="10" s="1"/>
  <c r="CA44" i="7"/>
  <c r="AA44" i="5"/>
  <c r="AA44" i="4"/>
  <c r="BC44" i="5"/>
  <c r="BC44" i="4"/>
  <c r="BM45" i="7"/>
  <c r="BM53" i="7" s="1"/>
  <c r="F111" i="10" s="1"/>
  <c r="BK53" i="7"/>
  <c r="E111" i="10" s="1"/>
  <c r="D31" i="8"/>
  <c r="B31" i="4"/>
  <c r="S31" i="8"/>
  <c r="S38" i="8" s="1"/>
  <c r="T69" i="10" s="1"/>
  <c r="Q38" i="8"/>
  <c r="R69" i="10" s="1"/>
  <c r="N69" i="10" s="1"/>
  <c r="BE38" i="8"/>
  <c r="R87" i="10" s="1"/>
  <c r="N87" i="10" s="1"/>
  <c r="M44" i="8"/>
  <c r="E53" i="8"/>
  <c r="R95" i="10" s="1"/>
  <c r="BY47" i="8"/>
  <c r="BY50" i="8"/>
  <c r="A105" i="10"/>
  <c r="M105" i="10" s="1"/>
  <c r="A47" i="10"/>
  <c r="A16" i="6"/>
  <c r="M16" i="6" s="1"/>
  <c r="O48" i="10"/>
  <c r="J48" i="10"/>
  <c r="F45" i="10"/>
  <c r="G40" i="12"/>
  <c r="L30" i="13" s="1"/>
  <c r="N30" i="13" s="1"/>
  <c r="AO7" i="8"/>
  <c r="H20" i="15"/>
  <c r="BT8" i="8"/>
  <c r="BV8" i="8" s="1"/>
  <c r="H24" i="15"/>
  <c r="BN8" i="8"/>
  <c r="BP8" i="8" s="1"/>
  <c r="H12" i="16"/>
  <c r="H16" i="16" s="1"/>
  <c r="W9" i="8"/>
  <c r="Y9" i="8" s="1"/>
  <c r="Y14" i="8" s="1"/>
  <c r="M6" i="13"/>
  <c r="E5" i="9" s="1"/>
  <c r="W31" i="16"/>
  <c r="B34" i="16" s="1"/>
  <c r="D6" i="2" s="1"/>
  <c r="H22" i="32"/>
  <c r="H30" i="32" s="1"/>
  <c r="H31" i="32" s="1"/>
  <c r="AV35" i="8"/>
  <c r="AX10" i="5"/>
  <c r="BT26" i="5"/>
  <c r="G50" i="10" s="1"/>
  <c r="BY24" i="5"/>
  <c r="Z53" i="5"/>
  <c r="G101" i="10" s="1"/>
  <c r="BH53" i="5"/>
  <c r="G111" i="10" s="1"/>
  <c r="AR44" i="5"/>
  <c r="BD45" i="5"/>
  <c r="AX52" i="5"/>
  <c r="D14" i="6"/>
  <c r="D27" i="6"/>
  <c r="N14" i="7"/>
  <c r="AH14" i="7"/>
  <c r="O56" i="10"/>
  <c r="J56" i="10"/>
  <c r="CA19" i="7"/>
  <c r="AC38" i="7"/>
  <c r="E73" i="10" s="1"/>
  <c r="BK38" i="7"/>
  <c r="O83" i="10"/>
  <c r="J83" i="10"/>
  <c r="BN53" i="7"/>
  <c r="E113" i="10" s="1"/>
  <c r="C111" i="10"/>
  <c r="BI52" i="5"/>
  <c r="AH14" i="8"/>
  <c r="BJ14" i="8"/>
  <c r="AP38" i="8"/>
  <c r="R77" i="10" s="1"/>
  <c r="N77" i="10" s="1"/>
  <c r="AR31" i="8"/>
  <c r="AR38" i="8" s="1"/>
  <c r="T77" i="10" s="1"/>
  <c r="BY48" i="8"/>
  <c r="D9" i="10"/>
  <c r="B7" i="6"/>
  <c r="D22" i="10"/>
  <c r="S110" i="10"/>
  <c r="S81" i="10"/>
  <c r="S52" i="10"/>
  <c r="O86" i="10"/>
  <c r="T47" i="11"/>
  <c r="D67" i="11" s="1"/>
  <c r="C42" i="3" s="1"/>
  <c r="W16" i="11"/>
  <c r="AS16" i="11" s="1"/>
  <c r="H12" i="13" s="1"/>
  <c r="Q31" i="22"/>
  <c r="H8" i="27"/>
  <c r="H16" i="27" s="1"/>
  <c r="H25" i="8"/>
  <c r="J25" i="8" s="1"/>
  <c r="Z32" i="32"/>
  <c r="F22" i="13" s="1"/>
  <c r="P22" i="13"/>
  <c r="R22" i="13" s="1"/>
  <c r="N14" i="5"/>
  <c r="T38" i="5"/>
  <c r="G70" i="10" s="1"/>
  <c r="BM33" i="5"/>
  <c r="BM35" i="5"/>
  <c r="BM37" i="5"/>
  <c r="AB48" i="5"/>
  <c r="BP50" i="5"/>
  <c r="P7" i="7"/>
  <c r="BT14" i="7"/>
  <c r="BV7" i="7"/>
  <c r="BW14" i="7"/>
  <c r="BY8" i="7"/>
  <c r="BY14" i="7" s="1"/>
  <c r="AE12" i="7"/>
  <c r="P31" i="7"/>
  <c r="AE31" i="7"/>
  <c r="AE38" i="7" s="1"/>
  <c r="F73" i="10" s="1"/>
  <c r="CF38" i="7"/>
  <c r="M36" i="7"/>
  <c r="M38" i="7" s="1"/>
  <c r="F74" i="10" s="1"/>
  <c r="BS46" i="7"/>
  <c r="BS53" i="7" s="1"/>
  <c r="F112" i="10" s="1"/>
  <c r="AB47" i="7"/>
  <c r="M7" i="8"/>
  <c r="M14" i="8" s="1"/>
  <c r="B14" i="8"/>
  <c r="D9" i="8"/>
  <c r="B26" i="8"/>
  <c r="R59" i="10" s="1"/>
  <c r="N59" i="10" s="1"/>
  <c r="AK25" i="8"/>
  <c r="V38" i="8"/>
  <c r="T70" i="10" s="1"/>
  <c r="G38" i="8"/>
  <c r="T66" i="10" s="1"/>
  <c r="S105" i="10"/>
  <c r="S76" i="10"/>
  <c r="S47" i="10"/>
  <c r="S16" i="6"/>
  <c r="J22" i="10"/>
  <c r="C51" i="10" s="1"/>
  <c r="C20" i="6"/>
  <c r="O20" i="6" s="1"/>
  <c r="A75" i="10"/>
  <c r="M75" i="10" s="1"/>
  <c r="A78" i="10"/>
  <c r="M78" i="10" s="1"/>
  <c r="H12" i="32"/>
  <c r="W35" i="8"/>
  <c r="Y35" i="8" s="1"/>
  <c r="AR7" i="5"/>
  <c r="AR14" i="5" s="1"/>
  <c r="V8" i="5"/>
  <c r="V10" i="5"/>
  <c r="AK10" i="5" s="1"/>
  <c r="BJ13" i="5"/>
  <c r="BJ19" i="5"/>
  <c r="BJ26" i="5" s="1"/>
  <c r="H53" i="10" s="1"/>
  <c r="BV19" i="5"/>
  <c r="BV26" i="5" s="1"/>
  <c r="H50" i="10" s="1"/>
  <c r="BY23" i="5"/>
  <c r="BA35" i="5"/>
  <c r="BA37" i="5"/>
  <c r="AV53" i="5"/>
  <c r="G110" i="10" s="1"/>
  <c r="BJ43" i="5"/>
  <c r="AB44" i="5"/>
  <c r="AR45" i="5"/>
  <c r="BY45" i="5" s="1"/>
  <c r="BM51" i="5"/>
  <c r="BM53" i="5" s="1"/>
  <c r="H113" i="10" s="1"/>
  <c r="N53" i="5"/>
  <c r="G97" i="10" s="1"/>
  <c r="Q14" i="7"/>
  <c r="BG7" i="7"/>
  <c r="BG14" i="7" s="1"/>
  <c r="E26" i="7"/>
  <c r="E37" i="10" s="1"/>
  <c r="V19" i="7"/>
  <c r="V26" i="7" s="1"/>
  <c r="F41" i="10" s="1"/>
  <c r="T26" i="7"/>
  <c r="E41" i="10" s="1"/>
  <c r="AN26" i="7"/>
  <c r="AN55" i="7" s="1"/>
  <c r="J21" i="7"/>
  <c r="T38" i="7"/>
  <c r="E70" i="10" s="1"/>
  <c r="AR35" i="7"/>
  <c r="AR37" i="7"/>
  <c r="CA37" i="7" s="1"/>
  <c r="Q53" i="7"/>
  <c r="E98" i="10" s="1"/>
  <c r="BP43" i="7"/>
  <c r="BV46" i="7"/>
  <c r="AU49" i="7"/>
  <c r="BZ49" i="7" s="1"/>
  <c r="C110" i="10"/>
  <c r="AW52" i="5"/>
  <c r="BP52" i="7"/>
  <c r="BN14" i="8"/>
  <c r="BG9" i="8"/>
  <c r="BG14" i="8" s="1"/>
  <c r="BM25" i="8"/>
  <c r="BM26" i="8" s="1"/>
  <c r="T55" i="10" s="1"/>
  <c r="J38" i="8"/>
  <c r="T67" i="10" s="1"/>
  <c r="BM31" i="8"/>
  <c r="H38" i="8"/>
  <c r="R67" i="10" s="1"/>
  <c r="N67" i="10" s="1"/>
  <c r="T53" i="8"/>
  <c r="R99" i="10" s="1"/>
  <c r="N99" i="10" s="1"/>
  <c r="AK49" i="8"/>
  <c r="A99" i="10"/>
  <c r="M99" i="10" s="1"/>
  <c r="A41" i="10"/>
  <c r="M12" i="10"/>
  <c r="S89" i="10"/>
  <c r="B12" i="11"/>
  <c r="B47" i="11" s="1"/>
  <c r="D50" i="11" s="1"/>
  <c r="H30" i="22"/>
  <c r="H31" i="22" s="1"/>
  <c r="J8" i="5"/>
  <c r="J14" i="5" s="1"/>
  <c r="J10" i="5"/>
  <c r="BV11" i="5"/>
  <c r="AX13" i="5"/>
  <c r="AM38" i="5"/>
  <c r="G76" i="10" s="1"/>
  <c r="AO31" i="5"/>
  <c r="AO33" i="5"/>
  <c r="AO35" i="5"/>
  <c r="BY35" i="5" s="1"/>
  <c r="AO37" i="5"/>
  <c r="BY37" i="5" s="1"/>
  <c r="B53" i="5"/>
  <c r="G117" i="10" s="1"/>
  <c r="D43" i="5"/>
  <c r="J28" i="10"/>
  <c r="C57" i="10" s="1"/>
  <c r="D28" i="10"/>
  <c r="C26" i="6"/>
  <c r="O26" i="6" s="1"/>
  <c r="AE8" i="7"/>
  <c r="AE14" i="7" s="1"/>
  <c r="AB10" i="7"/>
  <c r="AB14" i="7" s="1"/>
  <c r="BP11" i="7"/>
  <c r="AL55" i="7"/>
  <c r="G26" i="7"/>
  <c r="W26" i="7"/>
  <c r="E42" i="10" s="1"/>
  <c r="BT26" i="7"/>
  <c r="E49" i="10" s="1"/>
  <c r="AB33" i="7"/>
  <c r="S53" i="7"/>
  <c r="F98" i="10" s="1"/>
  <c r="AK53" i="7"/>
  <c r="BB53" i="7"/>
  <c r="E114" i="10" s="1"/>
  <c r="BD43" i="7"/>
  <c r="BD53" i="7" s="1"/>
  <c r="F114" i="10" s="1"/>
  <c r="AU14" i="8"/>
  <c r="BH14" i="8"/>
  <c r="D26" i="8"/>
  <c r="T59" i="10" s="1"/>
  <c r="BK26" i="8"/>
  <c r="R55" i="10" s="1"/>
  <c r="N55" i="10" s="1"/>
  <c r="BG20" i="8"/>
  <c r="BH53" i="8"/>
  <c r="R111" i="10" s="1"/>
  <c r="N111" i="10" s="1"/>
  <c r="AU49" i="8"/>
  <c r="AU53" i="8" s="1"/>
  <c r="T109" i="10" s="1"/>
  <c r="A95" i="10"/>
  <c r="M95" i="10" s="1"/>
  <c r="M8" i="10"/>
  <c r="A37" i="10"/>
  <c r="A6" i="6"/>
  <c r="M6" i="6" s="1"/>
  <c r="O112" i="10"/>
  <c r="J112" i="10"/>
  <c r="J23" i="6" s="1"/>
  <c r="AS10" i="11"/>
  <c r="H9" i="13" s="1"/>
  <c r="Q17" i="22"/>
  <c r="H23" i="22"/>
  <c r="BH20" i="8"/>
  <c r="BJ20" i="8" s="1"/>
  <c r="H22" i="25"/>
  <c r="AV23" i="8"/>
  <c r="AX23" i="8" s="1"/>
  <c r="BY23" i="8" s="1"/>
  <c r="H29" i="29"/>
  <c r="B32" i="8"/>
  <c r="B38" i="8" s="1"/>
  <c r="R88" i="10" s="1"/>
  <c r="N88" i="10" s="1"/>
  <c r="W6" i="11"/>
  <c r="AQ6" i="11"/>
  <c r="J12" i="11"/>
  <c r="J47" i="11" s="1"/>
  <c r="D58" i="11" s="1"/>
  <c r="C33" i="3" s="1"/>
  <c r="E45" i="11"/>
  <c r="R45" i="11"/>
  <c r="Z36" i="20"/>
  <c r="H16" i="23"/>
  <c r="H13" i="31"/>
  <c r="H16" i="31" s="1"/>
  <c r="Z34" i="8"/>
  <c r="AB34" i="8" s="1"/>
  <c r="AK34" i="8" s="1"/>
  <c r="CA34" i="8" s="1"/>
  <c r="Q31" i="33"/>
  <c r="AB18" i="34"/>
  <c r="Z38" i="36"/>
  <c r="Q26" i="13" s="1"/>
  <c r="C36" i="11"/>
  <c r="W36" i="11" s="1"/>
  <c r="AS36" i="11" s="1"/>
  <c r="H26" i="13" s="1"/>
  <c r="Q48" i="8"/>
  <c r="S48" i="8" s="1"/>
  <c r="AK48" i="8" s="1"/>
  <c r="CA48" i="8" s="1"/>
  <c r="H10" i="40"/>
  <c r="AX14" i="7"/>
  <c r="BK26" i="7"/>
  <c r="E53" i="10" s="1"/>
  <c r="BM19" i="7"/>
  <c r="AV26" i="7"/>
  <c r="E51" i="10" s="1"/>
  <c r="O82" i="10"/>
  <c r="J82" i="10"/>
  <c r="AY38" i="7"/>
  <c r="E81" i="10" s="1"/>
  <c r="AB46" i="7"/>
  <c r="CA46" i="7" s="1"/>
  <c r="BE14" i="8"/>
  <c r="AP26" i="8"/>
  <c r="R48" i="10" s="1"/>
  <c r="N48" i="10" s="1"/>
  <c r="BH38" i="8"/>
  <c r="R82" i="10" s="1"/>
  <c r="N82" i="10" s="1"/>
  <c r="S51" i="10"/>
  <c r="S20" i="6"/>
  <c r="S113" i="10"/>
  <c r="S84" i="10"/>
  <c r="S55" i="10"/>
  <c r="S24" i="6"/>
  <c r="O58" i="10"/>
  <c r="J58" i="10"/>
  <c r="J72" i="10"/>
  <c r="O72" i="10"/>
  <c r="H17" i="27"/>
  <c r="H30" i="27" s="1"/>
  <c r="AM25" i="8"/>
  <c r="AO25" i="8" s="1"/>
  <c r="AY14" i="7"/>
  <c r="M21" i="7"/>
  <c r="BG22" i="7"/>
  <c r="BG26" i="7" s="1"/>
  <c r="F57" i="10" s="1"/>
  <c r="D38" i="7"/>
  <c r="F88" i="10" s="1"/>
  <c r="O81" i="10"/>
  <c r="J81" i="10"/>
  <c r="BZ51" i="7"/>
  <c r="J97" i="10"/>
  <c r="J8" i="6" s="1"/>
  <c r="O97" i="10"/>
  <c r="W26" i="8"/>
  <c r="R42" i="10" s="1"/>
  <c r="N42" i="10" s="1"/>
  <c r="AR19" i="8"/>
  <c r="AR26" i="8" s="1"/>
  <c r="T48" i="10" s="1"/>
  <c r="S43" i="8"/>
  <c r="S53" i="8" s="1"/>
  <c r="T98" i="10" s="1"/>
  <c r="J40" i="10"/>
  <c r="A81" i="10"/>
  <c r="M81" i="10" s="1"/>
  <c r="J108" i="10"/>
  <c r="J19" i="6" s="1"/>
  <c r="AQ5" i="11"/>
  <c r="X12" i="11"/>
  <c r="M22" i="11"/>
  <c r="M47" i="11" s="1"/>
  <c r="D61" i="11" s="1"/>
  <c r="C36" i="3" s="1"/>
  <c r="AA22" i="11"/>
  <c r="D3" i="9"/>
  <c r="D17" i="9"/>
  <c r="H24" i="18"/>
  <c r="BN11" i="8"/>
  <c r="BP11" i="8" s="1"/>
  <c r="H27" i="18"/>
  <c r="Q31" i="28"/>
  <c r="BM52" i="5"/>
  <c r="BP14" i="7"/>
  <c r="AR10" i="7"/>
  <c r="BA24" i="7"/>
  <c r="AY26" i="7"/>
  <c r="E52" i="10" s="1"/>
  <c r="E38" i="7"/>
  <c r="E66" i="10" s="1"/>
  <c r="V38" i="7"/>
  <c r="F70" i="10" s="1"/>
  <c r="BE53" i="7"/>
  <c r="E115" i="10" s="1"/>
  <c r="BG43" i="7"/>
  <c r="BG53" i="7" s="1"/>
  <c r="F115" i="10" s="1"/>
  <c r="BZ45" i="7"/>
  <c r="BM51" i="7"/>
  <c r="Y19" i="8"/>
  <c r="Y26" i="8" s="1"/>
  <c r="T42" i="10" s="1"/>
  <c r="AS26" i="8"/>
  <c r="R51" i="10" s="1"/>
  <c r="N51" i="10" s="1"/>
  <c r="BJ31" i="8"/>
  <c r="BJ38" i="8" s="1"/>
  <c r="T82" i="10" s="1"/>
  <c r="BJ47" i="8"/>
  <c r="A114" i="10"/>
  <c r="M114" i="10" s="1"/>
  <c r="A56" i="10"/>
  <c r="S54" i="10"/>
  <c r="S72" i="10"/>
  <c r="O77" i="10"/>
  <c r="J77" i="10"/>
  <c r="S101" i="10"/>
  <c r="J116" i="10"/>
  <c r="J27" i="6" s="1"/>
  <c r="O116" i="10"/>
  <c r="Y12" i="11"/>
  <c r="Y47" i="11" s="1"/>
  <c r="D71" i="11" s="1"/>
  <c r="C46" i="3" s="1"/>
  <c r="J74" i="10"/>
  <c r="O74" i="10"/>
  <c r="J103" i="10"/>
  <c r="J14" i="6" s="1"/>
  <c r="O103" i="10"/>
  <c r="E14" i="8"/>
  <c r="S97" i="10"/>
  <c r="S68" i="10"/>
  <c r="D25" i="10"/>
  <c r="D27" i="10"/>
  <c r="M30" i="10"/>
  <c r="A117" i="10"/>
  <c r="M117" i="10" s="1"/>
  <c r="A45" i="10"/>
  <c r="O78" i="10"/>
  <c r="K32" i="11"/>
  <c r="AQ25" i="11"/>
  <c r="X32" i="11"/>
  <c r="C32" i="11"/>
  <c r="C22" i="12"/>
  <c r="S35" i="13"/>
  <c r="D26" i="9"/>
  <c r="Z36" i="26"/>
  <c r="I16" i="13"/>
  <c r="H16" i="32"/>
  <c r="Z32" i="35"/>
  <c r="F25" i="13" s="1"/>
  <c r="P25" i="13"/>
  <c r="R25" i="13" s="1"/>
  <c r="AS14" i="8"/>
  <c r="BK14" i="8"/>
  <c r="D15" i="10"/>
  <c r="O114" i="10"/>
  <c r="Q12" i="11"/>
  <c r="AE12" i="11"/>
  <c r="AQ18" i="11"/>
  <c r="AQ41" i="11"/>
  <c r="N19" i="13"/>
  <c r="G36" i="12"/>
  <c r="L26" i="13" s="1"/>
  <c r="N26" i="13" s="1"/>
  <c r="H16" i="19"/>
  <c r="Z34" i="19"/>
  <c r="W31" i="19"/>
  <c r="B34" i="19" s="1"/>
  <c r="D9" i="2" s="1"/>
  <c r="O10" i="13"/>
  <c r="Z32" i="20"/>
  <c r="F10" i="13" s="1"/>
  <c r="W31" i="20"/>
  <c r="B34" i="20" s="1"/>
  <c r="D10" i="2" s="1"/>
  <c r="T53" i="7"/>
  <c r="E99" i="10" s="1"/>
  <c r="D10" i="10"/>
  <c r="S103" i="10"/>
  <c r="S74" i="10"/>
  <c r="D19" i="10"/>
  <c r="C117" i="10"/>
  <c r="J30" i="10"/>
  <c r="C59" i="10" s="1"/>
  <c r="F30" i="10"/>
  <c r="T22" i="11"/>
  <c r="W31" i="11"/>
  <c r="AS31" i="11" s="1"/>
  <c r="H24" i="13" s="1"/>
  <c r="G27" i="12"/>
  <c r="L20" i="13" s="1"/>
  <c r="N20" i="13" s="1"/>
  <c r="H16" i="18"/>
  <c r="Q31" i="23"/>
  <c r="O106" i="10"/>
  <c r="J106" i="10"/>
  <c r="J17" i="6" s="1"/>
  <c r="J115" i="10"/>
  <c r="J26" i="6" s="1"/>
  <c r="O115" i="10"/>
  <c r="S107" i="10"/>
  <c r="S78" i="10"/>
  <c r="S49" i="10"/>
  <c r="S39" i="10"/>
  <c r="J96" i="10"/>
  <c r="J7" i="6" s="1"/>
  <c r="O96" i="10"/>
  <c r="W8" i="11"/>
  <c r="AS8" i="11" s="1"/>
  <c r="H7" i="13" s="1"/>
  <c r="F22" i="11"/>
  <c r="S22" i="11"/>
  <c r="W37" i="11"/>
  <c r="W39" i="11"/>
  <c r="G25" i="12"/>
  <c r="B32" i="12"/>
  <c r="A108" i="10"/>
  <c r="M108" i="10" s="1"/>
  <c r="A50" i="10"/>
  <c r="S98" i="10"/>
  <c r="L12" i="11"/>
  <c r="AA12" i="11"/>
  <c r="Y32" i="11"/>
  <c r="AQ44" i="11"/>
  <c r="G21" i="12"/>
  <c r="L17" i="13" s="1"/>
  <c r="N17" i="13" s="1"/>
  <c r="G30" i="12"/>
  <c r="L23" i="13" s="1"/>
  <c r="N23" i="13" s="1"/>
  <c r="Z32" i="18"/>
  <c r="F8" i="13" s="1"/>
  <c r="AB18" i="19"/>
  <c r="Q31" i="21"/>
  <c r="H16" i="28"/>
  <c r="Q31" i="32"/>
  <c r="H30" i="35"/>
  <c r="H31" i="35" s="1"/>
  <c r="H30" i="40"/>
  <c r="J101" i="10"/>
  <c r="J12" i="6" s="1"/>
  <c r="O101" i="10"/>
  <c r="A106" i="10"/>
  <c r="M106" i="10" s="1"/>
  <c r="AB12" i="11"/>
  <c r="K22" i="11"/>
  <c r="K47" i="11" s="1"/>
  <c r="D59" i="11" s="1"/>
  <c r="C34" i="3" s="1"/>
  <c r="Z32" i="11"/>
  <c r="R32" i="11"/>
  <c r="AQ39" i="11"/>
  <c r="C12" i="12"/>
  <c r="C47" i="12" s="1"/>
  <c r="V35" i="13"/>
  <c r="Z34" i="15"/>
  <c r="W31" i="15"/>
  <c r="B34" i="15" s="1"/>
  <c r="D5" i="2" s="1"/>
  <c r="Q31" i="24"/>
  <c r="H16" i="30"/>
  <c r="H30" i="31"/>
  <c r="AB18" i="31"/>
  <c r="P28" i="11"/>
  <c r="P32" i="11" s="1"/>
  <c r="O21" i="13"/>
  <c r="O35" i="13" s="1"/>
  <c r="Q31" i="35"/>
  <c r="H30" i="39"/>
  <c r="H31" i="39" s="1"/>
  <c r="S42" i="10"/>
  <c r="S100" i="10"/>
  <c r="S71" i="10"/>
  <c r="S111" i="10"/>
  <c r="S53" i="10"/>
  <c r="S115" i="10"/>
  <c r="S86" i="10"/>
  <c r="S57" i="10"/>
  <c r="N12" i="11"/>
  <c r="I12" i="11"/>
  <c r="I47" i="11" s="1"/>
  <c r="D57" i="11" s="1"/>
  <c r="C32" i="3" s="1"/>
  <c r="L22" i="11"/>
  <c r="Z22" i="11"/>
  <c r="Z47" i="11" s="1"/>
  <c r="D72" i="11" s="1"/>
  <c r="C47" i="3" s="1"/>
  <c r="AQ21" i="11"/>
  <c r="B45" i="11"/>
  <c r="W35" i="11"/>
  <c r="N45" i="11"/>
  <c r="AB45" i="11"/>
  <c r="AQ43" i="11"/>
  <c r="AS43" i="11" s="1"/>
  <c r="H33" i="13" s="1"/>
  <c r="J33" i="13" s="1"/>
  <c r="G19" i="12"/>
  <c r="L15" i="13" s="1"/>
  <c r="N15" i="13" s="1"/>
  <c r="W35" i="13"/>
  <c r="AB18" i="15"/>
  <c r="Q20" i="20"/>
  <c r="Q31" i="20" s="1"/>
  <c r="AB18" i="25"/>
  <c r="AD45" i="11"/>
  <c r="G8" i="12"/>
  <c r="L7" i="13" s="1"/>
  <c r="N7" i="13" s="1"/>
  <c r="Q31" i="17"/>
  <c r="H16" i="20"/>
  <c r="R12" i="11"/>
  <c r="AF12" i="11"/>
  <c r="AF47" i="11" s="1"/>
  <c r="D77" i="11" s="1"/>
  <c r="C52" i="3" s="1"/>
  <c r="W9" i="11"/>
  <c r="AS9" i="11" s="1"/>
  <c r="H8" i="13" s="1"/>
  <c r="W15" i="11"/>
  <c r="AB22" i="11"/>
  <c r="AA32" i="11"/>
  <c r="V45" i="11"/>
  <c r="W38" i="11"/>
  <c r="AS38" i="11" s="1"/>
  <c r="H28" i="13" s="1"/>
  <c r="B45" i="12"/>
  <c r="AB18" i="17"/>
  <c r="Z38" i="18"/>
  <c r="Q8" i="13" s="1"/>
  <c r="Z34" i="18"/>
  <c r="H30" i="23"/>
  <c r="H31" i="23" s="1"/>
  <c r="Z34" i="27"/>
  <c r="Z38" i="27"/>
  <c r="E21" i="11"/>
  <c r="E22" i="11" s="1"/>
  <c r="H30" i="29"/>
  <c r="H16" i="42"/>
  <c r="S12" i="11"/>
  <c r="AQ8" i="11"/>
  <c r="AQ40" i="11"/>
  <c r="G5" i="12"/>
  <c r="D22" i="12"/>
  <c r="Q31" i="18"/>
  <c r="AB18" i="22"/>
  <c r="AB18" i="24"/>
  <c r="H16" i="25"/>
  <c r="H30" i="28"/>
  <c r="H31" i="28" s="1"/>
  <c r="I19" i="13"/>
  <c r="AB18" i="30"/>
  <c r="F12" i="11"/>
  <c r="Z45" i="11"/>
  <c r="AQ37" i="11"/>
  <c r="G10" i="12"/>
  <c r="L9" i="13" s="1"/>
  <c r="N9" i="13" s="1"/>
  <c r="E22" i="12"/>
  <c r="D45" i="12"/>
  <c r="Z38" i="39"/>
  <c r="Q29" i="13" s="1"/>
  <c r="Z34" i="39"/>
  <c r="G12" i="11"/>
  <c r="G47" i="11" s="1"/>
  <c r="D55" i="11" s="1"/>
  <c r="C30" i="3" s="1"/>
  <c r="R22" i="11"/>
  <c r="AQ16" i="11"/>
  <c r="B22" i="11"/>
  <c r="E32" i="11"/>
  <c r="AQ29" i="11"/>
  <c r="M45" i="11"/>
  <c r="AA45" i="11"/>
  <c r="H45" i="11"/>
  <c r="U45" i="11"/>
  <c r="U47" i="11" s="1"/>
  <c r="D68" i="11" s="1"/>
  <c r="C43" i="3" s="1"/>
  <c r="F22" i="12"/>
  <c r="F47" i="12" s="1"/>
  <c r="E45" i="12"/>
  <c r="E47" i="12" s="1"/>
  <c r="G42" i="12"/>
  <c r="L32" i="13" s="1"/>
  <c r="N32" i="13" s="1"/>
  <c r="H16" i="17"/>
  <c r="W31" i="21"/>
  <c r="B34" i="21" s="1"/>
  <c r="D11" i="2" s="1"/>
  <c r="AB18" i="23"/>
  <c r="P17" i="11"/>
  <c r="P22" i="11" s="1"/>
  <c r="B32" i="11"/>
  <c r="N32" i="11"/>
  <c r="AQ30" i="11"/>
  <c r="Z36" i="28"/>
  <c r="Z36" i="43"/>
  <c r="AD12" i="11"/>
  <c r="AD22" i="11"/>
  <c r="W20" i="11"/>
  <c r="AS20" i="11" s="1"/>
  <c r="H16" i="13" s="1"/>
  <c r="AB32" i="11"/>
  <c r="AQ35" i="11"/>
  <c r="X45" i="11"/>
  <c r="G16" i="12"/>
  <c r="L12" i="13" s="1"/>
  <c r="N12" i="13" s="1"/>
  <c r="Z34" i="16"/>
  <c r="Z38" i="16"/>
  <c r="Q6" i="13" s="1"/>
  <c r="Z37" i="16"/>
  <c r="D7" i="11" s="1"/>
  <c r="W7" i="11" s="1"/>
  <c r="AS7" i="11" s="1"/>
  <c r="H6" i="13" s="1"/>
  <c r="Z38" i="19"/>
  <c r="Q9" i="13" s="1"/>
  <c r="Z38" i="24"/>
  <c r="Q14" i="13" s="1"/>
  <c r="Z37" i="24"/>
  <c r="D18" i="11" s="1"/>
  <c r="W18" i="11" s="1"/>
  <c r="AS18" i="11" s="1"/>
  <c r="H14" i="13" s="1"/>
  <c r="AE22" i="11"/>
  <c r="Q32" i="11"/>
  <c r="L45" i="11"/>
  <c r="Y45" i="11"/>
  <c r="G11" i="12"/>
  <c r="L10" i="13" s="1"/>
  <c r="N10" i="13" s="1"/>
  <c r="H16" i="14"/>
  <c r="W31" i="14"/>
  <c r="B34" i="14" s="1"/>
  <c r="D4" i="2" s="1"/>
  <c r="Z38" i="22"/>
  <c r="Q12" i="13" s="1"/>
  <c r="Z37" i="22"/>
  <c r="D16" i="11" s="1"/>
  <c r="Z34" i="22"/>
  <c r="AB18" i="29"/>
  <c r="Q31" i="37"/>
  <c r="Z34" i="41"/>
  <c r="C41" i="11"/>
  <c r="G9" i="12"/>
  <c r="L8" i="13" s="1"/>
  <c r="N8" i="13" s="1"/>
  <c r="G31" i="12"/>
  <c r="L24" i="13" s="1"/>
  <c r="N24" i="13" s="1"/>
  <c r="U35" i="13"/>
  <c r="Q20" i="16"/>
  <c r="Q31" i="16" s="1"/>
  <c r="H16" i="21"/>
  <c r="H30" i="26"/>
  <c r="AB18" i="27"/>
  <c r="R18" i="13"/>
  <c r="H30" i="37"/>
  <c r="H31" i="37" s="1"/>
  <c r="H30" i="41"/>
  <c r="H31" i="41" s="1"/>
  <c r="Z34" i="21"/>
  <c r="Q24" i="25"/>
  <c r="Q31" i="25" s="1"/>
  <c r="Q24" i="26"/>
  <c r="Q31" i="26" s="1"/>
  <c r="Z34" i="31"/>
  <c r="W31" i="31"/>
  <c r="B34" i="31" s="1"/>
  <c r="D21" i="2" s="1"/>
  <c r="H16" i="22"/>
  <c r="Z37" i="23"/>
  <c r="D17" i="11" s="1"/>
  <c r="Z34" i="23"/>
  <c r="Z32" i="28"/>
  <c r="F18" i="13" s="1"/>
  <c r="W31" i="28"/>
  <c r="B34" i="28" s="1"/>
  <c r="D18" i="2" s="1"/>
  <c r="H30" i="30"/>
  <c r="H31" i="30" s="1"/>
  <c r="Z38" i="31"/>
  <c r="Q21" i="13" s="1"/>
  <c r="Z37" i="31"/>
  <c r="D28" i="11" s="1"/>
  <c r="W28" i="11" s="1"/>
  <c r="AS28" i="11" s="1"/>
  <c r="H21" i="13" s="1"/>
  <c r="H30" i="33"/>
  <c r="H31" i="33" s="1"/>
  <c r="AB18" i="36"/>
  <c r="AB18" i="38"/>
  <c r="Z38" i="20"/>
  <c r="Q10" i="13" s="1"/>
  <c r="D9" i="9" s="1"/>
  <c r="Z37" i="20"/>
  <c r="D11" i="11" s="1"/>
  <c r="W11" i="11" s="1"/>
  <c r="AS11" i="11" s="1"/>
  <c r="H10" i="13" s="1"/>
  <c r="J10" i="13" s="1"/>
  <c r="Z38" i="25"/>
  <c r="Q15" i="13" s="1"/>
  <c r="Q35" i="13" s="1"/>
  <c r="Z37" i="25"/>
  <c r="D19" i="11" s="1"/>
  <c r="W19" i="11" s="1"/>
  <c r="AS19" i="11" s="1"/>
  <c r="H15" i="13" s="1"/>
  <c r="Q31" i="31"/>
  <c r="O32" i="13"/>
  <c r="Q21" i="19"/>
  <c r="Q31" i="19" s="1"/>
  <c r="Q16" i="23"/>
  <c r="H16" i="24"/>
  <c r="O20" i="13"/>
  <c r="H16" i="38"/>
  <c r="AB18" i="41"/>
  <c r="Z38" i="30"/>
  <c r="Q20" i="13" s="1"/>
  <c r="Q20" i="35"/>
  <c r="AB18" i="39"/>
  <c r="H16" i="40"/>
  <c r="AB18" i="40"/>
  <c r="W31" i="22"/>
  <c r="B34" i="22" s="1"/>
  <c r="D12" i="2" s="1"/>
  <c r="W31" i="32"/>
  <c r="B34" i="32" s="1"/>
  <c r="D22" i="2" s="1"/>
  <c r="Z34" i="32"/>
  <c r="Q31" i="38"/>
  <c r="W31" i="30"/>
  <c r="B34" i="30" s="1"/>
  <c r="D20" i="2" s="1"/>
  <c r="Z34" i="30"/>
  <c r="H16" i="44"/>
  <c r="Z34" i="24"/>
  <c r="Z38" i="26"/>
  <c r="Q16" i="13" s="1"/>
  <c r="R16" i="13" s="1"/>
  <c r="Z37" i="26"/>
  <c r="D20" i="11" s="1"/>
  <c r="Q31" i="29"/>
  <c r="Q31" i="44"/>
  <c r="Z34" i="25"/>
  <c r="W31" i="39"/>
  <c r="B34" i="39" s="1"/>
  <c r="D29" i="2" s="1"/>
  <c r="Z38" i="42"/>
  <c r="Q32" i="13" s="1"/>
  <c r="D31" i="9" s="1"/>
  <c r="Z37" i="42"/>
  <c r="D42" i="11" s="1"/>
  <c r="W42" i="11" s="1"/>
  <c r="AS42" i="11" s="1"/>
  <c r="H32" i="13" s="1"/>
  <c r="J32" i="13" s="1"/>
  <c r="H16" i="29"/>
  <c r="Q21" i="30"/>
  <c r="Q31" i="30" s="1"/>
  <c r="AB18" i="33"/>
  <c r="W31" i="36"/>
  <c r="B34" i="36" s="1"/>
  <c r="D26" i="2" s="1"/>
  <c r="Z34" i="36"/>
  <c r="Z34" i="38"/>
  <c r="W31" i="38"/>
  <c r="B34" i="38" s="1"/>
  <c r="D28" i="2" s="1"/>
  <c r="H30" i="25"/>
  <c r="H30" i="34"/>
  <c r="H31" i="34" s="1"/>
  <c r="AB18" i="37"/>
  <c r="Z38" i="41"/>
  <c r="Q31" i="13" s="1"/>
  <c r="Q31" i="40"/>
  <c r="Z38" i="29"/>
  <c r="Q19" i="13" s="1"/>
  <c r="W31" i="29"/>
  <c r="B34" i="29" s="1"/>
  <c r="D19" i="2" s="1"/>
  <c r="H16" i="41"/>
  <c r="Z38" i="33"/>
  <c r="Q23" i="13" s="1"/>
  <c r="D22" i="9" s="1"/>
  <c r="Z37" i="33"/>
  <c r="D30" i="11" s="1"/>
  <c r="W30" i="11" s="1"/>
  <c r="AS30" i="11" s="1"/>
  <c r="H23" i="13" s="1"/>
  <c r="J23" i="13" s="1"/>
  <c r="Q31" i="41"/>
  <c r="W31" i="42"/>
  <c r="B34" i="42" s="1"/>
  <c r="D32" i="2" s="1"/>
  <c r="Q24" i="43"/>
  <c r="Z34" i="34"/>
  <c r="H16" i="35"/>
  <c r="Q31" i="36"/>
  <c r="Q19" i="38"/>
  <c r="Q24" i="38"/>
  <c r="W31" i="37"/>
  <c r="B34" i="37" s="1"/>
  <c r="D27" i="2" s="1"/>
  <c r="Q31" i="39"/>
  <c r="W31" i="40"/>
  <c r="B34" i="40" s="1"/>
  <c r="D30" i="2" s="1"/>
  <c r="W31" i="43"/>
  <c r="B34" i="43" s="1"/>
  <c r="D33" i="2" s="1"/>
  <c r="Z38" i="44"/>
  <c r="Q34" i="13" s="1"/>
  <c r="Z37" i="44"/>
  <c r="D44" i="11" s="1"/>
  <c r="W44" i="11" s="1"/>
  <c r="AS44" i="11" s="1"/>
  <c r="H34" i="13" s="1"/>
  <c r="Z34" i="44"/>
  <c r="Z37" i="29"/>
  <c r="D26" i="11" s="1"/>
  <c r="W26" i="11" s="1"/>
  <c r="AS26" i="11" s="1"/>
  <c r="H19" i="13" s="1"/>
  <c r="Z34" i="35"/>
  <c r="W31" i="35"/>
  <c r="B34" i="35" s="1"/>
  <c r="D25" i="2" s="1"/>
  <c r="Z38" i="35"/>
  <c r="Q25" i="13" s="1"/>
  <c r="AB18" i="42"/>
  <c r="H30" i="38"/>
  <c r="H31" i="38" s="1"/>
  <c r="Q24" i="42"/>
  <c r="Q31" i="42" s="1"/>
  <c r="Q20" i="43"/>
  <c r="Q31" i="43" s="1"/>
  <c r="Z32" i="43"/>
  <c r="F33" i="13" s="1"/>
  <c r="Z37" i="41"/>
  <c r="D41" i="11" s="1"/>
  <c r="D45" i="11" s="1"/>
  <c r="T26" i="10" l="1"/>
  <c r="E9" i="13"/>
  <c r="CD12" i="7"/>
  <c r="E19" i="13"/>
  <c r="CD32" i="7"/>
  <c r="AR53" i="4"/>
  <c r="P106" i="10" s="1"/>
  <c r="E27" i="13"/>
  <c r="CD45" i="7"/>
  <c r="K14" i="10"/>
  <c r="D43" i="10" s="1"/>
  <c r="B43" i="10"/>
  <c r="I43" i="10" s="1"/>
  <c r="B33" i="43"/>
  <c r="C33" i="13"/>
  <c r="B21" i="13"/>
  <c r="B20" i="9" s="1"/>
  <c r="CD34" i="8"/>
  <c r="B33" i="32"/>
  <c r="C22" i="13"/>
  <c r="BM55" i="4"/>
  <c r="P24" i="6" s="1"/>
  <c r="P26" i="10"/>
  <c r="AO38" i="4"/>
  <c r="P76" i="10" s="1"/>
  <c r="BY31" i="4"/>
  <c r="CA10" i="5"/>
  <c r="CD10" i="5" s="1"/>
  <c r="B33" i="19"/>
  <c r="C9" i="13"/>
  <c r="E24" i="13"/>
  <c r="CD37" i="7"/>
  <c r="B33" i="21"/>
  <c r="C11" i="13"/>
  <c r="Q55" i="4"/>
  <c r="B7" i="13"/>
  <c r="B6" i="9" s="1"/>
  <c r="CD10" i="8"/>
  <c r="CA24" i="4"/>
  <c r="CD24" i="4" s="1"/>
  <c r="H9" i="10"/>
  <c r="C7" i="13"/>
  <c r="B33" i="17"/>
  <c r="B16" i="13"/>
  <c r="B15" i="9" s="1"/>
  <c r="CD24" i="8"/>
  <c r="CA21" i="4"/>
  <c r="CD21" i="4" s="1"/>
  <c r="T29" i="10"/>
  <c r="CA33" i="5"/>
  <c r="CD33" i="5" s="1"/>
  <c r="BD53" i="4"/>
  <c r="P115" i="10" s="1"/>
  <c r="B33" i="15"/>
  <c r="C5" i="13"/>
  <c r="AX26" i="4"/>
  <c r="P52" i="10" s="1"/>
  <c r="E20" i="13"/>
  <c r="CD33" i="7"/>
  <c r="AB53" i="5"/>
  <c r="H101" i="10" s="1"/>
  <c r="E8" i="13"/>
  <c r="G8" i="13" s="1"/>
  <c r="CD11" i="7"/>
  <c r="Y55" i="8"/>
  <c r="T13" i="10"/>
  <c r="AE55" i="7"/>
  <c r="F13" i="6" s="1"/>
  <c r="F15" i="10"/>
  <c r="H15" i="10"/>
  <c r="E15" i="13"/>
  <c r="CD23" i="7"/>
  <c r="B30" i="13"/>
  <c r="B29" i="9" s="1"/>
  <c r="CD48" i="8"/>
  <c r="P16" i="10"/>
  <c r="P28" i="10"/>
  <c r="BD55" i="4"/>
  <c r="P26" i="6" s="1"/>
  <c r="B33" i="42"/>
  <c r="C32" i="13"/>
  <c r="CA9" i="4"/>
  <c r="CD9" i="4" s="1"/>
  <c r="B33" i="20"/>
  <c r="C10" i="13"/>
  <c r="D10" i="13" s="1"/>
  <c r="BD53" i="5"/>
  <c r="H115" i="10" s="1"/>
  <c r="P14" i="5"/>
  <c r="AK8" i="5"/>
  <c r="CA8" i="5" s="1"/>
  <c r="CD8" i="5" s="1"/>
  <c r="H31" i="16"/>
  <c r="AU26" i="5"/>
  <c r="H51" i="10" s="1"/>
  <c r="BY20" i="5"/>
  <c r="C47" i="11"/>
  <c r="D51" i="11" s="1"/>
  <c r="C26" i="3" s="1"/>
  <c r="BY20" i="4"/>
  <c r="CA20" i="4" s="1"/>
  <c r="CD20" i="4" s="1"/>
  <c r="AU26" i="4"/>
  <c r="P51" i="10" s="1"/>
  <c r="B53" i="12"/>
  <c r="C67" i="3"/>
  <c r="B24" i="13"/>
  <c r="B23" i="9" s="1"/>
  <c r="CD37" i="8"/>
  <c r="B54" i="12"/>
  <c r="C68" i="3"/>
  <c r="BY51" i="4"/>
  <c r="E29" i="13"/>
  <c r="CD47" i="7"/>
  <c r="BY11" i="4"/>
  <c r="CA11" i="4" s="1"/>
  <c r="CD11" i="4" s="1"/>
  <c r="CA33" i="8"/>
  <c r="S55" i="7"/>
  <c r="F9" i="6" s="1"/>
  <c r="F11" i="10"/>
  <c r="CA20" i="5"/>
  <c r="CD20" i="5" s="1"/>
  <c r="E10" i="13"/>
  <c r="CD13" i="7"/>
  <c r="CA25" i="4"/>
  <c r="CD25" i="4" s="1"/>
  <c r="P23" i="10"/>
  <c r="AX55" i="4"/>
  <c r="P21" i="6" s="1"/>
  <c r="H20" i="10"/>
  <c r="BS55" i="5"/>
  <c r="H18" i="6" s="1"/>
  <c r="B9" i="13"/>
  <c r="B8" i="9" s="1"/>
  <c r="CD12" i="8"/>
  <c r="CD46" i="7"/>
  <c r="E28" i="13"/>
  <c r="C14" i="13"/>
  <c r="B33" i="24"/>
  <c r="P25" i="10"/>
  <c r="BA38" i="5"/>
  <c r="H85" i="10" s="1"/>
  <c r="BJ14" i="4"/>
  <c r="B33" i="28"/>
  <c r="C18" i="13"/>
  <c r="B33" i="39"/>
  <c r="C29" i="13"/>
  <c r="D29" i="13" s="1"/>
  <c r="Z36" i="19"/>
  <c r="I9" i="13"/>
  <c r="C12" i="13"/>
  <c r="B33" i="22"/>
  <c r="E26" i="13"/>
  <c r="CD44" i="7"/>
  <c r="G19" i="10"/>
  <c r="G31" i="10" s="1"/>
  <c r="G32" i="10" s="1"/>
  <c r="AP55" i="5"/>
  <c r="AK19" i="4"/>
  <c r="D26" i="4"/>
  <c r="P59" i="10" s="1"/>
  <c r="G16" i="6"/>
  <c r="G18" i="6"/>
  <c r="G14" i="6"/>
  <c r="G12" i="6"/>
  <c r="CA45" i="4"/>
  <c r="CD45" i="4" s="1"/>
  <c r="G71" i="10"/>
  <c r="G69" i="10"/>
  <c r="AY26" i="4"/>
  <c r="BA19" i="4"/>
  <c r="BA26" i="4" s="1"/>
  <c r="P56" i="10" s="1"/>
  <c r="AU53" i="5"/>
  <c r="H109" i="10" s="1"/>
  <c r="BY7" i="4"/>
  <c r="Z35" i="39"/>
  <c r="K29" i="2"/>
  <c r="Z35" i="15"/>
  <c r="K5" i="2"/>
  <c r="X47" i="11"/>
  <c r="D70" i="11" s="1"/>
  <c r="C45" i="3" s="1"/>
  <c r="J43" i="10"/>
  <c r="O43" i="10"/>
  <c r="P47" i="11"/>
  <c r="D63" i="11" s="1"/>
  <c r="C38" i="3" s="1"/>
  <c r="B52" i="12"/>
  <c r="C66" i="3"/>
  <c r="BT55" i="8"/>
  <c r="R19" i="6" s="1"/>
  <c r="N19" i="6" s="1"/>
  <c r="R21" i="10"/>
  <c r="N21" i="10" s="1"/>
  <c r="AX14" i="8"/>
  <c r="AS55" i="4"/>
  <c r="I31" i="13"/>
  <c r="AQ12" i="11"/>
  <c r="A66" i="10"/>
  <c r="M66" i="10" s="1"/>
  <c r="M37" i="10"/>
  <c r="AO38" i="5"/>
  <c r="H76" i="10" s="1"/>
  <c r="BY31" i="5"/>
  <c r="R25" i="10"/>
  <c r="N25" i="10" s="1"/>
  <c r="P38" i="8"/>
  <c r="T68" i="10" s="1"/>
  <c r="W55" i="4"/>
  <c r="B29" i="13"/>
  <c r="B28" i="9" s="1"/>
  <c r="CD47" i="8"/>
  <c r="I20" i="13"/>
  <c r="Z36" i="27"/>
  <c r="P17" i="13" s="1"/>
  <c r="R17" i="13" s="1"/>
  <c r="I17" i="13"/>
  <c r="E55" i="8"/>
  <c r="R8" i="10"/>
  <c r="BJ53" i="5"/>
  <c r="H111" i="10" s="1"/>
  <c r="P38" i="7"/>
  <c r="F68" i="10" s="1"/>
  <c r="BP14" i="8"/>
  <c r="E47" i="11"/>
  <c r="D53" i="11" s="1"/>
  <c r="C28" i="3" s="1"/>
  <c r="E13" i="10"/>
  <c r="W55" i="7"/>
  <c r="E11" i="6" s="1"/>
  <c r="H30" i="18"/>
  <c r="H31" i="18" s="1"/>
  <c r="E28" i="10"/>
  <c r="I28" i="10" s="1"/>
  <c r="BE55" i="7"/>
  <c r="E26" i="6" s="1"/>
  <c r="I26" i="6" s="1"/>
  <c r="K26" i="6" s="1"/>
  <c r="E9" i="10"/>
  <c r="I9" i="10" s="1"/>
  <c r="H55" i="7"/>
  <c r="E7" i="6" s="1"/>
  <c r="BM14" i="5"/>
  <c r="BM55" i="5" s="1"/>
  <c r="H24" i="6" s="1"/>
  <c r="BE53" i="8"/>
  <c r="R116" i="10" s="1"/>
  <c r="N116" i="10" s="1"/>
  <c r="BG46" i="8"/>
  <c r="F66" i="10"/>
  <c r="F75" i="10" s="1"/>
  <c r="M53" i="4"/>
  <c r="P103" i="10" s="1"/>
  <c r="AE53" i="5"/>
  <c r="H102" i="10" s="1"/>
  <c r="BY8" i="4"/>
  <c r="CA8" i="4" s="1"/>
  <c r="CD8" i="4" s="1"/>
  <c r="AO14" i="4"/>
  <c r="Z35" i="29"/>
  <c r="K19" i="2"/>
  <c r="R47" i="11"/>
  <c r="D65" i="11" s="1"/>
  <c r="C40" i="3" s="1"/>
  <c r="Z35" i="31"/>
  <c r="K21" i="2"/>
  <c r="AB47" i="11"/>
  <c r="D74" i="11" s="1"/>
  <c r="C49" i="3" s="1"/>
  <c r="BM26" i="7"/>
  <c r="F53" i="10" s="1"/>
  <c r="BP43" i="4"/>
  <c r="BP53" i="4" s="1"/>
  <c r="P112" i="10" s="1"/>
  <c r="BN53" i="4"/>
  <c r="A68" i="10"/>
  <c r="M68" i="10" s="1"/>
  <c r="M39" i="10"/>
  <c r="BY11" i="8"/>
  <c r="J14" i="4"/>
  <c r="AY53" i="4"/>
  <c r="BA44" i="4"/>
  <c r="BA53" i="4" s="1"/>
  <c r="P114" i="10" s="1"/>
  <c r="D24" i="6"/>
  <c r="BY13" i="4"/>
  <c r="BA38" i="4"/>
  <c r="P85" i="10" s="1"/>
  <c r="CA32" i="5"/>
  <c r="CD32" i="5" s="1"/>
  <c r="Z35" i="23"/>
  <c r="K13" i="2"/>
  <c r="Z36" i="18"/>
  <c r="I8" i="13"/>
  <c r="M26" i="7"/>
  <c r="M55" i="7" s="1"/>
  <c r="F14" i="6" s="1"/>
  <c r="Z35" i="16"/>
  <c r="K6" i="2"/>
  <c r="CA7" i="7"/>
  <c r="D14" i="7"/>
  <c r="E16" i="13"/>
  <c r="G16" i="13" s="1"/>
  <c r="CD24" i="7"/>
  <c r="AK46" i="4"/>
  <c r="AO26" i="4"/>
  <c r="P47" i="10" s="1"/>
  <c r="P60" i="10" s="1"/>
  <c r="CA34" i="7"/>
  <c r="G22" i="10"/>
  <c r="I22" i="10" s="1"/>
  <c r="AS55" i="5"/>
  <c r="G20" i="6" s="1"/>
  <c r="I20" i="6" s="1"/>
  <c r="K20" i="6" s="1"/>
  <c r="CA10" i="7"/>
  <c r="W17" i="11"/>
  <c r="AS17" i="11" s="1"/>
  <c r="H13" i="13" s="1"/>
  <c r="E23" i="10"/>
  <c r="AY55" i="7"/>
  <c r="E21" i="6" s="1"/>
  <c r="O110" i="10"/>
  <c r="J110" i="10"/>
  <c r="J21" i="6" s="1"/>
  <c r="N55" i="5"/>
  <c r="G8" i="6" s="1"/>
  <c r="G10" i="10"/>
  <c r="E59" i="10"/>
  <c r="B55" i="7"/>
  <c r="E28" i="6" s="1"/>
  <c r="BN55" i="7"/>
  <c r="E24" i="6" s="1"/>
  <c r="I24" i="6" s="1"/>
  <c r="K24" i="6" s="1"/>
  <c r="E26" i="10"/>
  <c r="CA51" i="8"/>
  <c r="BY19" i="5"/>
  <c r="CA19" i="5" s="1"/>
  <c r="AO26" i="5"/>
  <c r="H47" i="10" s="1"/>
  <c r="J26" i="4"/>
  <c r="P38" i="10" s="1"/>
  <c r="AK7" i="5"/>
  <c r="G14" i="5"/>
  <c r="V14" i="5"/>
  <c r="G32" i="12"/>
  <c r="L18" i="13"/>
  <c r="N18" i="13" s="1"/>
  <c r="E90" i="10"/>
  <c r="D26" i="6"/>
  <c r="E21" i="10"/>
  <c r="BW55" i="7"/>
  <c r="E19" i="6" s="1"/>
  <c r="N95" i="10"/>
  <c r="AP38" i="4"/>
  <c r="AR37" i="4"/>
  <c r="AR38" i="4" s="1"/>
  <c r="P77" i="10" s="1"/>
  <c r="AU14" i="7"/>
  <c r="CA25" i="5"/>
  <c r="CD25" i="5" s="1"/>
  <c r="Z35" i="44"/>
  <c r="K34" i="2"/>
  <c r="P8" i="10"/>
  <c r="G55" i="4"/>
  <c r="P6" i="6" s="1"/>
  <c r="J41" i="10"/>
  <c r="O41" i="10"/>
  <c r="H26" i="4"/>
  <c r="H55" i="4" s="1"/>
  <c r="BY26" i="7"/>
  <c r="F50" i="10" s="1"/>
  <c r="CA22" i="4"/>
  <c r="CD22" i="4" s="1"/>
  <c r="BS53" i="8"/>
  <c r="T107" i="10" s="1"/>
  <c r="S52" i="4"/>
  <c r="S53" i="4" s="1"/>
  <c r="P98" i="10" s="1"/>
  <c r="Q53" i="4"/>
  <c r="Z38" i="8"/>
  <c r="BP38" i="5"/>
  <c r="H83" i="10" s="1"/>
  <c r="T55" i="5"/>
  <c r="G10" i="6" s="1"/>
  <c r="G12" i="10"/>
  <c r="B33" i="33"/>
  <c r="C23" i="13"/>
  <c r="Z36" i="16"/>
  <c r="I6" i="13"/>
  <c r="Z35" i="25"/>
  <c r="K15" i="2"/>
  <c r="B51" i="12"/>
  <c r="C65" i="3"/>
  <c r="D7" i="6"/>
  <c r="A87" i="10"/>
  <c r="M87" i="10" s="1"/>
  <c r="M58" i="10"/>
  <c r="E12" i="13"/>
  <c r="CD20" i="7"/>
  <c r="M60" i="10"/>
  <c r="A89" i="10"/>
  <c r="M89" i="10" s="1"/>
  <c r="W32" i="11"/>
  <c r="AS25" i="11"/>
  <c r="CA23" i="8"/>
  <c r="E6" i="13"/>
  <c r="CD9" i="7"/>
  <c r="I34" i="13"/>
  <c r="I14" i="13"/>
  <c r="R22" i="10"/>
  <c r="N22" i="10" s="1"/>
  <c r="AS55" i="8"/>
  <c r="R20" i="6" s="1"/>
  <c r="N20" i="6" s="1"/>
  <c r="E84" i="10"/>
  <c r="E82" i="10"/>
  <c r="H16" i="10"/>
  <c r="D11" i="6"/>
  <c r="H31" i="36"/>
  <c r="BS38" i="4"/>
  <c r="P78" i="10" s="1"/>
  <c r="H30" i="44"/>
  <c r="H31" i="44" s="1"/>
  <c r="S55" i="5"/>
  <c r="H9" i="6" s="1"/>
  <c r="H11" i="10"/>
  <c r="J49" i="10"/>
  <c r="O49" i="10"/>
  <c r="I24" i="13"/>
  <c r="Z35" i="24"/>
  <c r="Z36" i="24" s="1"/>
  <c r="K14" i="2"/>
  <c r="E17" i="13"/>
  <c r="CD25" i="7"/>
  <c r="B10" i="13"/>
  <c r="B9" i="9" s="1"/>
  <c r="CD13" i="8"/>
  <c r="Z35" i="37"/>
  <c r="K27" i="2"/>
  <c r="D32" i="8"/>
  <c r="AK32" i="8" s="1"/>
  <c r="CA32" i="8" s="1"/>
  <c r="B32" i="4"/>
  <c r="D32" i="4" s="1"/>
  <c r="AK32" i="4" s="1"/>
  <c r="CA32" i="4" s="1"/>
  <c r="CD32" i="4" s="1"/>
  <c r="D26" i="7"/>
  <c r="F59" i="10" s="1"/>
  <c r="F60" i="10" s="1"/>
  <c r="AK31" i="8"/>
  <c r="Z35" i="14"/>
  <c r="K4" i="2"/>
  <c r="F25" i="10"/>
  <c r="BS55" i="7"/>
  <c r="F23" i="6" s="1"/>
  <c r="Y38" i="5"/>
  <c r="H71" i="10" s="1"/>
  <c r="BE55" i="4"/>
  <c r="G53" i="5"/>
  <c r="H95" i="10" s="1"/>
  <c r="Z35" i="19"/>
  <c r="K9" i="2"/>
  <c r="A70" i="10"/>
  <c r="M70" i="10" s="1"/>
  <c r="M41" i="10"/>
  <c r="AR55" i="5"/>
  <c r="H17" i="6" s="1"/>
  <c r="H19" i="10"/>
  <c r="E11" i="13"/>
  <c r="CD19" i="7"/>
  <c r="CA26" i="7"/>
  <c r="F62" i="10" s="1"/>
  <c r="A76" i="10"/>
  <c r="M76" i="10" s="1"/>
  <c r="M47" i="10"/>
  <c r="K55" i="7"/>
  <c r="E14" i="6" s="1"/>
  <c r="I14" i="6" s="1"/>
  <c r="K14" i="6" s="1"/>
  <c r="BB14" i="4"/>
  <c r="BB55" i="4" s="1"/>
  <c r="CA22" i="8"/>
  <c r="M54" i="10"/>
  <c r="A83" i="10"/>
  <c r="M83" i="10" s="1"/>
  <c r="AA49" i="5"/>
  <c r="AB49" i="5" s="1"/>
  <c r="AA49" i="4"/>
  <c r="AB49" i="4" s="1"/>
  <c r="AB53" i="4" s="1"/>
  <c r="P101" i="10" s="1"/>
  <c r="AB49" i="7"/>
  <c r="AB53" i="7" s="1"/>
  <c r="G22" i="12"/>
  <c r="L11" i="13"/>
  <c r="N11" i="13" s="1"/>
  <c r="BS12" i="4"/>
  <c r="BY12" i="4" s="1"/>
  <c r="CA12" i="4" s="1"/>
  <c r="CD12" i="4" s="1"/>
  <c r="J109" i="10"/>
  <c r="J20" i="6" s="1"/>
  <c r="O109" i="10"/>
  <c r="P46" i="10"/>
  <c r="P61" i="10" s="1"/>
  <c r="I7" i="13"/>
  <c r="BD14" i="8"/>
  <c r="F9" i="10"/>
  <c r="AC53" i="4"/>
  <c r="AC55" i="4" s="1"/>
  <c r="AE44" i="4"/>
  <c r="AK44" i="4" s="1"/>
  <c r="CA44" i="4" s="1"/>
  <c r="CD44" i="4" s="1"/>
  <c r="AB38" i="8"/>
  <c r="T72" i="10" s="1"/>
  <c r="T75" i="10" s="1"/>
  <c r="Z35" i="42"/>
  <c r="K32" i="2"/>
  <c r="I15" i="13"/>
  <c r="I12" i="13"/>
  <c r="T24" i="10"/>
  <c r="BH26" i="8"/>
  <c r="R53" i="10" s="1"/>
  <c r="N53" i="10" s="1"/>
  <c r="BJ19" i="8"/>
  <c r="BJ26" i="8" s="1"/>
  <c r="T53" i="10" s="1"/>
  <c r="G23" i="10"/>
  <c r="H23" i="10" s="1"/>
  <c r="AV55" i="5"/>
  <c r="G21" i="6" s="1"/>
  <c r="CA50" i="8"/>
  <c r="CA36" i="4"/>
  <c r="CD36" i="4" s="1"/>
  <c r="I28" i="13"/>
  <c r="Z35" i="27"/>
  <c r="Z32" i="27" s="1"/>
  <c r="F17" i="13" s="1"/>
  <c r="G17" i="13" s="1"/>
  <c r="K17" i="2"/>
  <c r="Q47" i="11"/>
  <c r="D64" i="11" s="1"/>
  <c r="C39" i="3" s="1"/>
  <c r="AM53" i="8"/>
  <c r="R105" i="10" s="1"/>
  <c r="N105" i="10" s="1"/>
  <c r="F21" i="10"/>
  <c r="G90" i="10"/>
  <c r="BQ53" i="4"/>
  <c r="BS43" i="4"/>
  <c r="BS53" i="4" s="1"/>
  <c r="P107" i="10" s="1"/>
  <c r="AS53" i="8"/>
  <c r="R109" i="10" s="1"/>
  <c r="N109" i="10" s="1"/>
  <c r="AX14" i="5"/>
  <c r="AX55" i="5" s="1"/>
  <c r="H21" i="6" s="1"/>
  <c r="H14" i="10"/>
  <c r="B55" i="8"/>
  <c r="R28" i="6" s="1"/>
  <c r="N28" i="6" s="1"/>
  <c r="R30" i="10"/>
  <c r="AM14" i="8"/>
  <c r="D53" i="4"/>
  <c r="P117" i="10" s="1"/>
  <c r="AK43" i="4"/>
  <c r="AX53" i="7"/>
  <c r="F109" i="10" s="1"/>
  <c r="Z35" i="30"/>
  <c r="K20" i="2"/>
  <c r="AS35" i="11"/>
  <c r="N6" i="13"/>
  <c r="G10" i="13"/>
  <c r="BY25" i="8"/>
  <c r="BV14" i="7"/>
  <c r="G22" i="13"/>
  <c r="O111" i="10"/>
  <c r="J111" i="10"/>
  <c r="J22" i="6" s="1"/>
  <c r="AO14" i="8"/>
  <c r="BY7" i="8"/>
  <c r="F8" i="10"/>
  <c r="G55" i="7"/>
  <c r="BD26" i="5"/>
  <c r="H57" i="10" s="1"/>
  <c r="CA8" i="7"/>
  <c r="S21" i="8"/>
  <c r="Q26" i="8"/>
  <c r="R40" i="10" s="1"/>
  <c r="N40" i="10" s="1"/>
  <c r="AO14" i="5"/>
  <c r="BY7" i="5"/>
  <c r="CA36" i="7"/>
  <c r="M53" i="5"/>
  <c r="H103" i="10" s="1"/>
  <c r="E18" i="10"/>
  <c r="AP55" i="7"/>
  <c r="E16" i="6" s="1"/>
  <c r="BY47" i="5"/>
  <c r="T9" i="10"/>
  <c r="BV50" i="4"/>
  <c r="BV53" i="4" s="1"/>
  <c r="P108" i="10" s="1"/>
  <c r="BT53" i="4"/>
  <c r="N118" i="10" s="1"/>
  <c r="BQ53" i="8"/>
  <c r="R107" i="10" s="1"/>
  <c r="N107" i="10" s="1"/>
  <c r="G24" i="10"/>
  <c r="H24" i="10" s="1"/>
  <c r="BH55" i="5"/>
  <c r="G25" i="6" s="1"/>
  <c r="BY53" i="7"/>
  <c r="F108" i="10" s="1"/>
  <c r="BZ43" i="7"/>
  <c r="BG46" i="4"/>
  <c r="BG53" i="4" s="1"/>
  <c r="P116" i="10" s="1"/>
  <c r="BE53" i="4"/>
  <c r="AE14" i="4"/>
  <c r="T14" i="10"/>
  <c r="AR38" i="7"/>
  <c r="F76" i="10" s="1"/>
  <c r="F89" i="10" s="1"/>
  <c r="D17" i="10"/>
  <c r="BK14" i="4"/>
  <c r="BK55" i="4" s="1"/>
  <c r="J26" i="7"/>
  <c r="F38" i="10" s="1"/>
  <c r="H55" i="5"/>
  <c r="G7" i="6" s="1"/>
  <c r="CA33" i="4"/>
  <c r="CD33" i="4" s="1"/>
  <c r="O79" i="10"/>
  <c r="J79" i="10"/>
  <c r="BJ38" i="5"/>
  <c r="H82" i="10" s="1"/>
  <c r="BH55" i="7"/>
  <c r="E27" i="6" s="1"/>
  <c r="Z35" i="40"/>
  <c r="K30" i="2"/>
  <c r="AA47" i="11"/>
  <c r="D73" i="11" s="1"/>
  <c r="C48" i="3" s="1"/>
  <c r="T104" i="10"/>
  <c r="CA31" i="5"/>
  <c r="AK38" i="5"/>
  <c r="F18" i="10"/>
  <c r="BT55" i="5"/>
  <c r="G21" i="10"/>
  <c r="R28" i="10"/>
  <c r="N28" i="10" s="1"/>
  <c r="BB55" i="8"/>
  <c r="R26" i="6" s="1"/>
  <c r="N26" i="6" s="1"/>
  <c r="H31" i="29"/>
  <c r="L47" i="11"/>
  <c r="D60" i="11" s="1"/>
  <c r="C35" i="3" s="1"/>
  <c r="Z35" i="34"/>
  <c r="Z36" i="34" s="1"/>
  <c r="K24" i="2"/>
  <c r="R24" i="10"/>
  <c r="N24" i="10" s="1"/>
  <c r="C25" i="3"/>
  <c r="BP14" i="5"/>
  <c r="J53" i="8"/>
  <c r="T96" i="10" s="1"/>
  <c r="P10" i="10"/>
  <c r="P55" i="4"/>
  <c r="P8" i="6" s="1"/>
  <c r="P22" i="10"/>
  <c r="AU55" i="4"/>
  <c r="P20" i="6" s="1"/>
  <c r="I11" i="13"/>
  <c r="Z36" i="21"/>
  <c r="AS6" i="11"/>
  <c r="H5" i="13" s="1"/>
  <c r="AU55" i="8"/>
  <c r="T20" i="6" s="1"/>
  <c r="T22" i="10"/>
  <c r="F14" i="10"/>
  <c r="BY33" i="5"/>
  <c r="D31" i="4"/>
  <c r="BA19" i="8"/>
  <c r="AY26" i="8"/>
  <c r="G53" i="7"/>
  <c r="P21" i="10"/>
  <c r="BA55" i="5"/>
  <c r="H25" i="6" s="1"/>
  <c r="AK13" i="4"/>
  <c r="P29" i="10"/>
  <c r="BG55" i="4"/>
  <c r="P27" i="6" s="1"/>
  <c r="B33" i="30"/>
  <c r="C20" i="13"/>
  <c r="AQ45" i="11"/>
  <c r="A79" i="10"/>
  <c r="M79" i="10" s="1"/>
  <c r="M50" i="10"/>
  <c r="W14" i="8"/>
  <c r="G28" i="10"/>
  <c r="H28" i="10" s="1"/>
  <c r="BB55" i="5"/>
  <c r="G23" i="6" s="1"/>
  <c r="F27" i="10"/>
  <c r="BD55" i="7"/>
  <c r="F25" i="6" s="1"/>
  <c r="B50" i="12"/>
  <c r="B55" i="12" s="1"/>
  <c r="C64" i="3"/>
  <c r="C69" i="3" s="1"/>
  <c r="A72" i="10"/>
  <c r="M72" i="10" s="1"/>
  <c r="M43" i="10"/>
  <c r="G27" i="10"/>
  <c r="H27" i="10" s="1"/>
  <c r="AY55" i="5"/>
  <c r="G22" i="6" s="1"/>
  <c r="S14" i="4"/>
  <c r="CA45" i="5"/>
  <c r="CD45" i="5" s="1"/>
  <c r="AM55" i="4"/>
  <c r="BS14" i="4"/>
  <c r="B33" i="34"/>
  <c r="C24" i="13"/>
  <c r="D24" i="13" s="1"/>
  <c r="B33" i="41"/>
  <c r="C31" i="13"/>
  <c r="D32" i="11"/>
  <c r="BY32" i="5"/>
  <c r="E25" i="10"/>
  <c r="BQ55" i="7"/>
  <c r="E23" i="6" s="1"/>
  <c r="AE55" i="8"/>
  <c r="T15" i="10"/>
  <c r="BQ55" i="5"/>
  <c r="BP53" i="5"/>
  <c r="H112" i="10" s="1"/>
  <c r="P11" i="8"/>
  <c r="N14" i="8"/>
  <c r="B33" i="14"/>
  <c r="C4" i="13"/>
  <c r="CA34" i="4"/>
  <c r="CD34" i="4" s="1"/>
  <c r="AV14" i="8"/>
  <c r="G78" i="10"/>
  <c r="G82" i="10"/>
  <c r="F13" i="10"/>
  <c r="H53" i="8"/>
  <c r="R96" i="10" s="1"/>
  <c r="N96" i="10" s="1"/>
  <c r="BY34" i="5"/>
  <c r="CA34" i="5" s="1"/>
  <c r="CD34" i="5" s="1"/>
  <c r="G55" i="8"/>
  <c r="T8" i="10"/>
  <c r="S26" i="4"/>
  <c r="P40" i="10" s="1"/>
  <c r="H26" i="8"/>
  <c r="I13" i="13"/>
  <c r="Z36" i="23"/>
  <c r="G12" i="12"/>
  <c r="G47" i="12" s="1"/>
  <c r="L4" i="13"/>
  <c r="AE47" i="11"/>
  <c r="D76" i="11" s="1"/>
  <c r="C51" i="3" s="1"/>
  <c r="J57" i="10"/>
  <c r="O57" i="10"/>
  <c r="BS19" i="4"/>
  <c r="BS26" i="4" s="1"/>
  <c r="P49" i="10" s="1"/>
  <c r="BQ26" i="4"/>
  <c r="BQ55" i="4" s="1"/>
  <c r="D12" i="6"/>
  <c r="CA36" i="8"/>
  <c r="AH55" i="4"/>
  <c r="BA44" i="8"/>
  <c r="BA53" i="8" s="1"/>
  <c r="T114" i="10" s="1"/>
  <c r="AY53" i="8"/>
  <c r="R114" i="10" s="1"/>
  <c r="N114" i="10" s="1"/>
  <c r="Z55" i="7"/>
  <c r="E12" i="6" s="1"/>
  <c r="A67" i="10"/>
  <c r="M67" i="10" s="1"/>
  <c r="M38" i="10"/>
  <c r="T27" i="10"/>
  <c r="AR8" i="8"/>
  <c r="AP14" i="8"/>
  <c r="A74" i="10"/>
  <c r="M74" i="10" s="1"/>
  <c r="M45" i="10"/>
  <c r="AH55" i="8"/>
  <c r="E19" i="10"/>
  <c r="AS55" i="7"/>
  <c r="E17" i="6" s="1"/>
  <c r="BY20" i="8"/>
  <c r="CA20" i="8" s="1"/>
  <c r="AY55" i="4"/>
  <c r="H31" i="26"/>
  <c r="Q53" i="8"/>
  <c r="R98" i="10" s="1"/>
  <c r="N98" i="10" s="1"/>
  <c r="D13" i="6"/>
  <c r="E10" i="10"/>
  <c r="N55" i="7"/>
  <c r="E8" i="6" s="1"/>
  <c r="M51" i="10"/>
  <c r="A80" i="10"/>
  <c r="M80" i="10" s="1"/>
  <c r="O85" i="10"/>
  <c r="J85" i="10"/>
  <c r="BP37" i="4"/>
  <c r="BP38" i="4" s="1"/>
  <c r="BN38" i="4"/>
  <c r="N83" i="10" s="1"/>
  <c r="G45" i="12"/>
  <c r="L25" i="13"/>
  <c r="N25" i="13" s="1"/>
  <c r="BY49" i="8"/>
  <c r="CA49" i="8" s="1"/>
  <c r="Z36" i="35"/>
  <c r="I25" i="13"/>
  <c r="D35" i="2"/>
  <c r="AD47" i="11"/>
  <c r="D75" i="11" s="1"/>
  <c r="C50" i="3" s="1"/>
  <c r="Z35" i="33"/>
  <c r="K23" i="2"/>
  <c r="Z35" i="38"/>
  <c r="K28" i="2"/>
  <c r="W5" i="11"/>
  <c r="J19" i="13"/>
  <c r="D18" i="9"/>
  <c r="C45" i="11"/>
  <c r="I5" i="13"/>
  <c r="Z36" i="15"/>
  <c r="AS39" i="11"/>
  <c r="H29" i="13" s="1"/>
  <c r="O59" i="10"/>
  <c r="J59" i="10"/>
  <c r="H31" i="27"/>
  <c r="D53" i="5"/>
  <c r="D55" i="5" s="1"/>
  <c r="AK43" i="5"/>
  <c r="BK38" i="8"/>
  <c r="R84" i="10" s="1"/>
  <c r="N84" i="10" s="1"/>
  <c r="BP53" i="7"/>
  <c r="F113" i="10" s="1"/>
  <c r="F28" i="10"/>
  <c r="BG55" i="7"/>
  <c r="F26" i="6" s="1"/>
  <c r="O51" i="10"/>
  <c r="J51" i="10"/>
  <c r="T16" i="10"/>
  <c r="M55" i="8"/>
  <c r="E20" i="10"/>
  <c r="BT55" i="7"/>
  <c r="E18" i="6" s="1"/>
  <c r="AX35" i="8"/>
  <c r="AV38" i="8"/>
  <c r="R81" i="10" s="1"/>
  <c r="N81" i="10" s="1"/>
  <c r="BY33" i="8"/>
  <c r="BY52" i="5"/>
  <c r="BY34" i="4"/>
  <c r="T26" i="8"/>
  <c r="R41" i="10" s="1"/>
  <c r="N41" i="10" s="1"/>
  <c r="V19" i="8"/>
  <c r="Y14" i="5"/>
  <c r="J37" i="10"/>
  <c r="O37" i="10"/>
  <c r="CA23" i="5"/>
  <c r="CD23" i="5" s="1"/>
  <c r="BP38" i="8"/>
  <c r="T83" i="10" s="1"/>
  <c r="BJ14" i="5"/>
  <c r="BJ55" i="5" s="1"/>
  <c r="H22" i="6" s="1"/>
  <c r="AU53" i="7"/>
  <c r="F106" i="10" s="1"/>
  <c r="F118" i="10" s="1"/>
  <c r="O25" i="10"/>
  <c r="J25" i="10"/>
  <c r="C54" i="10" s="1"/>
  <c r="C23" i="6"/>
  <c r="V14" i="4"/>
  <c r="AO53" i="5"/>
  <c r="H105" i="10" s="1"/>
  <c r="BY43" i="5"/>
  <c r="D52" i="8"/>
  <c r="B52" i="4"/>
  <c r="D52" i="4" s="1"/>
  <c r="D16" i="6"/>
  <c r="X47" i="4"/>
  <c r="Y47" i="4" s="1"/>
  <c r="AK47" i="4" s="1"/>
  <c r="CA47" i="4" s="1"/>
  <c r="CD47" i="4" s="1"/>
  <c r="X47" i="5"/>
  <c r="Y47" i="5" s="1"/>
  <c r="X48" i="7"/>
  <c r="D6" i="6"/>
  <c r="AK21" i="5"/>
  <c r="CA21" i="5" s="1"/>
  <c r="CD21" i="5" s="1"/>
  <c r="R12" i="10"/>
  <c r="N12" i="10" s="1"/>
  <c r="T55" i="8"/>
  <c r="AK37" i="5"/>
  <c r="CA37" i="5" s="1"/>
  <c r="CD37" i="5" s="1"/>
  <c r="G25" i="10"/>
  <c r="H25" i="10" s="1"/>
  <c r="BN55" i="5"/>
  <c r="G27" i="6" s="1"/>
  <c r="H27" i="6" s="1"/>
  <c r="CA24" i="5"/>
  <c r="CD24" i="5" s="1"/>
  <c r="P30" i="10"/>
  <c r="AO38" i="8"/>
  <c r="T76" i="10" s="1"/>
  <c r="BY31" i="8"/>
  <c r="Z36" i="39"/>
  <c r="I29" i="13"/>
  <c r="B33" i="35"/>
  <c r="C25" i="13"/>
  <c r="R26" i="10"/>
  <c r="N26" i="10" s="1"/>
  <c r="BK55" i="8"/>
  <c r="R24" i="6" s="1"/>
  <c r="N24" i="6" s="1"/>
  <c r="F26" i="10"/>
  <c r="BP55" i="7"/>
  <c r="F24" i="6" s="1"/>
  <c r="BV55" i="8"/>
  <c r="T19" i="6" s="1"/>
  <c r="T21" i="10"/>
  <c r="BJ11" i="4"/>
  <c r="BH14" i="4"/>
  <c r="BH55" i="4" s="1"/>
  <c r="E22" i="13"/>
  <c r="CD35" i="7"/>
  <c r="BB53" i="8"/>
  <c r="R115" i="10" s="1"/>
  <c r="N115" i="10" s="1"/>
  <c r="BD43" i="8"/>
  <c r="BD53" i="8" s="1"/>
  <c r="T115" i="10" s="1"/>
  <c r="E14" i="13"/>
  <c r="CD22" i="7"/>
  <c r="E55" i="4"/>
  <c r="B27" i="13"/>
  <c r="B26" i="9" s="1"/>
  <c r="CD45" i="8"/>
  <c r="BY46" i="5"/>
  <c r="CA46" i="5" s="1"/>
  <c r="CD46" i="5" s="1"/>
  <c r="CA43" i="7"/>
  <c r="AR53" i="8"/>
  <c r="T106" i="10" s="1"/>
  <c r="V55" i="7"/>
  <c r="F10" i="6" s="1"/>
  <c r="F12" i="10"/>
  <c r="E13" i="13"/>
  <c r="CD21" i="7"/>
  <c r="W41" i="11"/>
  <c r="AS41" i="11" s="1"/>
  <c r="H31" i="13" s="1"/>
  <c r="AS15" i="11"/>
  <c r="W22" i="11"/>
  <c r="K55" i="8"/>
  <c r="R14" i="6" s="1"/>
  <c r="N14" i="6" s="1"/>
  <c r="R16" i="10"/>
  <c r="N16" i="10" s="1"/>
  <c r="AR26" i="4"/>
  <c r="P48" i="10" s="1"/>
  <c r="T12" i="10"/>
  <c r="K55" i="4"/>
  <c r="R11" i="10"/>
  <c r="N11" i="10" s="1"/>
  <c r="Q55" i="8"/>
  <c r="R9" i="6" s="1"/>
  <c r="N9" i="6" s="1"/>
  <c r="H22" i="10"/>
  <c r="W55" i="5"/>
  <c r="N55" i="4"/>
  <c r="T55" i="7"/>
  <c r="E10" i="6" s="1"/>
  <c r="E12" i="10"/>
  <c r="Z35" i="22"/>
  <c r="K12" i="2"/>
  <c r="N47" i="11"/>
  <c r="D62" i="11" s="1"/>
  <c r="C37" i="3" s="1"/>
  <c r="AQ32" i="11"/>
  <c r="BY10" i="4"/>
  <c r="CA10" i="4" s="1"/>
  <c r="CD10" i="4" s="1"/>
  <c r="O84" i="10"/>
  <c r="J84" i="10"/>
  <c r="G30" i="10"/>
  <c r="B55" i="5"/>
  <c r="G28" i="6" s="1"/>
  <c r="H28" i="6" s="1"/>
  <c r="CA31" i="7"/>
  <c r="BY11" i="5"/>
  <c r="CA11" i="5" s="1"/>
  <c r="CD11" i="5" s="1"/>
  <c r="N66" i="10"/>
  <c r="B33" i="38"/>
  <c r="C28" i="13"/>
  <c r="G11" i="13"/>
  <c r="E27" i="10"/>
  <c r="I27" i="10" s="1"/>
  <c r="BB55" i="7"/>
  <c r="E25" i="6" s="1"/>
  <c r="O47" i="10"/>
  <c r="J47" i="10"/>
  <c r="S26" i="5"/>
  <c r="H40" i="10" s="1"/>
  <c r="Q55" i="5"/>
  <c r="G11" i="10"/>
  <c r="G16" i="10"/>
  <c r="I16" i="10" s="1"/>
  <c r="I30" i="13"/>
  <c r="E38" i="4"/>
  <c r="A84" i="10"/>
  <c r="M84" i="10" s="1"/>
  <c r="M55" i="10"/>
  <c r="H31" i="25"/>
  <c r="Z35" i="41"/>
  <c r="K31" i="2"/>
  <c r="B33" i="37"/>
  <c r="C27" i="13"/>
  <c r="B33" i="23"/>
  <c r="C13" i="13"/>
  <c r="W21" i="11"/>
  <c r="AS21" i="11" s="1"/>
  <c r="H17" i="13" s="1"/>
  <c r="CA25" i="8"/>
  <c r="S26" i="7"/>
  <c r="F40" i="10" s="1"/>
  <c r="E8" i="10"/>
  <c r="E55" i="7"/>
  <c r="E6" i="6" s="1"/>
  <c r="AC55" i="8"/>
  <c r="R13" i="6" s="1"/>
  <c r="N13" i="6" s="1"/>
  <c r="I13" i="6" s="1"/>
  <c r="K13" i="6" s="1"/>
  <c r="R15" i="10"/>
  <c r="N15" i="10" s="1"/>
  <c r="I15" i="10" s="1"/>
  <c r="BS38" i="5"/>
  <c r="H78" i="10" s="1"/>
  <c r="W38" i="8"/>
  <c r="R71" i="10" s="1"/>
  <c r="N71" i="10" s="1"/>
  <c r="AP14" i="4"/>
  <c r="AP55" i="4" s="1"/>
  <c r="AR8" i="4"/>
  <c r="AR14" i="4" s="1"/>
  <c r="D22" i="11"/>
  <c r="D47" i="11" s="1"/>
  <c r="D52" i="11" s="1"/>
  <c r="C27" i="3" s="1"/>
  <c r="H31" i="31"/>
  <c r="J16" i="13"/>
  <c r="D15" i="9"/>
  <c r="P27" i="10"/>
  <c r="BY13" i="5"/>
  <c r="CA13" i="5" s="1"/>
  <c r="CD13" i="5" s="1"/>
  <c r="AS53" i="4"/>
  <c r="G44" i="10"/>
  <c r="AC55" i="5"/>
  <c r="G13" i="6" s="1"/>
  <c r="F22" i="10"/>
  <c r="AK9" i="8"/>
  <c r="CA9" i="8" s="1"/>
  <c r="AH55" i="7"/>
  <c r="BP43" i="8"/>
  <c r="BP53" i="8" s="1"/>
  <c r="T112" i="10" s="1"/>
  <c r="BN53" i="8"/>
  <c r="R112" i="10" s="1"/>
  <c r="N112" i="10" s="1"/>
  <c r="AU38" i="8"/>
  <c r="T80" i="10" s="1"/>
  <c r="I26" i="13"/>
  <c r="Z36" i="32"/>
  <c r="I22" i="13"/>
  <c r="F45" i="11"/>
  <c r="F47" i="11" s="1"/>
  <c r="D54" i="11" s="1"/>
  <c r="C29" i="3" s="1"/>
  <c r="Z35" i="17"/>
  <c r="K7" i="2"/>
  <c r="M56" i="10"/>
  <c r="A85" i="10"/>
  <c r="M85" i="10" s="1"/>
  <c r="AO53" i="8"/>
  <c r="T105" i="10" s="1"/>
  <c r="Z35" i="36"/>
  <c r="Z36" i="36" s="1"/>
  <c r="K26" i="2"/>
  <c r="I21" i="13"/>
  <c r="Z36" i="31"/>
  <c r="S47" i="11"/>
  <c r="D66" i="11" s="1"/>
  <c r="C41" i="3" s="1"/>
  <c r="H31" i="40"/>
  <c r="AS37" i="11"/>
  <c r="H27" i="13" s="1"/>
  <c r="J27" i="13" s="1"/>
  <c r="J117" i="10"/>
  <c r="J28" i="6" s="1"/>
  <c r="O117" i="10"/>
  <c r="AK43" i="8"/>
  <c r="R29" i="10"/>
  <c r="N29" i="10" s="1"/>
  <c r="I29" i="10" s="1"/>
  <c r="BE55" i="8"/>
  <c r="R27" i="6" s="1"/>
  <c r="N27" i="6" s="1"/>
  <c r="F37" i="10"/>
  <c r="BM38" i="8"/>
  <c r="T84" i="10" s="1"/>
  <c r="E11" i="10"/>
  <c r="Q55" i="7"/>
  <c r="E9" i="6" s="1"/>
  <c r="P14" i="7"/>
  <c r="BY32" i="4"/>
  <c r="BS11" i="8"/>
  <c r="BS14" i="8" s="1"/>
  <c r="BQ14" i="8"/>
  <c r="BK55" i="7"/>
  <c r="E22" i="6" s="1"/>
  <c r="AK44" i="5"/>
  <c r="CA44" i="5" s="1"/>
  <c r="CD44" i="5" s="1"/>
  <c r="AB26" i="5"/>
  <c r="H43" i="10" s="1"/>
  <c r="H46" i="10" s="1"/>
  <c r="D21" i="6"/>
  <c r="BY44" i="4"/>
  <c r="AK35" i="8"/>
  <c r="F23" i="10"/>
  <c r="BA55" i="7"/>
  <c r="F21" i="6" s="1"/>
  <c r="BV38" i="4"/>
  <c r="P79" i="10" s="1"/>
  <c r="CA36" i="5"/>
  <c r="CD36" i="5" s="1"/>
  <c r="D31" i="10"/>
  <c r="D32" i="10" s="1"/>
  <c r="E119" i="10"/>
  <c r="G118" i="10"/>
  <c r="I118" i="10" s="1"/>
  <c r="G108" i="10"/>
  <c r="BD38" i="7"/>
  <c r="F85" i="10" s="1"/>
  <c r="AB14" i="4"/>
  <c r="BV14" i="5"/>
  <c r="J38" i="5"/>
  <c r="H67" i="10" s="1"/>
  <c r="H75" i="10" s="1"/>
  <c r="BE55" i="5"/>
  <c r="G24" i="6" s="1"/>
  <c r="P37" i="4"/>
  <c r="P38" i="4" s="1"/>
  <c r="P68" i="10" s="1"/>
  <c r="P75" i="10" s="1"/>
  <c r="N38" i="4"/>
  <c r="BM14" i="7"/>
  <c r="AK7" i="4"/>
  <c r="AK14" i="4" s="1"/>
  <c r="AO53" i="4"/>
  <c r="P105" i="10" s="1"/>
  <c r="CD19" i="5" l="1"/>
  <c r="CD26" i="5" s="1"/>
  <c r="CA26" i="5"/>
  <c r="H62" i="10" s="1"/>
  <c r="F101" i="10"/>
  <c r="AB55" i="7"/>
  <c r="F12" i="6" s="1"/>
  <c r="B12" i="13"/>
  <c r="B11" i="9" s="1"/>
  <c r="CD20" i="8"/>
  <c r="B6" i="13"/>
  <c r="B5" i="9" s="1"/>
  <c r="CD9" i="8"/>
  <c r="P83" i="10"/>
  <c r="BP55" i="4"/>
  <c r="P23" i="6" s="1"/>
  <c r="B44" i="10"/>
  <c r="I44" i="10" s="1"/>
  <c r="K15" i="10"/>
  <c r="D44" i="10" s="1"/>
  <c r="K22" i="10"/>
  <c r="D51" i="10" s="1"/>
  <c r="B51" i="10"/>
  <c r="I51" i="10" s="1"/>
  <c r="B58" i="10"/>
  <c r="I58" i="10" s="1"/>
  <c r="K29" i="10"/>
  <c r="D58" i="10" s="1"/>
  <c r="B31" i="13"/>
  <c r="B30" i="9" s="1"/>
  <c r="CD49" i="8"/>
  <c r="BA26" i="8"/>
  <c r="BY19" i="8"/>
  <c r="BY26" i="8" s="1"/>
  <c r="E31" i="10"/>
  <c r="E32" i="10" s="1"/>
  <c r="E121" i="10" s="1"/>
  <c r="I18" i="10"/>
  <c r="P20" i="13"/>
  <c r="R20" i="13" s="1"/>
  <c r="Z32" i="30"/>
  <c r="F20" i="13" s="1"/>
  <c r="G20" i="13" s="1"/>
  <c r="BY38" i="4"/>
  <c r="AS22" i="11"/>
  <c r="H11" i="13"/>
  <c r="BY35" i="8"/>
  <c r="AX38" i="8"/>
  <c r="T81" i="10" s="1"/>
  <c r="CA38" i="5"/>
  <c r="H91" i="10" s="1"/>
  <c r="CD31" i="5"/>
  <c r="CD38" i="5" s="1"/>
  <c r="P9" i="10"/>
  <c r="J55" i="4"/>
  <c r="P7" i="6" s="1"/>
  <c r="I17" i="6"/>
  <c r="K17" i="6" s="1"/>
  <c r="H18" i="13"/>
  <c r="J18" i="13" s="1"/>
  <c r="AS32" i="11"/>
  <c r="B57" i="10"/>
  <c r="I57" i="10" s="1"/>
  <c r="K28" i="10"/>
  <c r="D57" i="10" s="1"/>
  <c r="P34" i="13"/>
  <c r="R34" i="13" s="1"/>
  <c r="Z32" i="44"/>
  <c r="F34" i="13" s="1"/>
  <c r="Z36" i="30"/>
  <c r="AK26" i="4"/>
  <c r="CA19" i="4"/>
  <c r="T14" i="6"/>
  <c r="C18" i="3"/>
  <c r="R18" i="10"/>
  <c r="N18" i="10" s="1"/>
  <c r="AM55" i="8"/>
  <c r="R16" i="6" s="1"/>
  <c r="N16" i="6" s="1"/>
  <c r="H12" i="10"/>
  <c r="V55" i="5"/>
  <c r="H10" i="6" s="1"/>
  <c r="P19" i="10"/>
  <c r="AR55" i="4"/>
  <c r="P17" i="6" s="1"/>
  <c r="AK52" i="8"/>
  <c r="CA52" i="8" s="1"/>
  <c r="D53" i="8"/>
  <c r="T117" i="10" s="1"/>
  <c r="B23" i="13"/>
  <c r="B22" i="9" s="1"/>
  <c r="CD36" i="8"/>
  <c r="J31" i="13"/>
  <c r="D30" i="9"/>
  <c r="P55" i="7"/>
  <c r="F8" i="6" s="1"/>
  <c r="F10" i="10"/>
  <c r="H13" i="10"/>
  <c r="I27" i="6"/>
  <c r="K27" i="6" s="1"/>
  <c r="AK37" i="4"/>
  <c r="B14" i="13"/>
  <c r="B13" i="9" s="1"/>
  <c r="CD22" i="8"/>
  <c r="J17" i="13"/>
  <c r="D16" i="9"/>
  <c r="Z32" i="34"/>
  <c r="F24" i="13" s="1"/>
  <c r="G24" i="13" s="1"/>
  <c r="P24" i="13"/>
  <c r="R24" i="13" s="1"/>
  <c r="AO55" i="8"/>
  <c r="T16" i="6" s="1"/>
  <c r="T18" i="10"/>
  <c r="B15" i="13"/>
  <c r="B14" i="9" s="1"/>
  <c r="CD23" i="8"/>
  <c r="J8" i="13"/>
  <c r="D7" i="9"/>
  <c r="P19" i="13"/>
  <c r="R19" i="13" s="1"/>
  <c r="Z36" i="29"/>
  <c r="Z32" i="29"/>
  <c r="F19" i="13" s="1"/>
  <c r="G19" i="13" s="1"/>
  <c r="B20" i="13"/>
  <c r="B19" i="9" s="1"/>
  <c r="CD33" i="8"/>
  <c r="P27" i="13"/>
  <c r="R27" i="13" s="1"/>
  <c r="Z36" i="37"/>
  <c r="Z32" i="37"/>
  <c r="F27" i="13" s="1"/>
  <c r="G27" i="13" s="1"/>
  <c r="Z32" i="23"/>
  <c r="F13" i="13" s="1"/>
  <c r="G13" i="13" s="1"/>
  <c r="P13" i="13"/>
  <c r="R13" i="13" s="1"/>
  <c r="Z32" i="17"/>
  <c r="F7" i="13" s="1"/>
  <c r="P7" i="13"/>
  <c r="R7" i="13" s="1"/>
  <c r="R23" i="10"/>
  <c r="N23" i="10" s="1"/>
  <c r="AV55" i="8"/>
  <c r="R21" i="6" s="1"/>
  <c r="N21" i="6" s="1"/>
  <c r="I21" i="6" s="1"/>
  <c r="K21" i="6" s="1"/>
  <c r="P30" i="13"/>
  <c r="R30" i="13" s="1"/>
  <c r="Z32" i="40"/>
  <c r="F30" i="13" s="1"/>
  <c r="N30" i="10"/>
  <c r="I30" i="10" s="1"/>
  <c r="T30" i="10"/>
  <c r="P24" i="10"/>
  <c r="BJ55" i="4"/>
  <c r="P22" i="6" s="1"/>
  <c r="AK14" i="5"/>
  <c r="D9" i="13"/>
  <c r="CD8" i="7"/>
  <c r="E5" i="13"/>
  <c r="BJ55" i="8"/>
  <c r="T22" i="6" s="1"/>
  <c r="B33" i="44"/>
  <c r="C34" i="13"/>
  <c r="D55" i="7"/>
  <c r="F28" i="6" s="1"/>
  <c r="D32" i="13"/>
  <c r="B35" i="19"/>
  <c r="C9" i="2"/>
  <c r="CA35" i="8"/>
  <c r="B35" i="23"/>
  <c r="C13" i="2"/>
  <c r="K16" i="10"/>
  <c r="D45" i="10" s="1"/>
  <c r="B45" i="10"/>
  <c r="I45" i="10" s="1"/>
  <c r="N90" i="10"/>
  <c r="BY43" i="8"/>
  <c r="BY53" i="8" s="1"/>
  <c r="J29" i="13"/>
  <c r="D28" i="9"/>
  <c r="P12" i="10"/>
  <c r="P17" i="10" s="1"/>
  <c r="V55" i="4"/>
  <c r="P10" i="6" s="1"/>
  <c r="BY8" i="8"/>
  <c r="CA8" i="8" s="1"/>
  <c r="AR14" i="8"/>
  <c r="C57" i="3"/>
  <c r="P15" i="10"/>
  <c r="AE55" i="4"/>
  <c r="P13" i="6" s="1"/>
  <c r="J55" i="8"/>
  <c r="AB55" i="5"/>
  <c r="H12" i="6" s="1"/>
  <c r="D11" i="9"/>
  <c r="J12" i="13"/>
  <c r="BD55" i="8"/>
  <c r="T26" i="6" s="1"/>
  <c r="T28" i="10"/>
  <c r="K35" i="2"/>
  <c r="R119" i="10"/>
  <c r="H60" i="10"/>
  <c r="H61" i="10" s="1"/>
  <c r="I23" i="10"/>
  <c r="E4" i="13"/>
  <c r="CA14" i="7"/>
  <c r="CD7" i="7"/>
  <c r="CD14" i="7" s="1"/>
  <c r="BG53" i="8"/>
  <c r="BY46" i="8"/>
  <c r="CA46" i="8" s="1"/>
  <c r="B35" i="22"/>
  <c r="C12" i="2"/>
  <c r="B35" i="42"/>
  <c r="C32" i="2"/>
  <c r="AE55" i="5"/>
  <c r="H13" i="6" s="1"/>
  <c r="J55" i="5"/>
  <c r="H7" i="6" s="1"/>
  <c r="X49" i="7"/>
  <c r="X48" i="5"/>
  <c r="Y48" i="5" s="1"/>
  <c r="AK48" i="5" s="1"/>
  <c r="CA48" i="5" s="1"/>
  <c r="CD48" i="5" s="1"/>
  <c r="X48" i="4"/>
  <c r="Y48" i="4" s="1"/>
  <c r="AK48" i="4" s="1"/>
  <c r="CA48" i="4" s="1"/>
  <c r="CD48" i="4" s="1"/>
  <c r="Y48" i="7"/>
  <c r="CA43" i="5"/>
  <c r="CA7" i="8"/>
  <c r="BY14" i="8"/>
  <c r="B32" i="13"/>
  <c r="B31" i="9" s="1"/>
  <c r="CD50" i="8"/>
  <c r="B38" i="10"/>
  <c r="I38" i="10" s="1"/>
  <c r="K9" i="10"/>
  <c r="D38" i="10" s="1"/>
  <c r="BY14" i="4"/>
  <c r="CA7" i="4"/>
  <c r="B35" i="34"/>
  <c r="C24" i="2"/>
  <c r="D38" i="4"/>
  <c r="AK31" i="4"/>
  <c r="P9" i="13"/>
  <c r="R9" i="13" s="1"/>
  <c r="Z32" i="19"/>
  <c r="F9" i="13" s="1"/>
  <c r="G9" i="13" s="1"/>
  <c r="I28" i="6"/>
  <c r="K28" i="6" s="1"/>
  <c r="P55" i="5"/>
  <c r="H8" i="6" s="1"/>
  <c r="H10" i="10"/>
  <c r="F24" i="10"/>
  <c r="BM55" i="7"/>
  <c r="F22" i="6" s="1"/>
  <c r="G119" i="10"/>
  <c r="G121" i="10" s="1"/>
  <c r="E23" i="13"/>
  <c r="CD36" i="7"/>
  <c r="B19" i="13"/>
  <c r="B18" i="9" s="1"/>
  <c r="CD32" i="8"/>
  <c r="M55" i="5"/>
  <c r="H14" i="6" s="1"/>
  <c r="P18" i="10"/>
  <c r="P31" i="10" s="1"/>
  <c r="AO55" i="4"/>
  <c r="P16" i="6" s="1"/>
  <c r="B35" i="39"/>
  <c r="C29" i="2"/>
  <c r="B56" i="12"/>
  <c r="B33" i="29"/>
  <c r="C19" i="13"/>
  <c r="B35" i="21"/>
  <c r="C11" i="2"/>
  <c r="BS55" i="8"/>
  <c r="T18" i="6" s="1"/>
  <c r="T20" i="10"/>
  <c r="B56" i="10"/>
  <c r="K27" i="10"/>
  <c r="D56" i="10" s="1"/>
  <c r="B35" i="20"/>
  <c r="C10" i="2"/>
  <c r="B17" i="13"/>
  <c r="B16" i="9" s="1"/>
  <c r="CD25" i="8"/>
  <c r="BV55" i="7"/>
  <c r="F18" i="6" s="1"/>
  <c r="F20" i="10"/>
  <c r="F31" i="10" s="1"/>
  <c r="F32" i="10" s="1"/>
  <c r="P15" i="13"/>
  <c r="R15" i="13" s="1"/>
  <c r="Z32" i="25"/>
  <c r="F15" i="13" s="1"/>
  <c r="G15" i="13" s="1"/>
  <c r="AU55" i="7"/>
  <c r="F17" i="6" s="1"/>
  <c r="F19" i="10"/>
  <c r="H8" i="10"/>
  <c r="G55" i="5"/>
  <c r="H6" i="6" s="1"/>
  <c r="I24" i="10"/>
  <c r="BY53" i="5"/>
  <c r="S26" i="8"/>
  <c r="AK21" i="8"/>
  <c r="CA21" i="8" s="1"/>
  <c r="B35" i="17"/>
  <c r="C7" i="2"/>
  <c r="I9" i="6"/>
  <c r="K9" i="6" s="1"/>
  <c r="D21" i="9"/>
  <c r="J22" i="13"/>
  <c r="Z36" i="40"/>
  <c r="B35" i="35"/>
  <c r="C25" i="2"/>
  <c r="V26" i="8"/>
  <c r="AK19" i="8"/>
  <c r="R19" i="10"/>
  <c r="N19" i="10" s="1"/>
  <c r="I19" i="10" s="1"/>
  <c r="AP55" i="8"/>
  <c r="R17" i="6" s="1"/>
  <c r="N17" i="6" s="1"/>
  <c r="BV55" i="4"/>
  <c r="P19" i="6" s="1"/>
  <c r="J55" i="7"/>
  <c r="F7" i="6" s="1"/>
  <c r="J14" i="13"/>
  <c r="D13" i="9"/>
  <c r="D7" i="13"/>
  <c r="J26" i="13"/>
  <c r="D25" i="9"/>
  <c r="D27" i="13"/>
  <c r="R90" i="10"/>
  <c r="P12" i="13"/>
  <c r="R12" i="13" s="1"/>
  <c r="Z32" i="22"/>
  <c r="F12" i="13" s="1"/>
  <c r="G12" i="13" s="1"/>
  <c r="O23" i="6"/>
  <c r="D23" i="6"/>
  <c r="D29" i="6" s="1"/>
  <c r="D30" i="6" s="1"/>
  <c r="B35" i="14"/>
  <c r="C4" i="2"/>
  <c r="R13" i="10"/>
  <c r="N13" i="10" s="1"/>
  <c r="I13" i="10" s="1"/>
  <c r="W55" i="8"/>
  <c r="R11" i="6" s="1"/>
  <c r="N11" i="6" s="1"/>
  <c r="F95" i="10"/>
  <c r="D82" i="11"/>
  <c r="AR55" i="7"/>
  <c r="F16" i="6" s="1"/>
  <c r="BY37" i="4"/>
  <c r="CB14" i="7"/>
  <c r="W45" i="11"/>
  <c r="J28" i="13"/>
  <c r="D27" i="9"/>
  <c r="Z36" i="22"/>
  <c r="J7" i="13"/>
  <c r="D6" i="9"/>
  <c r="Z32" i="14"/>
  <c r="F4" i="13" s="1"/>
  <c r="P4" i="13"/>
  <c r="Z36" i="14"/>
  <c r="B33" i="36"/>
  <c r="C26" i="13"/>
  <c r="J34" i="13"/>
  <c r="D33" i="9"/>
  <c r="B35" i="33"/>
  <c r="C23" i="2"/>
  <c r="BY46" i="4"/>
  <c r="CA46" i="4" s="1"/>
  <c r="CD46" i="4" s="1"/>
  <c r="N119" i="10"/>
  <c r="BY26" i="5"/>
  <c r="BN55" i="8"/>
  <c r="R23" i="6" s="1"/>
  <c r="N23" i="6" s="1"/>
  <c r="I23" i="6" s="1"/>
  <c r="K23" i="6" s="1"/>
  <c r="AK26" i="5"/>
  <c r="Z32" i="15"/>
  <c r="F5" i="13" s="1"/>
  <c r="G5" i="13" s="1"/>
  <c r="P5" i="13"/>
  <c r="R5" i="13" s="1"/>
  <c r="D12" i="13"/>
  <c r="D33" i="13"/>
  <c r="P31" i="13"/>
  <c r="R31" i="13" s="1"/>
  <c r="Z32" i="41"/>
  <c r="F31" i="13" s="1"/>
  <c r="H30" i="10"/>
  <c r="AK47" i="5"/>
  <c r="CA47" i="5" s="1"/>
  <c r="CD47" i="5" s="1"/>
  <c r="Z32" i="38"/>
  <c r="F28" i="13" s="1"/>
  <c r="G28" i="13" s="1"/>
  <c r="P28" i="13"/>
  <c r="R28" i="13" s="1"/>
  <c r="D20" i="13"/>
  <c r="AK53" i="8"/>
  <c r="CA43" i="8"/>
  <c r="AU55" i="5"/>
  <c r="H20" i="6" s="1"/>
  <c r="C17" i="13"/>
  <c r="B33" i="27"/>
  <c r="N4" i="13"/>
  <c r="L35" i="13"/>
  <c r="B35" i="30"/>
  <c r="C20" i="2"/>
  <c r="B38" i="4"/>
  <c r="B55" i="4" s="1"/>
  <c r="R20" i="10"/>
  <c r="N20" i="10" s="1"/>
  <c r="I20" i="10" s="1"/>
  <c r="BQ55" i="8"/>
  <c r="R18" i="6" s="1"/>
  <c r="N18" i="6" s="1"/>
  <c r="I18" i="6" s="1"/>
  <c r="K18" i="6" s="1"/>
  <c r="I8" i="10"/>
  <c r="P23" i="13"/>
  <c r="R23" i="13" s="1"/>
  <c r="Z36" i="33"/>
  <c r="Z32" i="33"/>
  <c r="F23" i="13" s="1"/>
  <c r="C14" i="3"/>
  <c r="T13" i="6"/>
  <c r="P20" i="10"/>
  <c r="BS55" i="4"/>
  <c r="P18" i="6" s="1"/>
  <c r="CA7" i="5"/>
  <c r="BY14" i="5"/>
  <c r="BY55" i="5" s="1"/>
  <c r="BY55" i="7"/>
  <c r="F19" i="6" s="1"/>
  <c r="AQ47" i="11"/>
  <c r="H18" i="10"/>
  <c r="H31" i="10" s="1"/>
  <c r="AO55" i="5"/>
  <c r="H16" i="6" s="1"/>
  <c r="B35" i="28"/>
  <c r="C18" i="2"/>
  <c r="AX55" i="7"/>
  <c r="F20" i="6" s="1"/>
  <c r="AE53" i="4"/>
  <c r="P102" i="10" s="1"/>
  <c r="J25" i="13"/>
  <c r="D24" i="9"/>
  <c r="BP55" i="5"/>
  <c r="H23" i="6" s="1"/>
  <c r="CB38" i="7"/>
  <c r="H118" i="10"/>
  <c r="D4" i="9"/>
  <c r="J5" i="13"/>
  <c r="I35" i="13"/>
  <c r="R38" i="10"/>
  <c r="N38" i="10" s="1"/>
  <c r="H55" i="8"/>
  <c r="R7" i="6" s="1"/>
  <c r="N7" i="6" s="1"/>
  <c r="I7" i="6" s="1"/>
  <c r="K7" i="6" s="1"/>
  <c r="P11" i="10"/>
  <c r="S55" i="4"/>
  <c r="P9" i="6" s="1"/>
  <c r="AB55" i="8"/>
  <c r="BD55" i="5"/>
  <c r="H26" i="6" s="1"/>
  <c r="CA13" i="4"/>
  <c r="CD13" i="4" s="1"/>
  <c r="BP55" i="8"/>
  <c r="T23" i="6" s="1"/>
  <c r="T25" i="10"/>
  <c r="B35" i="37"/>
  <c r="C27" i="2"/>
  <c r="G9" i="6"/>
  <c r="G11" i="6"/>
  <c r="I11" i="6" s="1"/>
  <c r="I12" i="10"/>
  <c r="E25" i="13"/>
  <c r="G25" i="13" s="1"/>
  <c r="CD43" i="7"/>
  <c r="BY38" i="8"/>
  <c r="D15" i="6"/>
  <c r="O54" i="10"/>
  <c r="J54" i="10"/>
  <c r="B33" i="26"/>
  <c r="C16" i="13"/>
  <c r="D16" i="13" s="1"/>
  <c r="T6" i="6"/>
  <c r="C8" i="3"/>
  <c r="R10" i="10"/>
  <c r="N10" i="10" s="1"/>
  <c r="N55" i="8"/>
  <c r="R8" i="6" s="1"/>
  <c r="N8" i="6" s="1"/>
  <c r="I8" i="6" s="1"/>
  <c r="K8" i="6" s="1"/>
  <c r="D31" i="13"/>
  <c r="BT55" i="4"/>
  <c r="BH55" i="8"/>
  <c r="R22" i="6" s="1"/>
  <c r="N22" i="6" s="1"/>
  <c r="I22" i="6" s="1"/>
  <c r="K22" i="6" s="1"/>
  <c r="CF57" i="7"/>
  <c r="F6" i="6"/>
  <c r="H25" i="13"/>
  <c r="AS45" i="11"/>
  <c r="Z36" i="38"/>
  <c r="Z36" i="25"/>
  <c r="Z36" i="17"/>
  <c r="AK38" i="8"/>
  <c r="CA31" i="8"/>
  <c r="Z36" i="44"/>
  <c r="B33" i="13"/>
  <c r="B32" i="9" s="1"/>
  <c r="CD51" i="8"/>
  <c r="E7" i="13"/>
  <c r="CD10" i="7"/>
  <c r="Z32" i="16"/>
  <c r="F6" i="13" s="1"/>
  <c r="G6" i="13" s="1"/>
  <c r="P6" i="13"/>
  <c r="R6" i="13" s="1"/>
  <c r="P21" i="13"/>
  <c r="R21" i="13" s="1"/>
  <c r="Z32" i="31"/>
  <c r="F21" i="13" s="1"/>
  <c r="R32" i="10"/>
  <c r="N8" i="10"/>
  <c r="N32" i="10" s="1"/>
  <c r="B33" i="16"/>
  <c r="C6" i="13"/>
  <c r="D6" i="13" s="1"/>
  <c r="B35" i="15"/>
  <c r="C5" i="2"/>
  <c r="B35" i="43"/>
  <c r="C33" i="2"/>
  <c r="BM55" i="8"/>
  <c r="T24" i="6" s="1"/>
  <c r="P26" i="13"/>
  <c r="R26" i="13" s="1"/>
  <c r="Z32" i="36"/>
  <c r="F26" i="13" s="1"/>
  <c r="G26" i="13" s="1"/>
  <c r="J24" i="13"/>
  <c r="D23" i="9"/>
  <c r="H89" i="10"/>
  <c r="H90" i="10" s="1"/>
  <c r="T11" i="6"/>
  <c r="C16" i="3"/>
  <c r="C15" i="13"/>
  <c r="B33" i="25"/>
  <c r="P32" i="13"/>
  <c r="R32" i="13" s="1"/>
  <c r="Z32" i="42"/>
  <c r="F32" i="13" s="1"/>
  <c r="Z36" i="42"/>
  <c r="R72" i="10"/>
  <c r="N72" i="10" s="1"/>
  <c r="Z55" i="8"/>
  <c r="R12" i="6" s="1"/>
  <c r="N12" i="6" s="1"/>
  <c r="I12" i="6" s="1"/>
  <c r="K12" i="6" s="1"/>
  <c r="E21" i="13"/>
  <c r="CD34" i="7"/>
  <c r="CA11" i="8"/>
  <c r="J20" i="13"/>
  <c r="D19" i="9"/>
  <c r="B33" i="31"/>
  <c r="C21" i="13"/>
  <c r="D21" i="13" s="1"/>
  <c r="BY19" i="4"/>
  <c r="BY26" i="4" s="1"/>
  <c r="C8" i="13"/>
  <c r="B33" i="18"/>
  <c r="BY43" i="4"/>
  <c r="CA43" i="4" s="1"/>
  <c r="G19" i="6"/>
  <c r="I19" i="6" s="1"/>
  <c r="K19" i="6" s="1"/>
  <c r="G17" i="6"/>
  <c r="J13" i="13"/>
  <c r="D12" i="9"/>
  <c r="I25" i="10"/>
  <c r="B33" i="40"/>
  <c r="C30" i="13"/>
  <c r="D30" i="13" s="1"/>
  <c r="J30" i="13"/>
  <c r="D29" i="9"/>
  <c r="I10" i="10"/>
  <c r="CD26" i="7"/>
  <c r="J6" i="13"/>
  <c r="D5" i="9"/>
  <c r="Z36" i="41"/>
  <c r="B35" i="32"/>
  <c r="C22" i="2"/>
  <c r="B35" i="38"/>
  <c r="C28" i="2"/>
  <c r="T57" i="8"/>
  <c r="T58" i="8" s="1"/>
  <c r="R10" i="6"/>
  <c r="N10" i="6" s="1"/>
  <c r="I10" i="6" s="1"/>
  <c r="K10" i="6" s="1"/>
  <c r="BY50" i="4"/>
  <c r="F90" i="10"/>
  <c r="BV55" i="5"/>
  <c r="H19" i="6" s="1"/>
  <c r="H21" i="10"/>
  <c r="I11" i="10"/>
  <c r="P14" i="10"/>
  <c r="AB55" i="4"/>
  <c r="P12" i="6" s="1"/>
  <c r="F46" i="10"/>
  <c r="F61" i="10" s="1"/>
  <c r="J21" i="13"/>
  <c r="D20" i="9"/>
  <c r="P118" i="10"/>
  <c r="CB26" i="7"/>
  <c r="BA55" i="4"/>
  <c r="P25" i="6" s="1"/>
  <c r="E18" i="13"/>
  <c r="G18" i="13" s="1"/>
  <c r="CA38" i="7"/>
  <c r="F91" i="10" s="1"/>
  <c r="CD31" i="7"/>
  <c r="AS5" i="11"/>
  <c r="W12" i="11"/>
  <c r="P14" i="8"/>
  <c r="AK11" i="8"/>
  <c r="AK14" i="8" s="1"/>
  <c r="B35" i="41"/>
  <c r="C31" i="2"/>
  <c r="R56" i="10"/>
  <c r="N56" i="10" s="1"/>
  <c r="AY55" i="8"/>
  <c r="R25" i="6" s="1"/>
  <c r="N25" i="6" s="1"/>
  <c r="I25" i="6" s="1"/>
  <c r="K25" i="6" s="1"/>
  <c r="J11" i="13"/>
  <c r="D10" i="9"/>
  <c r="BY44" i="8"/>
  <c r="CA44" i="8" s="1"/>
  <c r="I16" i="6"/>
  <c r="K16" i="6" s="1"/>
  <c r="F17" i="10"/>
  <c r="B53" i="4"/>
  <c r="J15" i="13"/>
  <c r="D14" i="9"/>
  <c r="D38" i="8"/>
  <c r="Z32" i="24"/>
  <c r="F14" i="13" s="1"/>
  <c r="G14" i="13" s="1"/>
  <c r="P14" i="13"/>
  <c r="R14" i="13" s="1"/>
  <c r="I21" i="10"/>
  <c r="I26" i="10"/>
  <c r="E59" i="8"/>
  <c r="R6" i="6"/>
  <c r="N6" i="6" s="1"/>
  <c r="I6" i="6" s="1"/>
  <c r="K6" i="6" s="1"/>
  <c r="E56" i="8"/>
  <c r="BY38" i="5"/>
  <c r="AX55" i="8"/>
  <c r="T21" i="6" s="1"/>
  <c r="T23" i="10"/>
  <c r="P29" i="13"/>
  <c r="R29" i="13" s="1"/>
  <c r="Z32" i="39"/>
  <c r="F29" i="13" s="1"/>
  <c r="G29" i="13" s="1"/>
  <c r="D8" i="9"/>
  <c r="J9" i="13"/>
  <c r="B35" i="24"/>
  <c r="C14" i="2"/>
  <c r="M55" i="4"/>
  <c r="P14" i="6" s="1"/>
  <c r="K43" i="10"/>
  <c r="B72" i="10"/>
  <c r="BN55" i="4"/>
  <c r="CD43" i="4" l="1"/>
  <c r="B42" i="10"/>
  <c r="I42" i="10" s="1"/>
  <c r="K13" i="10"/>
  <c r="D42" i="10" s="1"/>
  <c r="G64" i="3"/>
  <c r="B48" i="10"/>
  <c r="I48" i="10" s="1"/>
  <c r="K19" i="10"/>
  <c r="D48" i="10" s="1"/>
  <c r="K30" i="10"/>
  <c r="D59" i="10" s="1"/>
  <c r="B59" i="10"/>
  <c r="I59" i="10" s="1"/>
  <c r="B49" i="10"/>
  <c r="I49" i="10" s="1"/>
  <c r="K20" i="10"/>
  <c r="D49" i="10" s="1"/>
  <c r="T12" i="6"/>
  <c r="C17" i="3"/>
  <c r="I56" i="10"/>
  <c r="CA26" i="4"/>
  <c r="CD19" i="4"/>
  <c r="CD26" i="4" s="1"/>
  <c r="K10" i="10"/>
  <c r="D39" i="10" s="1"/>
  <c r="B39" i="10"/>
  <c r="I39" i="10" s="1"/>
  <c r="P32" i="10"/>
  <c r="CE55" i="4"/>
  <c r="F33" i="10"/>
  <c r="T7" i="6"/>
  <c r="C13" i="3"/>
  <c r="B37" i="17"/>
  <c r="E7" i="2"/>
  <c r="B35" i="44"/>
  <c r="C34" i="2"/>
  <c r="G21" i="13"/>
  <c r="K12" i="10"/>
  <c r="D41" i="10" s="1"/>
  <c r="B41" i="10"/>
  <c r="I41" i="10" s="1"/>
  <c r="CA14" i="5"/>
  <c r="CD7" i="5"/>
  <c r="CD14" i="5" s="1"/>
  <c r="B47" i="10"/>
  <c r="I47" i="10" s="1"/>
  <c r="I31" i="10"/>
  <c r="I32" i="10" s="1"/>
  <c r="K18" i="10"/>
  <c r="B37" i="30"/>
  <c r="E20" i="2"/>
  <c r="D19" i="13"/>
  <c r="B54" i="10"/>
  <c r="I54" i="10" s="1"/>
  <c r="K25" i="10"/>
  <c r="D54" i="10" s="1"/>
  <c r="B37" i="28"/>
  <c r="E18" i="2"/>
  <c r="E25" i="2"/>
  <c r="B37" i="35"/>
  <c r="B53" i="10"/>
  <c r="I53" i="10" s="1"/>
  <c r="K24" i="10"/>
  <c r="D53" i="10" s="1"/>
  <c r="B35" i="29"/>
  <c r="C19" i="2"/>
  <c r="BY55" i="8"/>
  <c r="C12" i="3" s="1"/>
  <c r="CE55" i="8"/>
  <c r="B37" i="42"/>
  <c r="E32" i="2"/>
  <c r="D23" i="13"/>
  <c r="C35" i="13"/>
  <c r="T56" i="10"/>
  <c r="T60" i="10" s="1"/>
  <c r="BA55" i="8"/>
  <c r="T25" i="6" s="1"/>
  <c r="K44" i="10"/>
  <c r="B73" i="10"/>
  <c r="B50" i="10"/>
  <c r="I50" i="10" s="1"/>
  <c r="K21" i="10"/>
  <c r="D50" i="10" s="1"/>
  <c r="B37" i="41"/>
  <c r="E31" i="2"/>
  <c r="F29" i="6"/>
  <c r="CA37" i="4"/>
  <c r="CD37" i="4" s="1"/>
  <c r="B34" i="13"/>
  <c r="B33" i="9" s="1"/>
  <c r="CD52" i="8"/>
  <c r="B87" i="10"/>
  <c r="K58" i="10"/>
  <c r="B67" i="10"/>
  <c r="K38" i="10"/>
  <c r="K51" i="10"/>
  <c r="B80" i="10"/>
  <c r="T41" i="10"/>
  <c r="V55" i="8"/>
  <c r="B37" i="21"/>
  <c r="E11" i="2"/>
  <c r="K45" i="10"/>
  <c r="B74" i="10"/>
  <c r="AS12" i="11"/>
  <c r="AS47" i="11" s="1"/>
  <c r="D83" i="11" s="1"/>
  <c r="H4" i="13"/>
  <c r="B37" i="32"/>
  <c r="E22" i="2"/>
  <c r="K29" i="6"/>
  <c r="B35" i="31"/>
  <c r="C21" i="2"/>
  <c r="B35" i="26"/>
  <c r="C16" i="2"/>
  <c r="B37" i="37"/>
  <c r="E27" i="2"/>
  <c r="H29" i="6"/>
  <c r="B37" i="20"/>
  <c r="E10" i="2"/>
  <c r="AK38" i="4"/>
  <c r="CA31" i="4"/>
  <c r="B4" i="13"/>
  <c r="CD7" i="8"/>
  <c r="CA14" i="8"/>
  <c r="B37" i="23"/>
  <c r="E13" i="2"/>
  <c r="K57" i="10"/>
  <c r="B86" i="10"/>
  <c r="P88" i="10"/>
  <c r="P89" i="10" s="1"/>
  <c r="P90" i="10" s="1"/>
  <c r="D55" i="4"/>
  <c r="P28" i="6" s="1"/>
  <c r="P29" i="6" s="1"/>
  <c r="B37" i="22"/>
  <c r="E12" i="2"/>
  <c r="T19" i="10"/>
  <c r="T31" i="10" s="1"/>
  <c r="T32" i="10" s="1"/>
  <c r="AR55" i="8"/>
  <c r="T17" i="6" s="1"/>
  <c r="B22" i="13"/>
  <c r="CD35" i="8"/>
  <c r="B8" i="13"/>
  <c r="B7" i="9" s="1"/>
  <c r="CD11" i="8"/>
  <c r="B25" i="13"/>
  <c r="CD43" i="8"/>
  <c r="CA53" i="8"/>
  <c r="T120" i="10" s="1"/>
  <c r="B37" i="39"/>
  <c r="E29" i="2"/>
  <c r="B35" i="16"/>
  <c r="C6" i="2"/>
  <c r="C35" i="2" s="1"/>
  <c r="K8" i="10"/>
  <c r="B37" i="10"/>
  <c r="I37" i="10" s="1"/>
  <c r="D8" i="13"/>
  <c r="CA19" i="8"/>
  <c r="AK26" i="8"/>
  <c r="AK55" i="8" s="1"/>
  <c r="B52" i="10"/>
  <c r="I52" i="10" s="1"/>
  <c r="K23" i="10"/>
  <c r="D52" i="10" s="1"/>
  <c r="T10" i="10"/>
  <c r="T17" i="10" s="1"/>
  <c r="P55" i="8"/>
  <c r="B37" i="38"/>
  <c r="E28" i="2"/>
  <c r="T40" i="10"/>
  <c r="S55" i="8"/>
  <c r="F35" i="13"/>
  <c r="G4" i="13"/>
  <c r="B37" i="43"/>
  <c r="E33" i="2"/>
  <c r="B35" i="27"/>
  <c r="C17" i="2"/>
  <c r="D15" i="13"/>
  <c r="G23" i="13"/>
  <c r="D17" i="13"/>
  <c r="B37" i="14"/>
  <c r="E4" i="2"/>
  <c r="H17" i="10"/>
  <c r="CD43" i="5"/>
  <c r="B28" i="13"/>
  <c r="CD46" i="8"/>
  <c r="B5" i="13"/>
  <c r="CD8" i="8"/>
  <c r="D14" i="13"/>
  <c r="BY53" i="4"/>
  <c r="BY55" i="4" s="1"/>
  <c r="CD7" i="4"/>
  <c r="CD14" i="4" s="1"/>
  <c r="CA14" i="4"/>
  <c r="B35" i="18"/>
  <c r="C8" i="2"/>
  <c r="B18" i="13"/>
  <c r="CA38" i="8"/>
  <c r="T91" i="10" s="1"/>
  <c r="CD31" i="8"/>
  <c r="CD38" i="8" s="1"/>
  <c r="X50" i="7"/>
  <c r="X49" i="5"/>
  <c r="Y49" i="5" s="1"/>
  <c r="AK49" i="5" s="1"/>
  <c r="CA49" i="5" s="1"/>
  <c r="CD49" i="5" s="1"/>
  <c r="Y49" i="7"/>
  <c r="CA49" i="7" s="1"/>
  <c r="X49" i="4"/>
  <c r="Y49" i="4" s="1"/>
  <c r="AK49" i="4" s="1"/>
  <c r="CA49" i="4" s="1"/>
  <c r="CD49" i="4" s="1"/>
  <c r="T88" i="10"/>
  <c r="T89" i="10" s="1"/>
  <c r="T90" i="10" s="1"/>
  <c r="D55" i="8"/>
  <c r="B35" i="36"/>
  <c r="C26" i="2"/>
  <c r="B13" i="13"/>
  <c r="CD21" i="8"/>
  <c r="P35" i="13"/>
  <c r="R35" i="13" s="1"/>
  <c r="R4" i="13"/>
  <c r="I72" i="10"/>
  <c r="D72" i="10"/>
  <c r="W47" i="11"/>
  <c r="B35" i="40"/>
  <c r="C30" i="2"/>
  <c r="G59" i="8"/>
  <c r="F59" i="8"/>
  <c r="B26" i="13"/>
  <c r="B25" i="9" s="1"/>
  <c r="CD44" i="8"/>
  <c r="B40" i="10"/>
  <c r="I40" i="10" s="1"/>
  <c r="K11" i="10"/>
  <c r="D40" i="10" s="1"/>
  <c r="B35" i="25"/>
  <c r="C15" i="2"/>
  <c r="H32" i="10"/>
  <c r="B37" i="24"/>
  <c r="E14" i="2"/>
  <c r="CD38" i="7"/>
  <c r="K26" i="10"/>
  <c r="D55" i="10" s="1"/>
  <c r="B55" i="10"/>
  <c r="I55" i="10" s="1"/>
  <c r="B37" i="15"/>
  <c r="E5" i="2"/>
  <c r="B37" i="33"/>
  <c r="E23" i="2"/>
  <c r="B37" i="34"/>
  <c r="E24" i="2"/>
  <c r="CA48" i="7"/>
  <c r="T116" i="10"/>
  <c r="T118" i="10" s="1"/>
  <c r="T119" i="10" s="1"/>
  <c r="BG55" i="8"/>
  <c r="T27" i="6" s="1"/>
  <c r="B37" i="19"/>
  <c r="E9" i="2"/>
  <c r="G7" i="13"/>
  <c r="B3" i="9" l="1"/>
  <c r="D4" i="13"/>
  <c r="T25" i="13"/>
  <c r="C24" i="9" s="1"/>
  <c r="G25" i="2"/>
  <c r="B37" i="40"/>
  <c r="E30" i="2"/>
  <c r="B27" i="9"/>
  <c r="D28" i="13"/>
  <c r="CA38" i="4"/>
  <c r="CD31" i="4"/>
  <c r="CD38" i="4" s="1"/>
  <c r="T28" i="6"/>
  <c r="T29" i="6" s="1"/>
  <c r="T30" i="6" s="1"/>
  <c r="B10" i="1" s="1"/>
  <c r="C9" i="3"/>
  <c r="T12" i="13"/>
  <c r="C11" i="9" s="1"/>
  <c r="F11" i="9" s="1"/>
  <c r="H11" i="9" s="1"/>
  <c r="G12" i="2"/>
  <c r="T22" i="13"/>
  <c r="C21" i="9" s="1"/>
  <c r="G22" i="2"/>
  <c r="CD53" i="8"/>
  <c r="I80" i="10"/>
  <c r="D80" i="10"/>
  <c r="B83" i="10"/>
  <c r="K54" i="10"/>
  <c r="T4" i="13"/>
  <c r="G4" i="2"/>
  <c r="C15" i="3"/>
  <c r="T9" i="6"/>
  <c r="B24" i="9"/>
  <c r="F24" i="9" s="1"/>
  <c r="H24" i="9" s="1"/>
  <c r="D25" i="13"/>
  <c r="K41" i="10"/>
  <c r="B70" i="10"/>
  <c r="B37" i="16"/>
  <c r="E6" i="2"/>
  <c r="B81" i="10"/>
  <c r="K52" i="10"/>
  <c r="D47" i="10"/>
  <c r="D60" i="10" s="1"/>
  <c r="D61" i="10" s="1"/>
  <c r="K31" i="10"/>
  <c r="B77" i="10"/>
  <c r="K48" i="10"/>
  <c r="K72" i="10"/>
  <c r="B101" i="10"/>
  <c r="T10" i="13"/>
  <c r="C9" i="9" s="1"/>
  <c r="F9" i="9" s="1"/>
  <c r="H9" i="9" s="1"/>
  <c r="G10" i="2"/>
  <c r="T32" i="13"/>
  <c r="C31" i="9" s="1"/>
  <c r="F31" i="9" s="1"/>
  <c r="H31" i="9" s="1"/>
  <c r="G32" i="2"/>
  <c r="B76" i="10"/>
  <c r="K47" i="10"/>
  <c r="D86" i="10"/>
  <c r="I86" i="10"/>
  <c r="T31" i="13"/>
  <c r="C30" i="9" s="1"/>
  <c r="F30" i="9" s="1"/>
  <c r="H30" i="9" s="1"/>
  <c r="G31" i="2"/>
  <c r="E31" i="13"/>
  <c r="G31" i="13" s="1"/>
  <c r="CD49" i="7"/>
  <c r="T46" i="10"/>
  <c r="T61" i="10" s="1"/>
  <c r="T121" i="10" s="1"/>
  <c r="B9" i="1" s="1"/>
  <c r="T27" i="13"/>
  <c r="C26" i="9" s="1"/>
  <c r="F26" i="9" s="1"/>
  <c r="H26" i="9" s="1"/>
  <c r="G27" i="2"/>
  <c r="D67" i="10"/>
  <c r="I67" i="10"/>
  <c r="X51" i="7"/>
  <c r="Y50" i="7"/>
  <c r="CA50" i="7" s="1"/>
  <c r="X50" i="4"/>
  <c r="Y50" i="4" s="1"/>
  <c r="AK50" i="4" s="1"/>
  <c r="CA50" i="4" s="1"/>
  <c r="CD50" i="4" s="1"/>
  <c r="X50" i="5"/>
  <c r="Y50" i="5" s="1"/>
  <c r="AK50" i="5" s="1"/>
  <c r="T13" i="13"/>
  <c r="C12" i="9" s="1"/>
  <c r="G13" i="2"/>
  <c r="B37" i="26"/>
  <c r="E16" i="2"/>
  <c r="B79" i="10"/>
  <c r="K50" i="10"/>
  <c r="B37" i="29"/>
  <c r="E19" i="2"/>
  <c r="B71" i="10"/>
  <c r="K42" i="10"/>
  <c r="E30" i="13"/>
  <c r="CD48" i="7"/>
  <c r="T14" i="13"/>
  <c r="C13" i="9" s="1"/>
  <c r="F13" i="9" s="1"/>
  <c r="H13" i="9" s="1"/>
  <c r="G14" i="2"/>
  <c r="B12" i="9"/>
  <c r="F12" i="9" s="1"/>
  <c r="H12" i="9" s="1"/>
  <c r="D13" i="13"/>
  <c r="D26" i="13"/>
  <c r="T28" i="13"/>
  <c r="C27" i="9" s="1"/>
  <c r="G28" i="2"/>
  <c r="K37" i="10"/>
  <c r="B66" i="10"/>
  <c r="B21" i="9"/>
  <c r="D22" i="13"/>
  <c r="T33" i="10"/>
  <c r="D73" i="10"/>
  <c r="I73" i="10"/>
  <c r="K39" i="10"/>
  <c r="B68" i="10"/>
  <c r="K49" i="10"/>
  <c r="B78" i="10"/>
  <c r="T24" i="13"/>
  <c r="C23" i="9" s="1"/>
  <c r="F23" i="9" s="1"/>
  <c r="H23" i="9" s="1"/>
  <c r="G24" i="2"/>
  <c r="B37" i="44"/>
  <c r="E34" i="2"/>
  <c r="B88" i="10"/>
  <c r="K59" i="10"/>
  <c r="B37" i="36"/>
  <c r="E26" i="2"/>
  <c r="B17" i="9"/>
  <c r="F17" i="9" s="1"/>
  <c r="H17" i="9" s="1"/>
  <c r="D18" i="13"/>
  <c r="B37" i="27"/>
  <c r="E17" i="2"/>
  <c r="T23" i="13"/>
  <c r="C22" i="9" s="1"/>
  <c r="F22" i="9" s="1"/>
  <c r="H22" i="9" s="1"/>
  <c r="G23" i="2"/>
  <c r="T11" i="13"/>
  <c r="C10" i="9" s="1"/>
  <c r="G11" i="2"/>
  <c r="T7" i="13"/>
  <c r="C6" i="9" s="1"/>
  <c r="F6" i="9" s="1"/>
  <c r="H6" i="9" s="1"/>
  <c r="G7" i="2"/>
  <c r="B37" i="25"/>
  <c r="E15" i="2"/>
  <c r="E35" i="2" s="1"/>
  <c r="B37" i="18"/>
  <c r="E8" i="2"/>
  <c r="T33" i="13"/>
  <c r="C32" i="9" s="1"/>
  <c r="F32" i="9" s="1"/>
  <c r="H32" i="9" s="1"/>
  <c r="G33" i="2"/>
  <c r="T29" i="13"/>
  <c r="C28" i="9" s="1"/>
  <c r="F28" i="9" s="1"/>
  <c r="H28" i="9" s="1"/>
  <c r="G29" i="2"/>
  <c r="C11" i="3"/>
  <c r="T10" i="6"/>
  <c r="T18" i="13"/>
  <c r="C17" i="9" s="1"/>
  <c r="G18" i="2"/>
  <c r="B85" i="10"/>
  <c r="K56" i="10"/>
  <c r="H35" i="13"/>
  <c r="J4" i="13"/>
  <c r="T5" i="13"/>
  <c r="C4" i="9" s="1"/>
  <c r="G5" i="2"/>
  <c r="B69" i="10"/>
  <c r="K40" i="10"/>
  <c r="D34" i="13"/>
  <c r="B11" i="13"/>
  <c r="CA26" i="8"/>
  <c r="T62" i="10" s="1"/>
  <c r="CD19" i="8"/>
  <c r="CD26" i="8" s="1"/>
  <c r="T9" i="13"/>
  <c r="C8" i="9" s="1"/>
  <c r="F8" i="9" s="1"/>
  <c r="H8" i="9" s="1"/>
  <c r="G9" i="2"/>
  <c r="B84" i="10"/>
  <c r="K55" i="10"/>
  <c r="H33" i="10"/>
  <c r="B4" i="9"/>
  <c r="F4" i="9" s="1"/>
  <c r="H4" i="9" s="1"/>
  <c r="D5" i="13"/>
  <c r="T8" i="6"/>
  <c r="T15" i="6" s="1"/>
  <c r="C10" i="3"/>
  <c r="K17" i="10"/>
  <c r="D37" i="10"/>
  <c r="D46" i="10" s="1"/>
  <c r="CD14" i="8"/>
  <c r="B37" i="31"/>
  <c r="E21" i="2"/>
  <c r="D74" i="10"/>
  <c r="I74" i="10"/>
  <c r="D87" i="10"/>
  <c r="I87" i="10"/>
  <c r="K53" i="10"/>
  <c r="B82" i="10"/>
  <c r="T20" i="13"/>
  <c r="C19" i="9" s="1"/>
  <c r="F19" i="9" s="1"/>
  <c r="H19" i="9" s="1"/>
  <c r="G20" i="2"/>
  <c r="I77" i="10" l="1"/>
  <c r="D77" i="10"/>
  <c r="K32" i="10"/>
  <c r="K73" i="10"/>
  <c r="B102" i="10"/>
  <c r="K87" i="10"/>
  <c r="B116" i="10"/>
  <c r="I88" i="10"/>
  <c r="D88" i="10"/>
  <c r="G35" i="2"/>
  <c r="CA55" i="8"/>
  <c r="T16" i="13"/>
  <c r="C15" i="9" s="1"/>
  <c r="F15" i="9" s="1"/>
  <c r="H15" i="9" s="1"/>
  <c r="G16" i="2"/>
  <c r="D81" i="10"/>
  <c r="I81" i="10"/>
  <c r="B103" i="10"/>
  <c r="K74" i="10"/>
  <c r="T34" i="13"/>
  <c r="C33" i="9" s="1"/>
  <c r="F33" i="9" s="1"/>
  <c r="H33" i="9" s="1"/>
  <c r="G34" i="2"/>
  <c r="D69" i="10"/>
  <c r="I69" i="10"/>
  <c r="F21" i="9"/>
  <c r="H21" i="9" s="1"/>
  <c r="T6" i="13"/>
  <c r="C5" i="9" s="1"/>
  <c r="F5" i="9" s="1"/>
  <c r="H5" i="9" s="1"/>
  <c r="G6" i="2"/>
  <c r="T21" i="13"/>
  <c r="C20" i="9" s="1"/>
  <c r="F20" i="9" s="1"/>
  <c r="H20" i="9" s="1"/>
  <c r="G21" i="2"/>
  <c r="D84" i="10"/>
  <c r="I84" i="10"/>
  <c r="I66" i="10"/>
  <c r="D66" i="10"/>
  <c r="B90" i="10"/>
  <c r="G30" i="13"/>
  <c r="I70" i="10"/>
  <c r="D70" i="10"/>
  <c r="K80" i="10"/>
  <c r="B109" i="10"/>
  <c r="F27" i="9"/>
  <c r="H27" i="9" s="1"/>
  <c r="T15" i="13"/>
  <c r="C14" i="9" s="1"/>
  <c r="F14" i="9" s="1"/>
  <c r="H14" i="9" s="1"/>
  <c r="G15" i="2"/>
  <c r="D68" i="10"/>
  <c r="I68" i="10"/>
  <c r="T19" i="13"/>
  <c r="C18" i="9" s="1"/>
  <c r="F18" i="9" s="1"/>
  <c r="H18" i="9" s="1"/>
  <c r="G19" i="2"/>
  <c r="K67" i="10"/>
  <c r="B96" i="10"/>
  <c r="D82" i="10"/>
  <c r="I82" i="10"/>
  <c r="T26" i="13"/>
  <c r="C25" i="9" s="1"/>
  <c r="F25" i="9" s="1"/>
  <c r="H25" i="9" s="1"/>
  <c r="G26" i="2"/>
  <c r="K60" i="10"/>
  <c r="K61" i="10" s="1"/>
  <c r="B10" i="9"/>
  <c r="F10" i="9" s="1"/>
  <c r="H10" i="9" s="1"/>
  <c r="D11" i="13"/>
  <c r="C19" i="3"/>
  <c r="B35" i="13"/>
  <c r="B37" i="13" s="1"/>
  <c r="CA50" i="5"/>
  <c r="T17" i="13"/>
  <c r="C16" i="9" s="1"/>
  <c r="F16" i="9" s="1"/>
  <c r="H16" i="9" s="1"/>
  <c r="G17" i="2"/>
  <c r="K46" i="10"/>
  <c r="E32" i="13"/>
  <c r="G32" i="13" s="1"/>
  <c r="CD50" i="7"/>
  <c r="D101" i="10"/>
  <c r="I101" i="10"/>
  <c r="K101" i="10" s="1"/>
  <c r="K86" i="10"/>
  <c r="B115" i="10"/>
  <c r="I85" i="10"/>
  <c r="D85" i="10"/>
  <c r="I79" i="10"/>
  <c r="D79" i="10"/>
  <c r="D76" i="10"/>
  <c r="I76" i="10"/>
  <c r="C3" i="9"/>
  <c r="F3" i="9" s="1"/>
  <c r="I83" i="10"/>
  <c r="D83" i="10"/>
  <c r="T8" i="13"/>
  <c r="C7" i="9" s="1"/>
  <c r="F7" i="9" s="1"/>
  <c r="H7" i="9" s="1"/>
  <c r="G8" i="2"/>
  <c r="D78" i="10"/>
  <c r="I78" i="10"/>
  <c r="D71" i="10"/>
  <c r="I71" i="10"/>
  <c r="Y51" i="7"/>
  <c r="CA51" i="7" s="1"/>
  <c r="X52" i="7"/>
  <c r="X51" i="4"/>
  <c r="Y51" i="4" s="1"/>
  <c r="AK51" i="4" s="1"/>
  <c r="X51" i="5"/>
  <c r="Y51" i="5" s="1"/>
  <c r="AK51" i="5" s="1"/>
  <c r="CA51" i="5" s="1"/>
  <c r="CD51" i="5" s="1"/>
  <c r="T30" i="13"/>
  <c r="C29" i="9" s="1"/>
  <c r="F29" i="9" s="1"/>
  <c r="H29" i="9" s="1"/>
  <c r="G30" i="2"/>
  <c r="K70" i="10" l="1"/>
  <c r="B99" i="10"/>
  <c r="CD50" i="5"/>
  <c r="B98" i="10"/>
  <c r="K69" i="10"/>
  <c r="K85" i="10"/>
  <c r="B114" i="10"/>
  <c r="K88" i="10"/>
  <c r="B117" i="10"/>
  <c r="I90" i="10"/>
  <c r="B95" i="10"/>
  <c r="K66" i="10"/>
  <c r="D102" i="10"/>
  <c r="I102" i="10"/>
  <c r="K102" i="10" s="1"/>
  <c r="T35" i="13"/>
  <c r="E33" i="13"/>
  <c r="CD51" i="7"/>
  <c r="B100" i="10"/>
  <c r="K71" i="10"/>
  <c r="I109" i="10"/>
  <c r="K109" i="10" s="1"/>
  <c r="D109" i="10"/>
  <c r="B106" i="10"/>
  <c r="K77" i="10"/>
  <c r="D96" i="10"/>
  <c r="I96" i="10"/>
  <c r="K96" i="10" s="1"/>
  <c r="D54" i="3"/>
  <c r="D56" i="3"/>
  <c r="D43" i="3"/>
  <c r="D31" i="3"/>
  <c r="D33" i="3"/>
  <c r="D36" i="3"/>
  <c r="D42" i="3"/>
  <c r="D32" i="3"/>
  <c r="D47" i="3"/>
  <c r="D53" i="3"/>
  <c r="D44" i="3"/>
  <c r="D52" i="3"/>
  <c r="D30" i="3"/>
  <c r="D34" i="3"/>
  <c r="D55" i="3"/>
  <c r="D46" i="3"/>
  <c r="D50" i="3"/>
  <c r="D39" i="3"/>
  <c r="D28" i="3"/>
  <c r="D48" i="3"/>
  <c r="D41" i="3"/>
  <c r="D40" i="3"/>
  <c r="D45" i="3"/>
  <c r="D35" i="3"/>
  <c r="D26" i="3"/>
  <c r="D27" i="3"/>
  <c r="D51" i="3"/>
  <c r="D37" i="3"/>
  <c r="D38" i="3"/>
  <c r="D25" i="3"/>
  <c r="D29" i="3"/>
  <c r="D49" i="3"/>
  <c r="E57" i="3"/>
  <c r="I116" i="10"/>
  <c r="K116" i="10" s="1"/>
  <c r="D116" i="10"/>
  <c r="K83" i="10"/>
  <c r="B112" i="10"/>
  <c r="CA51" i="4"/>
  <c r="B105" i="10"/>
  <c r="K76" i="10"/>
  <c r="D89" i="10"/>
  <c r="K82" i="10"/>
  <c r="B111" i="10"/>
  <c r="B108" i="10"/>
  <c r="K79" i="10"/>
  <c r="I115" i="10"/>
  <c r="K115" i="10" s="1"/>
  <c r="D115" i="10"/>
  <c r="K68" i="10"/>
  <c r="B97" i="10"/>
  <c r="D75" i="10"/>
  <c r="D90" i="10" s="1"/>
  <c r="K84" i="10"/>
  <c r="B113" i="10"/>
  <c r="D103" i="10"/>
  <c r="I103" i="10"/>
  <c r="K103" i="10" s="1"/>
  <c r="C100" i="10"/>
  <c r="Y52" i="7"/>
  <c r="X52" i="5"/>
  <c r="Y52" i="5" s="1"/>
  <c r="X52" i="4"/>
  <c r="Y52" i="4" s="1"/>
  <c r="B110" i="10"/>
  <c r="K81" i="10"/>
  <c r="B107" i="10"/>
  <c r="K78" i="10"/>
  <c r="CB55" i="8"/>
  <c r="B8" i="1"/>
  <c r="B11" i="1"/>
  <c r="CD51" i="4" l="1"/>
  <c r="G33" i="13"/>
  <c r="I113" i="10"/>
  <c r="K113" i="10" s="1"/>
  <c r="D113" i="10"/>
  <c r="K89" i="10"/>
  <c r="D97" i="10"/>
  <c r="I97" i="10"/>
  <c r="K97" i="10" s="1"/>
  <c r="I114" i="10"/>
  <c r="K114" i="10" s="1"/>
  <c r="D114" i="10"/>
  <c r="I112" i="10"/>
  <c r="K112" i="10" s="1"/>
  <c r="D112" i="10"/>
  <c r="CA52" i="7"/>
  <c r="Y53" i="7"/>
  <c r="I99" i="10"/>
  <c r="K99" i="10" s="1"/>
  <c r="D99" i="10"/>
  <c r="I106" i="10"/>
  <c r="K106" i="10" s="1"/>
  <c r="D106" i="10"/>
  <c r="D95" i="10"/>
  <c r="D104" i="10" s="1"/>
  <c r="I95" i="10"/>
  <c r="B119" i="10"/>
  <c r="B121" i="10" s="1"/>
  <c r="I117" i="10"/>
  <c r="K117" i="10" s="1"/>
  <c r="D117" i="10"/>
  <c r="D107" i="10"/>
  <c r="I107" i="10"/>
  <c r="K107" i="10" s="1"/>
  <c r="D105" i="10"/>
  <c r="I105" i="10"/>
  <c r="K105" i="10" s="1"/>
  <c r="D100" i="10"/>
  <c r="I100" i="10"/>
  <c r="K100" i="10" s="1"/>
  <c r="D110" i="10"/>
  <c r="I110" i="10"/>
  <c r="K110" i="10" s="1"/>
  <c r="AK52" i="4"/>
  <c r="Y53" i="4"/>
  <c r="AK52" i="5"/>
  <c r="Y53" i="5"/>
  <c r="D98" i="10"/>
  <c r="I98" i="10"/>
  <c r="K98" i="10" s="1"/>
  <c r="J100" i="10"/>
  <c r="J11" i="6" s="1"/>
  <c r="K11" i="6" s="1"/>
  <c r="K15" i="6" s="1"/>
  <c r="K30" i="6" s="1"/>
  <c r="O100" i="10"/>
  <c r="D108" i="10"/>
  <c r="I108" i="10"/>
  <c r="K108" i="10" s="1"/>
  <c r="I111" i="10"/>
  <c r="K111" i="10" s="1"/>
  <c r="D111" i="10"/>
  <c r="K90" i="10"/>
  <c r="K75" i="10"/>
  <c r="CA52" i="4" l="1"/>
  <c r="AK53" i="4"/>
  <c r="AK55" i="4" s="1"/>
  <c r="G68" i="3"/>
  <c r="N8" i="1"/>
  <c r="N10" i="1"/>
  <c r="D118" i="10"/>
  <c r="D119" i="10" s="1"/>
  <c r="D121" i="10" s="1"/>
  <c r="E34" i="13"/>
  <c r="CD52" i="7"/>
  <c r="CD53" i="7" s="1"/>
  <c r="CD55" i="7" s="1"/>
  <c r="CA53" i="7"/>
  <c r="CA52" i="5"/>
  <c r="AK53" i="5"/>
  <c r="AK55" i="5" s="1"/>
  <c r="I119" i="10"/>
  <c r="K95" i="10"/>
  <c r="K104" i="10" s="1"/>
  <c r="K118" i="10"/>
  <c r="F100" i="10"/>
  <c r="F104" i="10" s="1"/>
  <c r="F119" i="10" s="1"/>
  <c r="F121" i="10" s="1"/>
  <c r="H9" i="1" s="1"/>
  <c r="Y55" i="7"/>
  <c r="F11" i="6" s="1"/>
  <c r="F15" i="6" s="1"/>
  <c r="F30" i="6" s="1"/>
  <c r="CB53" i="7"/>
  <c r="CB55" i="7" s="1"/>
  <c r="H100" i="10"/>
  <c r="H104" i="10" s="1"/>
  <c r="H119" i="10" s="1"/>
  <c r="H121" i="10" s="1"/>
  <c r="K9" i="1" s="1"/>
  <c r="Y55" i="5"/>
  <c r="H11" i="6" s="1"/>
  <c r="H15" i="6" s="1"/>
  <c r="H30" i="6" s="1"/>
  <c r="K10" i="1" s="1"/>
  <c r="P100" i="10"/>
  <c r="P104" i="10" s="1"/>
  <c r="P119" i="10" s="1"/>
  <c r="P121" i="10" s="1"/>
  <c r="E9" i="1" s="1"/>
  <c r="Y55" i="4"/>
  <c r="P11" i="6" s="1"/>
  <c r="P15" i="6" s="1"/>
  <c r="P30" i="6" s="1"/>
  <c r="H10" i="1" l="1"/>
  <c r="G65" i="3"/>
  <c r="K36" i="6"/>
  <c r="E33" i="6"/>
  <c r="K119" i="10"/>
  <c r="F33" i="6"/>
  <c r="E10" i="1"/>
  <c r="CD52" i="5"/>
  <c r="CD53" i="5" s="1"/>
  <c r="CA53" i="5"/>
  <c r="F120" i="10"/>
  <c r="CA55" i="7"/>
  <c r="H8" i="1" s="1"/>
  <c r="CD52" i="4"/>
  <c r="CD53" i="4" s="1"/>
  <c r="CA53" i="4"/>
  <c r="CA55" i="4" s="1"/>
  <c r="G34" i="13"/>
  <c r="E35" i="13"/>
  <c r="F37" i="13" s="1"/>
  <c r="H120" i="10" l="1"/>
  <c r="CA55" i="5"/>
  <c r="N9" i="1"/>
  <c r="K121" i="10"/>
  <c r="P120" i="10"/>
  <c r="CB55" i="4"/>
  <c r="E8" i="1"/>
  <c r="E11" i="1" s="1"/>
  <c r="C21" i="3"/>
  <c r="G66" i="3" l="1"/>
  <c r="G67" i="3" s="1"/>
  <c r="G69" i="3" s="1"/>
  <c r="E21" i="3"/>
  <c r="C23" i="3"/>
  <c r="C59" i="3" s="1"/>
  <c r="CB55" i="5"/>
  <c r="K8" i="1"/>
  <c r="D57" i="3"/>
  <c r="C62" i="3" l="1"/>
  <c r="C71" i="3" s="1"/>
  <c r="C61" i="3"/>
  <c r="E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2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ID#AAACE19VWSk
jumar bahinting    (2026-08-06 00:04:04)
Freezer repair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LrkjjN1z4xhHvd+W2+1Po0+6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A00-000005000000}">
      <text>
        <r>
          <rPr>
            <sz val="11"/>
            <color rgb="FF000000"/>
            <rFont val="Calibri"/>
            <scheme val="minor"/>
          </rPr>
          <t>Gipasulod removed from June 30
======</t>
        </r>
      </text>
    </comment>
    <comment ref="AF35" authorId="0" shapeId="0" xr:uid="{00000000-0006-0000-0A00-000004000000}">
      <text>
        <r>
          <rPr>
            <sz val="11"/>
            <color rgb="FF000000"/>
            <rFont val="Calibri"/>
            <scheme val="minor"/>
          </rPr>
          <t>REFILL FIRE DISTINGESHER
======</t>
        </r>
      </text>
    </comment>
    <comment ref="AF36" authorId="0" shapeId="0" xr:uid="{00000000-0006-0000-0A00-000003000000}">
      <text>
        <r>
          <rPr>
            <sz val="11"/>
            <color rgb="FF000000"/>
            <rFont val="Calibri"/>
            <scheme val="minor"/>
          </rPr>
          <t>PARTIAL PAAYO FREZZER
======</t>
        </r>
      </text>
    </comment>
    <comment ref="AF37" authorId="0" shapeId="0" xr:uid="{00000000-0006-0000-0A00-000002000000}">
      <text>
        <r>
          <rPr>
            <sz val="11"/>
            <color rgb="FF000000"/>
            <rFont val="Calibri"/>
            <scheme val="minor"/>
          </rPr>
          <t>FULL PAYMENT PAAU FREZZER
======</t>
        </r>
      </text>
    </comment>
    <comment ref="Q42" authorId="0" shapeId="0" xr:uid="{00000000-0006-0000-0A00-000001000000}">
      <text>
        <r>
          <rPr>
            <sz val="11"/>
            <color rgb="FF000000"/>
            <rFont val="Calibri"/>
            <scheme val="minor"/>
          </rPr>
          <t>100-transpo hulam manok lalibertad 
30-plete palit bugas
note by: SS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9" authorId="0" shapeId="0" xr:uid="{00000000-0006-0000-0B00-000001000000}">
      <text>
        <r>
          <rPr>
            <sz val="11"/>
            <color rgb="FF000000"/>
            <rFont val="Calibri"/>
            <scheme val="minor"/>
          </rPr>
          <t>CA Staff Training for canlaon 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C00-000002000000}">
      <text>
        <r>
          <rPr>
            <sz val="11"/>
            <color rgb="FF000000"/>
            <rFont val="Calibri"/>
            <scheme val="minor"/>
          </rPr>
          <t>HULAM 20 PCS BOLA2X
======</t>
        </r>
      </text>
    </comment>
    <comment ref="G6" authorId="0" shapeId="0" xr:uid="{00000000-0006-0000-0C00-000001000000}">
      <text>
        <r>
          <rPr>
            <sz val="11"/>
            <color rgb="FF000000"/>
            <rFont val="Calibri"/>
            <scheme val="minor"/>
          </rPr>
          <t>RETURN BOLA2X 20 PCS BOLA2X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7" authorId="0" shapeId="0" xr:uid="{00000000-0006-0000-1000-000001000000}">
      <text>
        <r>
          <rPr>
            <sz val="11"/>
            <color rgb="FF000000"/>
            <rFont val="Calibri"/>
            <scheme val="minor"/>
          </rPr>
          <t>short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6" authorId="0" shapeId="0" xr:uid="{00000000-0006-0000-1C00-000001000000}">
      <text>
        <r>
          <rPr>
            <sz val="11"/>
            <color rgb="FF000000"/>
            <rFont val="Calibri"/>
            <scheme val="minor"/>
          </rPr>
          <t>silhig lanot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6" authorId="0" shapeId="0" xr:uid="{00000000-0006-0000-1F00-000001000000}">
      <text>
        <r>
          <rPr>
            <sz val="11"/>
            <color rgb="FF000000"/>
            <rFont val="Calibri"/>
            <scheme val="minor"/>
          </rPr>
          <t>C.A training 500
======</t>
        </r>
      </text>
    </comment>
    <comment ref="B37" authorId="0" shapeId="0" xr:uid="{00000000-0006-0000-1F00-000002000000}">
      <text>
        <r>
          <rPr>
            <sz val="11"/>
            <color rgb="FF000000"/>
            <rFont val="Calibri"/>
            <scheme val="minor"/>
          </rPr>
          <t>short 
Reymond, raffy, Lowel jay,Jea
======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7" authorId="0" shapeId="0" xr:uid="{00000000-0006-0000-2100-000001000000}">
      <text>
        <r>
          <rPr>
            <sz val="11"/>
            <color rgb="FF000000"/>
            <rFont val="Calibri"/>
            <scheme val="minor"/>
          </rPr>
          <t>lowel jay raffy Reymond jea
======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6" authorId="0" shapeId="0" xr:uid="{00000000-0006-0000-2800-000001000000}">
      <text>
        <r>
          <rPr>
            <sz val="11"/>
            <color rgb="FF000000"/>
            <rFont val="Calibri"/>
            <scheme val="minor"/>
          </rPr>
          <t>print 
======</t>
        </r>
      </text>
    </comment>
  </commentList>
</comments>
</file>

<file path=xl/sharedStrings.xml><?xml version="1.0" encoding="utf-8"?>
<sst xmlns="http://schemas.openxmlformats.org/spreadsheetml/2006/main" count="6766" uniqueCount="275">
  <si>
    <t xml:space="preserve"> </t>
  </si>
  <si>
    <t>CRISPY KING FOOD STATION</t>
  </si>
  <si>
    <t xml:space="preserve">BRANCH NAME: </t>
  </si>
  <si>
    <t>DAILY SALES SUMMARY — JULY 2026</t>
  </si>
  <si>
    <t>FOR THE MONTH OF: JULY</t>
  </si>
  <si>
    <t>GROSS SALES</t>
  </si>
  <si>
    <t>DAY</t>
  </si>
  <si>
    <t>DATE</t>
  </si>
  <si>
    <t>LESS EXPENSES</t>
  </si>
  <si>
    <t>NET SALES</t>
  </si>
  <si>
    <t>CASH DEPOSIT</t>
  </si>
  <si>
    <t>COGS</t>
  </si>
  <si>
    <t>OVER/SHORT</t>
  </si>
  <si>
    <t>CRISPY KING FOOD STATION :</t>
  </si>
  <si>
    <t>TOTAL OPEX</t>
  </si>
  <si>
    <t>DELIVERIES</t>
  </si>
  <si>
    <t>TOTAL CAPEX</t>
  </si>
  <si>
    <t>TOTAL PURCHASES</t>
  </si>
  <si>
    <t>B.O</t>
  </si>
  <si>
    <t>TOTAL DELIVERIES</t>
  </si>
  <si>
    <t>REMARKS</t>
  </si>
  <si>
    <t>ENDING INVENTORY</t>
  </si>
  <si>
    <t>CATEGORIES</t>
  </si>
  <si>
    <t>TOTAL</t>
  </si>
  <si>
    <t>BRANCH</t>
  </si>
  <si>
    <t>INCOME STATEMENT</t>
  </si>
  <si>
    <t>AMOUNT</t>
  </si>
  <si>
    <t>MONTH</t>
  </si>
  <si>
    <t>DAILY</t>
  </si>
  <si>
    <t>PARTICULARS:</t>
  </si>
  <si>
    <t>SPECIAL CUT</t>
  </si>
  <si>
    <t>WEEKLY</t>
  </si>
  <si>
    <t>DRINKS</t>
  </si>
  <si>
    <t>PREMIUM CUT</t>
  </si>
  <si>
    <t>Daily Monitoring of COGS</t>
  </si>
  <si>
    <t>MONTHLY</t>
  </si>
  <si>
    <t>Neck</t>
  </si>
  <si>
    <t>Rice</t>
  </si>
  <si>
    <t>For the Month of:</t>
  </si>
  <si>
    <t>Softdrinks</t>
  </si>
  <si>
    <t>Ngohiong</t>
  </si>
  <si>
    <t>Atsara</t>
  </si>
  <si>
    <t>Siomai</t>
  </si>
  <si>
    <t>Bola-Bola</t>
  </si>
  <si>
    <t>Lumpia</t>
  </si>
  <si>
    <t>c-fillet</t>
  </si>
  <si>
    <t>GROSS SALES:</t>
  </si>
  <si>
    <t>LESS:</t>
  </si>
  <si>
    <t>Cost of Good Sold</t>
  </si>
  <si>
    <t>GROSS PROFIT</t>
  </si>
  <si>
    <t>LESS: OPERATING EXPENSES</t>
  </si>
  <si>
    <t>WEEK- 1</t>
  </si>
  <si>
    <t>PREMIUM - CUT</t>
  </si>
  <si>
    <t>NECK</t>
  </si>
  <si>
    <t>SIOMAI</t>
  </si>
  <si>
    <t>RICE</t>
  </si>
  <si>
    <t>BOLA-BOLA</t>
  </si>
  <si>
    <t>LUMPIA</t>
  </si>
  <si>
    <t>ATSARA</t>
  </si>
  <si>
    <t>SUBTOTAL</t>
  </si>
  <si>
    <t>12 OZ</t>
  </si>
  <si>
    <t>WATER 350 ML</t>
  </si>
  <si>
    <t>WATER 500 ML</t>
  </si>
  <si>
    <t>PANALO</t>
  </si>
  <si>
    <t>swakto</t>
  </si>
  <si>
    <t>Calamansi Juice</t>
  </si>
  <si>
    <t>TROPICANA</t>
  </si>
  <si>
    <t>STING</t>
  </si>
  <si>
    <t>SUBTOTAL FOR DRINKS</t>
  </si>
  <si>
    <t>AUDIT GROSS</t>
  </si>
  <si>
    <t>DIFFERENCE</t>
  </si>
  <si>
    <t>QTY</t>
  </si>
  <si>
    <t>UP</t>
  </si>
  <si>
    <t xml:space="preserve">AMOUNT </t>
  </si>
  <si>
    <t>TOTAL OPERATING EXPENSES</t>
  </si>
  <si>
    <t>NET INCOME</t>
  </si>
  <si>
    <t>MONTHLY TOTAL</t>
  </si>
  <si>
    <t>10% ROYALTY</t>
  </si>
  <si>
    <t>90% ROYALTY</t>
  </si>
  <si>
    <t>📋 HOW TO USE: Enter data directly in each Day tab (sheets 1–31). Branch name &amp; Date entered there will auto-appear in the Date column above. Gross Sales, Expenses, Net Sales &amp; Over/Short pull automatically.</t>
  </si>
  <si>
    <t>80% LESS CAPEX</t>
  </si>
  <si>
    <t>COST OF GOOD SOLD (COGS)</t>
  </si>
  <si>
    <t>INVENTORY BEG.</t>
  </si>
  <si>
    <t>Add: PURCHASES</t>
  </si>
  <si>
    <t>Less: COST OF GOOD SOLD (COGS)</t>
  </si>
  <si>
    <t>INVENTORY ENDING BALANCE</t>
  </si>
  <si>
    <t>ACTUAL ENDING BALANCE</t>
  </si>
  <si>
    <t>Discripancy</t>
  </si>
  <si>
    <t>80% NET</t>
  </si>
  <si>
    <t>Monthly Inventory:</t>
  </si>
  <si>
    <t>INGREDIENTS</t>
  </si>
  <si>
    <t>Beginning Inventory</t>
  </si>
  <si>
    <t>Purchases/Deliveries</t>
  </si>
  <si>
    <t>B. O.</t>
  </si>
  <si>
    <t>Ending Inventory</t>
  </si>
  <si>
    <t>Cost Of Goods Sold</t>
  </si>
  <si>
    <t>Gross Sales</t>
  </si>
  <si>
    <t>Qty.</t>
  </si>
  <si>
    <t>Unit Price</t>
  </si>
  <si>
    <t>Amount</t>
  </si>
  <si>
    <t>SP</t>
  </si>
  <si>
    <t>WEEK- 2</t>
  </si>
  <si>
    <t>NGOHIONG</t>
  </si>
  <si>
    <t>8OZ</t>
  </si>
  <si>
    <t>Daily Monitoring of Deliveries</t>
  </si>
  <si>
    <t>Daily Monitoring of Gross Sales</t>
  </si>
  <si>
    <t>SUB TOTAL</t>
  </si>
  <si>
    <t>8 OZ</t>
  </si>
  <si>
    <t>Payment Commissary</t>
  </si>
  <si>
    <t>MINI CUT</t>
  </si>
  <si>
    <t>WEEK- 3</t>
  </si>
  <si>
    <t>SIOPAO</t>
  </si>
  <si>
    <t>WEEK- 4</t>
  </si>
  <si>
    <t>GROSS</t>
  </si>
  <si>
    <t>OVERAGE</t>
  </si>
  <si>
    <t>OPEX</t>
  </si>
  <si>
    <t>CAPEX</t>
  </si>
  <si>
    <t>NET COH</t>
  </si>
  <si>
    <t>Weekly Inventory</t>
  </si>
  <si>
    <t>WEEK 1</t>
  </si>
  <si>
    <t>Stocks Delivered</t>
  </si>
  <si>
    <t>average</t>
  </si>
  <si>
    <t>CRISPY KING FOOD STATION:</t>
  </si>
  <si>
    <t>Daily Monitoring of Expenses</t>
  </si>
  <si>
    <t>WEEK 2</t>
  </si>
  <si>
    <t>BREADING</t>
  </si>
  <si>
    <t>OIL</t>
  </si>
  <si>
    <t>GRAVY</t>
  </si>
  <si>
    <t>SALARY</t>
  </si>
  <si>
    <t>HOLIDAY</t>
  </si>
  <si>
    <t>OVERTIME</t>
  </si>
  <si>
    <t>TL ALLOWANCE</t>
  </si>
  <si>
    <t>13th month</t>
  </si>
  <si>
    <t>pag-ibig</t>
  </si>
  <si>
    <t>SSS</t>
  </si>
  <si>
    <t>PHIL
HEALTH</t>
  </si>
  <si>
    <t>HDMF</t>
  </si>
  <si>
    <t>SIOMAI SAUCE</t>
  </si>
  <si>
    <t>TRANSPO.</t>
  </si>
  <si>
    <t>CHARGE DEPOSIT</t>
  </si>
  <si>
    <t>RENTAL</t>
  </si>
  <si>
    <t>LIGHT</t>
  </si>
  <si>
    <t>WATER BILL</t>
  </si>
  <si>
    <t>BIR/TAXES</t>
  </si>
  <si>
    <t>COMMUNICATION</t>
  </si>
  <si>
    <t>SENIOR DISC.</t>
  </si>
  <si>
    <t>SERVICE WATER</t>
  </si>
  <si>
    <t>(EMPTY)</t>
  </si>
  <si>
    <t>KITCHEN
WARES</t>
  </si>
  <si>
    <t>Maintenance &amp; Labor</t>
  </si>
  <si>
    <t>OTHERS</t>
  </si>
  <si>
    <t>ADMIN COST</t>
  </si>
  <si>
    <t>TRANSPO (SUPERVISORS REPLENISHMENT)</t>
  </si>
  <si>
    <t>B.O.</t>
  </si>
  <si>
    <t>GRAND TOTAL (OPEX)</t>
  </si>
  <si>
    <t>BENEFITS DEDUCTIONS</t>
  </si>
  <si>
    <t>GRAND TOTAL</t>
  </si>
  <si>
    <t>WEEK 3</t>
  </si>
  <si>
    <t>LPG</t>
  </si>
  <si>
    <t>Birthday cake</t>
  </si>
  <si>
    <t>staff bunos / incentives</t>
  </si>
  <si>
    <t>owners pull-out</t>
  </si>
  <si>
    <t>Other Capex</t>
  </si>
  <si>
    <t>WEEK 4</t>
  </si>
  <si>
    <t>pag ibig</t>
  </si>
  <si>
    <t>WATER</t>
  </si>
  <si>
    <t xml:space="preserve">  </t>
  </si>
  <si>
    <t>PURCHASES (STORE)</t>
  </si>
  <si>
    <t>COMMISSARY</t>
  </si>
  <si>
    <t>SHORTAGES</t>
  </si>
  <si>
    <t>A/R</t>
  </si>
  <si>
    <t>PURCHASES</t>
  </si>
  <si>
    <t>TOTAL COM. PAYABLE</t>
  </si>
  <si>
    <t>EMPLOYEES BENEFITS</t>
  </si>
  <si>
    <t>CASH ADVANCE</t>
  </si>
  <si>
    <t>C.A DEDUCTIONS</t>
  </si>
  <si>
    <t>DAILY SALES SUMARY</t>
  </si>
  <si>
    <t>BRANCH:</t>
  </si>
  <si>
    <t xml:space="preserve">SPI BAGACAY </t>
  </si>
  <si>
    <t>SUMMARY</t>
  </si>
  <si>
    <t>DATE:</t>
  </si>
  <si>
    <t>SALES</t>
  </si>
  <si>
    <t>INVENTORY VALUE</t>
  </si>
  <si>
    <t>EXPENSES/PURCHASES</t>
  </si>
  <si>
    <t>DELIVERIES (CREDIT)</t>
  </si>
  <si>
    <t>PRODUCT</t>
  </si>
  <si>
    <t>BEG</t>
  </si>
  <si>
    <t>IN</t>
  </si>
  <si>
    <t>BO</t>
  </si>
  <si>
    <t>REM</t>
  </si>
  <si>
    <t>SOLD</t>
  </si>
  <si>
    <t>PARTICULARS</t>
  </si>
  <si>
    <t>QNTY</t>
  </si>
  <si>
    <t>PRICE</t>
  </si>
  <si>
    <t>Chicken - Premium</t>
  </si>
  <si>
    <t>BIR</t>
  </si>
  <si>
    <t>BASIC SALARY</t>
  </si>
  <si>
    <t>S-CUT</t>
  </si>
  <si>
    <t>Chicken - Jumbo</t>
  </si>
  <si>
    <t>PHILHEALTH</t>
  </si>
  <si>
    <t>Chicken - Regular</t>
  </si>
  <si>
    <t>PAG-IBIG</t>
  </si>
  <si>
    <t>ALLOWANCE</t>
  </si>
  <si>
    <t>BOLA2X</t>
  </si>
  <si>
    <t>(Patis / suka)</t>
  </si>
  <si>
    <t>LESS BENEFITS</t>
  </si>
  <si>
    <t>B-MIXED</t>
  </si>
  <si>
    <t>BOLA BOLA</t>
  </si>
  <si>
    <t>supot/roll bag/T-bag</t>
  </si>
  <si>
    <t>LESS CASH ADVANCE</t>
  </si>
  <si>
    <t>C-FILLET</t>
  </si>
  <si>
    <t>Bola bola</t>
  </si>
  <si>
    <t>Transpo</t>
  </si>
  <si>
    <t>LESS OTHER DEDUCTIONS</t>
  </si>
  <si>
    <t>Communication exp.</t>
  </si>
  <si>
    <t>NET PAY</t>
  </si>
  <si>
    <t>Chicken Fillet</t>
  </si>
  <si>
    <t>Cash advance (A/R)</t>
  </si>
  <si>
    <t>Halang-halang</t>
  </si>
  <si>
    <t>Admin / Office Supplies</t>
  </si>
  <si>
    <t>8 oz</t>
  </si>
  <si>
    <t>DAILY SALES SUMMARY</t>
  </si>
  <si>
    <t>Longanisa</t>
  </si>
  <si>
    <t>13TH MONTH</t>
  </si>
  <si>
    <t>P-CUT</t>
  </si>
  <si>
    <t>12 oz</t>
  </si>
  <si>
    <t>Maintenance / Labor</t>
  </si>
  <si>
    <t>Payment Commisary</t>
  </si>
  <si>
    <t>1 LITER</t>
  </si>
  <si>
    <t>Chicken stick</t>
  </si>
  <si>
    <t>Rent Expense</t>
  </si>
  <si>
    <t>Payment Calamasi Juice</t>
  </si>
  <si>
    <t>1.5 L</t>
  </si>
  <si>
    <t>Chicken skin</t>
  </si>
  <si>
    <t>Senior Discount</t>
  </si>
  <si>
    <t>Pepsi</t>
  </si>
  <si>
    <t>Water 350ml</t>
  </si>
  <si>
    <t>Gravy cups</t>
  </si>
  <si>
    <t>Detergent</t>
  </si>
  <si>
    <t>Nature Spring</t>
  </si>
  <si>
    <t>Water 500ml</t>
  </si>
  <si>
    <t>Service Water (Free)</t>
  </si>
  <si>
    <t>GATORADE</t>
  </si>
  <si>
    <t>Utensils</t>
  </si>
  <si>
    <t>1L / 1.5L</t>
  </si>
  <si>
    <t>Charge Deposit</t>
  </si>
  <si>
    <t>Light Bill</t>
  </si>
  <si>
    <t>SWAKTO</t>
  </si>
  <si>
    <t>Mismo / Panalo</t>
  </si>
  <si>
    <t>Water bill</t>
  </si>
  <si>
    <t>CALAMANSI JUICE</t>
  </si>
  <si>
    <t>Mdew / 7 up</t>
  </si>
  <si>
    <t>Others</t>
  </si>
  <si>
    <t>Service Water (Vendo)</t>
  </si>
  <si>
    <t>Tropicana</t>
  </si>
  <si>
    <t>Total</t>
  </si>
  <si>
    <t>Grand total</t>
  </si>
  <si>
    <t>Less Expenses</t>
  </si>
  <si>
    <t>Net sales</t>
  </si>
  <si>
    <t>Cash Deposit</t>
  </si>
  <si>
    <t>Over / Short</t>
  </si>
  <si>
    <t>AP/ OPEX</t>
  </si>
  <si>
    <t>Prepared by</t>
  </si>
  <si>
    <t xml:space="preserve">Rossel </t>
  </si>
  <si>
    <t>AR/EMPLOYEES</t>
  </si>
  <si>
    <t>NET B-SALARY</t>
  </si>
  <si>
    <t>BAGACAY</t>
  </si>
  <si>
    <t>BAGACAY SPI</t>
  </si>
  <si>
    <t>staff bunos / ot</t>
  </si>
  <si>
    <t xml:space="preserve">ROSSEL </t>
  </si>
  <si>
    <t xml:space="preserve">SPECIAL </t>
  </si>
  <si>
    <t xml:space="preserve">Premium </t>
  </si>
  <si>
    <t>.</t>
  </si>
  <si>
    <t>SUB TOTAL92</t>
  </si>
  <si>
    <t>PRODOCT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</si>
</sst>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&quot;, &quot;mmmm\ dd&quot;, &quot;yyyy"/>
    <numFmt numFmtId="165" formatCode="_-* #,##0.00_-;\-* #,##0.00_-;_-* \-??_-;_-@"/>
    <numFmt numFmtId="166" formatCode="mmm\ dd&quot;, &quot;yyyy"/>
    <numFmt numFmtId="167" formatCode="_(* #,##0.00_);_(* \(#,##0.00\);_(* \-??_);_(@_)"/>
    <numFmt numFmtId="168" formatCode="m/d/yyyy"/>
    <numFmt numFmtId="169" formatCode="_(* #,##0_);_(* \(#,##0\);_(* \-??_);_(@_)"/>
    <numFmt numFmtId="170" formatCode="mm\-dd\-yyyy"/>
    <numFmt numFmtId="171" formatCode="#,##0\$"/>
  </numFmts>
  <fonts count="47">
    <font>
      <sz val="11"/>
      <color rgb="FF000000"/>
      <name val="Calibri"/>
      <scheme val="minor"/>
    </font>
    <font>
      <b/>
      <sz val="2"/>
      <color rgb="FF000000"/>
      <name val="Cambria"/>
    </font>
    <font>
      <b/>
      <sz val="14"/>
      <color rgb="FFFFFFFF"/>
      <name val="Arial"/>
    </font>
    <font>
      <b/>
      <sz val="16"/>
      <color rgb="FF000000"/>
      <name val="Cambria"/>
    </font>
    <font>
      <sz val="11"/>
      <name val="Calibri"/>
    </font>
    <font>
      <b/>
      <sz val="18"/>
      <color rgb="FF000000"/>
      <name val="Cambria"/>
    </font>
    <font>
      <sz val="11"/>
      <color rgb="FF000000"/>
      <name val="Calibri"/>
    </font>
    <font>
      <b/>
      <sz val="14"/>
      <color rgb="FF000000"/>
      <name val="Cambria"/>
    </font>
    <font>
      <b/>
      <sz val="11"/>
      <color rgb="FFFFFFFF"/>
      <name val="Arial"/>
    </font>
    <font>
      <b/>
      <sz val="9"/>
      <color rgb="FFFFFFFF"/>
      <name val="Arial"/>
    </font>
    <font>
      <b/>
      <sz val="11"/>
      <color rgb="FF000000"/>
      <name val="Cambria"/>
    </font>
    <font>
      <b/>
      <sz val="11"/>
      <color rgb="FF000000"/>
      <name val="Calibri"/>
    </font>
    <font>
      <b/>
      <sz val="11"/>
      <color rgb="FFFF0000"/>
      <name val="Calibri"/>
    </font>
    <font>
      <b/>
      <sz val="20"/>
      <color rgb="FF000000"/>
      <name val="Cambria"/>
    </font>
    <font>
      <b/>
      <sz val="9"/>
      <color rgb="FF000000"/>
      <name val="Arial"/>
    </font>
    <font>
      <b/>
      <sz val="14"/>
      <color rgb="FF000000"/>
      <name val="Arial"/>
    </font>
    <font>
      <b/>
      <sz val="22"/>
      <color rgb="FF000000"/>
      <name val="Cambria"/>
    </font>
    <font>
      <sz val="9"/>
      <color rgb="FF000000"/>
      <name val="Arial"/>
    </font>
    <font>
      <b/>
      <sz val="26"/>
      <color rgb="FF000000"/>
      <name val="Calibri"/>
    </font>
    <font>
      <b/>
      <sz val="26"/>
      <color rgb="FF000000"/>
      <name val="Aparajita"/>
    </font>
    <font>
      <b/>
      <sz val="11"/>
      <color rgb="FF000000"/>
      <name val="Arial"/>
    </font>
    <font>
      <i/>
      <sz val="11"/>
      <color rgb="FF000000"/>
      <name val="Calibri"/>
    </font>
    <font>
      <b/>
      <i/>
      <sz val="11"/>
      <color rgb="FF000000"/>
      <name val="Calibri"/>
    </font>
    <font>
      <sz val="26"/>
      <color rgb="FF000000"/>
      <name val="Arial Black"/>
    </font>
    <font>
      <sz val="11"/>
      <color theme="1"/>
      <name val="Calibri"/>
    </font>
    <font>
      <i/>
      <sz val="8"/>
      <color rgb="FF555555"/>
      <name val="Arial"/>
    </font>
    <font>
      <b/>
      <sz val="8"/>
      <color rgb="FF000000"/>
      <name val="Arial"/>
    </font>
    <font>
      <b/>
      <sz val="12"/>
      <color rgb="FF000000"/>
      <name val="Cambria"/>
    </font>
    <font>
      <b/>
      <sz val="10"/>
      <color rgb="FF000000"/>
      <name val="Cambria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mbria"/>
    </font>
    <font>
      <b/>
      <sz val="10"/>
      <color rgb="FFFFFFFF"/>
      <name val="Calibri"/>
    </font>
    <font>
      <b/>
      <sz val="24"/>
      <color rgb="FF000000"/>
      <name val="Cambria"/>
    </font>
    <font>
      <sz val="11"/>
      <color rgb="FF000000"/>
      <name val="Cambria"/>
    </font>
    <font>
      <sz val="11"/>
      <color rgb="FF000000"/>
      <name val="Aparajita"/>
    </font>
    <font>
      <b/>
      <sz val="11"/>
      <color rgb="FF000000"/>
      <name val="Aparajita"/>
    </font>
    <font>
      <sz val="10"/>
      <color rgb="FF000000"/>
      <name val="Aparajita"/>
    </font>
    <font>
      <sz val="10"/>
      <color rgb="FF000000"/>
      <name val="Cambria"/>
    </font>
    <font>
      <sz val="16"/>
      <color rgb="FF000000"/>
      <name val="Cambria"/>
    </font>
    <font>
      <b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sz val="14"/>
      <color rgb="FF000000"/>
      <name val="Calibri"/>
    </font>
    <font>
      <sz val="12"/>
      <color rgb="FF000000"/>
      <name val="Cambria"/>
    </font>
    <font>
      <sz val="1"/>
      <color theme="1"/>
      <name val="Calibri"/>
    </font>
    <font>
      <sz val="11"/>
      <color theme="1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C000"/>
        <bgColor rgb="FFFFC000"/>
      </patternFill>
    </fill>
    <fill>
      <patternFill patternType="solid">
        <fgColor rgb="FF9ABA58"/>
        <bgColor rgb="FF9ABA58"/>
      </patternFill>
    </fill>
    <fill>
      <patternFill patternType="solid">
        <fgColor rgb="FFD6E4F0"/>
        <bgColor rgb="FFD6E4F0"/>
      </patternFill>
    </fill>
    <fill>
      <patternFill patternType="solid">
        <fgColor rgb="FFE36C09"/>
        <bgColor rgb="FFE36C09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5B3D7"/>
        <bgColor rgb="FF95B3D7"/>
      </patternFill>
    </fill>
    <fill>
      <patternFill patternType="solid">
        <fgColor rgb="FF262626"/>
        <bgColor rgb="FF262626"/>
      </patternFill>
    </fill>
    <fill>
      <patternFill patternType="solid">
        <fgColor rgb="FF000000"/>
        <bgColor rgb="FF000000"/>
      </patternFill>
    </fill>
    <fill>
      <patternFill patternType="solid">
        <fgColor rgb="FFF79544"/>
        <bgColor rgb="FFF79544"/>
      </patternFill>
    </fill>
    <fill>
      <patternFill patternType="solid">
        <fgColor rgb="FF9BBB59"/>
        <bgColor rgb="FF9BBB59"/>
      </patternFill>
    </fill>
    <fill>
      <patternFill patternType="solid">
        <fgColor rgb="FF76923C"/>
        <bgColor rgb="FF76923C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B7DDE8"/>
        <bgColor rgb="FFB7DDE8"/>
      </patternFill>
    </fill>
    <fill>
      <patternFill patternType="solid">
        <fgColor rgb="FFD7E3BC"/>
        <bgColor rgb="FFD7E3BC"/>
      </patternFill>
    </fill>
    <fill>
      <patternFill patternType="solid">
        <fgColor rgb="FFF2DCDB"/>
        <bgColor rgb="FFF2DCDB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4" fontId="6" fillId="0" borderId="0" xfId="0" applyNumberFormat="1" applyFont="1"/>
    <xf numFmtId="0" fontId="9" fillId="3" borderId="3" xfId="0" applyFont="1" applyFill="1" applyBorder="1" applyAlignment="1">
      <alignment horizontal="center" vertical="center" wrapText="1"/>
    </xf>
    <xf numFmtId="165" fontId="11" fillId="0" borderId="0" xfId="0" applyNumberFormat="1" applyFont="1"/>
    <xf numFmtId="165" fontId="12" fillId="0" borderId="0" xfId="0" applyNumberFormat="1" applyFont="1" applyAlignment="1">
      <alignment horizontal="center"/>
    </xf>
    <xf numFmtId="0" fontId="10" fillId="4" borderId="3" xfId="0" applyFont="1" applyFill="1" applyBorder="1"/>
    <xf numFmtId="0" fontId="6" fillId="4" borderId="3" xfId="0" applyFont="1" applyFill="1" applyBorder="1"/>
    <xf numFmtId="0" fontId="14" fillId="6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7" xfId="0" applyFont="1" applyFill="1" applyBorder="1" applyAlignment="1">
      <alignment horizontal="center"/>
    </xf>
    <xf numFmtId="166" fontId="17" fillId="6" borderId="3" xfId="0" applyNumberFormat="1" applyFont="1" applyFill="1" applyBorder="1" applyAlignment="1">
      <alignment horizontal="center" vertical="center" wrapText="1"/>
    </xf>
    <xf numFmtId="0" fontId="15" fillId="5" borderId="8" xfId="0" applyFont="1" applyFill="1" applyBorder="1"/>
    <xf numFmtId="4" fontId="17" fillId="6" borderId="3" xfId="0" applyNumberFormat="1" applyFont="1" applyFill="1" applyBorder="1" applyAlignment="1">
      <alignment horizontal="right" vertical="center"/>
    </xf>
    <xf numFmtId="0" fontId="18" fillId="5" borderId="8" xfId="0" applyFont="1" applyFill="1" applyBorder="1" applyAlignment="1">
      <alignment horizontal="left"/>
    </xf>
    <xf numFmtId="0" fontId="19" fillId="5" borderId="8" xfId="0" applyFont="1" applyFill="1" applyBorder="1"/>
    <xf numFmtId="0" fontId="10" fillId="7" borderId="12" xfId="0" applyFont="1" applyFill="1" applyBorder="1" applyAlignment="1">
      <alignment horizontal="center" wrapText="1"/>
    </xf>
    <xf numFmtId="0" fontId="6" fillId="5" borderId="8" xfId="0" applyFont="1" applyFill="1" applyBorder="1"/>
    <xf numFmtId="0" fontId="10" fillId="7" borderId="1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left"/>
    </xf>
    <xf numFmtId="165" fontId="10" fillId="0" borderId="3" xfId="0" applyNumberFormat="1" applyFont="1" applyBorder="1" applyAlignment="1">
      <alignment horizontal="center"/>
    </xf>
    <xf numFmtId="0" fontId="10" fillId="7" borderId="3" xfId="0" applyFont="1" applyFill="1" applyBorder="1"/>
    <xf numFmtId="0" fontId="6" fillId="6" borderId="3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20" fillId="0" borderId="0" xfId="0" applyFont="1"/>
    <xf numFmtId="165" fontId="10" fillId="0" borderId="3" xfId="0" applyNumberFormat="1" applyFont="1" applyBorder="1"/>
    <xf numFmtId="166" fontId="17" fillId="8" borderId="3" xfId="0" applyNumberFormat="1" applyFont="1" applyFill="1" applyBorder="1" applyAlignment="1">
      <alignment horizontal="center" vertical="center" wrapText="1"/>
    </xf>
    <xf numFmtId="4" fontId="17" fillId="8" borderId="3" xfId="0" applyNumberFormat="1" applyFont="1" applyFill="1" applyBorder="1" applyAlignment="1">
      <alignment horizontal="right" vertical="center"/>
    </xf>
    <xf numFmtId="0" fontId="21" fillId="0" borderId="3" xfId="0" applyFont="1" applyBorder="1"/>
    <xf numFmtId="4" fontId="22" fillId="0" borderId="3" xfId="0" applyNumberFormat="1" applyFont="1" applyBorder="1"/>
    <xf numFmtId="0" fontId="6" fillId="8" borderId="3" xfId="0" applyFont="1" applyFill="1" applyBorder="1"/>
    <xf numFmtId="0" fontId="3" fillId="5" borderId="8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165" fontId="24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67" fontId="24" fillId="0" borderId="0" xfId="0" applyNumberFormat="1" applyFont="1" applyAlignment="1">
      <alignment vertical="center"/>
    </xf>
    <xf numFmtId="165" fontId="6" fillId="0" borderId="0" xfId="0" applyNumberFormat="1" applyFont="1"/>
    <xf numFmtId="17" fontId="7" fillId="5" borderId="8" xfId="0" applyNumberFormat="1" applyFont="1" applyFill="1" applyBorder="1" applyAlignment="1">
      <alignment horizontal="left" vertical="center"/>
    </xf>
    <xf numFmtId="17" fontId="15" fillId="5" borderId="8" xfId="0" applyNumberFormat="1" applyFont="1" applyFill="1" applyBorder="1" applyAlignment="1">
      <alignment horizontal="left" vertical="center"/>
    </xf>
    <xf numFmtId="0" fontId="21" fillId="0" borderId="0" xfId="0" applyFont="1"/>
    <xf numFmtId="0" fontId="7" fillId="5" borderId="18" xfId="0" applyFont="1" applyFill="1" applyBorder="1" applyAlignment="1">
      <alignment horizontal="center" vertical="center"/>
    </xf>
    <xf numFmtId="4" fontId="22" fillId="9" borderId="19" xfId="0" applyNumberFormat="1" applyFont="1" applyFill="1" applyBorder="1"/>
    <xf numFmtId="165" fontId="21" fillId="0" borderId="0" xfId="0" applyNumberFormat="1" applyFont="1"/>
    <xf numFmtId="4" fontId="22" fillId="0" borderId="0" xfId="0" applyNumberFormat="1" applyFont="1"/>
    <xf numFmtId="10" fontId="6" fillId="0" borderId="0" xfId="0" applyNumberFormat="1" applyFont="1"/>
    <xf numFmtId="167" fontId="6" fillId="0" borderId="0" xfId="0" applyNumberFormat="1" applyFont="1"/>
    <xf numFmtId="0" fontId="23" fillId="5" borderId="8" xfId="0" applyFont="1" applyFill="1" applyBorder="1" applyAlignment="1">
      <alignment horizontal="center" vertical="center"/>
    </xf>
    <xf numFmtId="0" fontId="11" fillId="0" borderId="0" xfId="0" applyFont="1"/>
    <xf numFmtId="0" fontId="11" fillId="7" borderId="3" xfId="0" applyFont="1" applyFill="1" applyBorder="1" applyAlignment="1">
      <alignment horizontal="center"/>
    </xf>
    <xf numFmtId="167" fontId="6" fillId="0" borderId="3" xfId="0" applyNumberFormat="1" applyFont="1" applyBorder="1"/>
    <xf numFmtId="4" fontId="6" fillId="0" borderId="3" xfId="0" applyNumberFormat="1" applyFont="1" applyBorder="1"/>
    <xf numFmtId="0" fontId="6" fillId="10" borderId="8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165" fontId="6" fillId="0" borderId="5" xfId="0" applyNumberFormat="1" applyFont="1" applyBorder="1"/>
    <xf numFmtId="165" fontId="6" fillId="5" borderId="28" xfId="0" applyNumberFormat="1" applyFont="1" applyFill="1" applyBorder="1"/>
    <xf numFmtId="165" fontId="6" fillId="0" borderId="3" xfId="0" applyNumberFormat="1" applyFont="1" applyBorder="1"/>
    <xf numFmtId="165" fontId="6" fillId="5" borderId="3" xfId="0" applyNumberFormat="1" applyFont="1" applyFill="1" applyBorder="1"/>
    <xf numFmtId="165" fontId="6" fillId="0" borderId="3" xfId="0" applyNumberFormat="1" applyFont="1" applyBorder="1" applyAlignment="1">
      <alignment horizontal="center"/>
    </xf>
    <xf numFmtId="165" fontId="6" fillId="5" borderId="22" xfId="0" applyNumberFormat="1" applyFont="1" applyFill="1" applyBorder="1" applyAlignment="1">
      <alignment horizontal="center"/>
    </xf>
    <xf numFmtId="165" fontId="6" fillId="0" borderId="30" xfId="0" applyNumberFormat="1" applyFont="1" applyBorder="1" applyAlignment="1">
      <alignment horizontal="center"/>
    </xf>
    <xf numFmtId="165" fontId="6" fillId="0" borderId="31" xfId="0" applyNumberFormat="1" applyFont="1" applyBorder="1" applyAlignment="1">
      <alignment horizontal="center"/>
    </xf>
    <xf numFmtId="165" fontId="6" fillId="10" borderId="8" xfId="0" applyNumberFormat="1" applyFont="1" applyFill="1" applyBorder="1"/>
    <xf numFmtId="165" fontId="6" fillId="5" borderId="22" xfId="0" applyNumberFormat="1" applyFont="1" applyFill="1" applyBorder="1"/>
    <xf numFmtId="165" fontId="6" fillId="0" borderId="30" xfId="0" applyNumberFormat="1" applyFont="1" applyBorder="1"/>
    <xf numFmtId="165" fontId="6" fillId="0" borderId="31" xfId="0" applyNumberFormat="1" applyFont="1" applyBorder="1"/>
    <xf numFmtId="4" fontId="11" fillId="0" borderId="32" xfId="0" applyNumberFormat="1" applyFont="1" applyBorder="1"/>
    <xf numFmtId="4" fontId="11" fillId="0" borderId="0" xfId="0" applyNumberFormat="1" applyFont="1"/>
    <xf numFmtId="10" fontId="11" fillId="0" borderId="0" xfId="0" applyNumberFormat="1" applyFont="1"/>
    <xf numFmtId="0" fontId="6" fillId="0" borderId="33" xfId="0" applyFont="1" applyBorder="1"/>
    <xf numFmtId="165" fontId="6" fillId="0" borderId="5" xfId="0" applyNumberFormat="1" applyFont="1" applyBorder="1" applyAlignment="1">
      <alignment horizontal="center"/>
    </xf>
    <xf numFmtId="4" fontId="6" fillId="0" borderId="33" xfId="0" applyNumberFormat="1" applyFont="1" applyBorder="1"/>
    <xf numFmtId="4" fontId="14" fillId="11" borderId="36" xfId="0" applyNumberFormat="1" applyFont="1" applyFill="1" applyBorder="1" applyAlignment="1">
      <alignment horizontal="right" vertical="center"/>
    </xf>
    <xf numFmtId="0" fontId="6" fillId="11" borderId="36" xfId="0" applyFont="1" applyFill="1" applyBorder="1"/>
    <xf numFmtId="0" fontId="24" fillId="12" borderId="8" xfId="0" applyFont="1" applyFill="1" applyBorder="1" applyAlignment="1">
      <alignment vertical="center"/>
    </xf>
    <xf numFmtId="0" fontId="6" fillId="0" borderId="3" xfId="0" applyFont="1" applyBorder="1"/>
    <xf numFmtId="165" fontId="26" fillId="0" borderId="0" xfId="0" applyNumberFormat="1" applyFont="1"/>
    <xf numFmtId="0" fontId="6" fillId="0" borderId="37" xfId="0" applyFont="1" applyBorder="1"/>
    <xf numFmtId="4" fontId="6" fillId="0" borderId="37" xfId="0" applyNumberFormat="1" applyFont="1" applyBorder="1"/>
    <xf numFmtId="167" fontId="24" fillId="12" borderId="8" xfId="0" applyNumberFormat="1" applyFont="1" applyFill="1" applyBorder="1" applyAlignment="1">
      <alignment vertical="center"/>
    </xf>
    <xf numFmtId="0" fontId="6" fillId="13" borderId="8" xfId="0" applyFont="1" applyFill="1" applyBorder="1"/>
    <xf numFmtId="4" fontId="6" fillId="13" borderId="8" xfId="0" applyNumberFormat="1" applyFont="1" applyFill="1" applyBorder="1"/>
    <xf numFmtId="0" fontId="28" fillId="8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vertical="center"/>
    </xf>
    <xf numFmtId="0" fontId="28" fillId="7" borderId="7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 wrapText="1"/>
    </xf>
    <xf numFmtId="167" fontId="28" fillId="7" borderId="7" xfId="0" applyNumberFormat="1" applyFont="1" applyFill="1" applyBorder="1" applyAlignment="1">
      <alignment horizontal="center" vertical="center"/>
    </xf>
    <xf numFmtId="165" fontId="28" fillId="8" borderId="3" xfId="0" applyNumberFormat="1" applyFont="1" applyFill="1" applyBorder="1" applyAlignment="1">
      <alignment horizontal="left" vertical="center"/>
    </xf>
    <xf numFmtId="165" fontId="28" fillId="8" borderId="7" xfId="0" applyNumberFormat="1" applyFont="1" applyFill="1" applyBorder="1" applyAlignment="1">
      <alignment horizontal="center" vertical="center"/>
    </xf>
    <xf numFmtId="165" fontId="29" fillId="8" borderId="7" xfId="0" applyNumberFormat="1" applyFont="1" applyFill="1" applyBorder="1" applyAlignment="1">
      <alignment horizontal="left" vertical="center" wrapText="1"/>
    </xf>
    <xf numFmtId="165" fontId="30" fillId="14" borderId="7" xfId="0" applyNumberFormat="1" applyFont="1" applyFill="1" applyBorder="1" applyAlignment="1">
      <alignment horizontal="center" vertical="center"/>
    </xf>
    <xf numFmtId="165" fontId="30" fillId="8" borderId="7" xfId="0" applyNumberFormat="1" applyFont="1" applyFill="1" applyBorder="1" applyAlignment="1">
      <alignment horizontal="center" vertical="center"/>
    </xf>
    <xf numFmtId="165" fontId="30" fillId="8" borderId="7" xfId="0" applyNumberFormat="1" applyFont="1" applyFill="1" applyBorder="1"/>
    <xf numFmtId="167" fontId="30" fillId="14" borderId="7" xfId="0" applyNumberFormat="1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horizontal="center" vertical="center"/>
    </xf>
    <xf numFmtId="165" fontId="29" fillId="8" borderId="7" xfId="0" applyNumberFormat="1" applyFont="1" applyFill="1" applyBorder="1" applyAlignment="1">
      <alignment horizontal="center" vertical="center"/>
    </xf>
    <xf numFmtId="165" fontId="29" fillId="8" borderId="7" xfId="0" applyNumberFormat="1" applyFont="1" applyFill="1" applyBorder="1" applyAlignment="1">
      <alignment horizontal="center" vertical="center" wrapText="1"/>
    </xf>
    <xf numFmtId="165" fontId="29" fillId="14" borderId="7" xfId="0" applyNumberFormat="1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vertical="center"/>
    </xf>
    <xf numFmtId="167" fontId="29" fillId="8" borderId="3" xfId="0" applyNumberFormat="1" applyFont="1" applyFill="1" applyBorder="1" applyAlignment="1">
      <alignment horizontal="center" vertical="center"/>
    </xf>
    <xf numFmtId="167" fontId="29" fillId="8" borderId="8" xfId="0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167" fontId="29" fillId="8" borderId="3" xfId="0" applyNumberFormat="1" applyFont="1" applyFill="1" applyBorder="1" applyAlignment="1">
      <alignment wrapText="1"/>
    </xf>
    <xf numFmtId="167" fontId="29" fillId="8" borderId="3" xfId="0" applyNumberFormat="1" applyFont="1" applyFill="1" applyBorder="1" applyAlignment="1">
      <alignment horizontal="left" vertical="center" wrapText="1"/>
    </xf>
    <xf numFmtId="165" fontId="6" fillId="5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29" fillId="12" borderId="7" xfId="0" applyNumberFormat="1" applyFont="1" applyFill="1" applyBorder="1" applyAlignment="1">
      <alignment horizontal="left" vertical="center" wrapText="1"/>
    </xf>
    <xf numFmtId="165" fontId="30" fillId="12" borderId="7" xfId="0" applyNumberFormat="1" applyFont="1" applyFill="1" applyBorder="1" applyAlignment="1">
      <alignment horizontal="center" vertical="center"/>
    </xf>
    <xf numFmtId="167" fontId="29" fillId="12" borderId="3" xfId="0" applyNumberFormat="1" applyFont="1" applyFill="1" applyBorder="1" applyAlignment="1">
      <alignment horizontal="center" vertical="center"/>
    </xf>
    <xf numFmtId="167" fontId="29" fillId="12" borderId="3" xfId="0" applyNumberFormat="1" applyFont="1" applyFill="1" applyBorder="1" applyAlignment="1">
      <alignment horizontal="left" vertical="center" wrapText="1"/>
    </xf>
    <xf numFmtId="167" fontId="29" fillId="12" borderId="8" xfId="0" applyNumberFormat="1" applyFont="1" applyFill="1" applyBorder="1" applyAlignment="1">
      <alignment vertical="center"/>
    </xf>
    <xf numFmtId="165" fontId="29" fillId="12" borderId="7" xfId="0" applyNumberFormat="1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/>
    </xf>
    <xf numFmtId="165" fontId="29" fillId="12" borderId="7" xfId="0" applyNumberFormat="1" applyFont="1" applyFill="1" applyBorder="1" applyAlignment="1">
      <alignment horizontal="center" vertical="center"/>
    </xf>
    <xf numFmtId="0" fontId="6" fillId="8" borderId="8" xfId="0" applyFont="1" applyFill="1" applyBorder="1"/>
    <xf numFmtId="0" fontId="6" fillId="7" borderId="3" xfId="0" applyFont="1" applyFill="1" applyBorder="1" applyAlignment="1">
      <alignment horizontal="center"/>
    </xf>
    <xf numFmtId="165" fontId="6" fillId="7" borderId="28" xfId="0" applyNumberFormat="1" applyFont="1" applyFill="1" applyBorder="1"/>
    <xf numFmtId="165" fontId="6" fillId="7" borderId="3" xfId="0" applyNumberFormat="1" applyFont="1" applyFill="1" applyBorder="1"/>
    <xf numFmtId="165" fontId="6" fillId="7" borderId="22" xfId="0" applyNumberFormat="1" applyFont="1" applyFill="1" applyBorder="1"/>
    <xf numFmtId="165" fontId="6" fillId="0" borderId="40" xfId="0" applyNumberFormat="1" applyFont="1" applyBorder="1"/>
    <xf numFmtId="165" fontId="6" fillId="0" borderId="33" xfId="0" applyNumberFormat="1" applyFont="1" applyBorder="1"/>
    <xf numFmtId="0" fontId="6" fillId="0" borderId="0" xfId="0" applyFont="1" applyAlignment="1">
      <alignment horizontal="center" vertical="center"/>
    </xf>
    <xf numFmtId="165" fontId="6" fillId="10" borderId="8" xfId="0" applyNumberFormat="1" applyFont="1" applyFill="1" applyBorder="1" applyAlignment="1">
      <alignment horizontal="center"/>
    </xf>
    <xf numFmtId="165" fontId="6" fillId="7" borderId="22" xfId="0" applyNumberFormat="1" applyFont="1" applyFill="1" applyBorder="1" applyAlignment="1">
      <alignment horizontal="center"/>
    </xf>
    <xf numFmtId="165" fontId="6" fillId="5" borderId="23" xfId="0" applyNumberFormat="1" applyFont="1" applyFill="1" applyBorder="1" applyAlignment="1">
      <alignment horizontal="center"/>
    </xf>
    <xf numFmtId="165" fontId="6" fillId="5" borderId="24" xfId="0" applyNumberFormat="1" applyFont="1" applyFill="1" applyBorder="1" applyAlignment="1">
      <alignment horizontal="center"/>
    </xf>
    <xf numFmtId="165" fontId="6" fillId="5" borderId="25" xfId="0" applyNumberFormat="1" applyFont="1" applyFill="1" applyBorder="1" applyAlignment="1">
      <alignment horizontal="center"/>
    </xf>
    <xf numFmtId="165" fontId="6" fillId="5" borderId="8" xfId="0" applyNumberFormat="1" applyFont="1" applyFill="1" applyBorder="1" applyAlignment="1">
      <alignment horizontal="center"/>
    </xf>
    <xf numFmtId="165" fontId="6" fillId="0" borderId="26" xfId="0" applyNumberFormat="1" applyFont="1" applyBorder="1" applyAlignment="1">
      <alignment horizontal="center"/>
    </xf>
    <xf numFmtId="165" fontId="6" fillId="0" borderId="27" xfId="0" applyNumberFormat="1" applyFont="1" applyBorder="1" applyAlignment="1">
      <alignment horizontal="center"/>
    </xf>
    <xf numFmtId="165" fontId="6" fillId="5" borderId="28" xfId="0" applyNumberFormat="1" applyFont="1" applyFill="1" applyBorder="1" applyAlignment="1">
      <alignment horizontal="center"/>
    </xf>
    <xf numFmtId="165" fontId="6" fillId="5" borderId="18" xfId="0" applyNumberFormat="1" applyFont="1" applyFill="1" applyBorder="1" applyAlignment="1">
      <alignment horizontal="center"/>
    </xf>
    <xf numFmtId="165" fontId="6" fillId="5" borderId="12" xfId="0" applyNumberFormat="1" applyFont="1" applyFill="1" applyBorder="1" applyAlignment="1">
      <alignment horizontal="center"/>
    </xf>
    <xf numFmtId="165" fontId="6" fillId="5" borderId="29" xfId="0" applyNumberFormat="1" applyFont="1" applyFill="1" applyBorder="1" applyAlignment="1">
      <alignment horizontal="center"/>
    </xf>
    <xf numFmtId="167" fontId="29" fillId="14" borderId="3" xfId="0" applyNumberFormat="1" applyFont="1" applyFill="1" applyBorder="1" applyAlignment="1">
      <alignment vertical="center"/>
    </xf>
    <xf numFmtId="0" fontId="31" fillId="15" borderId="22" xfId="0" applyFont="1" applyFill="1" applyBorder="1" applyAlignment="1">
      <alignment horizontal="center" vertical="center"/>
    </xf>
    <xf numFmtId="169" fontId="32" fillId="15" borderId="3" xfId="0" applyNumberFormat="1" applyFont="1" applyFill="1" applyBorder="1" applyAlignment="1">
      <alignment horizontal="center" vertical="center"/>
    </xf>
    <xf numFmtId="167" fontId="32" fillId="15" borderId="3" xfId="0" applyNumberFormat="1" applyFont="1" applyFill="1" applyBorder="1" applyAlignment="1">
      <alignment horizontal="center" vertical="center"/>
    </xf>
    <xf numFmtId="167" fontId="32" fillId="8" borderId="8" xfId="0" applyNumberFormat="1" applyFont="1" applyFill="1" applyBorder="1" applyAlignment="1">
      <alignment horizontal="center" vertical="center"/>
    </xf>
    <xf numFmtId="0" fontId="31" fillId="16" borderId="3" xfId="0" applyFont="1" applyFill="1" applyBorder="1" applyAlignment="1">
      <alignment horizontal="left" vertical="center"/>
    </xf>
    <xf numFmtId="169" fontId="32" fillId="15" borderId="28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/>
    </xf>
    <xf numFmtId="0" fontId="13" fillId="5" borderId="8" xfId="0" applyFont="1" applyFill="1" applyBorder="1"/>
    <xf numFmtId="0" fontId="11" fillId="5" borderId="8" xfId="0" applyFont="1" applyFill="1" applyBorder="1"/>
    <xf numFmtId="0" fontId="3" fillId="5" borderId="8" xfId="0" applyFont="1" applyFill="1" applyBorder="1"/>
    <xf numFmtId="0" fontId="11" fillId="5" borderId="8" xfId="0" applyFont="1" applyFill="1" applyBorder="1" applyAlignment="1">
      <alignment horizontal="left"/>
    </xf>
    <xf numFmtId="0" fontId="3" fillId="5" borderId="8" xfId="0" applyFont="1" applyFill="1" applyBorder="1" applyAlignment="1">
      <alignment vertical="center"/>
    </xf>
    <xf numFmtId="17" fontId="3" fillId="5" borderId="8" xfId="0" applyNumberFormat="1" applyFont="1" applyFill="1" applyBorder="1" applyAlignment="1">
      <alignment horizontal="left" vertical="center"/>
    </xf>
    <xf numFmtId="17" fontId="11" fillId="5" borderId="8" xfId="0" applyNumberFormat="1" applyFont="1" applyFill="1" applyBorder="1" applyAlignment="1">
      <alignment horizontal="left" vertical="center"/>
    </xf>
    <xf numFmtId="0" fontId="3" fillId="5" borderId="18" xfId="0" applyFont="1" applyFill="1" applyBorder="1" applyAlignment="1">
      <alignment vertical="center"/>
    </xf>
    <xf numFmtId="0" fontId="13" fillId="5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/>
    </xf>
    <xf numFmtId="165" fontId="6" fillId="5" borderId="8" xfId="0" applyNumberFormat="1" applyFont="1" applyFill="1" applyBorder="1" applyAlignment="1">
      <alignment horizontal="center" vertical="center"/>
    </xf>
    <xf numFmtId="0" fontId="11" fillId="7" borderId="3" xfId="0" applyFont="1" applyFill="1" applyBorder="1"/>
    <xf numFmtId="0" fontId="11" fillId="10" borderId="8" xfId="0" applyFont="1" applyFill="1" applyBorder="1" applyAlignment="1">
      <alignment horizontal="center"/>
    </xf>
    <xf numFmtId="0" fontId="7" fillId="5" borderId="8" xfId="0" applyFont="1" applyFill="1" applyBorder="1"/>
    <xf numFmtId="0" fontId="11" fillId="0" borderId="0" xfId="0" applyFont="1" applyAlignment="1">
      <alignment horizontal="center" vertical="center" wrapText="1"/>
    </xf>
    <xf numFmtId="170" fontId="6" fillId="5" borderId="3" xfId="0" applyNumberFormat="1" applyFont="1" applyFill="1" applyBorder="1"/>
    <xf numFmtId="0" fontId="7" fillId="5" borderId="18" xfId="0" applyFont="1" applyFill="1" applyBorder="1" applyAlignment="1">
      <alignment horizontal="left" vertical="center"/>
    </xf>
    <xf numFmtId="165" fontId="6" fillId="17" borderId="8" xfId="0" applyNumberFormat="1" applyFont="1" applyFill="1" applyBorder="1"/>
    <xf numFmtId="0" fontId="6" fillId="7" borderId="3" xfId="0" applyFont="1" applyFill="1" applyBorder="1"/>
    <xf numFmtId="165" fontId="6" fillId="4" borderId="8" xfId="0" applyNumberFormat="1" applyFont="1" applyFill="1" applyBorder="1"/>
    <xf numFmtId="165" fontId="11" fillId="10" borderId="8" xfId="0" applyNumberFormat="1" applyFont="1" applyFill="1" applyBorder="1" applyAlignment="1">
      <alignment horizontal="center"/>
    </xf>
    <xf numFmtId="165" fontId="11" fillId="7" borderId="2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12" borderId="8" xfId="0" applyNumberFormat="1" applyFont="1" applyFill="1" applyBorder="1"/>
    <xf numFmtId="165" fontId="6" fillId="18" borderId="28" xfId="0" applyNumberFormat="1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165" fontId="10" fillId="19" borderId="8" xfId="0" applyNumberFormat="1" applyFont="1" applyFill="1" applyBorder="1"/>
    <xf numFmtId="165" fontId="10" fillId="0" borderId="0" xfId="0" applyNumberFormat="1" applyFont="1"/>
    <xf numFmtId="165" fontId="10" fillId="7" borderId="8" xfId="0" applyNumberFormat="1" applyFont="1" applyFill="1" applyBorder="1"/>
    <xf numFmtId="165" fontId="11" fillId="19" borderId="8" xfId="0" applyNumberFormat="1" applyFont="1" applyFill="1" applyBorder="1"/>
    <xf numFmtId="165" fontId="11" fillId="7" borderId="8" xfId="0" applyNumberFormat="1" applyFont="1" applyFill="1" applyBorder="1"/>
    <xf numFmtId="165" fontId="11" fillId="20" borderId="8" xfId="0" applyNumberFormat="1" applyFont="1" applyFill="1" applyBorder="1"/>
    <xf numFmtId="165" fontId="11" fillId="17" borderId="8" xfId="0" applyNumberFormat="1" applyFont="1" applyFill="1" applyBorder="1"/>
    <xf numFmtId="165" fontId="11" fillId="7" borderId="3" xfId="0" applyNumberFormat="1" applyFont="1" applyFill="1" applyBorder="1" applyAlignment="1">
      <alignment horizontal="center"/>
    </xf>
    <xf numFmtId="170" fontId="6" fillId="5" borderId="3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 wrapText="1"/>
    </xf>
    <xf numFmtId="165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5" fontId="6" fillId="19" borderId="8" xfId="0" applyNumberFormat="1" applyFont="1" applyFill="1" applyBorder="1"/>
    <xf numFmtId="165" fontId="6" fillId="7" borderId="8" xfId="0" applyNumberFormat="1" applyFont="1" applyFill="1" applyBorder="1"/>
    <xf numFmtId="165" fontId="6" fillId="0" borderId="32" xfId="0" applyNumberFormat="1" applyFont="1" applyBorder="1"/>
    <xf numFmtId="0" fontId="16" fillId="5" borderId="8" xfId="0" applyFont="1" applyFill="1" applyBorder="1"/>
    <xf numFmtId="0" fontId="34" fillId="5" borderId="8" xfId="0" applyFont="1" applyFill="1" applyBorder="1"/>
    <xf numFmtId="0" fontId="35" fillId="5" borderId="8" xfId="0" applyFont="1" applyFill="1" applyBorder="1"/>
    <xf numFmtId="0" fontId="36" fillId="5" borderId="8" xfId="0" applyFont="1" applyFill="1" applyBorder="1"/>
    <xf numFmtId="0" fontId="37" fillId="5" borderId="8" xfId="0" applyFont="1" applyFill="1" applyBorder="1"/>
    <xf numFmtId="167" fontId="37" fillId="5" borderId="8" xfId="0" applyNumberFormat="1" applyFont="1" applyFill="1" applyBorder="1"/>
    <xf numFmtId="165" fontId="11" fillId="12" borderId="8" xfId="0" applyNumberFormat="1" applyFont="1" applyFill="1" applyBorder="1"/>
    <xf numFmtId="0" fontId="28" fillId="0" borderId="0" xfId="0" applyFont="1" applyAlignment="1">
      <alignment vertical="center"/>
    </xf>
    <xf numFmtId="0" fontId="28" fillId="12" borderId="7" xfId="0" applyFont="1" applyFill="1" applyBorder="1" applyAlignment="1">
      <alignment horizontal="center" vertical="center"/>
    </xf>
    <xf numFmtId="0" fontId="28" fillId="12" borderId="7" xfId="0" applyFont="1" applyFill="1" applyBorder="1" applyAlignment="1">
      <alignment horizontal="center" vertical="center" wrapText="1"/>
    </xf>
    <xf numFmtId="167" fontId="28" fillId="12" borderId="7" xfId="0" applyNumberFormat="1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left" vertical="center"/>
    </xf>
    <xf numFmtId="3" fontId="38" fillId="14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vertical="center"/>
    </xf>
    <xf numFmtId="165" fontId="29" fillId="14" borderId="7" xfId="0" applyNumberFormat="1" applyFont="1" applyFill="1" applyBorder="1" applyAlignment="1">
      <alignment horizontal="left" vertical="center" wrapText="1"/>
    </xf>
    <xf numFmtId="165" fontId="29" fillId="14" borderId="7" xfId="0" applyNumberFormat="1" applyFont="1" applyFill="1" applyBorder="1"/>
    <xf numFmtId="165" fontId="39" fillId="0" borderId="0" xfId="0" applyNumberFormat="1" applyFont="1" applyAlignment="1">
      <alignment vertical="center"/>
    </xf>
    <xf numFmtId="0" fontId="38" fillId="14" borderId="7" xfId="0" applyFont="1" applyFill="1" applyBorder="1" applyAlignment="1">
      <alignment horizontal="center" vertical="center"/>
    </xf>
    <xf numFmtId="167" fontId="29" fillId="14" borderId="3" xfId="0" applyNumberFormat="1" applyFont="1" applyFill="1" applyBorder="1"/>
    <xf numFmtId="165" fontId="39" fillId="0" borderId="0" xfId="0" applyNumberFormat="1" applyFont="1"/>
    <xf numFmtId="167" fontId="29" fillId="14" borderId="3" xfId="0" applyNumberFormat="1" applyFont="1" applyFill="1" applyBorder="1" applyAlignment="1">
      <alignment wrapText="1"/>
    </xf>
    <xf numFmtId="0" fontId="7" fillId="0" borderId="0" xfId="0" applyFont="1"/>
    <xf numFmtId="167" fontId="29" fillId="14" borderId="3" xfId="0" applyNumberFormat="1" applyFont="1" applyFill="1" applyBorder="1" applyAlignment="1">
      <alignment horizontal="left" vertical="center" wrapText="1"/>
    </xf>
    <xf numFmtId="0" fontId="39" fillId="0" borderId="0" xfId="0" applyFont="1"/>
    <xf numFmtId="165" fontId="7" fillId="0" borderId="0" xfId="0" applyNumberFormat="1" applyFont="1"/>
    <xf numFmtId="0" fontId="28" fillId="12" borderId="3" xfId="0" applyFont="1" applyFill="1" applyBorder="1" applyAlignment="1">
      <alignment horizontal="left" vertical="center"/>
    </xf>
    <xf numFmtId="0" fontId="30" fillId="12" borderId="3" xfId="0" applyFont="1" applyFill="1" applyBorder="1" applyAlignment="1">
      <alignment horizontal="center" vertical="center"/>
    </xf>
    <xf numFmtId="167" fontId="30" fillId="12" borderId="3" xfId="0" applyNumberFormat="1" applyFont="1" applyFill="1" applyBorder="1"/>
    <xf numFmtId="167" fontId="30" fillId="8" borderId="8" xfId="0" applyNumberFormat="1" applyFont="1" applyFill="1" applyBorder="1" applyAlignment="1">
      <alignment vertical="center"/>
    </xf>
    <xf numFmtId="167" fontId="30" fillId="12" borderId="3" xfId="0" applyNumberFormat="1" applyFont="1" applyFill="1" applyBorder="1" applyAlignment="1">
      <alignment horizontal="center" vertical="center"/>
    </xf>
    <xf numFmtId="165" fontId="30" fillId="12" borderId="7" xfId="0" applyNumberFormat="1" applyFont="1" applyFill="1" applyBorder="1" applyAlignment="1">
      <alignment horizontal="center" vertical="center" wrapText="1"/>
    </xf>
    <xf numFmtId="167" fontId="30" fillId="12" borderId="3" xfId="0" applyNumberFormat="1" applyFont="1" applyFill="1" applyBorder="1" applyAlignment="1">
      <alignment vertical="center"/>
    </xf>
    <xf numFmtId="0" fontId="30" fillId="12" borderId="8" xfId="0" applyFont="1" applyFill="1" applyBorder="1" applyAlignment="1">
      <alignment vertical="center"/>
    </xf>
    <xf numFmtId="0" fontId="29" fillId="14" borderId="3" xfId="0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vertical="center"/>
    </xf>
    <xf numFmtId="0" fontId="13" fillId="5" borderId="8" xfId="0" applyFont="1" applyFill="1" applyBorder="1" applyAlignment="1">
      <alignment horizontal="left"/>
    </xf>
    <xf numFmtId="0" fontId="29" fillId="12" borderId="3" xfId="0" applyFont="1" applyFill="1" applyBorder="1" applyAlignment="1">
      <alignment horizontal="center" vertical="center"/>
    </xf>
    <xf numFmtId="167" fontId="29" fillId="12" borderId="3" xfId="0" applyNumberFormat="1" applyFont="1" applyFill="1" applyBorder="1"/>
    <xf numFmtId="0" fontId="13" fillId="5" borderId="8" xfId="0" applyFont="1" applyFill="1" applyBorder="1" applyAlignment="1">
      <alignment wrapText="1"/>
    </xf>
    <xf numFmtId="0" fontId="6" fillId="5" borderId="8" xfId="0" applyFont="1" applyFill="1" applyBorder="1" applyAlignment="1">
      <alignment wrapText="1"/>
    </xf>
    <xf numFmtId="165" fontId="28" fillId="12" borderId="3" xfId="0" applyNumberFormat="1" applyFont="1" applyFill="1" applyBorder="1" applyAlignment="1">
      <alignment horizontal="left" vertical="center"/>
    </xf>
    <xf numFmtId="0" fontId="6" fillId="22" borderId="8" xfId="0" applyFont="1" applyFill="1" applyBorder="1"/>
    <xf numFmtId="0" fontId="7" fillId="5" borderId="8" xfId="0" applyFont="1" applyFill="1" applyBorder="1" applyAlignment="1">
      <alignment wrapText="1"/>
    </xf>
    <xf numFmtId="0" fontId="30" fillId="0" borderId="0" xfId="0" applyFont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165" fontId="30" fillId="0" borderId="0" xfId="0" applyNumberFormat="1" applyFont="1" applyAlignment="1">
      <alignment horizontal="center" vertical="center"/>
    </xf>
    <xf numFmtId="164" fontId="5" fillId="5" borderId="8" xfId="0" applyNumberFormat="1" applyFont="1" applyFill="1" applyBorder="1" applyAlignment="1">
      <alignment vertical="center"/>
    </xf>
    <xf numFmtId="164" fontId="5" fillId="5" borderId="8" xfId="0" applyNumberFormat="1" applyFont="1" applyFill="1" applyBorder="1" applyAlignment="1">
      <alignment vertical="center" wrapText="1"/>
    </xf>
    <xf numFmtId="167" fontId="30" fillId="0" borderId="0" xfId="0" applyNumberFormat="1" applyFont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6" fillId="5" borderId="8" xfId="0" applyFont="1" applyFill="1" applyBorder="1" applyAlignment="1">
      <alignment horizontal="center" wrapText="1"/>
    </xf>
    <xf numFmtId="167" fontId="37" fillId="0" borderId="0" xfId="0" applyNumberFormat="1" applyFont="1"/>
    <xf numFmtId="0" fontId="6" fillId="22" borderId="8" xfId="0" applyFont="1" applyFill="1" applyBorder="1" applyAlignment="1">
      <alignment horizontal="center"/>
    </xf>
    <xf numFmtId="0" fontId="28" fillId="5" borderId="12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27" fillId="5" borderId="41" xfId="0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/>
    </xf>
    <xf numFmtId="0" fontId="27" fillId="5" borderId="28" xfId="0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 wrapText="1"/>
    </xf>
    <xf numFmtId="165" fontId="38" fillId="8" borderId="7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165" fontId="29" fillId="8" borderId="7" xfId="0" applyNumberFormat="1" applyFont="1" applyFill="1" applyBorder="1"/>
    <xf numFmtId="0" fontId="27" fillId="5" borderId="28" xfId="0" applyFont="1" applyFill="1" applyBorder="1" applyAlignment="1">
      <alignment vertical="center" wrapText="1"/>
    </xf>
    <xf numFmtId="165" fontId="27" fillId="22" borderId="28" xfId="0" applyNumberFormat="1" applyFont="1" applyFill="1" applyBorder="1" applyAlignment="1">
      <alignment horizontal="center" vertical="center" wrapText="1"/>
    </xf>
    <xf numFmtId="0" fontId="27" fillId="22" borderId="28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29" fillId="14" borderId="7" xfId="0" applyNumberFormat="1" applyFont="1" applyFill="1" applyBorder="1" applyAlignment="1">
      <alignment horizontal="center" vertical="center"/>
    </xf>
    <xf numFmtId="0" fontId="40" fillId="0" borderId="11" xfId="0" applyFont="1" applyBorder="1" applyAlignment="1">
      <alignment horizontal="center"/>
    </xf>
    <xf numFmtId="167" fontId="41" fillId="0" borderId="11" xfId="0" applyNumberFormat="1" applyFont="1" applyBorder="1"/>
    <xf numFmtId="167" fontId="41" fillId="0" borderId="3" xfId="0" applyNumberFormat="1" applyFont="1" applyBorder="1" applyAlignment="1">
      <alignment vertical="center"/>
    </xf>
    <xf numFmtId="167" fontId="41" fillId="23" borderId="11" xfId="0" applyNumberFormat="1" applyFont="1" applyFill="1" applyBorder="1"/>
    <xf numFmtId="167" fontId="41" fillId="0" borderId="11" xfId="0" applyNumberFormat="1" applyFont="1" applyBorder="1" applyAlignment="1">
      <alignment wrapText="1"/>
    </xf>
    <xf numFmtId="167" fontId="41" fillId="0" borderId="4" xfId="0" applyNumberFormat="1" applyFont="1" applyBorder="1" applyAlignment="1">
      <alignment vertical="center"/>
    </xf>
    <xf numFmtId="167" fontId="41" fillId="7" borderId="3" xfId="0" applyNumberFormat="1" applyFont="1" applyFill="1" applyBorder="1" applyAlignment="1">
      <alignment vertical="center"/>
    </xf>
    <xf numFmtId="167" fontId="41" fillId="0" borderId="3" xfId="0" applyNumberFormat="1" applyFont="1" applyBorder="1" applyAlignment="1">
      <alignment vertical="center" wrapText="1"/>
    </xf>
    <xf numFmtId="167" fontId="41" fillId="0" borderId="40" xfId="0" applyNumberFormat="1" applyFont="1" applyBorder="1" applyAlignment="1">
      <alignment wrapText="1"/>
    </xf>
    <xf numFmtId="167" fontId="41" fillId="0" borderId="11" xfId="0" applyNumberFormat="1" applyFont="1" applyBorder="1" applyAlignment="1">
      <alignment vertical="center"/>
    </xf>
    <xf numFmtId="167" fontId="6" fillId="7" borderId="3" xfId="0" applyNumberFormat="1" applyFont="1" applyFill="1" applyBorder="1"/>
    <xf numFmtId="167" fontId="41" fillId="0" borderId="40" xfId="0" applyNumberFormat="1" applyFont="1" applyBorder="1"/>
    <xf numFmtId="165" fontId="28" fillId="0" borderId="3" xfId="0" applyNumberFormat="1" applyFont="1" applyBorder="1" applyAlignment="1">
      <alignment horizontal="left" vertical="center"/>
    </xf>
    <xf numFmtId="165" fontId="29" fillId="0" borderId="10" xfId="0" applyNumberFormat="1" applyFont="1" applyBorder="1" applyAlignment="1">
      <alignment horizontal="center" vertical="center"/>
    </xf>
    <xf numFmtId="165" fontId="29" fillId="0" borderId="10" xfId="0" applyNumberFormat="1" applyFont="1" applyBorder="1" applyAlignment="1">
      <alignment horizontal="center" vertical="center" wrapText="1"/>
    </xf>
    <xf numFmtId="167" fontId="29" fillId="0" borderId="3" xfId="0" applyNumberFormat="1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1" fillId="7" borderId="3" xfId="0" applyNumberFormat="1" applyFont="1" applyFill="1" applyBorder="1" applyAlignment="1">
      <alignment horizontal="center" vertical="center"/>
    </xf>
    <xf numFmtId="167" fontId="11" fillId="7" borderId="3" xfId="0" applyNumberFormat="1" applyFont="1" applyFill="1" applyBorder="1" applyAlignment="1">
      <alignment horizontal="center" vertical="center" wrapText="1"/>
    </xf>
    <xf numFmtId="167" fontId="11" fillId="7" borderId="22" xfId="0" applyNumberFormat="1" applyFont="1" applyFill="1" applyBorder="1" applyAlignment="1">
      <alignment horizontal="center" vertical="center"/>
    </xf>
    <xf numFmtId="167" fontId="11" fillId="4" borderId="3" xfId="0" applyNumberFormat="1" applyFont="1" applyFill="1" applyBorder="1" applyAlignment="1">
      <alignment horizontal="center" vertical="center"/>
    </xf>
    <xf numFmtId="167" fontId="11" fillId="7" borderId="3" xfId="0" applyNumberFormat="1" applyFont="1" applyFill="1" applyBorder="1" applyAlignment="1">
      <alignment vertical="center" wrapText="1"/>
    </xf>
    <xf numFmtId="167" fontId="11" fillId="21" borderId="3" xfId="0" applyNumberFormat="1" applyFont="1" applyFill="1" applyBorder="1" applyAlignment="1">
      <alignment horizontal="center" vertical="center"/>
    </xf>
    <xf numFmtId="167" fontId="6" fillId="4" borderId="3" xfId="0" applyNumberFormat="1" applyFont="1" applyFill="1" applyBorder="1"/>
    <xf numFmtId="165" fontId="6" fillId="4" borderId="3" xfId="0" applyNumberFormat="1" applyFont="1" applyFill="1" applyBorder="1"/>
    <xf numFmtId="0" fontId="6" fillId="0" borderId="0" xfId="0" applyFont="1" applyAlignment="1">
      <alignment wrapText="1"/>
    </xf>
    <xf numFmtId="9" fontId="6" fillId="0" borderId="0" xfId="0" applyNumberFormat="1" applyFont="1"/>
    <xf numFmtId="165" fontId="38" fillId="12" borderId="7" xfId="0" applyNumberFormat="1" applyFont="1" applyFill="1" applyBorder="1" applyAlignment="1">
      <alignment horizontal="center" vertical="center"/>
    </xf>
    <xf numFmtId="167" fontId="29" fillId="12" borderId="3" xfId="0" applyNumberFormat="1" applyFont="1" applyFill="1" applyBorder="1" applyAlignment="1">
      <alignment vertical="center"/>
    </xf>
    <xf numFmtId="167" fontId="41" fillId="8" borderId="12" xfId="0" applyNumberFormat="1" applyFont="1" applyFill="1" applyBorder="1"/>
    <xf numFmtId="167" fontId="29" fillId="14" borderId="3" xfId="0" applyNumberFormat="1" applyFont="1" applyFill="1" applyBorder="1" applyAlignment="1">
      <alignment horizontal="center" vertical="center"/>
    </xf>
    <xf numFmtId="167" fontId="29" fillId="14" borderId="3" xfId="0" applyNumberFormat="1" applyFont="1" applyFill="1" applyBorder="1" applyAlignment="1">
      <alignment vertical="center" wrapText="1"/>
    </xf>
    <xf numFmtId="167" fontId="11" fillId="7" borderId="28" xfId="0" applyNumberFormat="1" applyFont="1" applyFill="1" applyBorder="1" applyAlignment="1">
      <alignment horizontal="center" vertical="center"/>
    </xf>
    <xf numFmtId="0" fontId="6" fillId="0" borderId="5" xfId="0" applyFont="1" applyBorder="1"/>
    <xf numFmtId="0" fontId="3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65" fontId="28" fillId="17" borderId="3" xfId="0" applyNumberFormat="1" applyFont="1" applyFill="1" applyBorder="1" applyAlignment="1">
      <alignment horizontal="left" vertical="center"/>
    </xf>
    <xf numFmtId="165" fontId="29" fillId="17" borderId="7" xfId="0" applyNumberFormat="1" applyFont="1" applyFill="1" applyBorder="1" applyAlignment="1">
      <alignment horizontal="center" vertical="center" wrapText="1"/>
    </xf>
    <xf numFmtId="167" fontId="29" fillId="17" borderId="3" xfId="0" applyNumberFormat="1" applyFont="1" applyFill="1" applyBorder="1" applyAlignment="1">
      <alignment vertical="center"/>
    </xf>
    <xf numFmtId="0" fontId="29" fillId="17" borderId="8" xfId="0" applyFont="1" applyFill="1" applyBorder="1" applyAlignment="1">
      <alignment vertical="center"/>
    </xf>
    <xf numFmtId="167" fontId="29" fillId="17" borderId="3" xfId="0" applyNumberFormat="1" applyFont="1" applyFill="1" applyBorder="1" applyAlignment="1">
      <alignment horizontal="center" vertical="center"/>
    </xf>
    <xf numFmtId="165" fontId="29" fillId="17" borderId="7" xfId="0" applyNumberFormat="1" applyFont="1" applyFill="1" applyBorder="1" applyAlignment="1">
      <alignment horizontal="center" vertical="center"/>
    </xf>
    <xf numFmtId="0" fontId="13" fillId="18" borderId="8" xfId="0" applyFont="1" applyFill="1" applyBorder="1"/>
    <xf numFmtId="0" fontId="7" fillId="18" borderId="8" xfId="0" applyFont="1" applyFill="1" applyBorder="1"/>
    <xf numFmtId="164" fontId="5" fillId="18" borderId="8" xfId="0" applyNumberFormat="1" applyFont="1" applyFill="1" applyBorder="1" applyAlignment="1">
      <alignment vertical="center"/>
    </xf>
    <xf numFmtId="0" fontId="28" fillId="5" borderId="3" xfId="0" applyFont="1" applyFill="1" applyBorder="1" applyAlignment="1">
      <alignment horizontal="center" vertical="center" wrapText="1"/>
    </xf>
    <xf numFmtId="0" fontId="27" fillId="18" borderId="22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167" fontId="41" fillId="20" borderId="12" xfId="0" applyNumberFormat="1" applyFont="1" applyFill="1" applyBorder="1"/>
    <xf numFmtId="167" fontId="29" fillId="12" borderId="3" xfId="0" applyNumberFormat="1" applyFont="1" applyFill="1" applyBorder="1" applyAlignment="1">
      <alignment vertical="center" wrapText="1"/>
    </xf>
    <xf numFmtId="167" fontId="41" fillId="23" borderId="12" xfId="0" applyNumberFormat="1" applyFont="1" applyFill="1" applyBorder="1"/>
    <xf numFmtId="167" fontId="41" fillId="7" borderId="3" xfId="0" applyNumberFormat="1" applyFont="1" applyFill="1" applyBorder="1" applyAlignment="1">
      <alignment vertical="center" wrapText="1"/>
    </xf>
    <xf numFmtId="0" fontId="27" fillId="5" borderId="22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vertical="center" wrapText="1"/>
    </xf>
    <xf numFmtId="167" fontId="41" fillId="0" borderId="40" xfId="0" applyNumberFormat="1" applyFont="1" applyBorder="1" applyAlignment="1">
      <alignment vertical="center"/>
    </xf>
    <xf numFmtId="0" fontId="10" fillId="0" borderId="0" xfId="0" applyFont="1"/>
    <xf numFmtId="167" fontId="41" fillId="0" borderId="3" xfId="0" applyNumberFormat="1" applyFont="1" applyBorder="1" applyAlignment="1">
      <alignment wrapText="1"/>
    </xf>
    <xf numFmtId="0" fontId="11" fillId="0" borderId="3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0" fontId="11" fillId="24" borderId="8" xfId="0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25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65" fontId="6" fillId="0" borderId="11" xfId="0" applyNumberFormat="1" applyFont="1" applyBorder="1"/>
    <xf numFmtId="165" fontId="6" fillId="12" borderId="12" xfId="0" applyNumberFormat="1" applyFont="1" applyFill="1" applyBorder="1"/>
    <xf numFmtId="165" fontId="6" fillId="12" borderId="3" xfId="0" applyNumberFormat="1" applyFont="1" applyFill="1" applyBorder="1"/>
    <xf numFmtId="165" fontId="6" fillId="25" borderId="3" xfId="0" applyNumberFormat="1" applyFont="1" applyFill="1" applyBorder="1"/>
    <xf numFmtId="165" fontId="6" fillId="24" borderId="28" xfId="0" applyNumberFormat="1" applyFont="1" applyFill="1" applyBorder="1"/>
    <xf numFmtId="165" fontId="6" fillId="12" borderId="28" xfId="0" applyNumberFormat="1" applyFont="1" applyFill="1" applyBorder="1"/>
    <xf numFmtId="165" fontId="24" fillId="12" borderId="3" xfId="0" applyNumberFormat="1" applyFont="1" applyFill="1" applyBorder="1" applyAlignment="1">
      <alignment vertical="center"/>
    </xf>
    <xf numFmtId="4" fontId="24" fillId="12" borderId="3" xfId="0" applyNumberFormat="1" applyFont="1" applyFill="1" applyBorder="1" applyAlignment="1">
      <alignment vertical="center"/>
    </xf>
    <xf numFmtId="167" fontId="42" fillId="0" borderId="3" xfId="0" applyNumberFormat="1" applyFont="1" applyBorder="1" applyAlignment="1">
      <alignment vertical="center"/>
    </xf>
    <xf numFmtId="0" fontId="10" fillId="4" borderId="8" xfId="0" applyFont="1" applyFill="1" applyBorder="1"/>
    <xf numFmtId="169" fontId="10" fillId="4" borderId="8" xfId="0" applyNumberFormat="1" applyFont="1" applyFill="1" applyBorder="1"/>
    <xf numFmtId="167" fontId="6" fillId="7" borderId="3" xfId="0" applyNumberFormat="1" applyFont="1" applyFill="1" applyBorder="1" applyAlignment="1">
      <alignment wrapText="1"/>
    </xf>
    <xf numFmtId="167" fontId="6" fillId="21" borderId="3" xfId="0" applyNumberFormat="1" applyFont="1" applyFill="1" applyBorder="1"/>
    <xf numFmtId="0" fontId="43" fillId="0" borderId="0" xfId="0" applyFont="1" applyAlignment="1">
      <alignment horizontal="center"/>
    </xf>
    <xf numFmtId="0" fontId="40" fillId="0" borderId="0" xfId="0" applyFont="1"/>
    <xf numFmtId="0" fontId="43" fillId="0" borderId="33" xfId="0" applyFont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0" fontId="43" fillId="26" borderId="22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6" fillId="27" borderId="3" xfId="0" applyFont="1" applyFill="1" applyBorder="1" applyAlignment="1">
      <alignment horizontal="center"/>
    </xf>
    <xf numFmtId="167" fontId="6" fillId="28" borderId="3" xfId="0" applyNumberFormat="1" applyFont="1" applyFill="1" applyBorder="1" applyAlignment="1">
      <alignment vertical="center"/>
    </xf>
    <xf numFmtId="0" fontId="11" fillId="0" borderId="3" xfId="0" applyFont="1" applyBorder="1"/>
    <xf numFmtId="165" fontId="11" fillId="0" borderId="3" xfId="0" applyNumberFormat="1" applyFont="1" applyBorder="1"/>
    <xf numFmtId="0" fontId="11" fillId="0" borderId="11" xfId="0" applyFont="1" applyBorder="1"/>
    <xf numFmtId="165" fontId="11" fillId="0" borderId="11" xfId="0" applyNumberFormat="1" applyFont="1" applyBorder="1"/>
    <xf numFmtId="4" fontId="11" fillId="0" borderId="11" xfId="0" applyNumberFormat="1" applyFont="1" applyBorder="1"/>
    <xf numFmtId="3" fontId="24" fillId="0" borderId="3" xfId="0" applyNumberFormat="1" applyFont="1" applyBorder="1" applyAlignment="1">
      <alignment horizontal="center"/>
    </xf>
    <xf numFmtId="3" fontId="6" fillId="0" borderId="3" xfId="0" applyNumberFormat="1" applyFont="1" applyBorder="1"/>
    <xf numFmtId="3" fontId="6" fillId="0" borderId="3" xfId="0" applyNumberFormat="1" applyFont="1" applyBorder="1" applyAlignment="1">
      <alignment horizontal="center"/>
    </xf>
    <xf numFmtId="4" fontId="11" fillId="0" borderId="3" xfId="0" applyNumberFormat="1" applyFont="1" applyBorder="1"/>
    <xf numFmtId="0" fontId="41" fillId="0" borderId="3" xfId="0" applyFont="1" applyBorder="1"/>
    <xf numFmtId="165" fontId="41" fillId="0" borderId="3" xfId="0" applyNumberFormat="1" applyFont="1" applyBorder="1"/>
    <xf numFmtId="0" fontId="24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1" xfId="0" applyFont="1" applyBorder="1"/>
    <xf numFmtId="4" fontId="6" fillId="0" borderId="11" xfId="0" applyNumberFormat="1" applyFont="1" applyBorder="1"/>
    <xf numFmtId="3" fontId="24" fillId="0" borderId="11" xfId="0" applyNumberFormat="1" applyFont="1" applyBorder="1" applyAlignment="1">
      <alignment horizontal="center"/>
    </xf>
    <xf numFmtId="2" fontId="11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6" fillId="27" borderId="3" xfId="0" applyFont="1" applyFill="1" applyBorder="1" applyAlignment="1">
      <alignment vertical="center"/>
    </xf>
    <xf numFmtId="0" fontId="24" fillId="0" borderId="11" xfId="0" applyFont="1" applyBorder="1"/>
    <xf numFmtId="0" fontId="6" fillId="0" borderId="4" xfId="0" applyFont="1" applyBorder="1" applyAlignment="1">
      <alignment horizontal="center"/>
    </xf>
    <xf numFmtId="0" fontId="24" fillId="0" borderId="33" xfId="0" applyFont="1" applyBorder="1"/>
    <xf numFmtId="0" fontId="6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2" borderId="3" xfId="0" applyFont="1" applyFill="1" applyBorder="1"/>
    <xf numFmtId="165" fontId="6" fillId="22" borderId="3" xfId="0" applyNumberFormat="1" applyFont="1" applyFill="1" applyBorder="1"/>
    <xf numFmtId="3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12" borderId="3" xfId="0" applyFont="1" applyFill="1" applyBorder="1" applyAlignment="1">
      <alignment vertical="center"/>
    </xf>
    <xf numFmtId="4" fontId="6" fillId="12" borderId="3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41" fillId="0" borderId="0" xfId="0" applyFont="1"/>
    <xf numFmtId="0" fontId="44" fillId="0" borderId="3" xfId="0" applyFont="1" applyBorder="1" applyAlignment="1">
      <alignment horizontal="left" vertical="center" wrapText="1"/>
    </xf>
    <xf numFmtId="4" fontId="6" fillId="0" borderId="10" xfId="0" applyNumberFormat="1" applyFont="1" applyBorder="1"/>
    <xf numFmtId="4" fontId="41" fillId="0" borderId="3" xfId="0" applyNumberFormat="1" applyFont="1" applyBorder="1"/>
    <xf numFmtId="165" fontId="40" fillId="0" borderId="0" xfId="0" applyNumberFormat="1" applyFont="1"/>
    <xf numFmtId="0" fontId="11" fillId="12" borderId="7" xfId="0" applyFont="1" applyFill="1" applyBorder="1"/>
    <xf numFmtId="165" fontId="6" fillId="12" borderId="7" xfId="0" applyNumberFormat="1" applyFont="1" applyFill="1" applyBorder="1"/>
    <xf numFmtId="0" fontId="40" fillId="12" borderId="7" xfId="0" applyFont="1" applyFill="1" applyBorder="1"/>
    <xf numFmtId="4" fontId="40" fillId="12" borderId="3" xfId="0" applyNumberFormat="1" applyFont="1" applyFill="1" applyBorder="1"/>
    <xf numFmtId="165" fontId="40" fillId="20" borderId="42" xfId="0" applyNumberFormat="1" applyFont="1" applyFill="1" applyBorder="1"/>
    <xf numFmtId="0" fontId="40" fillId="0" borderId="3" xfId="0" applyFont="1" applyBorder="1"/>
    <xf numFmtId="165" fontId="40" fillId="20" borderId="3" xfId="0" applyNumberFormat="1" applyFont="1" applyFill="1" applyBorder="1"/>
    <xf numFmtId="4" fontId="40" fillId="22" borderId="3" xfId="0" applyNumberFormat="1" applyFont="1" applyFill="1" applyBorder="1"/>
    <xf numFmtId="0" fontId="24" fillId="0" borderId="3" xfId="0" applyFont="1" applyBorder="1"/>
    <xf numFmtId="165" fontId="24" fillId="0" borderId="3" xfId="0" applyNumberFormat="1" applyFont="1" applyBorder="1" applyAlignment="1">
      <alignment horizontal="right" vertical="center"/>
    </xf>
    <xf numFmtId="165" fontId="24" fillId="0" borderId="3" xfId="0" applyNumberFormat="1" applyFont="1" applyBorder="1"/>
    <xf numFmtId="165" fontId="24" fillId="0" borderId="3" xfId="0" applyNumberFormat="1" applyFont="1" applyBorder="1" applyAlignment="1">
      <alignment horizontal="right"/>
    </xf>
    <xf numFmtId="165" fontId="6" fillId="25" borderId="7" xfId="0" applyNumberFormat="1" applyFont="1" applyFill="1" applyBorder="1"/>
    <xf numFmtId="165" fontId="6" fillId="25" borderId="8" xfId="0" applyNumberFormat="1" applyFont="1" applyFill="1" applyBorder="1"/>
    <xf numFmtId="0" fontId="6" fillId="12" borderId="3" xfId="0" applyFont="1" applyFill="1" applyBorder="1"/>
    <xf numFmtId="165" fontId="6" fillId="25" borderId="45" xfId="0" applyNumberFormat="1" applyFont="1" applyFill="1" applyBorder="1"/>
    <xf numFmtId="165" fontId="6" fillId="0" borderId="46" xfId="0" applyNumberFormat="1" applyFont="1" applyBorder="1"/>
    <xf numFmtId="0" fontId="24" fillId="0" borderId="3" xfId="0" applyFont="1" applyBorder="1" applyAlignment="1">
      <alignment vertical="center"/>
    </xf>
    <xf numFmtId="4" fontId="24" fillId="0" borderId="3" xfId="0" applyNumberFormat="1" applyFont="1" applyBorder="1" applyAlignment="1">
      <alignment vertical="center"/>
    </xf>
    <xf numFmtId="171" fontId="6" fillId="8" borderId="3" xfId="0" applyNumberFormat="1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0" fontId="46" fillId="0" borderId="0" xfId="0" applyFont="1"/>
    <xf numFmtId="0" fontId="10" fillId="4" borderId="4" xfId="0" applyFont="1" applyFill="1" applyBorder="1" applyAlignment="1">
      <alignment horizontal="center"/>
    </xf>
    <xf numFmtId="0" fontId="4" fillId="0" borderId="5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6" fillId="7" borderId="9" xfId="0" applyFont="1" applyFill="1" applyBorder="1" applyAlignment="1">
      <alignment horizontal="center"/>
    </xf>
    <xf numFmtId="0" fontId="4" fillId="0" borderId="14" xfId="0" applyFont="1" applyBorder="1"/>
    <xf numFmtId="0" fontId="10" fillId="7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10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4" fillId="0" borderId="1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9" fillId="11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2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4" fillId="0" borderId="20" xfId="0" applyFont="1" applyBorder="1"/>
    <xf numFmtId="0" fontId="6" fillId="7" borderId="21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165" fontId="6" fillId="7" borderId="4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3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0" fontId="23" fillId="5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165" fontId="6" fillId="7" borderId="21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0" fontId="11" fillId="7" borderId="21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165" fontId="28" fillId="12" borderId="38" xfId="0" applyNumberFormat="1" applyFont="1" applyFill="1" applyBorder="1" applyAlignment="1">
      <alignment horizontal="center" vertical="center"/>
    </xf>
    <xf numFmtId="0" fontId="4" fillId="0" borderId="39" xfId="0" applyFont="1" applyBorder="1"/>
    <xf numFmtId="165" fontId="28" fillId="12" borderId="4" xfId="0" applyNumberFormat="1" applyFont="1" applyFill="1" applyBorder="1" applyAlignment="1">
      <alignment horizontal="center" vertical="center"/>
    </xf>
    <xf numFmtId="168" fontId="27" fillId="5" borderId="1" xfId="0" applyNumberFormat="1" applyFont="1" applyFill="1" applyBorder="1" applyAlignment="1">
      <alignment horizontal="left"/>
    </xf>
    <xf numFmtId="0" fontId="13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7" fillId="5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11" fillId="7" borderId="2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left" vertical="center"/>
    </xf>
    <xf numFmtId="0" fontId="28" fillId="10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/>
    </xf>
    <xf numFmtId="164" fontId="27" fillId="5" borderId="1" xfId="0" applyNumberFormat="1" applyFont="1" applyFill="1" applyBorder="1" applyAlignment="1">
      <alignment horizontal="center"/>
    </xf>
    <xf numFmtId="0" fontId="28" fillId="21" borderId="10" xfId="0" applyFont="1" applyFill="1" applyBorder="1" applyAlignment="1">
      <alignment horizontal="center" vertical="center"/>
    </xf>
    <xf numFmtId="0" fontId="43" fillId="26" borderId="4" xfId="0" applyFont="1" applyFill="1" applyBorder="1" applyAlignment="1">
      <alignment horizontal="center" vertical="center"/>
    </xf>
    <xf numFmtId="167" fontId="6" fillId="27" borderId="4" xfId="0" applyNumberFormat="1" applyFont="1" applyFill="1" applyBorder="1"/>
    <xf numFmtId="0" fontId="6" fillId="27" borderId="4" xfId="0" applyFont="1" applyFill="1" applyBorder="1" applyAlignment="1">
      <alignment vertical="center" wrapText="1"/>
    </xf>
    <xf numFmtId="0" fontId="6" fillId="27" borderId="4" xfId="0" applyFont="1" applyFill="1" applyBorder="1" applyAlignment="1">
      <alignment vertical="center"/>
    </xf>
    <xf numFmtId="165" fontId="6" fillId="27" borderId="4" xfId="0" applyNumberFormat="1" applyFont="1" applyFill="1" applyBorder="1" applyAlignment="1">
      <alignment vertical="center"/>
    </xf>
    <xf numFmtId="0" fontId="6" fillId="27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1" fillId="24" borderId="38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center"/>
    </xf>
    <xf numFmtId="0" fontId="11" fillId="25" borderId="4" xfId="0" applyFont="1" applyFill="1" applyBorder="1" applyAlignment="1">
      <alignment horizontal="center" vertical="center"/>
    </xf>
    <xf numFmtId="0" fontId="6" fillId="0" borderId="0" xfId="0" applyFont="1"/>
    <xf numFmtId="0" fontId="43" fillId="0" borderId="0" xfId="0" applyFont="1" applyAlignment="1">
      <alignment horizontal="center"/>
    </xf>
    <xf numFmtId="0" fontId="43" fillId="0" borderId="33" xfId="0" applyFont="1" applyBorder="1" applyAlignment="1">
      <alignment horizontal="center"/>
    </xf>
    <xf numFmtId="0" fontId="4" fillId="0" borderId="33" xfId="0" applyFont="1" applyBorder="1"/>
    <xf numFmtId="0" fontId="40" fillId="0" borderId="4" xfId="0" applyFont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165" fontId="6" fillId="0" borderId="33" xfId="0" applyNumberFormat="1" applyFont="1" applyBorder="1" applyAlignment="1">
      <alignment horizontal="center"/>
    </xf>
    <xf numFmtId="165" fontId="6" fillId="0" borderId="20" xfId="0" applyNumberFormat="1" applyFont="1" applyBorder="1" applyAlignment="1">
      <alignment horizontal="center"/>
    </xf>
    <xf numFmtId="165" fontId="6" fillId="0" borderId="33" xfId="0" applyNumberFormat="1" applyFont="1" applyBorder="1" applyAlignment="1">
      <alignment horizontal="right"/>
    </xf>
    <xf numFmtId="0" fontId="6" fillId="0" borderId="33" xfId="0" applyFont="1" applyBorder="1" applyAlignment="1">
      <alignment horizontal="center"/>
    </xf>
    <xf numFmtId="164" fontId="43" fillId="0" borderId="33" xfId="0" applyNumberFormat="1" applyFont="1" applyBorder="1" applyAlignment="1">
      <alignment horizontal="center"/>
    </xf>
    <xf numFmtId="0" fontId="11" fillId="29" borderId="4" xfId="0" applyFont="1" applyFill="1" applyBorder="1" applyAlignment="1">
      <alignment horizontal="center"/>
    </xf>
    <xf numFmtId="0" fontId="11" fillId="30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0" fillId="22" borderId="43" xfId="0" applyFont="1" applyFill="1" applyBorder="1" applyAlignment="1">
      <alignment horizontal="center"/>
    </xf>
    <xf numFmtId="0" fontId="4" fillId="0" borderId="44" xfId="0" applyFont="1" applyBorder="1"/>
    <xf numFmtId="165" fontId="24" fillId="0" borderId="3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638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sqref="A1:J1"/>
    </sheetView>
  </sheetViews>
  <sheetFormatPr defaultColWidth="14.453125" defaultRowHeight="15" customHeight="1"/>
  <cols>
    <col min="1" max="1" width="13.81640625" customWidth="1"/>
    <col min="2" max="2" width="22.26953125" customWidth="1"/>
    <col min="3" max="3" width="9.453125" customWidth="1"/>
    <col min="4" max="4" width="13" customWidth="1"/>
    <col min="5" max="5" width="22.7265625" customWidth="1"/>
    <col min="6" max="6" width="3.54296875" customWidth="1"/>
    <col min="7" max="7" width="14.54296875" customWidth="1"/>
    <col min="8" max="8" width="19.7265625" customWidth="1"/>
    <col min="9" max="9" width="3.08984375" customWidth="1"/>
    <col min="10" max="10" width="14" customWidth="1"/>
    <col min="11" max="11" width="19.453125" customWidth="1"/>
    <col min="12" max="12" width="2.7265625" customWidth="1"/>
    <col min="13" max="13" width="15.26953125" customWidth="1"/>
    <col min="14" max="14" width="18.81640625" customWidth="1"/>
  </cols>
  <sheetData>
    <row r="1" spans="1:14" ht="20">
      <c r="A1" s="424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1"/>
    </row>
    <row r="2" spans="1:14" ht="18.75" customHeight="1">
      <c r="A2" s="426" t="s">
        <v>2</v>
      </c>
      <c r="B2" s="425"/>
      <c r="C2" s="425"/>
      <c r="D2" s="427"/>
      <c r="E2" s="425"/>
      <c r="F2" s="425"/>
      <c r="G2" s="425"/>
      <c r="H2" s="2"/>
      <c r="I2" s="2"/>
      <c r="J2" s="2"/>
      <c r="K2" s="1"/>
    </row>
    <row r="3" spans="1:14" ht="18.75" customHeight="1">
      <c r="A3" s="428" t="s">
        <v>4</v>
      </c>
      <c r="B3" s="425"/>
      <c r="C3" s="425"/>
      <c r="D3" s="429"/>
      <c r="E3" s="425"/>
      <c r="F3" s="425"/>
      <c r="G3" s="425"/>
    </row>
    <row r="5" spans="1:14" ht="14.5">
      <c r="A5" s="422" t="s">
        <v>5</v>
      </c>
      <c r="B5" s="423"/>
      <c r="C5" s="8"/>
      <c r="D5" s="422" t="s">
        <v>11</v>
      </c>
      <c r="E5" s="423"/>
      <c r="F5" s="8"/>
      <c r="G5" s="422" t="s">
        <v>15</v>
      </c>
      <c r="H5" s="423"/>
      <c r="I5" s="8"/>
      <c r="J5" s="422" t="s">
        <v>18</v>
      </c>
      <c r="K5" s="423"/>
      <c r="L5" s="9"/>
      <c r="M5" s="422" t="s">
        <v>21</v>
      </c>
      <c r="N5" s="423"/>
    </row>
    <row r="6" spans="1:14" ht="15" customHeight="1">
      <c r="A6" s="434" t="s">
        <v>22</v>
      </c>
      <c r="B6" s="11" t="s">
        <v>23</v>
      </c>
      <c r="C6" s="435"/>
      <c r="D6" s="434" t="s">
        <v>22</v>
      </c>
      <c r="E6" s="12" t="s">
        <v>23</v>
      </c>
      <c r="F6" s="435"/>
      <c r="G6" s="434" t="s">
        <v>22</v>
      </c>
      <c r="H6" s="11" t="s">
        <v>23</v>
      </c>
      <c r="I6" s="435"/>
      <c r="J6" s="434" t="s">
        <v>22</v>
      </c>
      <c r="K6" s="11" t="s">
        <v>23</v>
      </c>
      <c r="L6" s="430"/>
      <c r="M6" s="432" t="s">
        <v>22</v>
      </c>
      <c r="N6" s="11" t="s">
        <v>23</v>
      </c>
    </row>
    <row r="7" spans="1:14" ht="14.5">
      <c r="A7" s="433"/>
      <c r="B7" s="18" t="s">
        <v>26</v>
      </c>
      <c r="C7" s="436"/>
      <c r="D7" s="433"/>
      <c r="E7" s="20" t="s">
        <v>26</v>
      </c>
      <c r="F7" s="436"/>
      <c r="G7" s="433"/>
      <c r="H7" s="18" t="s">
        <v>26</v>
      </c>
      <c r="I7" s="436"/>
      <c r="J7" s="433"/>
      <c r="K7" s="18" t="s">
        <v>26</v>
      </c>
      <c r="L7" s="431"/>
      <c r="M7" s="433"/>
      <c r="N7" s="18" t="s">
        <v>26</v>
      </c>
    </row>
    <row r="8" spans="1:14" ht="18.75" customHeight="1">
      <c r="A8" s="21" t="s">
        <v>28</v>
      </c>
      <c r="B8" s="22">
        <f>GROSS!CA55</f>
        <v>512383</v>
      </c>
      <c r="C8" s="436"/>
      <c r="D8" s="23" t="s">
        <v>28</v>
      </c>
      <c r="E8" s="27">
        <f>'DAILY COGS'!CA55</f>
        <v>332893.875</v>
      </c>
      <c r="F8" s="436"/>
      <c r="G8" s="23" t="s">
        <v>28</v>
      </c>
      <c r="H8" s="27">
        <f>DELIVERIES!CA55</f>
        <v>335172.5</v>
      </c>
      <c r="I8" s="436"/>
      <c r="J8" s="23" t="s">
        <v>28</v>
      </c>
      <c r="K8" s="27">
        <f>B.O!CA55</f>
        <v>0</v>
      </c>
      <c r="L8" s="431"/>
      <c r="M8" s="23" t="s">
        <v>28</v>
      </c>
      <c r="N8" s="27">
        <f>'MONTHLY INV.'!K30</f>
        <v>18206.5</v>
      </c>
    </row>
    <row r="9" spans="1:14" ht="17.25" customHeight="1">
      <c r="A9" s="21" t="s">
        <v>31</v>
      </c>
      <c r="B9" s="27">
        <f>'WEEKLY INV.'!T121</f>
        <v>512383</v>
      </c>
      <c r="C9" s="436"/>
      <c r="D9" s="23" t="s">
        <v>31</v>
      </c>
      <c r="E9" s="27">
        <f>'WEEKLY INV.'!P121</f>
        <v>332893.875</v>
      </c>
      <c r="F9" s="436"/>
      <c r="G9" s="23" t="s">
        <v>31</v>
      </c>
      <c r="H9" s="27">
        <f>'WEEKLY INV.'!F121</f>
        <v>335172.5</v>
      </c>
      <c r="I9" s="436"/>
      <c r="J9" s="23" t="s">
        <v>31</v>
      </c>
      <c r="K9" s="27">
        <f>'WEEKLY INV.'!H121</f>
        <v>0</v>
      </c>
      <c r="L9" s="431"/>
      <c r="M9" s="23" t="s">
        <v>31</v>
      </c>
      <c r="N9" s="27">
        <f>'WEEKLY INV.'!K119</f>
        <v>18206.5</v>
      </c>
    </row>
    <row r="10" spans="1:14" ht="18" customHeight="1">
      <c r="A10" s="21" t="s">
        <v>35</v>
      </c>
      <c r="B10" s="27">
        <f>'MONTHLY INV.'!T30</f>
        <v>512383</v>
      </c>
      <c r="C10" s="433"/>
      <c r="D10" s="23" t="s">
        <v>35</v>
      </c>
      <c r="E10" s="27">
        <f>'MONTHLY INV.'!P30</f>
        <v>332893.875</v>
      </c>
      <c r="F10" s="433"/>
      <c r="G10" s="23" t="s">
        <v>35</v>
      </c>
      <c r="H10" s="27">
        <f>'MONTHLY INV.'!F30</f>
        <v>335172.5</v>
      </c>
      <c r="I10" s="433"/>
      <c r="J10" s="23" t="s">
        <v>35</v>
      </c>
      <c r="K10" s="27">
        <f>'MONTHLY INV.'!H30</f>
        <v>0</v>
      </c>
      <c r="L10" s="431"/>
      <c r="M10" s="23" t="s">
        <v>35</v>
      </c>
      <c r="N10" s="27">
        <f>'MONTHLY INV.'!K30</f>
        <v>18206.5</v>
      </c>
    </row>
    <row r="11" spans="1:14" ht="14.5">
      <c r="B11" s="35">
        <f>B10-'income statement'!C19</f>
        <v>0</v>
      </c>
      <c r="E11" s="36">
        <f>E9-E8</f>
        <v>0</v>
      </c>
    </row>
    <row r="15" spans="1:14" ht="14.5">
      <c r="B15" s="37"/>
      <c r="D15" s="37"/>
      <c r="E15" s="37"/>
    </row>
    <row r="16" spans="1:14" ht="14.5">
      <c r="B16" s="35"/>
      <c r="D16" s="38"/>
      <c r="E16" s="38"/>
    </row>
    <row r="17" spans="5:8" ht="14.5">
      <c r="E17" s="39"/>
      <c r="H17" s="39"/>
    </row>
    <row r="21" spans="5:8" ht="15.75" customHeight="1"/>
    <row r="22" spans="5:8" ht="15.75" customHeight="1"/>
    <row r="23" spans="5:8" ht="15.75" customHeight="1"/>
    <row r="24" spans="5:8" ht="15.75" customHeight="1"/>
    <row r="25" spans="5:8" ht="15.75" customHeight="1"/>
    <row r="26" spans="5:8" ht="15.75" customHeight="1"/>
    <row r="27" spans="5:8" ht="15.75" customHeight="1"/>
    <row r="28" spans="5:8" ht="15.75" customHeight="1"/>
    <row r="29" spans="5:8" ht="15.75" customHeight="1"/>
    <row r="30" spans="5:8" ht="15.75" customHeight="1"/>
    <row r="31" spans="5:8" ht="15.75" customHeight="1"/>
    <row r="32" spans="5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L6:L10"/>
    <mergeCell ref="M6:M7"/>
    <mergeCell ref="A6:A7"/>
    <mergeCell ref="C6:C10"/>
    <mergeCell ref="D6:D7"/>
    <mergeCell ref="F6:F10"/>
    <mergeCell ref="G6:G7"/>
    <mergeCell ref="I6:I10"/>
    <mergeCell ref="J6:J7"/>
    <mergeCell ref="G5:H5"/>
    <mergeCell ref="J5:K5"/>
    <mergeCell ref="M5:N5"/>
    <mergeCell ref="A1:J1"/>
    <mergeCell ref="A2:C2"/>
    <mergeCell ref="D2:G2"/>
    <mergeCell ref="A3:C3"/>
    <mergeCell ref="D3:G3"/>
    <mergeCell ref="A5:B5"/>
    <mergeCell ref="D5:E5"/>
  </mergeCells>
  <pageMargins left="0.69930555555555596" right="0.69930555555555596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7" customWidth="1"/>
    <col min="2" max="2" width="12" customWidth="1"/>
    <col min="3" max="4" width="16" customWidth="1"/>
    <col min="5" max="6" width="14" customWidth="1"/>
    <col min="7" max="9" width="12" customWidth="1"/>
    <col min="10" max="11" width="16" customWidth="1"/>
    <col min="12" max="12" width="20" customWidth="1"/>
    <col min="13" max="26" width="8.7265625" customWidth="1"/>
  </cols>
  <sheetData>
    <row r="1" spans="1:12" ht="21.75" customHeight="1">
      <c r="A1" s="437" t="s">
        <v>1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</row>
    <row r="2" spans="1:12" ht="18" customHeight="1">
      <c r="A2" s="439" t="s">
        <v>3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</row>
    <row r="3" spans="1:12" ht="30" customHeight="1">
      <c r="A3" s="5" t="s">
        <v>6</v>
      </c>
      <c r="B3" s="5" t="s">
        <v>7</v>
      </c>
      <c r="C3" s="5" t="s">
        <v>5</v>
      </c>
      <c r="D3" s="5" t="s">
        <v>8</v>
      </c>
      <c r="E3" s="5" t="s">
        <v>9</v>
      </c>
      <c r="F3" s="5" t="s">
        <v>10</v>
      </c>
      <c r="G3" s="5" t="s">
        <v>12</v>
      </c>
      <c r="H3" s="5" t="s">
        <v>14</v>
      </c>
      <c r="I3" s="5" t="s">
        <v>16</v>
      </c>
      <c r="J3" s="5" t="s">
        <v>17</v>
      </c>
      <c r="K3" s="5" t="s">
        <v>19</v>
      </c>
      <c r="L3" s="5" t="s">
        <v>20</v>
      </c>
    </row>
    <row r="4" spans="1:12" ht="14.5">
      <c r="A4" s="10">
        <v>1</v>
      </c>
      <c r="B4" s="13">
        <f>'1'!T3</f>
        <v>46204</v>
      </c>
      <c r="C4" s="15">
        <f>'1'!B33</f>
        <v>14797</v>
      </c>
      <c r="D4" s="15">
        <f>'1'!B34</f>
        <v>5970</v>
      </c>
      <c r="E4" s="15">
        <f>'1'!B35</f>
        <v>8827</v>
      </c>
      <c r="F4" s="15">
        <f>'1'!B36</f>
        <v>8827</v>
      </c>
      <c r="G4" s="15">
        <f>'1'!B37</f>
        <v>0</v>
      </c>
      <c r="H4" s="15">
        <f>'1'!T30</f>
        <v>4270</v>
      </c>
      <c r="I4" s="15">
        <f>'1'!W30</f>
        <v>0</v>
      </c>
      <c r="J4" s="15">
        <f>'1'!W22</f>
        <v>1700</v>
      </c>
      <c r="K4" s="15">
        <f>'1'!AB18</f>
        <v>9220</v>
      </c>
      <c r="L4" s="24"/>
    </row>
    <row r="5" spans="1:12" ht="14.5">
      <c r="A5" s="25">
        <v>2</v>
      </c>
      <c r="B5" s="28">
        <f>'2'!T3</f>
        <v>46205</v>
      </c>
      <c r="C5" s="29">
        <f>'2'!B33</f>
        <v>17889</v>
      </c>
      <c r="D5" s="29">
        <f>'2'!B34</f>
        <v>3439</v>
      </c>
      <c r="E5" s="29">
        <f>'2'!B35</f>
        <v>14450</v>
      </c>
      <c r="F5" s="29">
        <f>'2'!B36</f>
        <v>14450</v>
      </c>
      <c r="G5" s="29">
        <f>'2'!B37</f>
        <v>0</v>
      </c>
      <c r="H5" s="29">
        <f>'2'!T30</f>
        <v>1284</v>
      </c>
      <c r="I5" s="29">
        <f>'2'!W30</f>
        <v>60</v>
      </c>
      <c r="J5" s="29">
        <f>'2'!W22</f>
        <v>2095</v>
      </c>
      <c r="K5" s="29">
        <f>'2'!AB18</f>
        <v>6430</v>
      </c>
      <c r="L5" s="32"/>
    </row>
    <row r="6" spans="1:12" ht="14.5">
      <c r="A6" s="10">
        <v>3</v>
      </c>
      <c r="B6" s="13">
        <f>'3'!T3</f>
        <v>46206</v>
      </c>
      <c r="C6" s="15">
        <f>'3'!B33</f>
        <v>16664</v>
      </c>
      <c r="D6" s="15">
        <f>'3'!B34</f>
        <v>5491</v>
      </c>
      <c r="E6" s="15">
        <f>'3'!B35</f>
        <v>11173</v>
      </c>
      <c r="F6" s="15">
        <f>'3'!B36</f>
        <v>11181.5</v>
      </c>
      <c r="G6" s="15">
        <f>'3'!B37</f>
        <v>8.5</v>
      </c>
      <c r="H6" s="15">
        <f>'3'!T30</f>
        <v>1091</v>
      </c>
      <c r="I6" s="15">
        <f>'3'!W30</f>
        <v>0</v>
      </c>
      <c r="J6" s="15">
        <f>'3'!W22</f>
        <v>4400</v>
      </c>
      <c r="K6" s="15">
        <f>'3'!AB18</f>
        <v>11134</v>
      </c>
      <c r="L6" s="24"/>
    </row>
    <row r="7" spans="1:12" ht="14.5">
      <c r="A7" s="25">
        <v>4</v>
      </c>
      <c r="B7" s="28">
        <f>'4'!T3</f>
        <v>46207</v>
      </c>
      <c r="C7" s="29">
        <f>'4'!B33</f>
        <v>12936</v>
      </c>
      <c r="D7" s="29">
        <f>'4'!B34</f>
        <v>10512.5</v>
      </c>
      <c r="E7" s="29">
        <f>'4'!B35</f>
        <v>2423.5</v>
      </c>
      <c r="F7" s="29">
        <f>'4'!B36</f>
        <v>2424</v>
      </c>
      <c r="G7" s="29">
        <f>'4'!B37</f>
        <v>0.5</v>
      </c>
      <c r="H7" s="29">
        <f>'4'!T30</f>
        <v>0</v>
      </c>
      <c r="I7" s="29">
        <f>'4'!W30</f>
        <v>90</v>
      </c>
      <c r="J7" s="29">
        <f>'4'!W22</f>
        <v>1360</v>
      </c>
      <c r="K7" s="29">
        <f>'4'!AB18</f>
        <v>22005</v>
      </c>
      <c r="L7" s="32"/>
    </row>
    <row r="8" spans="1:12" ht="14.5">
      <c r="A8" s="10">
        <v>5</v>
      </c>
      <c r="B8" s="13">
        <f>'5'!T3</f>
        <v>46208</v>
      </c>
      <c r="C8" s="15">
        <f>'5'!B33</f>
        <v>19041</v>
      </c>
      <c r="D8" s="15">
        <f>'5'!B34</f>
        <v>6767.5</v>
      </c>
      <c r="E8" s="15">
        <f>'5'!B35</f>
        <v>12273.5</v>
      </c>
      <c r="F8" s="15">
        <f>'5'!B36</f>
        <v>12279</v>
      </c>
      <c r="G8" s="15">
        <f>'5'!B37</f>
        <v>5.5</v>
      </c>
      <c r="H8" s="15">
        <f>'5'!T30</f>
        <v>4270</v>
      </c>
      <c r="I8" s="15">
        <f>'5'!W30</f>
        <v>500</v>
      </c>
      <c r="J8" s="15">
        <f>'5'!W22</f>
        <v>1997.5</v>
      </c>
      <c r="K8" s="15">
        <f>'5'!AB18</f>
        <v>0</v>
      </c>
      <c r="L8" s="24"/>
    </row>
    <row r="9" spans="1:12" ht="14.5">
      <c r="A9" s="25">
        <v>6</v>
      </c>
      <c r="B9" s="28">
        <f>'6'!T3</f>
        <v>46209</v>
      </c>
      <c r="C9" s="29">
        <f>'6'!B33</f>
        <v>16561</v>
      </c>
      <c r="D9" s="29">
        <f>'6'!B34</f>
        <v>7360</v>
      </c>
      <c r="E9" s="29">
        <f>'6'!B35</f>
        <v>9201</v>
      </c>
      <c r="F9" s="29">
        <f>'6'!B36</f>
        <v>9207.5</v>
      </c>
      <c r="G9" s="29">
        <f>'6'!B37</f>
        <v>6.5</v>
      </c>
      <c r="H9" s="29">
        <f>'6'!T30</f>
        <v>5185</v>
      </c>
      <c r="I9" s="29">
        <f>'6'!W30</f>
        <v>60</v>
      </c>
      <c r="J9" s="29">
        <f>'6'!W22</f>
        <v>2115</v>
      </c>
      <c r="K9" s="29">
        <f>'6'!AB18</f>
        <v>5030</v>
      </c>
      <c r="L9" s="32"/>
    </row>
    <row r="10" spans="1:12" ht="14.5">
      <c r="A10" s="10">
        <v>7</v>
      </c>
      <c r="B10" s="13">
        <f>'7'!T3</f>
        <v>46210</v>
      </c>
      <c r="C10" s="15">
        <f>'7'!B33</f>
        <v>14102</v>
      </c>
      <c r="D10" s="15">
        <f>'7'!B34</f>
        <v>7694</v>
      </c>
      <c r="E10" s="15">
        <f>'7'!B35</f>
        <v>6408</v>
      </c>
      <c r="F10" s="15">
        <f>'7'!B36</f>
        <v>6410</v>
      </c>
      <c r="G10" s="15">
        <f>'7'!B37</f>
        <v>2</v>
      </c>
      <c r="H10" s="15">
        <f>'7'!T30</f>
        <v>3660</v>
      </c>
      <c r="I10" s="15">
        <f>'7'!W30</f>
        <v>530</v>
      </c>
      <c r="J10" s="15">
        <f>'7'!W22</f>
        <v>3504</v>
      </c>
      <c r="K10" s="15">
        <f>'7'!AB18</f>
        <v>8160</v>
      </c>
      <c r="L10" s="24"/>
    </row>
    <row r="11" spans="1:12" ht="14.5">
      <c r="A11" s="25">
        <v>8</v>
      </c>
      <c r="B11" s="28">
        <f>'8'!T3</f>
        <v>46211</v>
      </c>
      <c r="C11" s="29">
        <f>'8'!B33</f>
        <v>18444</v>
      </c>
      <c r="D11" s="29">
        <f>'8'!B34</f>
        <v>8305.2900000000009</v>
      </c>
      <c r="E11" s="29">
        <f>'8'!B35</f>
        <v>10138.709999999999</v>
      </c>
      <c r="F11" s="29">
        <f>'8'!B36</f>
        <v>10141</v>
      </c>
      <c r="G11" s="29">
        <f>'8'!B37</f>
        <v>2.2900000000008731</v>
      </c>
      <c r="H11" s="29">
        <f>'8'!T30</f>
        <v>6775.29</v>
      </c>
      <c r="I11" s="29">
        <f>'8'!W30</f>
        <v>0</v>
      </c>
      <c r="J11" s="29">
        <f>'8'!W22</f>
        <v>1530</v>
      </c>
      <c r="K11" s="29">
        <f>'8'!AB18</f>
        <v>7611</v>
      </c>
      <c r="L11" s="32"/>
    </row>
    <row r="12" spans="1:12" ht="14.5">
      <c r="A12" s="10">
        <v>9</v>
      </c>
      <c r="B12" s="13">
        <f>'9'!T3</f>
        <v>46212</v>
      </c>
      <c r="C12" s="15">
        <f>'9'!B33</f>
        <v>18214</v>
      </c>
      <c r="D12" s="15">
        <f>'9'!B34</f>
        <v>9968.25</v>
      </c>
      <c r="E12" s="15">
        <f>'9'!B35</f>
        <v>8245.75</v>
      </c>
      <c r="F12" s="15">
        <f>'9'!B36</f>
        <v>8250</v>
      </c>
      <c r="G12" s="15">
        <f>'9'!B37</f>
        <v>4.25</v>
      </c>
      <c r="H12" s="15">
        <f>'9'!T30</f>
        <v>8378.25</v>
      </c>
      <c r="I12" s="15">
        <f>'9'!W30</f>
        <v>60</v>
      </c>
      <c r="J12" s="15">
        <f>'9'!W22</f>
        <v>1530</v>
      </c>
      <c r="K12" s="15">
        <f>'9'!AB18</f>
        <v>9254</v>
      </c>
      <c r="L12" s="24"/>
    </row>
    <row r="13" spans="1:12" ht="14.5">
      <c r="A13" s="25">
        <v>10</v>
      </c>
      <c r="B13" s="28">
        <f>'10'!T3</f>
        <v>46213</v>
      </c>
      <c r="C13" s="29">
        <f>'10'!B33</f>
        <v>15286</v>
      </c>
      <c r="D13" s="29">
        <f>'10'!B34</f>
        <v>8505</v>
      </c>
      <c r="E13" s="29">
        <f>'10'!B35</f>
        <v>6781</v>
      </c>
      <c r="F13" s="29">
        <f>'10'!B36</f>
        <v>6781</v>
      </c>
      <c r="G13" s="29">
        <f>'10'!B37</f>
        <v>0</v>
      </c>
      <c r="H13" s="29">
        <f>'10'!T30</f>
        <v>5000</v>
      </c>
      <c r="I13" s="29">
        <f>'10'!W30</f>
        <v>0</v>
      </c>
      <c r="J13" s="29">
        <f>'10'!W22</f>
        <v>3505</v>
      </c>
      <c r="K13" s="29">
        <f>'10'!AB18</f>
        <v>9520</v>
      </c>
      <c r="L13" s="32"/>
    </row>
    <row r="14" spans="1:12" ht="14.5">
      <c r="A14" s="10">
        <v>11</v>
      </c>
      <c r="B14" s="13">
        <f>'11'!T3</f>
        <v>46214</v>
      </c>
      <c r="C14" s="15">
        <f>'11'!B33</f>
        <v>17440</v>
      </c>
      <c r="D14" s="15">
        <f>'11'!B34</f>
        <v>15145.5</v>
      </c>
      <c r="E14" s="15">
        <f>'11'!B35</f>
        <v>2294.5</v>
      </c>
      <c r="F14" s="15">
        <f>'11'!B36</f>
        <v>2295</v>
      </c>
      <c r="G14" s="15">
        <f>'11'!B37</f>
        <v>0.5</v>
      </c>
      <c r="H14" s="15">
        <f>'11'!T30</f>
        <v>4200</v>
      </c>
      <c r="I14" s="15">
        <f>'11'!W30</f>
        <v>60</v>
      </c>
      <c r="J14" s="15">
        <f>'11'!W22</f>
        <v>1823</v>
      </c>
      <c r="K14" s="15">
        <f>'11'!AB18</f>
        <v>21764</v>
      </c>
      <c r="L14" s="24"/>
    </row>
    <row r="15" spans="1:12" ht="14.5">
      <c r="A15" s="25">
        <v>12</v>
      </c>
      <c r="B15" s="28">
        <f>'12'!T3</f>
        <v>46215</v>
      </c>
      <c r="C15" s="29">
        <f>'12'!B33</f>
        <v>20150</v>
      </c>
      <c r="D15" s="29">
        <f>'12'!B34</f>
        <v>2552.14</v>
      </c>
      <c r="E15" s="29">
        <f>'12'!B35</f>
        <v>17597.86</v>
      </c>
      <c r="F15" s="29">
        <f>'12'!B36</f>
        <v>17603</v>
      </c>
      <c r="G15" s="29">
        <f>'12'!B37</f>
        <v>5.1399999999994179</v>
      </c>
      <c r="H15" s="29">
        <f>'12'!T30</f>
        <v>1022.14</v>
      </c>
      <c r="I15" s="29">
        <f>'12'!W30</f>
        <v>0</v>
      </c>
      <c r="J15" s="29">
        <f>'12'!W22</f>
        <v>1530</v>
      </c>
      <c r="K15" s="29">
        <f>'12'!AB18</f>
        <v>0</v>
      </c>
      <c r="L15" s="32"/>
    </row>
    <row r="16" spans="1:12" ht="14.5">
      <c r="A16" s="10">
        <v>13</v>
      </c>
      <c r="B16" s="13">
        <f>'13'!T3</f>
        <v>46216</v>
      </c>
      <c r="C16" s="15">
        <f>'13'!B33</f>
        <v>15248</v>
      </c>
      <c r="D16" s="15">
        <f>'13'!B34</f>
        <v>3090</v>
      </c>
      <c r="E16" s="15">
        <f>'13'!B35</f>
        <v>12158</v>
      </c>
      <c r="F16" s="15">
        <f>'13'!B36</f>
        <v>12159</v>
      </c>
      <c r="G16" s="15">
        <f>'13'!B37</f>
        <v>1</v>
      </c>
      <c r="H16" s="15">
        <f>'13'!T30</f>
        <v>275</v>
      </c>
      <c r="I16" s="15">
        <f>'13'!W30</f>
        <v>90</v>
      </c>
      <c r="J16" s="15">
        <f>'13'!W22</f>
        <v>2725</v>
      </c>
      <c r="K16" s="15">
        <f>'13'!AB18</f>
        <v>10531</v>
      </c>
      <c r="L16" s="24"/>
    </row>
    <row r="17" spans="1:12" ht="14.5">
      <c r="A17" s="25">
        <v>14</v>
      </c>
      <c r="B17" s="28">
        <f>'14'!T3</f>
        <v>46217</v>
      </c>
      <c r="C17" s="29">
        <f>'14'!B33</f>
        <v>15740</v>
      </c>
      <c r="D17" s="29">
        <f>'14'!B34</f>
        <v>10380.5</v>
      </c>
      <c r="E17" s="29">
        <f>'14'!B35</f>
        <v>5359.5</v>
      </c>
      <c r="F17" s="29">
        <f>'14'!B36</f>
        <v>5359.5</v>
      </c>
      <c r="G17" s="29">
        <f>'14'!B37</f>
        <v>0</v>
      </c>
      <c r="H17" s="29">
        <f>'14'!T30</f>
        <v>6909.5</v>
      </c>
      <c r="I17" s="29">
        <f>'14'!W30</f>
        <v>0</v>
      </c>
      <c r="J17" s="29">
        <f>'14'!W22</f>
        <v>3471</v>
      </c>
      <c r="K17" s="29">
        <f>'14'!AB18</f>
        <v>7160</v>
      </c>
      <c r="L17" s="32"/>
    </row>
    <row r="18" spans="1:12" ht="14.5">
      <c r="A18" s="10">
        <v>15</v>
      </c>
      <c r="B18" s="13">
        <f>'15'!T3</f>
        <v>46218</v>
      </c>
      <c r="C18" s="15">
        <f>'15'!B33</f>
        <v>18654</v>
      </c>
      <c r="D18" s="15">
        <f>'15'!B34</f>
        <v>4627.87</v>
      </c>
      <c r="E18" s="15">
        <f>'15'!B35</f>
        <v>14026.130000000001</v>
      </c>
      <c r="F18" s="15">
        <f>'15'!B36</f>
        <v>14026</v>
      </c>
      <c r="G18" s="15">
        <f>'15'!B37</f>
        <v>-0.13000000000101863</v>
      </c>
      <c r="H18" s="15">
        <f>'15'!T30</f>
        <v>3007.87</v>
      </c>
      <c r="I18" s="15">
        <f>'15'!W30</f>
        <v>90</v>
      </c>
      <c r="J18" s="15">
        <f>'15'!W22</f>
        <v>1530</v>
      </c>
      <c r="K18" s="15">
        <f>'15'!AB18</f>
        <v>8614</v>
      </c>
      <c r="L18" s="24"/>
    </row>
    <row r="19" spans="1:12" ht="14.5">
      <c r="A19" s="25">
        <v>16</v>
      </c>
      <c r="B19" s="28">
        <f>'16'!T3</f>
        <v>46219</v>
      </c>
      <c r="C19" s="29">
        <f>'16'!B33</f>
        <v>17527</v>
      </c>
      <c r="D19" s="29">
        <f>'16'!B34</f>
        <v>5675</v>
      </c>
      <c r="E19" s="29">
        <f>'16'!B35</f>
        <v>11852</v>
      </c>
      <c r="F19" s="29">
        <f>'16'!B36</f>
        <v>11853</v>
      </c>
      <c r="G19" s="29">
        <f>'16'!B37</f>
        <v>1</v>
      </c>
      <c r="H19" s="29">
        <f>'16'!T30</f>
        <v>4060</v>
      </c>
      <c r="I19" s="29">
        <f>'16'!W30</f>
        <v>0</v>
      </c>
      <c r="J19" s="29">
        <f>'16'!W22</f>
        <v>1615</v>
      </c>
      <c r="K19" s="29">
        <f>'16'!AB18</f>
        <v>8120</v>
      </c>
      <c r="L19" s="32"/>
    </row>
    <row r="20" spans="1:12" ht="14.5">
      <c r="A20" s="10">
        <v>17</v>
      </c>
      <c r="B20" s="13">
        <f>'17'!T3</f>
        <v>46220</v>
      </c>
      <c r="C20" s="15">
        <f>'17'!B33</f>
        <v>17898</v>
      </c>
      <c r="D20" s="15">
        <f>'17'!B34</f>
        <v>7460.6900000000005</v>
      </c>
      <c r="E20" s="15">
        <f>'17'!B35</f>
        <v>10437.31</v>
      </c>
      <c r="F20" s="15">
        <f>'17'!B36</f>
        <v>10438</v>
      </c>
      <c r="G20" s="15">
        <f>'17'!B37</f>
        <v>0.69000000000050932</v>
      </c>
      <c r="H20" s="15">
        <f>'17'!T30</f>
        <v>4200.6900000000005</v>
      </c>
      <c r="I20" s="15">
        <f>'17'!W30</f>
        <v>90</v>
      </c>
      <c r="J20" s="15">
        <f>'17'!W22</f>
        <v>3170</v>
      </c>
      <c r="K20" s="15">
        <f>'17'!AB18</f>
        <v>12270</v>
      </c>
      <c r="L20" s="24"/>
    </row>
    <row r="21" spans="1:12" ht="15.75" customHeight="1">
      <c r="A21" s="25">
        <v>18</v>
      </c>
      <c r="B21" s="28">
        <f>'18'!T3</f>
        <v>38916</v>
      </c>
      <c r="C21" s="29">
        <f>'18'!B33</f>
        <v>16732</v>
      </c>
      <c r="D21" s="29">
        <f>'18'!B34</f>
        <v>14353.57</v>
      </c>
      <c r="E21" s="29">
        <f>'18'!B35</f>
        <v>2378.4300000000003</v>
      </c>
      <c r="F21" s="29">
        <f>'18'!B36</f>
        <v>2379</v>
      </c>
      <c r="G21" s="29">
        <f>'18'!B37</f>
        <v>0.56999999999970896</v>
      </c>
      <c r="H21" s="29">
        <f>'18'!T30</f>
        <v>11.07</v>
      </c>
      <c r="I21" s="29">
        <f>'18'!W30</f>
        <v>30</v>
      </c>
      <c r="J21" s="29">
        <f>'18'!W22</f>
        <v>1700</v>
      </c>
      <c r="K21" s="29">
        <f>'18'!AB18</f>
        <v>22701</v>
      </c>
      <c r="L21" s="32"/>
    </row>
    <row r="22" spans="1:12" ht="15.75" customHeight="1">
      <c r="A22" s="10">
        <v>19</v>
      </c>
      <c r="B22" s="13">
        <f>'19'!T3</f>
        <v>46222</v>
      </c>
      <c r="C22" s="15">
        <f>'19'!B33</f>
        <v>20302</v>
      </c>
      <c r="D22" s="15">
        <f>'19'!B34</f>
        <v>2210.87</v>
      </c>
      <c r="E22" s="15">
        <f>'19'!B35</f>
        <v>18091.13</v>
      </c>
      <c r="F22" s="15">
        <f>'19'!B36</f>
        <v>18092</v>
      </c>
      <c r="G22" s="15">
        <f>'19'!B37</f>
        <v>0.86999999999898137</v>
      </c>
      <c r="H22" s="15">
        <f>'19'!T30</f>
        <v>85.87</v>
      </c>
      <c r="I22" s="15">
        <f>'19'!W30</f>
        <v>0</v>
      </c>
      <c r="J22" s="15">
        <f>'19'!W22</f>
        <v>2125</v>
      </c>
      <c r="K22" s="15">
        <f>'19'!AB18</f>
        <v>0</v>
      </c>
      <c r="L22" s="24"/>
    </row>
    <row r="23" spans="1:12" ht="15.75" customHeight="1">
      <c r="A23" s="25">
        <v>20</v>
      </c>
      <c r="B23" s="28">
        <f>'20'!T3</f>
        <v>46223</v>
      </c>
      <c r="C23" s="29">
        <f>'20'!B33</f>
        <v>15110</v>
      </c>
      <c r="D23" s="29">
        <f>'20'!B34</f>
        <v>2175.9499999999998</v>
      </c>
      <c r="E23" s="29">
        <f>'20'!B35</f>
        <v>12934.05</v>
      </c>
      <c r="F23" s="29">
        <f>'20'!B36</f>
        <v>12936</v>
      </c>
      <c r="G23" s="29">
        <f>'20'!B37</f>
        <v>1.9500000000007276</v>
      </c>
      <c r="H23" s="29">
        <f>'20'!T30</f>
        <v>555.95000000000005</v>
      </c>
      <c r="I23" s="29">
        <f>'20'!W30</f>
        <v>90</v>
      </c>
      <c r="J23" s="29">
        <f>'20'!W22</f>
        <v>1530</v>
      </c>
      <c r="K23" s="29">
        <f>'20'!AB18</f>
        <v>8704</v>
      </c>
      <c r="L23" s="32"/>
    </row>
    <row r="24" spans="1:12" ht="15.75" customHeight="1">
      <c r="A24" s="10">
        <v>21</v>
      </c>
      <c r="B24" s="13">
        <f>'21'!T3</f>
        <v>46224</v>
      </c>
      <c r="C24" s="15">
        <f>'21'!B33</f>
        <v>15951</v>
      </c>
      <c r="D24" s="15">
        <f>'21'!B34</f>
        <v>7877.82</v>
      </c>
      <c r="E24" s="15">
        <f>'21'!B35</f>
        <v>8073.18</v>
      </c>
      <c r="F24" s="15">
        <f>'21'!B36</f>
        <v>8075</v>
      </c>
      <c r="G24" s="15">
        <f>'21'!B37</f>
        <v>1.819999999999709</v>
      </c>
      <c r="H24" s="15">
        <f>'21'!T30</f>
        <v>1564.8200000000002</v>
      </c>
      <c r="I24" s="15">
        <f>'21'!W30</f>
        <v>135</v>
      </c>
      <c r="J24" s="15">
        <f>'21'!W22</f>
        <v>6178</v>
      </c>
      <c r="K24" s="15">
        <f>'21'!AB18</f>
        <v>12380</v>
      </c>
      <c r="L24" s="24"/>
    </row>
    <row r="25" spans="1:12" ht="15.75" customHeight="1">
      <c r="A25" s="25">
        <v>22</v>
      </c>
      <c r="B25" s="28">
        <f>'22'!T3</f>
        <v>46225</v>
      </c>
      <c r="C25" s="29">
        <f>'22'!B33</f>
        <v>15625</v>
      </c>
      <c r="D25" s="29">
        <f>'22'!B34</f>
        <v>3679</v>
      </c>
      <c r="E25" s="29">
        <f>'22'!B35</f>
        <v>11946</v>
      </c>
      <c r="F25" s="29">
        <f>'22'!B36</f>
        <v>11947</v>
      </c>
      <c r="G25" s="29">
        <f>'22'!B37</f>
        <v>1</v>
      </c>
      <c r="H25" s="29">
        <f>'22'!T30</f>
        <v>1444</v>
      </c>
      <c r="I25" s="29">
        <f>'22'!W30</f>
        <v>0</v>
      </c>
      <c r="J25" s="29">
        <f>'22'!W22</f>
        <v>2235</v>
      </c>
      <c r="K25" s="29">
        <f>'22'!AB18</f>
        <v>8004</v>
      </c>
      <c r="L25" s="32"/>
    </row>
    <row r="26" spans="1:12" ht="15.75" customHeight="1">
      <c r="A26" s="10">
        <v>23</v>
      </c>
      <c r="B26" s="13">
        <f>'23'!T3</f>
        <v>46226</v>
      </c>
      <c r="C26" s="15">
        <f>'23'!B33</f>
        <v>16503</v>
      </c>
      <c r="D26" s="15">
        <f>'23'!B34</f>
        <v>8999.07</v>
      </c>
      <c r="E26" s="15">
        <f>'23'!B35</f>
        <v>7503.93</v>
      </c>
      <c r="F26" s="15">
        <f>'23'!B36</f>
        <v>7505</v>
      </c>
      <c r="G26" s="15">
        <f>'23'!B37</f>
        <v>1.069999999999709</v>
      </c>
      <c r="H26" s="15">
        <f>'23'!T30</f>
        <v>7239.07</v>
      </c>
      <c r="I26" s="15">
        <f>'23'!W30</f>
        <v>60</v>
      </c>
      <c r="J26" s="15">
        <f>'23'!W22</f>
        <v>1700</v>
      </c>
      <c r="K26" s="15">
        <f>'23'!AB18</f>
        <v>7740</v>
      </c>
      <c r="L26" s="24"/>
    </row>
    <row r="27" spans="1:12" ht="15.75" customHeight="1">
      <c r="A27" s="25">
        <v>24</v>
      </c>
      <c r="B27" s="28">
        <f>'24'!T3</f>
        <v>45862</v>
      </c>
      <c r="C27" s="29">
        <f>'24'!B33</f>
        <v>17337</v>
      </c>
      <c r="D27" s="29">
        <f>'24'!B34</f>
        <v>6551.75</v>
      </c>
      <c r="E27" s="29">
        <f>'24'!B35</f>
        <v>10785.25</v>
      </c>
      <c r="F27" s="29">
        <f>'24'!B36</f>
        <v>10785.25</v>
      </c>
      <c r="G27" s="29">
        <f>'24'!B37</f>
        <v>0</v>
      </c>
      <c r="H27" s="29">
        <f>'24'!T30</f>
        <v>2961.75</v>
      </c>
      <c r="I27" s="29">
        <f>'24'!W30</f>
        <v>0</v>
      </c>
      <c r="J27" s="29">
        <f>'24'!W22</f>
        <v>3590</v>
      </c>
      <c r="K27" s="29">
        <f>'24'!AB18</f>
        <v>7311</v>
      </c>
      <c r="L27" s="32"/>
    </row>
    <row r="28" spans="1:12" ht="15.75" customHeight="1">
      <c r="A28" s="10">
        <v>25</v>
      </c>
      <c r="B28" s="13">
        <f>'25'!T3</f>
        <v>46228</v>
      </c>
      <c r="C28" s="15">
        <f>'25'!B33</f>
        <v>14880</v>
      </c>
      <c r="D28" s="15">
        <f>'25'!B34</f>
        <v>11383.57</v>
      </c>
      <c r="E28" s="15">
        <f>'25'!B35</f>
        <v>3496.4300000000003</v>
      </c>
      <c r="F28" s="15">
        <f>'25'!B36</f>
        <v>3482</v>
      </c>
      <c r="G28" s="15">
        <f>'25'!B37</f>
        <v>-14.430000000000291</v>
      </c>
      <c r="H28" s="15">
        <f>'25'!T30</f>
        <v>11.07</v>
      </c>
      <c r="I28" s="15">
        <f>'25'!W30</f>
        <v>60</v>
      </c>
      <c r="J28" s="15">
        <f>'25'!W22</f>
        <v>1700</v>
      </c>
      <c r="K28" s="15">
        <f>'25'!AB18</f>
        <v>21094</v>
      </c>
      <c r="L28" s="24"/>
    </row>
    <row r="29" spans="1:12" ht="15.75" customHeight="1">
      <c r="A29" s="25">
        <v>26</v>
      </c>
      <c r="B29" s="28">
        <f>'26'!T3</f>
        <v>46229</v>
      </c>
      <c r="C29" s="29">
        <f>'26'!B33</f>
        <v>18894</v>
      </c>
      <c r="D29" s="29">
        <f>'26'!B34</f>
        <v>6632.99</v>
      </c>
      <c r="E29" s="29">
        <f>'26'!B35</f>
        <v>12261.01</v>
      </c>
      <c r="F29" s="29">
        <f>'26'!B36</f>
        <v>12263.25</v>
      </c>
      <c r="G29" s="29">
        <f>'26'!B37</f>
        <v>2.2399999999997817</v>
      </c>
      <c r="H29" s="29">
        <f>'26'!T30</f>
        <v>4932.99</v>
      </c>
      <c r="I29" s="29">
        <f>'26'!W30</f>
        <v>0</v>
      </c>
      <c r="J29" s="29">
        <f>'26'!W22</f>
        <v>1700</v>
      </c>
      <c r="K29" s="29">
        <f>'26'!AB18</f>
        <v>0</v>
      </c>
      <c r="L29" s="32"/>
    </row>
    <row r="30" spans="1:12" ht="15.75" customHeight="1">
      <c r="A30" s="10">
        <v>27</v>
      </c>
      <c r="B30" s="13">
        <f>'27'!T3</f>
        <v>46230</v>
      </c>
      <c r="C30" s="15">
        <f>'27'!B33</f>
        <v>15393</v>
      </c>
      <c r="D30" s="15">
        <f>'27'!B34</f>
        <v>2110</v>
      </c>
      <c r="E30" s="15">
        <f>'27'!B35</f>
        <v>13283</v>
      </c>
      <c r="F30" s="15">
        <f>'27'!B36</f>
        <v>13293</v>
      </c>
      <c r="G30" s="15">
        <f>'27'!B37</f>
        <v>10</v>
      </c>
      <c r="H30" s="15">
        <f>'27'!T30</f>
        <v>0</v>
      </c>
      <c r="I30" s="15">
        <f>'27'!W30</f>
        <v>90</v>
      </c>
      <c r="J30" s="15">
        <f>'27'!W22</f>
        <v>2020</v>
      </c>
      <c r="K30" s="15">
        <f>'27'!AB18</f>
        <v>9780</v>
      </c>
      <c r="L30" s="24"/>
    </row>
    <row r="31" spans="1:12" ht="15.75" customHeight="1">
      <c r="A31" s="25">
        <v>28</v>
      </c>
      <c r="B31" s="28">
        <f>'28'!T3</f>
        <v>46231</v>
      </c>
      <c r="C31" s="29">
        <f>'28'!B33</f>
        <v>15154</v>
      </c>
      <c r="D31" s="29">
        <f>'28'!B34</f>
        <v>6109.75</v>
      </c>
      <c r="E31" s="29">
        <f>'28'!B35</f>
        <v>9044.25</v>
      </c>
      <c r="F31" s="29">
        <f>'28'!B36</f>
        <v>9050</v>
      </c>
      <c r="G31" s="29">
        <f>'28'!B37</f>
        <v>5.75</v>
      </c>
      <c r="H31" s="29">
        <f>'28'!T30</f>
        <v>1639.75</v>
      </c>
      <c r="I31" s="29">
        <f>'28'!W30</f>
        <v>0</v>
      </c>
      <c r="J31" s="29">
        <f>'28'!W22</f>
        <v>4470</v>
      </c>
      <c r="K31" s="29">
        <f>'28'!AB18</f>
        <v>9335</v>
      </c>
      <c r="L31" s="32"/>
    </row>
    <row r="32" spans="1:12" ht="15.75" customHeight="1">
      <c r="A32" s="10">
        <v>29</v>
      </c>
      <c r="B32" s="13">
        <f>'29'!T3</f>
        <v>46232</v>
      </c>
      <c r="C32" s="15">
        <f>'29'!B33</f>
        <v>12776</v>
      </c>
      <c r="D32" s="15">
        <f>'29'!B34</f>
        <v>1873</v>
      </c>
      <c r="E32" s="15">
        <f>'29'!B35</f>
        <v>10903</v>
      </c>
      <c r="F32" s="15">
        <f>'29'!B36</f>
        <v>10903</v>
      </c>
      <c r="G32" s="15">
        <f>'29'!B37</f>
        <v>0</v>
      </c>
      <c r="H32" s="15">
        <f>'29'!T30</f>
        <v>198</v>
      </c>
      <c r="I32" s="15">
        <f>'29'!W30</f>
        <v>60</v>
      </c>
      <c r="J32" s="15">
        <f>'29'!W22</f>
        <v>1615</v>
      </c>
      <c r="K32" s="15">
        <f>'29'!AB18</f>
        <v>7820</v>
      </c>
      <c r="L32" s="24"/>
    </row>
    <row r="33" spans="1:12" ht="15.75" customHeight="1">
      <c r="A33" s="25">
        <v>30</v>
      </c>
      <c r="B33" s="28">
        <f>'30'!T3</f>
        <v>46233</v>
      </c>
      <c r="C33" s="29">
        <f>'30'!B33</f>
        <v>15386</v>
      </c>
      <c r="D33" s="29">
        <f>'30'!B34</f>
        <v>2015</v>
      </c>
      <c r="E33" s="29">
        <f>'30'!B35</f>
        <v>13371</v>
      </c>
      <c r="F33" s="29">
        <f>'30'!B36</f>
        <v>13372</v>
      </c>
      <c r="G33" s="29">
        <f>'30'!B37</f>
        <v>1</v>
      </c>
      <c r="H33" s="29">
        <f>'30'!T30</f>
        <v>15</v>
      </c>
      <c r="I33" s="29">
        <f>'30'!W30</f>
        <v>0</v>
      </c>
      <c r="J33" s="29">
        <f>'30'!W22</f>
        <v>2000</v>
      </c>
      <c r="K33" s="29">
        <f>'30'!AB18</f>
        <v>6750</v>
      </c>
      <c r="L33" s="32"/>
    </row>
    <row r="34" spans="1:12" ht="15.75" customHeight="1">
      <c r="A34" s="10">
        <v>31</v>
      </c>
      <c r="B34" s="13">
        <f>'31'!T3</f>
        <v>46234</v>
      </c>
      <c r="C34" s="15">
        <f>'31'!B33</f>
        <v>15749</v>
      </c>
      <c r="D34" s="15">
        <f>'31'!B34</f>
        <v>3009</v>
      </c>
      <c r="E34" s="15">
        <f>'31'!B35</f>
        <v>12740</v>
      </c>
      <c r="F34" s="15">
        <f>'31'!B36</f>
        <v>12746</v>
      </c>
      <c r="G34" s="15">
        <f>'31'!B37</f>
        <v>6</v>
      </c>
      <c r="H34" s="15">
        <f>'31'!T30</f>
        <v>0</v>
      </c>
      <c r="I34" s="15">
        <f>'31'!W30</f>
        <v>0</v>
      </c>
      <c r="J34" s="15">
        <f>'31'!W22</f>
        <v>3009</v>
      </c>
      <c r="K34" s="15">
        <f>'31'!AB18</f>
        <v>8084</v>
      </c>
      <c r="L34" s="24"/>
    </row>
    <row r="35" spans="1:12" ht="15" customHeight="1">
      <c r="A35" s="440" t="s">
        <v>76</v>
      </c>
      <c r="B35" s="441"/>
      <c r="C35" s="86">
        <f t="shared" ref="C35:K35" si="0">SUM(C4:C34)</f>
        <v>512383</v>
      </c>
      <c r="D35" s="86">
        <f t="shared" si="0"/>
        <v>201925.58000000002</v>
      </c>
      <c r="E35" s="86">
        <f t="shared" si="0"/>
        <v>310457.41999999993</v>
      </c>
      <c r="F35" s="86">
        <f t="shared" si="0"/>
        <v>310513</v>
      </c>
      <c r="G35" s="86">
        <f t="shared" si="0"/>
        <v>55.579999999998108</v>
      </c>
      <c r="H35" s="86">
        <f t="shared" si="0"/>
        <v>84248.080000000031</v>
      </c>
      <c r="I35" s="86">
        <f t="shared" si="0"/>
        <v>2155</v>
      </c>
      <c r="J35" s="86">
        <f t="shared" si="0"/>
        <v>75172.5</v>
      </c>
      <c r="K35" s="86">
        <f t="shared" si="0"/>
        <v>286526</v>
      </c>
      <c r="L35" s="87"/>
    </row>
    <row r="36" spans="1:12" ht="15.75" customHeight="1"/>
    <row r="37" spans="1:12" ht="30" customHeight="1">
      <c r="A37" s="442" t="s">
        <v>79</v>
      </c>
      <c r="B37" s="425"/>
      <c r="C37" s="425"/>
      <c r="D37" s="425"/>
      <c r="E37" s="425"/>
      <c r="F37" s="425"/>
      <c r="G37" s="425"/>
      <c r="H37" s="425"/>
      <c r="I37" s="425"/>
      <c r="J37" s="425"/>
      <c r="K37" s="425"/>
      <c r="L37" s="425"/>
    </row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35:B35"/>
    <mergeCell ref="A37:L37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4.453125" defaultRowHeight="15" customHeight="1"/>
  <cols>
    <col min="1" max="1" width="18.26953125" customWidth="1"/>
    <col min="2" max="2" width="38.54296875" customWidth="1"/>
    <col min="3" max="3" width="21.453125" customWidth="1"/>
    <col min="4" max="4" width="9" customWidth="1"/>
    <col min="5" max="5" width="8.81640625" customWidth="1"/>
    <col min="6" max="6" width="31.453125" customWidth="1"/>
    <col min="7" max="7" width="16.81640625" customWidth="1"/>
    <col min="8" max="8" width="16.7265625" customWidth="1"/>
    <col min="9" max="9" width="10.7265625" customWidth="1"/>
    <col min="10" max="10" width="10.81640625" customWidth="1"/>
    <col min="11" max="11" width="12.453125" customWidth="1"/>
    <col min="12" max="12" width="12" customWidth="1"/>
    <col min="13" max="13" width="10.26953125" customWidth="1"/>
    <col min="14" max="14" width="9.54296875" customWidth="1"/>
    <col min="15" max="15" width="7.54296875" customWidth="1"/>
    <col min="16" max="26" width="9.08984375" customWidth="1"/>
  </cols>
  <sheetData>
    <row r="1" spans="1:26" ht="3.75" customHeight="1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7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.5" customHeight="1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>
      <c r="A3" s="3"/>
      <c r="B3" s="443" t="s">
        <v>24</v>
      </c>
      <c r="C3" s="42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>
      <c r="A4" s="3"/>
      <c r="B4" s="443" t="s">
        <v>25</v>
      </c>
      <c r="C4" s="42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>
      <c r="A5" s="3"/>
      <c r="B5" s="443" t="s">
        <v>27</v>
      </c>
      <c r="C5" s="42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" customHeight="1">
      <c r="A6" s="3"/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6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>
      <c r="A7" s="26" t="s">
        <v>29</v>
      </c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>
      <c r="A8" s="26"/>
      <c r="B8" s="30" t="s">
        <v>30</v>
      </c>
      <c r="C8" s="31">
        <f>GROSS!G55</f>
        <v>300600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>
      <c r="A9" s="26"/>
      <c r="B9" s="30" t="s">
        <v>33</v>
      </c>
      <c r="C9" s="31">
        <f>GROSS!D55</f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>
      <c r="A10" s="26"/>
      <c r="B10" s="30" t="s">
        <v>36</v>
      </c>
      <c r="C10" s="31">
        <f>GROSS!P55</f>
        <v>33384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>
      <c r="A11" s="26"/>
      <c r="B11" s="30" t="s">
        <v>37</v>
      </c>
      <c r="C11" s="31">
        <f>GROSS!V55</f>
        <v>88110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>
      <c r="A12" s="26"/>
      <c r="B12" s="30" t="s">
        <v>39</v>
      </c>
      <c r="C12" s="31">
        <f>GROSS!BY55</f>
        <v>50689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26"/>
      <c r="B13" s="30" t="s">
        <v>40</v>
      </c>
      <c r="C13" s="31">
        <f>GROSS!J55</f>
        <v>4056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26"/>
      <c r="B14" s="30" t="s">
        <v>41</v>
      </c>
      <c r="C14" s="31">
        <f>GROSS!AE55</f>
        <v>2570</v>
      </c>
      <c r="D14" s="3"/>
      <c r="E14" s="3"/>
      <c r="F14" s="42"/>
      <c r="G14" s="4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26"/>
      <c r="B15" s="30" t="s">
        <v>42</v>
      </c>
      <c r="C15" s="31">
        <f>GROSS!S55</f>
        <v>0</v>
      </c>
      <c r="D15" s="3"/>
      <c r="E15" s="3"/>
      <c r="F15" s="42"/>
      <c r="G15" s="4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26"/>
      <c r="B16" s="30" t="s">
        <v>43</v>
      </c>
      <c r="C16" s="31">
        <f>GROSS!Y55</f>
        <v>11800</v>
      </c>
      <c r="D16" s="3"/>
      <c r="E16" s="3"/>
      <c r="F16" s="42"/>
      <c r="G16" s="4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26"/>
      <c r="B17" s="30" t="s">
        <v>44</v>
      </c>
      <c r="C17" s="31">
        <f>GROSS!AB55</f>
        <v>9224</v>
      </c>
      <c r="D17" s="3"/>
      <c r="E17" s="3"/>
      <c r="F17" s="42"/>
      <c r="G17" s="4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26"/>
      <c r="B18" s="30" t="s">
        <v>45</v>
      </c>
      <c r="C18" s="31">
        <f>GROSS!M55</f>
        <v>11950</v>
      </c>
      <c r="D18" s="3"/>
      <c r="E18" s="3"/>
      <c r="F18" s="42"/>
      <c r="G18" s="4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26" t="s">
        <v>46</v>
      </c>
      <c r="B19" s="42"/>
      <c r="C19" s="44">
        <f>SUM(C8:C18)</f>
        <v>512383</v>
      </c>
      <c r="D19" s="3"/>
      <c r="E19" s="3"/>
      <c r="F19" s="45"/>
      <c r="G19" s="4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26"/>
      <c r="B20" s="42"/>
      <c r="C20" s="46"/>
      <c r="D20" s="3"/>
      <c r="E20" s="3"/>
      <c r="F20" s="42"/>
      <c r="G20" s="4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26" t="s">
        <v>47</v>
      </c>
      <c r="B21" s="30" t="s">
        <v>48</v>
      </c>
      <c r="C21" s="31">
        <f>'DAILY COGS'!CA55</f>
        <v>332893.875</v>
      </c>
      <c r="D21" s="3"/>
      <c r="E21" s="47">
        <f>C21/C19</f>
        <v>0.64969734554034775</v>
      </c>
      <c r="F21" s="42"/>
      <c r="G21" s="42"/>
      <c r="H21" s="4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6"/>
      <c r="B22" s="42"/>
      <c r="C22" s="46"/>
      <c r="D22" s="3"/>
      <c r="E22" s="47"/>
      <c r="F22" s="42"/>
      <c r="G22" s="42"/>
      <c r="H22" s="4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26" t="s">
        <v>49</v>
      </c>
      <c r="B23" s="42"/>
      <c r="C23" s="46">
        <f>C19-C21</f>
        <v>179489.125</v>
      </c>
      <c r="D23" s="3"/>
      <c r="E23" s="47"/>
      <c r="F23" s="42"/>
      <c r="G23" s="42"/>
      <c r="H23" s="4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50" t="s">
        <v>50</v>
      </c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6"/>
      <c r="O24" s="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52" t="str">
        <f>OPEX!B50</f>
        <v>LPG</v>
      </c>
      <c r="C25" s="53">
        <f>OPEX!D50</f>
        <v>16996</v>
      </c>
      <c r="D25" s="47">
        <f>C25/C19</f>
        <v>3.3170499411572983E-2</v>
      </c>
      <c r="E25" s="3"/>
      <c r="F25" s="3"/>
      <c r="G25" s="3"/>
      <c r="H25" s="3"/>
      <c r="I25" s="3"/>
      <c r="J25" s="3"/>
      <c r="K25" s="3"/>
      <c r="L25" s="3"/>
      <c r="M25" s="3"/>
      <c r="N25" s="6"/>
      <c r="O25" s="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52" t="str">
        <f>OPEX!B51</f>
        <v>BREADING</v>
      </c>
      <c r="C26" s="53">
        <f>OPEX!D51</f>
        <v>9546</v>
      </c>
      <c r="D26" s="47">
        <f>C26/C19</f>
        <v>1.863059469186136E-2</v>
      </c>
      <c r="E26" s="3"/>
      <c r="F26" s="3"/>
      <c r="G26" s="3"/>
      <c r="H26" s="3"/>
      <c r="I26" s="3"/>
      <c r="J26" s="3"/>
      <c r="K26" s="3"/>
      <c r="L26" s="3"/>
      <c r="M26" s="3"/>
      <c r="N26" s="6"/>
      <c r="O26" s="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52" t="str">
        <f>OPEX!B52</f>
        <v>OIL</v>
      </c>
      <c r="C27" s="53">
        <f>OPEX!D52</f>
        <v>15114</v>
      </c>
      <c r="D27" s="47">
        <f>C27/C19</f>
        <v>2.949746576291563E-2</v>
      </c>
      <c r="E27" s="3"/>
      <c r="F27" s="3"/>
      <c r="G27" s="3"/>
      <c r="H27" s="3"/>
      <c r="I27" s="3"/>
      <c r="J27" s="3"/>
      <c r="K27" s="3"/>
      <c r="L27" s="3"/>
      <c r="M27" s="3"/>
      <c r="N27" s="6"/>
      <c r="O27" s="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52" t="str">
        <f>OPEX!B53</f>
        <v>GRAVY</v>
      </c>
      <c r="C28" s="53">
        <f>OPEX!D53</f>
        <v>3240</v>
      </c>
      <c r="D28" s="47">
        <f>C28/C19</f>
        <v>6.3233948042772693E-3</v>
      </c>
      <c r="E28" s="3"/>
      <c r="F28" s="3"/>
      <c r="G28" s="3"/>
      <c r="H28" s="3"/>
      <c r="I28" s="3"/>
      <c r="J28" s="3"/>
      <c r="K28" s="3"/>
      <c r="L28" s="3"/>
      <c r="M28" s="3"/>
      <c r="N28" s="6"/>
      <c r="O28" s="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52" t="str">
        <f>OPEX!B54</f>
        <v>SALARY</v>
      </c>
      <c r="C29" s="53">
        <f>OPEX!D54</f>
        <v>43550</v>
      </c>
      <c r="D29" s="47">
        <f>C29/C19</f>
        <v>8.499501349576391E-2</v>
      </c>
      <c r="E29" s="3"/>
      <c r="F29" s="3"/>
      <c r="G29" s="3"/>
      <c r="H29" s="3"/>
      <c r="I29" s="3"/>
      <c r="J29" s="3"/>
      <c r="K29" s="3"/>
      <c r="L29" s="3"/>
      <c r="M29" s="3"/>
      <c r="N29" s="6"/>
      <c r="O29" s="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52" t="str">
        <f>OPEX!B55</f>
        <v>HOLIDAY</v>
      </c>
      <c r="C30" s="53">
        <f>OPEX!D55</f>
        <v>0</v>
      </c>
      <c r="D30" s="47">
        <f>C30/C19</f>
        <v>0</v>
      </c>
      <c r="E30" s="3"/>
      <c r="F30" s="3"/>
      <c r="G30" s="3"/>
      <c r="H30" s="3"/>
      <c r="I30" s="3"/>
      <c r="J30" s="3"/>
      <c r="K30" s="3"/>
      <c r="L30" s="3"/>
      <c r="M30" s="3"/>
      <c r="N30" s="6"/>
      <c r="O30" s="7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52" t="str">
        <f>OPEX!B56</f>
        <v>OVERTIME</v>
      </c>
      <c r="C31" s="53">
        <f>OPEX!D56</f>
        <v>0</v>
      </c>
      <c r="D31" s="47">
        <f>C31/C19</f>
        <v>0</v>
      </c>
      <c r="E31" s="3"/>
      <c r="F31" s="3"/>
      <c r="G31" s="3"/>
      <c r="H31" s="3"/>
      <c r="I31" s="3"/>
      <c r="J31" s="3"/>
      <c r="K31" s="3"/>
      <c r="L31" s="3"/>
      <c r="M31" s="3"/>
      <c r="N31" s="6"/>
      <c r="O31" s="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52" t="str">
        <f>OPEX!B57</f>
        <v>TL ALLOWANCE</v>
      </c>
      <c r="C32" s="53">
        <f>OPEX!D57</f>
        <v>1300</v>
      </c>
      <c r="D32" s="47">
        <f>C32/C19</f>
        <v>2.537164581963102E-3</v>
      </c>
      <c r="E32" s="3"/>
      <c r="F32" s="3"/>
      <c r="G32" s="3"/>
      <c r="H32" s="3"/>
      <c r="I32" s="3"/>
      <c r="J32" s="3"/>
      <c r="K32" s="3"/>
      <c r="L32" s="3"/>
      <c r="M32" s="3"/>
      <c r="N32" s="6"/>
      <c r="O32" s="7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52" t="str">
        <f>OPEX!B58</f>
        <v>Admin / Office Supplies</v>
      </c>
      <c r="C33" s="53">
        <f>OPEX!D58</f>
        <v>1646.72</v>
      </c>
      <c r="D33" s="47">
        <f>C33/C19</f>
        <v>3.2138458926232916E-3</v>
      </c>
      <c r="E33" s="3"/>
      <c r="F33" s="3"/>
      <c r="G33" s="3"/>
      <c r="H33" s="3"/>
      <c r="I33" s="3"/>
      <c r="J33" s="3"/>
      <c r="K33" s="3"/>
      <c r="L33" s="3"/>
      <c r="M33" s="3"/>
      <c r="N33" s="6"/>
      <c r="O33" s="7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52" t="str">
        <f>OPEX!B59</f>
        <v>13th month</v>
      </c>
      <c r="C34" s="53">
        <f>OPEX!D59</f>
        <v>4792.74</v>
      </c>
      <c r="D34" s="47">
        <f>C34/C19</f>
        <v>9.353823214275258E-3</v>
      </c>
      <c r="E34" s="3"/>
      <c r="F34" s="3"/>
      <c r="G34" s="3"/>
      <c r="H34" s="3"/>
      <c r="I34" s="3"/>
      <c r="J34" s="3"/>
      <c r="K34" s="3"/>
      <c r="L34" s="3"/>
      <c r="M34" s="3"/>
      <c r="N34" s="6"/>
      <c r="O34" s="7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52" t="str">
        <f>OPEX!B60</f>
        <v>pag ibig</v>
      </c>
      <c r="C35" s="53">
        <f>OPEX!D60</f>
        <v>275</v>
      </c>
      <c r="D35" s="47">
        <f>C35/C19</f>
        <v>5.3670789233834849E-4</v>
      </c>
      <c r="E35" s="3"/>
      <c r="F35" s="3"/>
      <c r="G35" s="3"/>
      <c r="H35" s="3"/>
      <c r="I35" s="3"/>
      <c r="J35" s="3"/>
      <c r="K35" s="3"/>
      <c r="L35" s="3"/>
      <c r="M35" s="3"/>
      <c r="N35" s="6"/>
      <c r="O35" s="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52" t="str">
        <f>OPEX!B61</f>
        <v>SSS</v>
      </c>
      <c r="C36" s="53">
        <f>OPEX!D61</f>
        <v>1428.86</v>
      </c>
      <c r="D36" s="47">
        <f>C36/C19</f>
        <v>2.7886561419875363E-3</v>
      </c>
      <c r="E36" s="3"/>
      <c r="F36" s="3"/>
      <c r="G36" s="3"/>
      <c r="H36" s="3"/>
      <c r="I36" s="3"/>
      <c r="J36" s="3"/>
      <c r="K36" s="3"/>
      <c r="L36" s="3"/>
      <c r="M36" s="3"/>
      <c r="N36" s="6"/>
      <c r="O36" s="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52" t="str">
        <f>OPEX!B62</f>
        <v>PHIL
HEALTH</v>
      </c>
      <c r="C37" s="53">
        <f>OPEX!D62</f>
        <v>346.43</v>
      </c>
      <c r="D37" s="47">
        <f>C37/C19</f>
        <v>6.7611532779190563E-4</v>
      </c>
      <c r="E37" s="3"/>
      <c r="F37" s="3"/>
      <c r="G37" s="3"/>
      <c r="H37" s="3"/>
      <c r="I37" s="3"/>
      <c r="J37" s="3"/>
      <c r="K37" s="3"/>
      <c r="L37" s="3"/>
      <c r="M37" s="3"/>
      <c r="N37" s="6"/>
      <c r="O37" s="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52" t="str">
        <f>OPEX!B63</f>
        <v>SIOMAI SAUCE</v>
      </c>
      <c r="C38" s="53">
        <f>OPEX!D63</f>
        <v>0</v>
      </c>
      <c r="D38" s="47">
        <f>C38/C19</f>
        <v>0</v>
      </c>
      <c r="E38" s="3"/>
      <c r="F38" s="3"/>
      <c r="G38" s="3"/>
      <c r="H38" s="3"/>
      <c r="I38" s="3"/>
      <c r="J38" s="3"/>
      <c r="K38" s="3"/>
      <c r="L38" s="3"/>
      <c r="M38" s="3"/>
      <c r="N38" s="6"/>
      <c r="O38" s="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52" t="str">
        <f>OPEX!B64</f>
        <v>TRANSPO.</v>
      </c>
      <c r="C39" s="53">
        <f>OPEX!D64</f>
        <v>0</v>
      </c>
      <c r="D39" s="47">
        <f>C39/C19</f>
        <v>0</v>
      </c>
      <c r="E39" s="3"/>
      <c r="F39" s="3"/>
      <c r="G39" s="3"/>
      <c r="H39" s="3"/>
      <c r="I39" s="3"/>
      <c r="J39" s="3"/>
      <c r="K39" s="3"/>
      <c r="L39" s="3"/>
      <c r="M39" s="3"/>
      <c r="N39" s="6"/>
      <c r="O39" s="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52" t="str">
        <f>OPEX!B65</f>
        <v>CHARGE DEPOSIT</v>
      </c>
      <c r="C40" s="53">
        <f>OPEX!D65</f>
        <v>0</v>
      </c>
      <c r="D40" s="47">
        <f>C40/C19</f>
        <v>0</v>
      </c>
      <c r="E40" s="3"/>
      <c r="F40" s="3"/>
      <c r="G40" s="3"/>
      <c r="H40" s="3"/>
      <c r="I40" s="3"/>
      <c r="J40" s="3"/>
      <c r="K40" s="3"/>
      <c r="L40" s="3"/>
      <c r="M40" s="3"/>
      <c r="N40" s="6"/>
      <c r="O40" s="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52" t="str">
        <f>OPEX!B66</f>
        <v>RENTAL</v>
      </c>
      <c r="C41" s="53">
        <f>OPEX!D66</f>
        <v>28000</v>
      </c>
      <c r="D41" s="47">
        <f>C41/C19</f>
        <v>5.4646621765359116E-2</v>
      </c>
      <c r="E41" s="3"/>
      <c r="F41" s="3"/>
      <c r="G41" s="3"/>
      <c r="H41" s="3"/>
      <c r="I41" s="3"/>
      <c r="J41" s="3"/>
      <c r="K41" s="3"/>
      <c r="L41" s="3"/>
      <c r="M41" s="3"/>
      <c r="N41" s="6"/>
      <c r="O41" s="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52" t="str">
        <f>OPEX!B67</f>
        <v>LIGHT</v>
      </c>
      <c r="C42" s="53">
        <f>OPEX!D67</f>
        <v>9007.869999999999</v>
      </c>
      <c r="D42" s="47">
        <f>C42/C19</f>
        <v>1.7580345171483047E-2</v>
      </c>
      <c r="E42" s="3"/>
      <c r="F42" s="3"/>
      <c r="G42" s="3"/>
      <c r="H42" s="3"/>
      <c r="I42" s="3"/>
      <c r="J42" s="3"/>
      <c r="K42" s="3"/>
      <c r="L42" s="3"/>
      <c r="M42" s="3"/>
      <c r="N42" s="6"/>
      <c r="O42" s="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52" t="str">
        <f>OPEX!B68</f>
        <v>WATER</v>
      </c>
      <c r="C43" s="53">
        <f>OPEX!D68</f>
        <v>2160</v>
      </c>
      <c r="D43" s="47">
        <f>C43/C19</f>
        <v>4.2155965361848459E-3</v>
      </c>
      <c r="E43" s="3"/>
      <c r="F43" s="3"/>
      <c r="G43" s="3"/>
      <c r="H43" s="3"/>
      <c r="I43" s="3"/>
      <c r="J43" s="3"/>
      <c r="K43" s="3"/>
      <c r="L43" s="3"/>
      <c r="M43" s="3"/>
      <c r="N43" s="6"/>
      <c r="O43" s="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52" t="str">
        <f>OPEX!B69</f>
        <v>BIR/TAXES</v>
      </c>
      <c r="C44" s="53">
        <f>OPEX!D69</f>
        <v>4732.6900000000005</v>
      </c>
      <c r="D44" s="47">
        <f>C44/C19</f>
        <v>9.2366257272391943E-3</v>
      </c>
      <c r="E44" s="3"/>
      <c r="F44" s="3"/>
      <c r="G44" s="3"/>
      <c r="H44" s="3"/>
      <c r="I44" s="3"/>
      <c r="J44" s="3"/>
      <c r="K44" s="3"/>
      <c r="L44" s="3"/>
      <c r="M44" s="3"/>
      <c r="N44" s="6"/>
      <c r="O44" s="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52" t="str">
        <f>OPEX!B70</f>
        <v>supot/roll bag/T-bag</v>
      </c>
      <c r="C45" s="53">
        <f>OPEX!D70</f>
        <v>2166.75</v>
      </c>
      <c r="D45" s="47">
        <f>C45/C19</f>
        <v>4.2287702753604235E-3</v>
      </c>
      <c r="E45" s="3"/>
      <c r="F45" s="3"/>
      <c r="G45" s="3"/>
      <c r="H45" s="3"/>
      <c r="I45" s="3"/>
      <c r="J45" s="3"/>
      <c r="K45" s="3"/>
      <c r="L45" s="3"/>
      <c r="M45" s="3"/>
      <c r="N45" s="6"/>
      <c r="O45" s="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52" t="str">
        <f>OPEX!B71</f>
        <v>COMMUNICATION</v>
      </c>
      <c r="C46" s="53">
        <f>OPEX!D71</f>
        <v>200</v>
      </c>
      <c r="D46" s="47">
        <f>C46/C19</f>
        <v>3.9033301260970796E-4</v>
      </c>
      <c r="E46" s="3"/>
      <c r="F46" s="3"/>
      <c r="G46" s="3"/>
      <c r="H46" s="3"/>
      <c r="I46" s="3"/>
      <c r="J46" s="3"/>
      <c r="K46" s="3"/>
      <c r="L46" s="3"/>
      <c r="M46" s="3"/>
      <c r="N46" s="6"/>
      <c r="O46" s="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52" t="str">
        <f>OPEX!B72</f>
        <v>SENIOR DISC.</v>
      </c>
      <c r="C47" s="53">
        <f>OPEX!D72</f>
        <v>64.27000000000001</v>
      </c>
      <c r="D47" s="47">
        <f>C47/C19</f>
        <v>1.2543351360212967E-4</v>
      </c>
      <c r="E47" s="3"/>
      <c r="F47" s="3"/>
      <c r="G47" s="3"/>
      <c r="H47" s="3"/>
      <c r="I47" s="3"/>
      <c r="J47" s="3"/>
      <c r="K47" s="3"/>
      <c r="L47" s="3"/>
      <c r="M47" s="3"/>
      <c r="N47" s="6"/>
      <c r="O47" s="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52" t="str">
        <f>OPEX!B73</f>
        <v>Detergent</v>
      </c>
      <c r="C48" s="53">
        <f>OPEX!D73</f>
        <v>629.75</v>
      </c>
      <c r="D48" s="47">
        <f>C48/C19</f>
        <v>1.229061073454818E-3</v>
      </c>
      <c r="E48" s="3"/>
      <c r="F48" s="3"/>
      <c r="G48" s="3"/>
      <c r="H48" s="3"/>
      <c r="I48" s="3"/>
      <c r="J48" s="3"/>
      <c r="K48" s="3"/>
      <c r="L48" s="3"/>
      <c r="M48" s="3"/>
      <c r="N48" s="6"/>
      <c r="O48" s="7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52" t="str">
        <f>OPEX!B74</f>
        <v>SERVICE WATER</v>
      </c>
      <c r="C49" s="53">
        <f>OPEX!D74</f>
        <v>0</v>
      </c>
      <c r="D49" s="47">
        <f>C49/C19</f>
        <v>0</v>
      </c>
      <c r="E49" s="3"/>
      <c r="F49" s="3"/>
      <c r="G49" s="3"/>
      <c r="H49" s="3"/>
      <c r="I49" s="3"/>
      <c r="J49" s="3"/>
      <c r="K49" s="3"/>
      <c r="L49" s="3"/>
      <c r="M49" s="3"/>
      <c r="N49" s="6"/>
      <c r="O49" s="7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52" t="str">
        <f>OPEX!B75</f>
        <v>KITCHEN
WARES</v>
      </c>
      <c r="C50" s="53">
        <f>OPEX!D75</f>
        <v>0</v>
      </c>
      <c r="D50" s="47">
        <f>C50/C19</f>
        <v>0</v>
      </c>
      <c r="E50" s="3"/>
      <c r="F50" s="3"/>
      <c r="G50" s="3"/>
      <c r="H50" s="3"/>
      <c r="I50" s="3"/>
      <c r="J50" s="3"/>
      <c r="K50" s="3"/>
      <c r="L50" s="3"/>
      <c r="M50" s="3"/>
      <c r="N50" s="6"/>
      <c r="O50" s="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52" t="str">
        <f>OPEX!B76</f>
        <v>(Patis / suka)</v>
      </c>
      <c r="C51" s="53">
        <f>OPEX!D76</f>
        <v>651</v>
      </c>
      <c r="D51" s="47">
        <f>C51/C19</f>
        <v>1.2705339560445995E-3</v>
      </c>
      <c r="E51" s="3"/>
      <c r="F51" s="3"/>
      <c r="G51" s="3"/>
      <c r="H51" s="3"/>
      <c r="I51" s="3"/>
      <c r="J51" s="3"/>
      <c r="K51" s="3"/>
      <c r="L51" s="3"/>
      <c r="M51" s="3"/>
      <c r="N51" s="6"/>
      <c r="O51" s="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52" t="str">
        <f>OPEX!B77</f>
        <v>Maintenance &amp; Labor</v>
      </c>
      <c r="C52" s="53">
        <f>OPEX!D77</f>
        <v>6650</v>
      </c>
      <c r="D52" s="47">
        <f>C52/C19</f>
        <v>1.2978572669272791E-2</v>
      </c>
      <c r="E52" s="3"/>
      <c r="F52" s="3"/>
      <c r="G52" s="3"/>
      <c r="H52" s="3"/>
      <c r="I52" s="3"/>
      <c r="J52" s="3"/>
      <c r="K52" s="3"/>
      <c r="L52" s="3"/>
      <c r="M52" s="3"/>
      <c r="N52" s="6"/>
      <c r="O52" s="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52" t="str">
        <f>OPEX!B78</f>
        <v>OTHERS</v>
      </c>
      <c r="C53" s="53">
        <f>OPEX!D78</f>
        <v>0</v>
      </c>
      <c r="D53" s="47">
        <f>C53/C19</f>
        <v>0</v>
      </c>
      <c r="E53" s="3"/>
      <c r="F53" s="3"/>
      <c r="G53" s="3"/>
      <c r="H53" s="3"/>
      <c r="I53" s="3"/>
      <c r="J53" s="3"/>
      <c r="K53" s="3"/>
      <c r="L53" s="3"/>
      <c r="M53" s="3"/>
      <c r="N53" s="6"/>
      <c r="O53" s="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52" t="str">
        <f>OPEX!B79</f>
        <v>ADMIN COST</v>
      </c>
      <c r="C54" s="53">
        <f>OPEX!D79</f>
        <v>6787.62</v>
      </c>
      <c r="D54" s="47">
        <f>C54/C19</f>
        <v>1.324716081524953E-2</v>
      </c>
      <c r="E54" s="3"/>
      <c r="F54" s="3"/>
      <c r="G54" s="3"/>
      <c r="H54" s="3"/>
      <c r="I54" s="3"/>
      <c r="J54" s="3"/>
      <c r="K54" s="3"/>
      <c r="L54" s="3"/>
      <c r="M54" s="3"/>
      <c r="N54" s="6"/>
      <c r="O54" s="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52" t="str">
        <f>OPEX!B80</f>
        <v>TRANSPO (SUPERVISORS REPLENISHMENT)</v>
      </c>
      <c r="C55" s="53">
        <f>OPEX!D80</f>
        <v>1160.52</v>
      </c>
      <c r="D55" s="47">
        <f>C55/C19</f>
        <v>2.2649463389690914E-3</v>
      </c>
      <c r="E55" s="3"/>
      <c r="F55" s="3"/>
      <c r="G55" s="3"/>
      <c r="H55" s="3"/>
      <c r="I55" s="3"/>
      <c r="J55" s="3"/>
      <c r="K55" s="3"/>
      <c r="L55" s="3"/>
      <c r="M55" s="3"/>
      <c r="N55" s="6"/>
      <c r="O55" s="7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52" t="str">
        <f>OPEX!B81</f>
        <v>B.O.</v>
      </c>
      <c r="C56" s="53">
        <f>OPEX!D81</f>
        <v>0</v>
      </c>
      <c r="D56" s="47">
        <f>C56/C19</f>
        <v>0</v>
      </c>
      <c r="E56" s="3"/>
      <c r="F56" s="3"/>
      <c r="G56" s="3"/>
      <c r="H56" s="3"/>
      <c r="I56" s="3"/>
      <c r="J56" s="3"/>
      <c r="K56" s="3"/>
      <c r="L56" s="3"/>
      <c r="M56" s="3"/>
      <c r="N56" s="6"/>
      <c r="O56" s="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50" t="s">
        <v>74</v>
      </c>
      <c r="B57" s="50"/>
      <c r="C57" s="80">
        <f>SUM(C25:C56)</f>
        <v>160446.21999999997</v>
      </c>
      <c r="D57" s="81">
        <f>C57-B.O!CA55-OPEX!AS47</f>
        <v>0</v>
      </c>
      <c r="E57" s="82">
        <f>C57/C19</f>
        <v>0.31313728207219982</v>
      </c>
      <c r="F57" s="50"/>
      <c r="G57" s="50"/>
      <c r="H57" s="50"/>
      <c r="I57" s="50"/>
      <c r="J57" s="50"/>
      <c r="K57" s="50"/>
      <c r="L57" s="50"/>
      <c r="M57" s="50"/>
      <c r="N57" s="6"/>
      <c r="O57" s="7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6"/>
      <c r="O58" s="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83" t="s">
        <v>75</v>
      </c>
      <c r="C59" s="85">
        <f>C23-C57</f>
        <v>19042.905000000028</v>
      </c>
      <c r="D59" s="3"/>
      <c r="E59" s="47">
        <f>C59/C19</f>
        <v>3.7165372387452413E-2</v>
      </c>
      <c r="F59" s="3"/>
      <c r="G59" s="3"/>
      <c r="H59" s="3"/>
      <c r="I59" s="3"/>
      <c r="J59" s="3"/>
      <c r="K59" s="3"/>
      <c r="L59" s="3"/>
      <c r="M59" s="3"/>
      <c r="N59" s="6"/>
      <c r="O59" s="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6"/>
      <c r="O60" s="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83" t="s">
        <v>77</v>
      </c>
      <c r="C61" s="85">
        <f>C59*10%</f>
        <v>1904.2905000000028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6"/>
      <c r="O61" s="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83" t="s">
        <v>78</v>
      </c>
      <c r="C62" s="85">
        <f>C59*90%</f>
        <v>17138.614500000025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6"/>
      <c r="O62" s="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 t="s">
        <v>80</v>
      </c>
      <c r="B63" s="3"/>
      <c r="C63" s="4"/>
      <c r="D63" s="3"/>
      <c r="E63" s="3"/>
      <c r="F63" s="88" t="s">
        <v>81</v>
      </c>
      <c r="G63" s="88"/>
      <c r="H63" s="3"/>
      <c r="I63" s="3"/>
      <c r="J63" s="3"/>
      <c r="K63" s="3"/>
      <c r="L63" s="3"/>
      <c r="M63" s="3"/>
      <c r="N63" s="6"/>
      <c r="O63" s="7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89" t="str">
        <f>CAPEX!B4</f>
        <v>Birthday cake</v>
      </c>
      <c r="C64" s="53">
        <f>CAPEX!B47</f>
        <v>0</v>
      </c>
      <c r="D64" s="3"/>
      <c r="E64" s="3"/>
      <c r="F64" s="37" t="s">
        <v>82</v>
      </c>
      <c r="G64" s="38">
        <f>'MONTHLY INV.'!D30</f>
        <v>15858.939393939396</v>
      </c>
      <c r="H64" s="3"/>
      <c r="I64" s="3"/>
      <c r="J64" s="3"/>
      <c r="K64" s="3"/>
      <c r="L64" s="3"/>
      <c r="M64" s="3"/>
      <c r="N64" s="6"/>
      <c r="O64" s="7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89" t="str">
        <f>CAPEX!C4</f>
        <v>staff bunos / incentives</v>
      </c>
      <c r="C65" s="53">
        <f>CAPEX!C47</f>
        <v>500</v>
      </c>
      <c r="D65" s="3"/>
      <c r="E65" s="3"/>
      <c r="F65" s="37" t="s">
        <v>83</v>
      </c>
      <c r="G65" s="38">
        <f>'MONTHLY INV.'!F30</f>
        <v>335172.5</v>
      </c>
      <c r="H65" s="3"/>
      <c r="I65" s="3"/>
      <c r="J65" s="3"/>
      <c r="K65" s="3"/>
      <c r="L65" s="3"/>
      <c r="M65" s="3"/>
      <c r="N65" s="6"/>
      <c r="O65" s="7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89" t="str">
        <f>CAPEX!D4</f>
        <v>owners pull-out</v>
      </c>
      <c r="C66" s="53">
        <f>CAPEX!D47</f>
        <v>0</v>
      </c>
      <c r="D66" s="3"/>
      <c r="E66" s="3"/>
      <c r="F66" s="37" t="s">
        <v>84</v>
      </c>
      <c r="G66" s="35">
        <f>C21</f>
        <v>332893.875</v>
      </c>
      <c r="H66" s="3"/>
      <c r="I66" s="3"/>
      <c r="J66" s="3"/>
      <c r="K66" s="3"/>
      <c r="L66" s="3"/>
      <c r="M66" s="3"/>
      <c r="N66" s="6"/>
      <c r="O66" s="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89" t="str">
        <f>CAPEX!E4</f>
        <v>Other Capex</v>
      </c>
      <c r="C67" s="53">
        <f>CAPEX!E47</f>
        <v>575</v>
      </c>
      <c r="D67" s="3"/>
      <c r="E67" s="3"/>
      <c r="F67" s="37" t="s">
        <v>85</v>
      </c>
      <c r="G67" s="38">
        <f>G64+G65-G66</f>
        <v>18137.564393939392</v>
      </c>
      <c r="H67" s="3"/>
      <c r="I67" s="3"/>
      <c r="J67" s="3"/>
      <c r="K67" s="3"/>
      <c r="L67" s="3"/>
      <c r="M67" s="3"/>
      <c r="N67" s="6"/>
      <c r="O67" s="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89" t="str">
        <f>CAPEX!F4</f>
        <v>SERVICE WATER</v>
      </c>
      <c r="C68" s="53">
        <f>CAPEX!F47</f>
        <v>1080</v>
      </c>
      <c r="D68" s="3"/>
      <c r="E68" s="3"/>
      <c r="F68" s="37" t="s">
        <v>86</v>
      </c>
      <c r="G68" s="35">
        <f>'MONTHLY INV.'!K30</f>
        <v>18206.5</v>
      </c>
      <c r="H68" s="3"/>
      <c r="I68" s="3"/>
      <c r="J68" s="3"/>
      <c r="K68" s="3"/>
      <c r="L68" s="3"/>
      <c r="M68" s="3"/>
      <c r="N68" s="6"/>
      <c r="O68" s="7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91" t="s">
        <v>16</v>
      </c>
      <c r="C69" s="92">
        <f>SUM(C64:C68)</f>
        <v>2155</v>
      </c>
      <c r="D69" s="3"/>
      <c r="E69" s="3"/>
      <c r="F69" s="88" t="s">
        <v>87</v>
      </c>
      <c r="G69" s="93">
        <f>G67-G68</f>
        <v>-68.935606060607824</v>
      </c>
      <c r="H69" s="3"/>
      <c r="I69" s="3"/>
      <c r="J69" s="3"/>
      <c r="K69" s="3"/>
      <c r="L69" s="3"/>
      <c r="M69" s="3"/>
      <c r="N69" s="6"/>
      <c r="O69" s="7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6"/>
      <c r="O70" s="7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94" t="s">
        <v>88</v>
      </c>
      <c r="B71" s="94"/>
      <c r="C71" s="95">
        <f>C62-C69</f>
        <v>14983.614500000025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6"/>
      <c r="O71" s="7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6"/>
      <c r="O72" s="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6"/>
      <c r="O73" s="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6"/>
      <c r="O74" s="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6"/>
      <c r="O75" s="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6"/>
      <c r="O76" s="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6"/>
      <c r="O77" s="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6"/>
      <c r="O78" s="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6"/>
      <c r="O79" s="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6"/>
      <c r="O80" s="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6"/>
      <c r="O81" s="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6"/>
      <c r="O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6"/>
      <c r="O83" s="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6"/>
      <c r="O84" s="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6"/>
      <c r="O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6"/>
      <c r="O86" s="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6"/>
      <c r="O87" s="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6"/>
      <c r="O88" s="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6"/>
      <c r="O89" s="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6"/>
      <c r="O90" s="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6"/>
      <c r="O91" s="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6"/>
      <c r="O92" s="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6"/>
      <c r="O93" s="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6"/>
      <c r="O94" s="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6"/>
      <c r="O95" s="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6"/>
      <c r="O96" s="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6"/>
      <c r="O97" s="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6"/>
      <c r="O98" s="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6"/>
      <c r="O99" s="7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"/>
      <c r="O100" s="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"/>
      <c r="O101" s="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"/>
      <c r="O102" s="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"/>
      <c r="O103" s="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"/>
      <c r="O104" s="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"/>
      <c r="O105" s="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"/>
      <c r="O106" s="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"/>
      <c r="O107" s="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"/>
      <c r="O108" s="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"/>
      <c r="O109" s="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"/>
      <c r="O110" s="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"/>
      <c r="O111" s="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"/>
      <c r="O112" s="7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"/>
      <c r="O113" s="7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"/>
      <c r="O114" s="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"/>
      <c r="O115" s="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"/>
      <c r="O116" s="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"/>
      <c r="O117" s="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"/>
      <c r="O118" s="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"/>
      <c r="O119" s="7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"/>
      <c r="O120" s="7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"/>
      <c r="O121" s="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"/>
      <c r="O122" s="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"/>
      <c r="O123" s="7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"/>
      <c r="O124" s="7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"/>
      <c r="O125" s="7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"/>
      <c r="O126" s="7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"/>
      <c r="O127" s="7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"/>
      <c r="O128" s="7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"/>
      <c r="O129" s="7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"/>
      <c r="O130" s="7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"/>
      <c r="O131" s="7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"/>
      <c r="O132" s="7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"/>
      <c r="O133" s="7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"/>
      <c r="O134" s="7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"/>
      <c r="O135" s="7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"/>
      <c r="O136" s="7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"/>
      <c r="O137" s="7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"/>
      <c r="O138" s="7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"/>
      <c r="O139" s="7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"/>
      <c r="O140" s="7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"/>
      <c r="O141" s="7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"/>
      <c r="O142" s="7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"/>
      <c r="O143" s="7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"/>
      <c r="O144" s="7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"/>
      <c r="O145" s="7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"/>
      <c r="O146" s="7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"/>
      <c r="O147" s="7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"/>
      <c r="O148" s="7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"/>
      <c r="O149" s="7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"/>
      <c r="O150" s="7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"/>
      <c r="O151" s="7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"/>
      <c r="O152" s="7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"/>
      <c r="O153" s="7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"/>
      <c r="O154" s="7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"/>
      <c r="O155" s="7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"/>
      <c r="O156" s="7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"/>
      <c r="O157" s="7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"/>
      <c r="O158" s="7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"/>
      <c r="O159" s="7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"/>
      <c r="O160" s="7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"/>
      <c r="O161" s="7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"/>
      <c r="O162" s="7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"/>
      <c r="O163" s="7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"/>
      <c r="O164" s="7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"/>
      <c r="O165" s="7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"/>
      <c r="O166" s="7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"/>
      <c r="O167" s="7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"/>
      <c r="O168" s="7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"/>
      <c r="O169" s="7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"/>
      <c r="O170" s="7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"/>
      <c r="O171" s="7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"/>
      <c r="O172" s="7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"/>
      <c r="O173" s="7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"/>
      <c r="O174" s="7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"/>
      <c r="O175" s="7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"/>
      <c r="O176" s="7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"/>
      <c r="O177" s="7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"/>
      <c r="O178" s="7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"/>
      <c r="O179" s="7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"/>
      <c r="O180" s="7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"/>
      <c r="O181" s="7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"/>
      <c r="O182" s="7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"/>
      <c r="O183" s="7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"/>
      <c r="O184" s="7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"/>
      <c r="O185" s="7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"/>
      <c r="O186" s="7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"/>
      <c r="O187" s="7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"/>
      <c r="O188" s="7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"/>
      <c r="O189" s="7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"/>
      <c r="O190" s="7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"/>
      <c r="O191" s="7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"/>
      <c r="O192" s="7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"/>
      <c r="O193" s="7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"/>
      <c r="O194" s="7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"/>
      <c r="O195" s="7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"/>
      <c r="O196" s="7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"/>
      <c r="O197" s="7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"/>
      <c r="O198" s="7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"/>
      <c r="O199" s="7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"/>
      <c r="O200" s="7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"/>
      <c r="O201" s="7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"/>
      <c r="O202" s="7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"/>
      <c r="O203" s="7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"/>
      <c r="O204" s="7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"/>
      <c r="O205" s="7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"/>
      <c r="O206" s="7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"/>
      <c r="O207" s="7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"/>
      <c r="O208" s="7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"/>
      <c r="O209" s="7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"/>
      <c r="O210" s="7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"/>
      <c r="O211" s="7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"/>
      <c r="O212" s="7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"/>
      <c r="O213" s="7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"/>
      <c r="O214" s="7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"/>
      <c r="O215" s="7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"/>
      <c r="O216" s="7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"/>
      <c r="O217" s="7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"/>
      <c r="O218" s="7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"/>
      <c r="O219" s="7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"/>
      <c r="O220" s="7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"/>
      <c r="O221" s="7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"/>
      <c r="O222" s="7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"/>
      <c r="O223" s="7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"/>
      <c r="O224" s="7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"/>
      <c r="O225" s="7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"/>
      <c r="O226" s="7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"/>
      <c r="O227" s="7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C228" s="157"/>
    </row>
    <row r="229" spans="1:26" ht="15.75" customHeight="1">
      <c r="C229" s="157"/>
    </row>
    <row r="230" spans="1:26" ht="15.75" customHeight="1">
      <c r="C230" s="157"/>
    </row>
    <row r="231" spans="1:26" ht="15.75" customHeight="1">
      <c r="C231" s="157"/>
    </row>
    <row r="232" spans="1:26" ht="15.75" customHeight="1">
      <c r="C232" s="157"/>
    </row>
    <row r="233" spans="1:26" ht="15.75" customHeight="1">
      <c r="C233" s="157"/>
    </row>
    <row r="234" spans="1:26" ht="15.75" customHeight="1">
      <c r="C234" s="157"/>
    </row>
    <row r="235" spans="1:26" ht="15.75" customHeight="1">
      <c r="C235" s="157"/>
    </row>
    <row r="236" spans="1:26" ht="15.75" customHeight="1">
      <c r="C236" s="157"/>
    </row>
    <row r="237" spans="1:26" ht="15.75" customHeight="1">
      <c r="C237" s="157"/>
    </row>
    <row r="238" spans="1:26" ht="15.75" customHeight="1">
      <c r="C238" s="157"/>
    </row>
    <row r="239" spans="1:26" ht="15.75" customHeight="1">
      <c r="C239" s="157"/>
    </row>
    <row r="240" spans="1:26" ht="15.75" customHeight="1">
      <c r="C240" s="157"/>
    </row>
    <row r="241" spans="3:3" ht="15.75" customHeight="1">
      <c r="C241" s="157"/>
    </row>
    <row r="242" spans="3:3" ht="15.75" customHeight="1">
      <c r="C242" s="157"/>
    </row>
    <row r="243" spans="3:3" ht="15.75" customHeight="1">
      <c r="C243" s="157"/>
    </row>
    <row r="244" spans="3:3" ht="15.75" customHeight="1">
      <c r="C244" s="157"/>
    </row>
    <row r="245" spans="3:3" ht="15.75" customHeight="1">
      <c r="C245" s="157"/>
    </row>
    <row r="246" spans="3:3" ht="15.75" customHeight="1">
      <c r="C246" s="157"/>
    </row>
    <row r="247" spans="3:3" ht="15.75" customHeight="1">
      <c r="C247" s="157"/>
    </row>
    <row r="248" spans="3:3" ht="15.75" customHeight="1">
      <c r="C248" s="157"/>
    </row>
    <row r="249" spans="3:3" ht="15.75" customHeight="1">
      <c r="C249" s="157"/>
    </row>
    <row r="250" spans="3:3" ht="15.75" customHeight="1">
      <c r="C250" s="157"/>
    </row>
    <row r="251" spans="3:3" ht="15.75" customHeight="1">
      <c r="C251" s="157"/>
    </row>
    <row r="252" spans="3:3" ht="15.75" customHeight="1">
      <c r="C252" s="157"/>
    </row>
    <row r="253" spans="3:3" ht="15.75" customHeight="1">
      <c r="C253" s="157"/>
    </row>
    <row r="254" spans="3:3" ht="15.75" customHeight="1">
      <c r="C254" s="157"/>
    </row>
    <row r="255" spans="3:3" ht="15.75" customHeight="1">
      <c r="C255" s="157"/>
    </row>
    <row r="256" spans="3:3" ht="15.75" customHeight="1">
      <c r="C256" s="157"/>
    </row>
    <row r="257" spans="3:3" ht="15.75" customHeight="1">
      <c r="C257" s="157"/>
    </row>
    <row r="258" spans="3:3" ht="15.75" customHeight="1">
      <c r="C258" s="157"/>
    </row>
    <row r="259" spans="3:3" ht="15.75" customHeight="1">
      <c r="C259" s="157"/>
    </row>
    <row r="260" spans="3:3" ht="15.75" customHeight="1">
      <c r="C260" s="157"/>
    </row>
    <row r="261" spans="3:3" ht="15.75" customHeight="1">
      <c r="C261" s="157"/>
    </row>
    <row r="262" spans="3:3" ht="15.75" customHeight="1">
      <c r="C262" s="157"/>
    </row>
    <row r="263" spans="3:3" ht="15.75" customHeight="1">
      <c r="C263" s="157"/>
    </row>
    <row r="264" spans="3:3" ht="15.75" customHeight="1">
      <c r="C264" s="157"/>
    </row>
    <row r="265" spans="3:3" ht="15.75" customHeight="1">
      <c r="C265" s="157"/>
    </row>
    <row r="266" spans="3:3" ht="15.75" customHeight="1">
      <c r="C266" s="157"/>
    </row>
    <row r="267" spans="3:3" ht="15.75" customHeight="1">
      <c r="C267" s="157"/>
    </row>
    <row r="268" spans="3:3" ht="15.75" customHeight="1">
      <c r="C268" s="157"/>
    </row>
    <row r="269" spans="3:3" ht="15.75" customHeight="1">
      <c r="C269" s="157"/>
    </row>
    <row r="270" spans="3:3" ht="15.75" customHeight="1">
      <c r="C270" s="157"/>
    </row>
    <row r="271" spans="3:3" ht="15.75" customHeight="1">
      <c r="C271" s="157"/>
    </row>
    <row r="272" spans="3: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B4:C4"/>
    <mergeCell ref="B5:C5"/>
  </mergeCells>
  <pageMargins left="0.69930555555555596" right="0.69930555555555596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1000"/>
  <sheetViews>
    <sheetView workbookViewId="0"/>
  </sheetViews>
  <sheetFormatPr defaultColWidth="14.453125" defaultRowHeight="15" customHeight="1"/>
  <cols>
    <col min="1" max="1" width="8.54296875" customWidth="1"/>
    <col min="2" max="2" width="8.7265625" customWidth="1"/>
    <col min="3" max="3" width="7.54296875" customWidth="1"/>
    <col min="4" max="4" width="13.81640625" customWidth="1"/>
    <col min="5" max="5" width="9.7265625" customWidth="1"/>
    <col min="6" max="6" width="7.81640625" customWidth="1"/>
    <col min="7" max="7" width="11.81640625" customWidth="1"/>
    <col min="8" max="8" width="9.81640625" customWidth="1"/>
    <col min="9" max="9" width="7.453125" customWidth="1"/>
    <col min="10" max="10" width="11.453125" customWidth="1"/>
    <col min="11" max="11" width="8.54296875" customWidth="1"/>
    <col min="12" max="12" width="7.08984375" customWidth="1"/>
    <col min="13" max="13" width="12" customWidth="1"/>
    <col min="14" max="14" width="9.453125" customWidth="1"/>
    <col min="15" max="15" width="8" customWidth="1"/>
    <col min="16" max="16" width="12.08984375" customWidth="1"/>
    <col min="17" max="17" width="9.7265625" customWidth="1"/>
    <col min="18" max="18" width="7.26953125" customWidth="1"/>
    <col min="19" max="19" width="11.54296875" customWidth="1"/>
    <col min="20" max="20" width="9.08984375" customWidth="1"/>
    <col min="21" max="21" width="8" customWidth="1"/>
    <col min="22" max="22" width="12.7265625" customWidth="1"/>
    <col min="23" max="23" width="10.7265625" customWidth="1"/>
    <col min="24" max="24" width="7.54296875" customWidth="1"/>
    <col min="25" max="25" width="11.7265625" customWidth="1"/>
    <col min="26" max="26" width="10" customWidth="1"/>
    <col min="27" max="27" width="7.7265625" customWidth="1"/>
    <col min="28" max="28" width="11.453125" customWidth="1"/>
    <col min="29" max="29" width="8.54296875" customWidth="1"/>
    <col min="30" max="30" width="7" customWidth="1"/>
    <col min="31" max="31" width="10.7265625" customWidth="1"/>
    <col min="32" max="32" width="17.453125" hidden="1" customWidth="1"/>
    <col min="33" max="33" width="7" hidden="1" customWidth="1"/>
    <col min="34" max="34" width="17" hidden="1" customWidth="1"/>
    <col min="35" max="35" width="10.453125" customWidth="1"/>
    <col min="36" max="36" width="7.7265625" customWidth="1"/>
    <col min="37" max="37" width="17.453125" customWidth="1"/>
    <col min="38" max="38" width="17.08984375" customWidth="1"/>
    <col min="39" max="39" width="9.08984375" customWidth="1"/>
    <col min="40" max="40" width="8.453125" customWidth="1"/>
    <col min="41" max="41" width="12.26953125" customWidth="1"/>
    <col min="42" max="42" width="10.08984375" customWidth="1"/>
    <col min="43" max="43" width="9" customWidth="1"/>
    <col min="44" max="44" width="12.26953125" customWidth="1"/>
    <col min="45" max="45" width="9.08984375" customWidth="1"/>
    <col min="46" max="46" width="7.26953125" customWidth="1"/>
    <col min="47" max="47" width="10.81640625" customWidth="1"/>
    <col min="48" max="48" width="8.7265625" customWidth="1"/>
    <col min="49" max="49" width="7.7265625" customWidth="1"/>
    <col min="50" max="50" width="10.54296875" customWidth="1"/>
    <col min="51" max="51" width="9" customWidth="1"/>
    <col min="52" max="52" width="8.7265625" customWidth="1"/>
    <col min="53" max="53" width="12" customWidth="1"/>
    <col min="54" max="54" width="8.54296875" customWidth="1"/>
    <col min="55" max="55" width="8.26953125" customWidth="1"/>
    <col min="56" max="56" width="11.26953125" customWidth="1"/>
    <col min="57" max="57" width="9" customWidth="1"/>
    <col min="58" max="58" width="9.54296875" customWidth="1"/>
    <col min="59" max="59" width="11.453125" customWidth="1"/>
    <col min="60" max="60" width="9.08984375" customWidth="1"/>
    <col min="61" max="61" width="7.81640625" customWidth="1"/>
    <col min="62" max="62" width="11" customWidth="1"/>
    <col min="63" max="63" width="7.54296875" customWidth="1"/>
    <col min="64" max="64" width="8.26953125" customWidth="1"/>
    <col min="65" max="65" width="10.453125" customWidth="1"/>
    <col min="66" max="66" width="7.26953125" customWidth="1"/>
    <col min="67" max="67" width="7.08984375" customWidth="1"/>
    <col min="68" max="68" width="11.7265625" customWidth="1"/>
    <col min="69" max="69" width="8.54296875" customWidth="1"/>
    <col min="70" max="70" width="8.08984375" customWidth="1"/>
    <col min="71" max="71" width="11.7265625" customWidth="1"/>
    <col min="72" max="72" width="9.08984375" customWidth="1"/>
    <col min="73" max="73" width="7.453125" customWidth="1"/>
    <col min="74" max="74" width="13.54296875" customWidth="1"/>
    <col min="75" max="75" width="4.453125" customWidth="1"/>
    <col min="76" max="76" width="7.08984375" customWidth="1"/>
    <col min="77" max="77" width="15.81640625" customWidth="1"/>
    <col min="78" max="78" width="3.54296875" customWidth="1"/>
    <col min="79" max="79" width="14.08984375" customWidth="1"/>
    <col min="80" max="80" width="1.81640625" customWidth="1"/>
    <col min="81" max="81" width="18.7265625" customWidth="1"/>
    <col min="82" max="82" width="14.26953125" customWidth="1"/>
    <col min="83" max="83" width="17.81640625" customWidth="1"/>
  </cols>
  <sheetData>
    <row r="1" spans="1:83" ht="23.25" customHeight="1">
      <c r="A1" s="451" t="s">
        <v>13</v>
      </c>
      <c r="B1" s="438"/>
      <c r="C1" s="438"/>
      <c r="D1" s="438"/>
      <c r="E1" s="452" t="str">
        <f>GROSS!E1</f>
        <v>BRANCH</v>
      </c>
      <c r="F1" s="438"/>
      <c r="G1" s="438"/>
      <c r="H1" s="438"/>
      <c r="I1" s="438"/>
      <c r="J1" s="14"/>
      <c r="K1" s="16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453" t="s">
        <v>32</v>
      </c>
      <c r="BO1" s="454"/>
      <c r="BP1" s="454"/>
      <c r="BQ1" s="454"/>
      <c r="BR1" s="454"/>
      <c r="BS1" s="454"/>
      <c r="BT1" s="454"/>
      <c r="BU1" s="454"/>
      <c r="BV1" s="454"/>
      <c r="BW1" s="454"/>
      <c r="BX1" s="454"/>
      <c r="BY1" s="454"/>
      <c r="BZ1" s="454"/>
      <c r="CA1" s="454"/>
      <c r="CB1" s="454"/>
      <c r="CC1" s="454"/>
      <c r="CD1" s="454"/>
      <c r="CE1" s="454"/>
    </row>
    <row r="2" spans="1:83" ht="20.25" customHeight="1">
      <c r="A2" s="456" t="s">
        <v>34</v>
      </c>
      <c r="B2" s="438"/>
      <c r="C2" s="438"/>
      <c r="D2" s="438"/>
      <c r="E2" s="438"/>
      <c r="F2" s="438"/>
      <c r="G2" s="438"/>
      <c r="H2" s="33"/>
      <c r="I2" s="34"/>
      <c r="J2" s="14"/>
      <c r="K2" s="16"/>
      <c r="L2" s="17"/>
      <c r="M2" s="17"/>
      <c r="N2" s="17"/>
      <c r="O2" s="17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455"/>
      <c r="BO2" s="425"/>
      <c r="BP2" s="425"/>
      <c r="BQ2" s="425"/>
      <c r="BR2" s="425"/>
      <c r="BS2" s="425"/>
      <c r="BT2" s="425"/>
      <c r="BU2" s="425"/>
      <c r="BV2" s="425"/>
      <c r="BW2" s="425"/>
      <c r="BX2" s="425"/>
      <c r="BY2" s="425"/>
      <c r="BZ2" s="425"/>
      <c r="CA2" s="425"/>
      <c r="CB2" s="425"/>
      <c r="CC2" s="425"/>
      <c r="CD2" s="425"/>
      <c r="CE2" s="425"/>
    </row>
    <row r="3" spans="1:83" ht="22.5">
      <c r="A3" s="457" t="s">
        <v>38</v>
      </c>
      <c r="B3" s="438"/>
      <c r="C3" s="458">
        <v>45473</v>
      </c>
      <c r="D3" s="438"/>
      <c r="E3" s="438"/>
      <c r="F3" s="438"/>
      <c r="G3" s="438"/>
      <c r="H3" s="438"/>
      <c r="I3" s="40"/>
      <c r="J3" s="41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455"/>
      <c r="BO3" s="425"/>
      <c r="BP3" s="425"/>
      <c r="BQ3" s="425"/>
      <c r="BR3" s="425"/>
      <c r="BS3" s="425"/>
      <c r="BT3" s="425"/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</row>
    <row r="4" spans="1:83" ht="39.5">
      <c r="A4" s="43"/>
      <c r="B4" s="43"/>
      <c r="C4" s="43"/>
      <c r="D4" s="43"/>
      <c r="E4" s="43"/>
      <c r="F4" s="43"/>
      <c r="G4" s="43"/>
      <c r="H4" s="40"/>
      <c r="I4" s="40"/>
      <c r="J4" s="4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</row>
    <row r="5" spans="1:83" ht="15" customHeight="1">
      <c r="A5" s="51" t="s">
        <v>51</v>
      </c>
      <c r="B5" s="444" t="s">
        <v>52</v>
      </c>
      <c r="C5" s="445"/>
      <c r="D5" s="423"/>
      <c r="E5" s="444" t="str">
        <f>'1'!A7</f>
        <v>SPECIAL CUT</v>
      </c>
      <c r="F5" s="445"/>
      <c r="G5" s="423"/>
      <c r="H5" s="444" t="str">
        <f>'1'!A8</f>
        <v>NGOHIONG</v>
      </c>
      <c r="I5" s="445"/>
      <c r="J5" s="423"/>
      <c r="K5" s="460" t="str">
        <f>'1'!A15</f>
        <v>Chicken Fillet</v>
      </c>
      <c r="L5" s="445"/>
      <c r="M5" s="423"/>
      <c r="N5" s="444" t="s">
        <v>53</v>
      </c>
      <c r="O5" s="445"/>
      <c r="P5" s="445"/>
      <c r="Q5" s="461" t="s">
        <v>54</v>
      </c>
      <c r="R5" s="445"/>
      <c r="S5" s="423"/>
      <c r="T5" s="444" t="s">
        <v>55</v>
      </c>
      <c r="U5" s="445"/>
      <c r="V5" s="423"/>
      <c r="W5" s="444" t="s">
        <v>56</v>
      </c>
      <c r="X5" s="445"/>
      <c r="Y5" s="423"/>
      <c r="Z5" s="444" t="s">
        <v>57</v>
      </c>
      <c r="AA5" s="445"/>
      <c r="AB5" s="445"/>
      <c r="AC5" s="444" t="s">
        <v>58</v>
      </c>
      <c r="AD5" s="445"/>
      <c r="AE5" s="445"/>
      <c r="AF5" s="444"/>
      <c r="AG5" s="445"/>
      <c r="AH5" s="423"/>
      <c r="AI5" s="444" t="s">
        <v>59</v>
      </c>
      <c r="AJ5" s="445"/>
      <c r="AK5" s="423"/>
      <c r="AL5" s="54"/>
      <c r="AM5" s="446" t="str">
        <f>'1'!A17</f>
        <v>8 oz</v>
      </c>
      <c r="AN5" s="445"/>
      <c r="AO5" s="423"/>
      <c r="AP5" s="447" t="s">
        <v>60</v>
      </c>
      <c r="AQ5" s="445"/>
      <c r="AR5" s="423"/>
      <c r="AS5" s="447" t="s">
        <v>61</v>
      </c>
      <c r="AT5" s="445"/>
      <c r="AU5" s="423"/>
      <c r="AV5" s="447" t="s">
        <v>62</v>
      </c>
      <c r="AW5" s="445"/>
      <c r="AX5" s="423"/>
      <c r="AY5" s="447" t="s">
        <v>63</v>
      </c>
      <c r="AZ5" s="445"/>
      <c r="BA5" s="423"/>
      <c r="BB5" s="447" t="s">
        <v>64</v>
      </c>
      <c r="BC5" s="445"/>
      <c r="BD5" s="423"/>
      <c r="BE5" s="447" t="s">
        <v>65</v>
      </c>
      <c r="BF5" s="445"/>
      <c r="BG5" s="423"/>
      <c r="BH5" s="447" t="str">
        <f>'1'!A23</f>
        <v>GATORADE</v>
      </c>
      <c r="BI5" s="445"/>
      <c r="BJ5" s="423"/>
      <c r="BK5" s="448" t="s">
        <v>66</v>
      </c>
      <c r="BL5" s="445"/>
      <c r="BM5" s="423"/>
      <c r="BN5" s="447" t="s">
        <v>67</v>
      </c>
      <c r="BO5" s="445"/>
      <c r="BP5" s="423"/>
      <c r="BQ5" s="447" t="str">
        <f>'1'!A19</f>
        <v>1 LITER</v>
      </c>
      <c r="BR5" s="445"/>
      <c r="BS5" s="423"/>
      <c r="BT5" s="447" t="str">
        <f>'1'!A20</f>
        <v>1.5 L</v>
      </c>
      <c r="BU5" s="445"/>
      <c r="BV5" s="423"/>
      <c r="BW5" s="444" t="s">
        <v>68</v>
      </c>
      <c r="BX5" s="445"/>
      <c r="BY5" s="423"/>
      <c r="BZ5" s="3"/>
      <c r="CA5" s="55" t="s">
        <v>23</v>
      </c>
      <c r="CB5" s="3"/>
      <c r="CC5" s="449" t="s">
        <v>69</v>
      </c>
      <c r="CD5" s="450" t="s">
        <v>70</v>
      </c>
    </row>
    <row r="6" spans="1:83" ht="17.25" customHeight="1">
      <c r="A6" s="56" t="s">
        <v>7</v>
      </c>
      <c r="B6" s="56" t="s">
        <v>71</v>
      </c>
      <c r="C6" s="56" t="s">
        <v>72</v>
      </c>
      <c r="D6" s="56" t="s">
        <v>26</v>
      </c>
      <c r="E6" s="56" t="s">
        <v>71</v>
      </c>
      <c r="F6" s="56" t="s">
        <v>72</v>
      </c>
      <c r="G6" s="56" t="s">
        <v>26</v>
      </c>
      <c r="H6" s="57" t="s">
        <v>71</v>
      </c>
      <c r="I6" s="58" t="s">
        <v>72</v>
      </c>
      <c r="J6" s="59" t="s">
        <v>73</v>
      </c>
      <c r="K6" s="57" t="s">
        <v>71</v>
      </c>
      <c r="L6" s="58" t="s">
        <v>72</v>
      </c>
      <c r="M6" s="59" t="s">
        <v>73</v>
      </c>
      <c r="N6" s="56" t="s">
        <v>71</v>
      </c>
      <c r="O6" s="56" t="s">
        <v>72</v>
      </c>
      <c r="P6" s="56" t="s">
        <v>26</v>
      </c>
      <c r="Q6" s="57" t="s">
        <v>71</v>
      </c>
      <c r="R6" s="58" t="s">
        <v>72</v>
      </c>
      <c r="S6" s="59" t="s">
        <v>73</v>
      </c>
      <c r="T6" s="57" t="s">
        <v>71</v>
      </c>
      <c r="U6" s="58" t="s">
        <v>72</v>
      </c>
      <c r="V6" s="60" t="s">
        <v>73</v>
      </c>
      <c r="W6" s="57" t="s">
        <v>71</v>
      </c>
      <c r="X6" s="58" t="s">
        <v>72</v>
      </c>
      <c r="Y6" s="60" t="s">
        <v>73</v>
      </c>
      <c r="Z6" s="57" t="s">
        <v>71</v>
      </c>
      <c r="AA6" s="58" t="s">
        <v>72</v>
      </c>
      <c r="AB6" s="60" t="s">
        <v>73</v>
      </c>
      <c r="AC6" s="57" t="s">
        <v>71</v>
      </c>
      <c r="AD6" s="58" t="s">
        <v>72</v>
      </c>
      <c r="AE6" s="60" t="s">
        <v>26</v>
      </c>
      <c r="AF6" s="56" t="s">
        <v>71</v>
      </c>
      <c r="AG6" s="56" t="s">
        <v>72</v>
      </c>
      <c r="AH6" s="61" t="s">
        <v>26</v>
      </c>
      <c r="AI6" s="62"/>
      <c r="AJ6" s="63"/>
      <c r="AK6" s="64" t="s">
        <v>73</v>
      </c>
      <c r="AL6" s="54"/>
      <c r="AM6" s="65" t="s">
        <v>71</v>
      </c>
      <c r="AN6" s="66" t="s">
        <v>72</v>
      </c>
      <c r="AO6" s="65" t="s">
        <v>73</v>
      </c>
      <c r="AP6" s="67" t="s">
        <v>71</v>
      </c>
      <c r="AQ6" s="66" t="s">
        <v>72</v>
      </c>
      <c r="AR6" s="65" t="s">
        <v>73</v>
      </c>
      <c r="AS6" s="67" t="s">
        <v>71</v>
      </c>
      <c r="AT6" s="66" t="s">
        <v>72</v>
      </c>
      <c r="AU6" s="65" t="s">
        <v>73</v>
      </c>
      <c r="AV6" s="66" t="s">
        <v>71</v>
      </c>
      <c r="AW6" s="66" t="s">
        <v>72</v>
      </c>
      <c r="AX6" s="66" t="s">
        <v>26</v>
      </c>
      <c r="AY6" s="66" t="s">
        <v>71</v>
      </c>
      <c r="AZ6" s="66" t="s">
        <v>72</v>
      </c>
      <c r="BA6" s="66" t="s">
        <v>26</v>
      </c>
      <c r="BB6" s="66" t="s">
        <v>71</v>
      </c>
      <c r="BC6" s="66" t="s">
        <v>72</v>
      </c>
      <c r="BD6" s="66" t="s">
        <v>26</v>
      </c>
      <c r="BE6" s="66" t="s">
        <v>71</v>
      </c>
      <c r="BF6" s="66" t="s">
        <v>72</v>
      </c>
      <c r="BG6" s="66" t="s">
        <v>26</v>
      </c>
      <c r="BH6" s="66" t="s">
        <v>71</v>
      </c>
      <c r="BI6" s="66" t="s">
        <v>72</v>
      </c>
      <c r="BJ6" s="66" t="s">
        <v>26</v>
      </c>
      <c r="BK6" s="66" t="s">
        <v>71</v>
      </c>
      <c r="BL6" s="66" t="s">
        <v>72</v>
      </c>
      <c r="BM6" s="66" t="s">
        <v>26</v>
      </c>
      <c r="BN6" s="66" t="s">
        <v>71</v>
      </c>
      <c r="BO6" s="66" t="s">
        <v>72</v>
      </c>
      <c r="BP6" s="66" t="s">
        <v>26</v>
      </c>
      <c r="BQ6" s="66" t="s">
        <v>71</v>
      </c>
      <c r="BR6" s="66" t="s">
        <v>72</v>
      </c>
      <c r="BS6" s="67" t="s">
        <v>26</v>
      </c>
      <c r="BT6" s="66" t="s">
        <v>71</v>
      </c>
      <c r="BU6" s="66" t="s">
        <v>72</v>
      </c>
      <c r="BV6" s="67" t="s">
        <v>26</v>
      </c>
      <c r="BW6" s="62"/>
      <c r="BX6" s="63"/>
      <c r="BY6" s="64" t="s">
        <v>26</v>
      </c>
      <c r="BZ6" s="3"/>
      <c r="CA6" s="56" t="s">
        <v>26</v>
      </c>
      <c r="CB6" s="3"/>
      <c r="CC6" s="425"/>
      <c r="CD6" s="425"/>
    </row>
    <row r="7" spans="1:83" ht="14.5">
      <c r="A7" s="56">
        <v>1</v>
      </c>
      <c r="B7" s="68">
        <f>GROSS!B7</f>
        <v>0</v>
      </c>
      <c r="C7" s="68">
        <f>DELIVERIES!C7</f>
        <v>30</v>
      </c>
      <c r="D7" s="69">
        <f t="shared" ref="D7:D13" si="0">B7*C7</f>
        <v>0</v>
      </c>
      <c r="E7" s="70">
        <f>'1'!F7</f>
        <v>169</v>
      </c>
      <c r="F7" s="70">
        <f>DELIVERIES!F7</f>
        <v>35</v>
      </c>
      <c r="G7" s="71">
        <f t="shared" ref="G7:G13" si="1">E7*F7</f>
        <v>5915</v>
      </c>
      <c r="H7" s="72">
        <f>'1'!F8</f>
        <v>15</v>
      </c>
      <c r="I7" s="70">
        <f>DELIVERIES!I7</f>
        <v>8.5</v>
      </c>
      <c r="J7" s="71">
        <f t="shared" ref="J7:J13" si="2">H7*I7</f>
        <v>127.5</v>
      </c>
      <c r="K7" s="68">
        <f>'1'!F15</f>
        <v>18</v>
      </c>
      <c r="L7" s="70">
        <f>DELIVERIES!L7</f>
        <v>18</v>
      </c>
      <c r="M7" s="71">
        <f t="shared" ref="M7:M13" si="3">K7*L7</f>
        <v>324</v>
      </c>
      <c r="N7" s="70">
        <f>'1'!F9</f>
        <v>16</v>
      </c>
      <c r="O7" s="70">
        <f>DELIVERIES!O7</f>
        <v>7</v>
      </c>
      <c r="P7" s="71">
        <f t="shared" ref="P7:P13" si="4">N7*O7</f>
        <v>112</v>
      </c>
      <c r="Q7" s="68">
        <f>'1'!F10</f>
        <v>0</v>
      </c>
      <c r="R7" s="72">
        <f>DELIVERIES!R7</f>
        <v>5.5</v>
      </c>
      <c r="S7" s="71">
        <f t="shared" ref="S7:S13" si="5">Q7*R7</f>
        <v>0</v>
      </c>
      <c r="T7" s="68">
        <f>'1'!F11</f>
        <v>192</v>
      </c>
      <c r="U7" s="72">
        <f>DELIVERIES!U7</f>
        <v>8.5</v>
      </c>
      <c r="V7" s="71">
        <f t="shared" ref="V7:V13" si="6">T7*U7</f>
        <v>1632</v>
      </c>
      <c r="W7" s="68">
        <f>'1'!F12</f>
        <v>43</v>
      </c>
      <c r="X7" s="72">
        <f>DELIVERIES!X7</f>
        <v>6</v>
      </c>
      <c r="Y7" s="71">
        <f t="shared" ref="Y7:Y13" si="7">W7*X7</f>
        <v>258</v>
      </c>
      <c r="Z7" s="68">
        <f>'1'!F13</f>
        <v>32</v>
      </c>
      <c r="AA7" s="72">
        <f>DELIVERIES!AA7</f>
        <v>6</v>
      </c>
      <c r="AB7" s="71">
        <f t="shared" ref="AB7:AB13" si="8">Z7*AA7</f>
        <v>192</v>
      </c>
      <c r="AC7" s="68">
        <f>'1'!F14</f>
        <v>18</v>
      </c>
      <c r="AD7" s="72">
        <f>DELIVERIES!AD7</f>
        <v>8</v>
      </c>
      <c r="AE7" s="73">
        <f t="shared" ref="AE7:AE13" si="9">AC7*AD7</f>
        <v>144</v>
      </c>
      <c r="AF7" s="72"/>
      <c r="AG7" s="72"/>
      <c r="AH7" s="73">
        <f t="shared" ref="AH7:AH13" si="10">AF7*AG7</f>
        <v>0</v>
      </c>
      <c r="AI7" s="74"/>
      <c r="AJ7" s="75"/>
      <c r="AK7" s="69">
        <f t="shared" ref="AK7:AK13" si="11">D7+G7+J7+M7+P7+S7+V7+Y7+AB7+AE7+AH7</f>
        <v>8704.5</v>
      </c>
      <c r="AL7" s="76"/>
      <c r="AM7" s="68">
        <f>'1'!F17</f>
        <v>16</v>
      </c>
      <c r="AN7" s="72">
        <f>DELIVERIES!AQ7</f>
        <v>8.75</v>
      </c>
      <c r="AO7" s="71">
        <f t="shared" ref="AO7:AO13" si="12">AM7*AN7</f>
        <v>140</v>
      </c>
      <c r="AP7" s="68">
        <f>'1'!F18</f>
        <v>43</v>
      </c>
      <c r="AQ7" s="72">
        <f>DELIVERIES!AT7</f>
        <v>12.25</v>
      </c>
      <c r="AR7" s="71">
        <f t="shared" ref="AR7:AR13" si="13">AP7*AQ7</f>
        <v>526.75</v>
      </c>
      <c r="AS7" s="68">
        <f>'1'!F21</f>
        <v>0</v>
      </c>
      <c r="AT7" s="70">
        <f>DELIVERIES!AW7</f>
        <v>7.9166666666600003</v>
      </c>
      <c r="AU7" s="71">
        <f t="shared" ref="AU7:AU13" si="14">AS7*AT7</f>
        <v>0</v>
      </c>
      <c r="AV7" s="68">
        <f>'1'!F22</f>
        <v>7</v>
      </c>
      <c r="AW7" s="70">
        <f>DELIVERIES!AZ7</f>
        <v>9.7916666666666661</v>
      </c>
      <c r="AX7" s="71">
        <f t="shared" ref="AX7:AX13" si="15">AV7*AW7</f>
        <v>68.541666666666657</v>
      </c>
      <c r="AY7" s="68">
        <f>'1'!F26</f>
        <v>0</v>
      </c>
      <c r="AZ7" s="68">
        <f>DELIVERIES!BC7</f>
        <v>16.333333333333332</v>
      </c>
      <c r="BA7" s="69">
        <f t="shared" ref="BA7:BA13" si="16">AY7*AZ7</f>
        <v>0</v>
      </c>
      <c r="BB7" s="68">
        <f>'1'!F27</f>
        <v>7</v>
      </c>
      <c r="BC7" s="68">
        <f>DELIVERIES!BF7</f>
        <v>11.5</v>
      </c>
      <c r="BD7" s="69">
        <f t="shared" ref="BD7:BD13" si="17">BB7*BC7</f>
        <v>80.5</v>
      </c>
      <c r="BE7" s="68">
        <f>'1'!F28</f>
        <v>3</v>
      </c>
      <c r="BF7" s="70">
        <f>DELIVERIES!BI31</f>
        <v>20</v>
      </c>
      <c r="BG7" s="71">
        <f t="shared" ref="BG7:BG13" si="18">BE7*BF7</f>
        <v>60</v>
      </c>
      <c r="BH7" s="70">
        <f>'1'!F23</f>
        <v>0</v>
      </c>
      <c r="BI7" s="70">
        <f>DELIVERIES!BL7</f>
        <v>23</v>
      </c>
      <c r="BJ7" s="71">
        <f t="shared" ref="BJ7:BJ13" si="19">BH7*BI7</f>
        <v>0</v>
      </c>
      <c r="BK7" s="68">
        <f>'1'!F25</f>
        <v>0</v>
      </c>
      <c r="BL7" s="72">
        <f>DELIVERIES!BO7</f>
        <v>12.5</v>
      </c>
      <c r="BM7" s="71">
        <f t="shared" ref="BM7:BM13" si="20">BK7*BL7</f>
        <v>0</v>
      </c>
      <c r="BN7" s="68">
        <f>'1'!F24</f>
        <v>2</v>
      </c>
      <c r="BO7" s="68">
        <f>DELIVERIES!BR7</f>
        <v>12.75</v>
      </c>
      <c r="BP7" s="69">
        <f t="shared" ref="BP7:BP13" si="21">BN7*BO7</f>
        <v>25.5</v>
      </c>
      <c r="BQ7" s="68">
        <f>'1'!F19</f>
        <v>0</v>
      </c>
      <c r="BR7" s="70">
        <f>DELIVERIES!BU7</f>
        <v>30.25</v>
      </c>
      <c r="BS7" s="77">
        <f t="shared" ref="BS7:BS13" si="22">BQ7*BR7</f>
        <v>0</v>
      </c>
      <c r="BT7" s="68">
        <f>'1'!F20</f>
        <v>0</v>
      </c>
      <c r="BU7" s="70">
        <f>DELIVERIES!BX7</f>
        <v>15.916666666659999</v>
      </c>
      <c r="BV7" s="77">
        <f t="shared" ref="BV7:BV13" si="23">BT7*BU7</f>
        <v>0</v>
      </c>
      <c r="BW7" s="78"/>
      <c r="BX7" s="79"/>
      <c r="BY7" s="69">
        <f t="shared" ref="BY7:BY13" si="24">AO7+AR7+AU7+AX7+BA7+BD7+BG7+BJ7+BM7+BP7+BS7+BV7</f>
        <v>901.29166666666663</v>
      </c>
      <c r="BZ7" s="39"/>
      <c r="CA7" s="71">
        <f t="shared" ref="CA7:CA13" si="25">BY7+AK7</f>
        <v>9605.7916666666661</v>
      </c>
      <c r="CB7" s="39"/>
      <c r="CC7" s="39"/>
      <c r="CD7" s="39">
        <f t="shared" ref="CD7:CD13" si="26">CA7-CC7</f>
        <v>9605.7916666666661</v>
      </c>
    </row>
    <row r="8" spans="1:83" ht="14.5">
      <c r="A8" s="56">
        <v>2</v>
      </c>
      <c r="B8" s="68">
        <f>GROSS!B8</f>
        <v>0</v>
      </c>
      <c r="C8" s="68">
        <f>DELIVERIES!C8</f>
        <v>30</v>
      </c>
      <c r="D8" s="69">
        <f t="shared" si="0"/>
        <v>0</v>
      </c>
      <c r="E8" s="70">
        <f>'2'!F7</f>
        <v>214</v>
      </c>
      <c r="F8" s="70">
        <f>DELIVERIES!F8</f>
        <v>35</v>
      </c>
      <c r="G8" s="71">
        <f t="shared" si="1"/>
        <v>7490</v>
      </c>
      <c r="H8" s="84">
        <f>'2'!F8</f>
        <v>12</v>
      </c>
      <c r="I8" s="70">
        <f>DELIVERIES!I8</f>
        <v>8.5</v>
      </c>
      <c r="J8" s="71">
        <f t="shared" si="2"/>
        <v>102</v>
      </c>
      <c r="K8" s="84">
        <f>'2'!F15</f>
        <v>18</v>
      </c>
      <c r="L8" s="70">
        <f>DELIVERIES!L8</f>
        <v>18</v>
      </c>
      <c r="M8" s="71">
        <f t="shared" si="3"/>
        <v>324</v>
      </c>
      <c r="N8" s="68">
        <f>'2'!F9</f>
        <v>62</v>
      </c>
      <c r="O8" s="70">
        <f>DELIVERIES!O8</f>
        <v>7</v>
      </c>
      <c r="P8" s="71">
        <f t="shared" si="4"/>
        <v>434</v>
      </c>
      <c r="Q8" s="68">
        <f>'2'!F10</f>
        <v>0</v>
      </c>
      <c r="R8" s="72">
        <f>DELIVERIES!R8</f>
        <v>5.5</v>
      </c>
      <c r="S8" s="71">
        <f t="shared" si="5"/>
        <v>0</v>
      </c>
      <c r="T8" s="68">
        <f>'2'!F11</f>
        <v>176</v>
      </c>
      <c r="U8" s="72">
        <f>DELIVERIES!U8</f>
        <v>8.5</v>
      </c>
      <c r="V8" s="71">
        <f t="shared" si="6"/>
        <v>1496</v>
      </c>
      <c r="W8" s="68">
        <f>'2'!F12</f>
        <v>74</v>
      </c>
      <c r="X8" s="72">
        <f>DELIVERIES!X8</f>
        <v>6</v>
      </c>
      <c r="Y8" s="71">
        <f t="shared" si="7"/>
        <v>444</v>
      </c>
      <c r="Z8" s="68">
        <f>'2'!F13</f>
        <v>33</v>
      </c>
      <c r="AA8" s="72">
        <f>DELIVERIES!AA8</f>
        <v>6</v>
      </c>
      <c r="AB8" s="71">
        <f t="shared" si="8"/>
        <v>198</v>
      </c>
      <c r="AC8" s="68">
        <f>'2'!F14</f>
        <v>9</v>
      </c>
      <c r="AD8" s="72">
        <f>DELIVERIES!AD8</f>
        <v>8</v>
      </c>
      <c r="AE8" s="73">
        <f t="shared" si="9"/>
        <v>72</v>
      </c>
      <c r="AF8" s="72"/>
      <c r="AG8" s="72">
        <f>AG7</f>
        <v>0</v>
      </c>
      <c r="AH8" s="73">
        <f t="shared" si="10"/>
        <v>0</v>
      </c>
      <c r="AI8" s="74"/>
      <c r="AJ8" s="75"/>
      <c r="AK8" s="69">
        <f t="shared" si="11"/>
        <v>10560</v>
      </c>
      <c r="AL8" s="76"/>
      <c r="AM8" s="68">
        <f>'2'!F17</f>
        <v>16</v>
      </c>
      <c r="AN8" s="72">
        <f>DELIVERIES!AQ8</f>
        <v>8.75</v>
      </c>
      <c r="AO8" s="71">
        <f t="shared" si="12"/>
        <v>140</v>
      </c>
      <c r="AP8" s="68">
        <f>'2'!F18</f>
        <v>51</v>
      </c>
      <c r="AQ8" s="72">
        <f>DELIVERIES!AT8</f>
        <v>12.25</v>
      </c>
      <c r="AR8" s="71">
        <f t="shared" si="13"/>
        <v>624.75</v>
      </c>
      <c r="AS8" s="68">
        <f>'2'!F21</f>
        <v>0</v>
      </c>
      <c r="AT8" s="70">
        <f>DELIVERIES!AW8</f>
        <v>7.9166666666600003</v>
      </c>
      <c r="AU8" s="71">
        <f t="shared" si="14"/>
        <v>0</v>
      </c>
      <c r="AV8" s="68">
        <f>'2'!F22</f>
        <v>6</v>
      </c>
      <c r="AW8" s="70">
        <f>DELIVERIES!AZ8</f>
        <v>9.7916666666666661</v>
      </c>
      <c r="AX8" s="71">
        <f t="shared" si="15"/>
        <v>58.75</v>
      </c>
      <c r="AY8" s="68">
        <f>'2'!F26</f>
        <v>0</v>
      </c>
      <c r="AZ8" s="68">
        <f>DELIVERIES!BC8</f>
        <v>16.333333333333332</v>
      </c>
      <c r="BA8" s="69">
        <f t="shared" si="16"/>
        <v>0</v>
      </c>
      <c r="BB8" s="68">
        <f>'2'!F27</f>
        <v>6</v>
      </c>
      <c r="BC8" s="68">
        <f>DELIVERIES!BF8</f>
        <v>11.5</v>
      </c>
      <c r="BD8" s="69">
        <f t="shared" si="17"/>
        <v>69</v>
      </c>
      <c r="BE8" s="68">
        <f>'2'!F28</f>
        <v>6</v>
      </c>
      <c r="BF8" s="70">
        <f>DELIVERIES!BI32</f>
        <v>20</v>
      </c>
      <c r="BG8" s="71">
        <f t="shared" si="18"/>
        <v>120</v>
      </c>
      <c r="BH8" s="68">
        <f>'2'!F23</f>
        <v>0</v>
      </c>
      <c r="BI8" s="70">
        <f>DELIVERIES!BL8</f>
        <v>23</v>
      </c>
      <c r="BJ8" s="71">
        <f t="shared" si="19"/>
        <v>0</v>
      </c>
      <c r="BK8" s="68">
        <f>'2'!F25</f>
        <v>0</v>
      </c>
      <c r="BL8" s="72">
        <f>DELIVERIES!BO8</f>
        <v>12.5</v>
      </c>
      <c r="BM8" s="71">
        <f t="shared" si="20"/>
        <v>0</v>
      </c>
      <c r="BN8" s="68">
        <f>'2'!F24</f>
        <v>6</v>
      </c>
      <c r="BO8" s="68">
        <f>DELIVERIES!BR8</f>
        <v>12.75</v>
      </c>
      <c r="BP8" s="69">
        <f t="shared" si="21"/>
        <v>76.5</v>
      </c>
      <c r="BQ8" s="68">
        <f>'2'!F19</f>
        <v>0</v>
      </c>
      <c r="BR8" s="70">
        <f>DELIVERIES!BU8</f>
        <v>30.25</v>
      </c>
      <c r="BS8" s="77">
        <f t="shared" si="22"/>
        <v>0</v>
      </c>
      <c r="BT8" s="68">
        <f>'2'!F20</f>
        <v>0</v>
      </c>
      <c r="BU8" s="70">
        <f>DELIVERIES!BX8</f>
        <v>15.916666666659999</v>
      </c>
      <c r="BV8" s="77">
        <f t="shared" si="23"/>
        <v>0</v>
      </c>
      <c r="BW8" s="78"/>
      <c r="BX8" s="79"/>
      <c r="BY8" s="69">
        <f t="shared" si="24"/>
        <v>1089</v>
      </c>
      <c r="BZ8" s="39"/>
      <c r="CA8" s="71">
        <f t="shared" si="25"/>
        <v>11649</v>
      </c>
      <c r="CB8" s="90"/>
      <c r="CC8" s="39"/>
      <c r="CD8" s="39">
        <f t="shared" si="26"/>
        <v>11649</v>
      </c>
    </row>
    <row r="9" spans="1:83" ht="14.5">
      <c r="A9" s="56">
        <v>3</v>
      </c>
      <c r="B9" s="68">
        <f>GROSS!B9</f>
        <v>0</v>
      </c>
      <c r="C9" s="68">
        <f>DELIVERIES!C9</f>
        <v>30</v>
      </c>
      <c r="D9" s="69">
        <f t="shared" si="0"/>
        <v>0</v>
      </c>
      <c r="E9" s="70">
        <f>'3'!F7</f>
        <v>185</v>
      </c>
      <c r="F9" s="70">
        <f>DELIVERIES!F9</f>
        <v>35</v>
      </c>
      <c r="G9" s="71">
        <f t="shared" si="1"/>
        <v>6475</v>
      </c>
      <c r="H9" s="84">
        <f>'3'!F8</f>
        <v>11</v>
      </c>
      <c r="I9" s="70">
        <f>DELIVERIES!I9</f>
        <v>8.5</v>
      </c>
      <c r="J9" s="71">
        <f t="shared" si="2"/>
        <v>93.5</v>
      </c>
      <c r="K9" s="84">
        <f>'3'!F15</f>
        <v>20</v>
      </c>
      <c r="L9" s="70">
        <f>DELIVERIES!L9</f>
        <v>18</v>
      </c>
      <c r="M9" s="71">
        <f t="shared" si="3"/>
        <v>360</v>
      </c>
      <c r="N9" s="68">
        <f>'3'!F9</f>
        <v>118</v>
      </c>
      <c r="O9" s="70">
        <f>DELIVERIES!O9</f>
        <v>7</v>
      </c>
      <c r="P9" s="71">
        <f t="shared" si="4"/>
        <v>826</v>
      </c>
      <c r="Q9" s="68">
        <f>'3'!F10</f>
        <v>0</v>
      </c>
      <c r="R9" s="72">
        <f>DELIVERIES!R9</f>
        <v>5.5</v>
      </c>
      <c r="S9" s="71">
        <f t="shared" si="5"/>
        <v>0</v>
      </c>
      <c r="T9" s="68">
        <f>'3'!F11</f>
        <v>191</v>
      </c>
      <c r="U9" s="72">
        <f>DELIVERIES!U9</f>
        <v>8.5</v>
      </c>
      <c r="V9" s="71">
        <f t="shared" si="6"/>
        <v>1623.5</v>
      </c>
      <c r="W9" s="68">
        <f>'3'!F12</f>
        <v>33</v>
      </c>
      <c r="X9" s="72">
        <f>DELIVERIES!X9</f>
        <v>6</v>
      </c>
      <c r="Y9" s="71">
        <f t="shared" si="7"/>
        <v>198</v>
      </c>
      <c r="Z9" s="68">
        <f>'3'!F13</f>
        <v>44</v>
      </c>
      <c r="AA9" s="72">
        <f>DELIVERIES!AA9</f>
        <v>6</v>
      </c>
      <c r="AB9" s="71">
        <f t="shared" si="8"/>
        <v>264</v>
      </c>
      <c r="AC9" s="68">
        <f>'3'!F14</f>
        <v>12</v>
      </c>
      <c r="AD9" s="72">
        <f>DELIVERIES!AD9</f>
        <v>8</v>
      </c>
      <c r="AE9" s="73">
        <f t="shared" si="9"/>
        <v>96</v>
      </c>
      <c r="AF9" s="72"/>
      <c r="AG9" s="72">
        <f>AG7</f>
        <v>0</v>
      </c>
      <c r="AH9" s="73">
        <f t="shared" si="10"/>
        <v>0</v>
      </c>
      <c r="AI9" s="74"/>
      <c r="AJ9" s="75"/>
      <c r="AK9" s="69">
        <f t="shared" si="11"/>
        <v>9936</v>
      </c>
      <c r="AL9" s="76"/>
      <c r="AM9" s="68">
        <f>'3'!F17</f>
        <v>15</v>
      </c>
      <c r="AN9" s="72">
        <f>DELIVERIES!AQ9</f>
        <v>8.75</v>
      </c>
      <c r="AO9" s="71">
        <f t="shared" si="12"/>
        <v>131.25</v>
      </c>
      <c r="AP9" s="68">
        <f>'3'!F18</f>
        <v>38</v>
      </c>
      <c r="AQ9" s="72">
        <f>DELIVERIES!AT9</f>
        <v>12.25</v>
      </c>
      <c r="AR9" s="71">
        <f t="shared" si="13"/>
        <v>465.5</v>
      </c>
      <c r="AS9" s="68">
        <f>'3'!F21</f>
        <v>0</v>
      </c>
      <c r="AT9" s="70">
        <f>DELIVERIES!AW9</f>
        <v>7.9166666666600003</v>
      </c>
      <c r="AU9" s="71">
        <f t="shared" si="14"/>
        <v>0</v>
      </c>
      <c r="AV9" s="68">
        <f>'3'!F22</f>
        <v>4</v>
      </c>
      <c r="AW9" s="70">
        <f>DELIVERIES!AZ9</f>
        <v>9.7916666666666661</v>
      </c>
      <c r="AX9" s="71">
        <f t="shared" si="15"/>
        <v>39.166666666666664</v>
      </c>
      <c r="AY9" s="68">
        <f>'3'!F26</f>
        <v>0</v>
      </c>
      <c r="AZ9" s="68">
        <f>DELIVERIES!BC9</f>
        <v>16.333333333333332</v>
      </c>
      <c r="BA9" s="69">
        <f t="shared" si="16"/>
        <v>0</v>
      </c>
      <c r="BB9" s="68">
        <f>'3'!F27</f>
        <v>7</v>
      </c>
      <c r="BC9" s="68">
        <f>DELIVERIES!BF9</f>
        <v>11.5</v>
      </c>
      <c r="BD9" s="69">
        <f t="shared" si="17"/>
        <v>80.5</v>
      </c>
      <c r="BE9" s="68">
        <f>'3'!F28</f>
        <v>4</v>
      </c>
      <c r="BF9" s="70">
        <f>DELIVERIES!BI33</f>
        <v>20</v>
      </c>
      <c r="BG9" s="71">
        <f t="shared" si="18"/>
        <v>80</v>
      </c>
      <c r="BH9" s="68">
        <f>'3'!F23</f>
        <v>0</v>
      </c>
      <c r="BI9" s="70">
        <f>DELIVERIES!BL9</f>
        <v>23</v>
      </c>
      <c r="BJ9" s="71">
        <f t="shared" si="19"/>
        <v>0</v>
      </c>
      <c r="BK9" s="68">
        <f>'3'!F25</f>
        <v>0</v>
      </c>
      <c r="BL9" s="72">
        <f>DELIVERIES!BO9</f>
        <v>12.5</v>
      </c>
      <c r="BM9" s="71">
        <f t="shared" si="20"/>
        <v>0</v>
      </c>
      <c r="BN9" s="68">
        <f>'3'!F24</f>
        <v>6</v>
      </c>
      <c r="BO9" s="68">
        <f>DELIVERIES!BR9</f>
        <v>12.75</v>
      </c>
      <c r="BP9" s="69">
        <f t="shared" si="21"/>
        <v>76.5</v>
      </c>
      <c r="BQ9" s="68">
        <f>'3'!F19</f>
        <v>0</v>
      </c>
      <c r="BR9" s="70">
        <f>DELIVERIES!BU9</f>
        <v>30.25</v>
      </c>
      <c r="BS9" s="77">
        <f t="shared" si="22"/>
        <v>0</v>
      </c>
      <c r="BT9" s="68">
        <f>'3'!F20</f>
        <v>0</v>
      </c>
      <c r="BU9" s="70">
        <f>DELIVERIES!BX9</f>
        <v>15.916666666659999</v>
      </c>
      <c r="BV9" s="77">
        <f t="shared" si="23"/>
        <v>0</v>
      </c>
      <c r="BW9" s="78"/>
      <c r="BX9" s="79"/>
      <c r="BY9" s="69">
        <f t="shared" si="24"/>
        <v>872.91666666666663</v>
      </c>
      <c r="BZ9" s="39"/>
      <c r="CA9" s="71">
        <f t="shared" si="25"/>
        <v>10808.916666666666</v>
      </c>
      <c r="CB9" s="90"/>
      <c r="CC9" s="39"/>
      <c r="CD9" s="39">
        <f t="shared" si="26"/>
        <v>10808.916666666666</v>
      </c>
    </row>
    <row r="10" spans="1:83" ht="14.5">
      <c r="A10" s="56">
        <v>4</v>
      </c>
      <c r="B10" s="68">
        <f>GROSS!B10</f>
        <v>0</v>
      </c>
      <c r="C10" s="68">
        <f>DELIVERIES!C10</f>
        <v>30</v>
      </c>
      <c r="D10" s="69">
        <f t="shared" si="0"/>
        <v>0</v>
      </c>
      <c r="E10" s="70">
        <f>'4'!F7</f>
        <v>142</v>
      </c>
      <c r="F10" s="70">
        <f>DELIVERIES!F10</f>
        <v>35</v>
      </c>
      <c r="G10" s="71">
        <f t="shared" si="1"/>
        <v>4970</v>
      </c>
      <c r="H10" s="84">
        <f>'4'!F8</f>
        <v>12</v>
      </c>
      <c r="I10" s="70">
        <f>DELIVERIES!I10</f>
        <v>8.5</v>
      </c>
      <c r="J10" s="71">
        <f t="shared" si="2"/>
        <v>102</v>
      </c>
      <c r="K10" s="84">
        <f>'4'!F15</f>
        <v>7</v>
      </c>
      <c r="L10" s="70">
        <f>DELIVERIES!L10</f>
        <v>18</v>
      </c>
      <c r="M10" s="71">
        <f t="shared" si="3"/>
        <v>126</v>
      </c>
      <c r="N10" s="68">
        <f>'4'!F9</f>
        <v>99</v>
      </c>
      <c r="O10" s="70">
        <f>DELIVERIES!O10</f>
        <v>7</v>
      </c>
      <c r="P10" s="71">
        <f t="shared" si="4"/>
        <v>693</v>
      </c>
      <c r="Q10" s="68">
        <f>'4'!F10</f>
        <v>0</v>
      </c>
      <c r="R10" s="72">
        <f>DELIVERIES!R10</f>
        <v>5.5</v>
      </c>
      <c r="S10" s="71">
        <f t="shared" si="5"/>
        <v>0</v>
      </c>
      <c r="T10" s="68">
        <f>'4'!F11</f>
        <v>160</v>
      </c>
      <c r="U10" s="72">
        <f>DELIVERIES!U10</f>
        <v>8.5</v>
      </c>
      <c r="V10" s="71">
        <f t="shared" si="6"/>
        <v>1360</v>
      </c>
      <c r="W10" s="68">
        <f>'4'!F12</f>
        <v>24</v>
      </c>
      <c r="X10" s="72">
        <f>DELIVERIES!X10</f>
        <v>6</v>
      </c>
      <c r="Y10" s="71">
        <f t="shared" si="7"/>
        <v>144</v>
      </c>
      <c r="Z10" s="68">
        <f>'4'!F13</f>
        <v>34</v>
      </c>
      <c r="AA10" s="72">
        <f>DELIVERIES!AA10</f>
        <v>6</v>
      </c>
      <c r="AB10" s="71">
        <f t="shared" si="8"/>
        <v>204</v>
      </c>
      <c r="AC10" s="68">
        <f>'4'!F14</f>
        <v>10</v>
      </c>
      <c r="AD10" s="72">
        <f>DELIVERIES!AD10</f>
        <v>8</v>
      </c>
      <c r="AE10" s="73">
        <f t="shared" si="9"/>
        <v>80</v>
      </c>
      <c r="AF10" s="72"/>
      <c r="AG10" s="72">
        <f>AG7</f>
        <v>0</v>
      </c>
      <c r="AH10" s="73">
        <f t="shared" si="10"/>
        <v>0</v>
      </c>
      <c r="AI10" s="74"/>
      <c r="AJ10" s="75"/>
      <c r="AK10" s="69">
        <f t="shared" si="11"/>
        <v>7679</v>
      </c>
      <c r="AL10" s="76"/>
      <c r="AM10" s="68">
        <f>'4'!F17</f>
        <v>4</v>
      </c>
      <c r="AN10" s="72">
        <f>DELIVERIES!AQ10</f>
        <v>8.75</v>
      </c>
      <c r="AO10" s="71">
        <f t="shared" si="12"/>
        <v>35</v>
      </c>
      <c r="AP10" s="68">
        <f>'4'!F18</f>
        <v>27</v>
      </c>
      <c r="AQ10" s="72">
        <f>DELIVERIES!AT10</f>
        <v>12.25</v>
      </c>
      <c r="AR10" s="71">
        <f t="shared" si="13"/>
        <v>330.75</v>
      </c>
      <c r="AS10" s="68">
        <f>'4'!F21</f>
        <v>0</v>
      </c>
      <c r="AT10" s="70">
        <f>DELIVERIES!AW10</f>
        <v>7.9166666666600003</v>
      </c>
      <c r="AU10" s="71">
        <f t="shared" si="14"/>
        <v>0</v>
      </c>
      <c r="AV10" s="68">
        <f>'4'!F22</f>
        <v>3</v>
      </c>
      <c r="AW10" s="70">
        <f>DELIVERIES!AZ10</f>
        <v>9.7916666666666661</v>
      </c>
      <c r="AX10" s="71">
        <f t="shared" si="15"/>
        <v>29.375</v>
      </c>
      <c r="AY10" s="68">
        <f>'4'!F26</f>
        <v>0</v>
      </c>
      <c r="AZ10" s="68">
        <f>DELIVERIES!BC10</f>
        <v>16.333333333333332</v>
      </c>
      <c r="BA10" s="69">
        <f t="shared" si="16"/>
        <v>0</v>
      </c>
      <c r="BB10" s="68">
        <f>'4'!F27</f>
        <v>6</v>
      </c>
      <c r="BC10" s="68">
        <f>DELIVERIES!BF10</f>
        <v>11.5</v>
      </c>
      <c r="BD10" s="69">
        <f t="shared" si="17"/>
        <v>69</v>
      </c>
      <c r="BE10" s="68">
        <f>'4'!F28</f>
        <v>10</v>
      </c>
      <c r="BF10" s="70">
        <f>DELIVERIES!BI34</f>
        <v>20</v>
      </c>
      <c r="BG10" s="71">
        <f t="shared" si="18"/>
        <v>200</v>
      </c>
      <c r="BH10" s="68">
        <f>'4'!F23</f>
        <v>0</v>
      </c>
      <c r="BI10" s="70">
        <f>DELIVERIES!BL10</f>
        <v>23</v>
      </c>
      <c r="BJ10" s="71">
        <f t="shared" si="19"/>
        <v>0</v>
      </c>
      <c r="BK10" s="68">
        <f>'4'!F25</f>
        <v>0</v>
      </c>
      <c r="BL10" s="72">
        <f>DELIVERIES!BO10</f>
        <v>12.5</v>
      </c>
      <c r="BM10" s="71">
        <f t="shared" si="20"/>
        <v>0</v>
      </c>
      <c r="BN10" s="68">
        <f>'4'!F24</f>
        <v>6</v>
      </c>
      <c r="BO10" s="68">
        <f>DELIVERIES!BR10</f>
        <v>12.75</v>
      </c>
      <c r="BP10" s="69">
        <f t="shared" si="21"/>
        <v>76.5</v>
      </c>
      <c r="BQ10" s="68">
        <f>'4'!F19</f>
        <v>0</v>
      </c>
      <c r="BR10" s="70">
        <f>DELIVERIES!BU10</f>
        <v>30.25</v>
      </c>
      <c r="BS10" s="77">
        <f t="shared" si="22"/>
        <v>0</v>
      </c>
      <c r="BT10" s="68">
        <f>'4'!F20</f>
        <v>0</v>
      </c>
      <c r="BU10" s="70">
        <f>DELIVERIES!BX10</f>
        <v>15.916666666659999</v>
      </c>
      <c r="BV10" s="77">
        <f t="shared" si="23"/>
        <v>0</v>
      </c>
      <c r="BW10" s="78"/>
      <c r="BX10" s="79"/>
      <c r="BY10" s="69">
        <f t="shared" si="24"/>
        <v>740.625</v>
      </c>
      <c r="BZ10" s="39"/>
      <c r="CA10" s="71">
        <f t="shared" si="25"/>
        <v>8419.625</v>
      </c>
      <c r="CB10" s="90"/>
      <c r="CC10" s="39"/>
      <c r="CD10" s="39">
        <f t="shared" si="26"/>
        <v>8419.625</v>
      </c>
    </row>
    <row r="11" spans="1:83" ht="14.5">
      <c r="A11" s="56">
        <v>5</v>
      </c>
      <c r="B11" s="68">
        <f>GROSS!B11</f>
        <v>0</v>
      </c>
      <c r="C11" s="68">
        <f>DELIVERIES!C11</f>
        <v>30</v>
      </c>
      <c r="D11" s="69">
        <f t="shared" si="0"/>
        <v>0</v>
      </c>
      <c r="E11" s="70">
        <f>'5'!F7</f>
        <v>207</v>
      </c>
      <c r="F11" s="70">
        <f>DELIVERIES!F11</f>
        <v>35</v>
      </c>
      <c r="G11" s="71">
        <f t="shared" si="1"/>
        <v>7245</v>
      </c>
      <c r="H11" s="84">
        <f>'5'!F8</f>
        <v>19</v>
      </c>
      <c r="I11" s="70">
        <f>DELIVERIES!I11</f>
        <v>8.5</v>
      </c>
      <c r="J11" s="71">
        <f t="shared" si="2"/>
        <v>161.5</v>
      </c>
      <c r="K11" s="84">
        <f>'5'!F15</f>
        <v>22</v>
      </c>
      <c r="L11" s="70">
        <f>DELIVERIES!L11</f>
        <v>18</v>
      </c>
      <c r="M11" s="71">
        <f t="shared" si="3"/>
        <v>396</v>
      </c>
      <c r="N11" s="68">
        <f>'5'!F9</f>
        <v>21</v>
      </c>
      <c r="O11" s="70">
        <f>DELIVERIES!O11</f>
        <v>7</v>
      </c>
      <c r="P11" s="71">
        <f t="shared" si="4"/>
        <v>147</v>
      </c>
      <c r="Q11" s="68">
        <f>'5'!F10</f>
        <v>0</v>
      </c>
      <c r="R11" s="72">
        <f>DELIVERIES!R11</f>
        <v>5.5</v>
      </c>
      <c r="S11" s="71">
        <f t="shared" si="5"/>
        <v>0</v>
      </c>
      <c r="T11" s="68">
        <f>'5'!F11</f>
        <v>273</v>
      </c>
      <c r="U11" s="72">
        <f>DELIVERIES!U11</f>
        <v>8.5</v>
      </c>
      <c r="V11" s="71">
        <f t="shared" si="6"/>
        <v>2320.5</v>
      </c>
      <c r="W11" s="68">
        <f>'5'!F12</f>
        <v>59</v>
      </c>
      <c r="X11" s="72">
        <f>DELIVERIES!X11</f>
        <v>6</v>
      </c>
      <c r="Y11" s="71">
        <f t="shared" si="7"/>
        <v>354</v>
      </c>
      <c r="Z11" s="68">
        <f>'5'!F13</f>
        <v>59</v>
      </c>
      <c r="AA11" s="72">
        <f>DELIVERIES!AA11</f>
        <v>6</v>
      </c>
      <c r="AB11" s="71">
        <f t="shared" si="8"/>
        <v>354</v>
      </c>
      <c r="AC11" s="68">
        <f>'5'!F14</f>
        <v>15</v>
      </c>
      <c r="AD11" s="72">
        <f>DELIVERIES!AD11</f>
        <v>8</v>
      </c>
      <c r="AE11" s="73">
        <f t="shared" si="9"/>
        <v>120</v>
      </c>
      <c r="AF11" s="72"/>
      <c r="AG11" s="72">
        <f>AG7</f>
        <v>0</v>
      </c>
      <c r="AH11" s="73">
        <f t="shared" si="10"/>
        <v>0</v>
      </c>
      <c r="AI11" s="74"/>
      <c r="AJ11" s="75"/>
      <c r="AK11" s="69">
        <f t="shared" si="11"/>
        <v>11098</v>
      </c>
      <c r="AL11" s="76"/>
      <c r="AM11" s="68">
        <f>'5'!F17</f>
        <v>17</v>
      </c>
      <c r="AN11" s="72">
        <f>DELIVERIES!AQ11</f>
        <v>8.75</v>
      </c>
      <c r="AO11" s="71">
        <f t="shared" si="12"/>
        <v>148.75</v>
      </c>
      <c r="AP11" s="68">
        <f>'5'!F18</f>
        <v>50</v>
      </c>
      <c r="AQ11" s="72">
        <f>DELIVERIES!AT11</f>
        <v>12.25</v>
      </c>
      <c r="AR11" s="71">
        <f t="shared" si="13"/>
        <v>612.5</v>
      </c>
      <c r="AS11" s="68">
        <f>'5'!F21</f>
        <v>0</v>
      </c>
      <c r="AT11" s="70">
        <f>DELIVERIES!AW11</f>
        <v>7.9166666666600003</v>
      </c>
      <c r="AU11" s="71">
        <f t="shared" si="14"/>
        <v>0</v>
      </c>
      <c r="AV11" s="68">
        <f>'5'!F22</f>
        <v>10</v>
      </c>
      <c r="AW11" s="70">
        <f>DELIVERIES!AZ11</f>
        <v>9.7916666666666661</v>
      </c>
      <c r="AX11" s="71">
        <f t="shared" si="15"/>
        <v>97.916666666666657</v>
      </c>
      <c r="AY11" s="68">
        <f>'5'!F26</f>
        <v>0</v>
      </c>
      <c r="AZ11" s="68">
        <f>DELIVERIES!BC11</f>
        <v>16.333333333333332</v>
      </c>
      <c r="BA11" s="69">
        <f t="shared" si="16"/>
        <v>0</v>
      </c>
      <c r="BB11" s="68">
        <f>'5'!F27</f>
        <v>17</v>
      </c>
      <c r="BC11" s="68">
        <f>DELIVERIES!BF11</f>
        <v>11.5</v>
      </c>
      <c r="BD11" s="69">
        <f t="shared" si="17"/>
        <v>195.5</v>
      </c>
      <c r="BE11" s="68">
        <f>'5'!F28</f>
        <v>8</v>
      </c>
      <c r="BF11" s="70">
        <f>DELIVERIES!BI35</f>
        <v>20</v>
      </c>
      <c r="BG11" s="71">
        <f t="shared" si="18"/>
        <v>160</v>
      </c>
      <c r="BH11" s="68">
        <f>'5'!F23</f>
        <v>0</v>
      </c>
      <c r="BI11" s="70">
        <f>DELIVERIES!BL11</f>
        <v>23</v>
      </c>
      <c r="BJ11" s="71">
        <f t="shared" si="19"/>
        <v>0</v>
      </c>
      <c r="BK11" s="68">
        <f>'5'!F25</f>
        <v>0</v>
      </c>
      <c r="BL11" s="72">
        <f>DELIVERIES!BO11</f>
        <v>12.5</v>
      </c>
      <c r="BM11" s="71">
        <f t="shared" si="20"/>
        <v>0</v>
      </c>
      <c r="BN11" s="68">
        <f>'5'!F24</f>
        <v>3</v>
      </c>
      <c r="BO11" s="68">
        <f>DELIVERIES!BR11</f>
        <v>12.75</v>
      </c>
      <c r="BP11" s="69">
        <f t="shared" si="21"/>
        <v>38.25</v>
      </c>
      <c r="BQ11" s="68">
        <f>'5'!F19</f>
        <v>0</v>
      </c>
      <c r="BR11" s="70">
        <f>DELIVERIES!BU11</f>
        <v>30.25</v>
      </c>
      <c r="BS11" s="77">
        <f t="shared" si="22"/>
        <v>0</v>
      </c>
      <c r="BT11" s="68">
        <f>'5'!F20</f>
        <v>0</v>
      </c>
      <c r="BU11" s="70">
        <f>DELIVERIES!BX11</f>
        <v>15.916666666659999</v>
      </c>
      <c r="BV11" s="77">
        <f t="shared" si="23"/>
        <v>0</v>
      </c>
      <c r="BW11" s="78"/>
      <c r="BX11" s="79"/>
      <c r="BY11" s="69">
        <f t="shared" si="24"/>
        <v>1252.9166666666665</v>
      </c>
      <c r="BZ11" s="39"/>
      <c r="CA11" s="71">
        <f t="shared" si="25"/>
        <v>12350.916666666666</v>
      </c>
      <c r="CB11" s="90"/>
      <c r="CC11" s="39"/>
      <c r="CD11" s="39">
        <f t="shared" si="26"/>
        <v>12350.916666666666</v>
      </c>
    </row>
    <row r="12" spans="1:83" ht="14.5">
      <c r="A12" s="56">
        <v>6</v>
      </c>
      <c r="B12" s="68">
        <f>GROSS!B12</f>
        <v>0</v>
      </c>
      <c r="C12" s="68">
        <f>DELIVERIES!C12</f>
        <v>30</v>
      </c>
      <c r="D12" s="69">
        <f t="shared" si="0"/>
        <v>0</v>
      </c>
      <c r="E12" s="70">
        <f>'6'!F7</f>
        <v>203</v>
      </c>
      <c r="F12" s="70">
        <f>DELIVERIES!F12</f>
        <v>35</v>
      </c>
      <c r="G12" s="71">
        <f t="shared" si="1"/>
        <v>7105</v>
      </c>
      <c r="H12" s="84">
        <f>'6'!F8</f>
        <v>6</v>
      </c>
      <c r="I12" s="70">
        <f>DELIVERIES!I12</f>
        <v>8.5</v>
      </c>
      <c r="J12" s="71">
        <f t="shared" si="2"/>
        <v>51</v>
      </c>
      <c r="K12" s="84">
        <f>'6'!F15</f>
        <v>7</v>
      </c>
      <c r="L12" s="70">
        <f>DELIVERIES!L12</f>
        <v>18</v>
      </c>
      <c r="M12" s="71">
        <f t="shared" si="3"/>
        <v>126</v>
      </c>
      <c r="N12" s="68">
        <f>'6'!F9</f>
        <v>50</v>
      </c>
      <c r="O12" s="70">
        <f>DELIVERIES!O12</f>
        <v>7</v>
      </c>
      <c r="P12" s="71">
        <f t="shared" si="4"/>
        <v>350</v>
      </c>
      <c r="Q12" s="68">
        <f>'6'!F10</f>
        <v>0</v>
      </c>
      <c r="R12" s="72">
        <f>DELIVERIES!R12</f>
        <v>5.5</v>
      </c>
      <c r="S12" s="71">
        <f t="shared" si="5"/>
        <v>0</v>
      </c>
      <c r="T12" s="68">
        <f>'6'!F11</f>
        <v>220</v>
      </c>
      <c r="U12" s="72">
        <f>DELIVERIES!U12</f>
        <v>8.5</v>
      </c>
      <c r="V12" s="71">
        <f t="shared" si="6"/>
        <v>1870</v>
      </c>
      <c r="W12" s="68">
        <f>'6'!F12</f>
        <v>35</v>
      </c>
      <c r="X12" s="72">
        <f>DELIVERIES!X12</f>
        <v>6</v>
      </c>
      <c r="Y12" s="71">
        <f t="shared" si="7"/>
        <v>210</v>
      </c>
      <c r="Z12" s="68">
        <f>'6'!F13</f>
        <v>36</v>
      </c>
      <c r="AA12" s="72">
        <f>DELIVERIES!AA12</f>
        <v>6</v>
      </c>
      <c r="AB12" s="71">
        <f t="shared" si="8"/>
        <v>216</v>
      </c>
      <c r="AC12" s="68">
        <f>'6'!F14</f>
        <v>6</v>
      </c>
      <c r="AD12" s="72">
        <f>DELIVERIES!AD12</f>
        <v>8</v>
      </c>
      <c r="AE12" s="73">
        <f t="shared" si="9"/>
        <v>48</v>
      </c>
      <c r="AF12" s="72"/>
      <c r="AG12" s="72">
        <f>AG7</f>
        <v>0</v>
      </c>
      <c r="AH12" s="118">
        <f t="shared" si="10"/>
        <v>0</v>
      </c>
      <c r="AI12" s="119"/>
      <c r="AJ12" s="119"/>
      <c r="AK12" s="69">
        <f t="shared" si="11"/>
        <v>9976</v>
      </c>
      <c r="AL12" s="76"/>
      <c r="AM12" s="68">
        <f>'6'!F17</f>
        <v>7</v>
      </c>
      <c r="AN12" s="72">
        <f>DELIVERIES!AQ12</f>
        <v>8.75</v>
      </c>
      <c r="AO12" s="71">
        <f t="shared" si="12"/>
        <v>61.25</v>
      </c>
      <c r="AP12" s="68">
        <f>'6'!F18</f>
        <v>41</v>
      </c>
      <c r="AQ12" s="72">
        <f>DELIVERIES!AT12</f>
        <v>12.25</v>
      </c>
      <c r="AR12" s="71">
        <f t="shared" si="13"/>
        <v>502.25</v>
      </c>
      <c r="AS12" s="68">
        <f>'6'!F21</f>
        <v>0</v>
      </c>
      <c r="AT12" s="70">
        <f>DELIVERIES!AW12</f>
        <v>7.9166666666600003</v>
      </c>
      <c r="AU12" s="71">
        <f t="shared" si="14"/>
        <v>0</v>
      </c>
      <c r="AV12" s="68">
        <f>'6'!F22</f>
        <v>7</v>
      </c>
      <c r="AW12" s="70">
        <f>DELIVERIES!AZ12</f>
        <v>9.7916666666666661</v>
      </c>
      <c r="AX12" s="71">
        <f t="shared" si="15"/>
        <v>68.541666666666657</v>
      </c>
      <c r="AY12" s="68">
        <f>'6'!F26</f>
        <v>0</v>
      </c>
      <c r="AZ12" s="68">
        <f>DELIVERIES!BC12</f>
        <v>16.333333333333332</v>
      </c>
      <c r="BA12" s="69">
        <f t="shared" si="16"/>
        <v>0</v>
      </c>
      <c r="BB12" s="68">
        <f>'6'!F27</f>
        <v>8</v>
      </c>
      <c r="BC12" s="68">
        <f>DELIVERIES!BF12</f>
        <v>11.5</v>
      </c>
      <c r="BD12" s="69">
        <f t="shared" si="17"/>
        <v>92</v>
      </c>
      <c r="BE12" s="68">
        <f>'6'!F28</f>
        <v>3</v>
      </c>
      <c r="BF12" s="70">
        <f>DELIVERIES!BI36</f>
        <v>20</v>
      </c>
      <c r="BG12" s="71">
        <f t="shared" si="18"/>
        <v>60</v>
      </c>
      <c r="BH12" s="68">
        <f>'6'!F23</f>
        <v>0</v>
      </c>
      <c r="BI12" s="70">
        <f>DELIVERIES!BL12</f>
        <v>23</v>
      </c>
      <c r="BJ12" s="71">
        <f t="shared" si="19"/>
        <v>0</v>
      </c>
      <c r="BK12" s="68">
        <f>'6'!F25</f>
        <v>0</v>
      </c>
      <c r="BL12" s="72">
        <f>DELIVERIES!BO12</f>
        <v>12.5</v>
      </c>
      <c r="BM12" s="71">
        <f t="shared" si="20"/>
        <v>0</v>
      </c>
      <c r="BN12" s="68">
        <f>'6'!F24</f>
        <v>2</v>
      </c>
      <c r="BO12" s="68">
        <f>DELIVERIES!BR12</f>
        <v>12.75</v>
      </c>
      <c r="BP12" s="69">
        <f t="shared" si="21"/>
        <v>25.5</v>
      </c>
      <c r="BQ12" s="68">
        <f>'6'!F19</f>
        <v>0</v>
      </c>
      <c r="BR12" s="70">
        <f>DELIVERIES!BU12</f>
        <v>30.25</v>
      </c>
      <c r="BS12" s="77">
        <f t="shared" si="22"/>
        <v>0</v>
      </c>
      <c r="BT12" s="68">
        <f>'6'!F20</f>
        <v>0</v>
      </c>
      <c r="BU12" s="70">
        <f>DELIVERIES!BX12</f>
        <v>15.916666666659999</v>
      </c>
      <c r="BV12" s="77">
        <f t="shared" si="23"/>
        <v>0</v>
      </c>
      <c r="BW12" s="78"/>
      <c r="BX12" s="79"/>
      <c r="BY12" s="69">
        <f t="shared" si="24"/>
        <v>809.54166666666663</v>
      </c>
      <c r="BZ12" s="39"/>
      <c r="CA12" s="71">
        <f t="shared" si="25"/>
        <v>10785.541666666666</v>
      </c>
      <c r="CB12" s="90"/>
      <c r="CC12" s="39"/>
      <c r="CD12" s="39">
        <f t="shared" si="26"/>
        <v>10785.541666666666</v>
      </c>
    </row>
    <row r="13" spans="1:83" ht="14.5">
      <c r="A13" s="56">
        <v>7</v>
      </c>
      <c r="B13" s="68">
        <f>GROSS!B13</f>
        <v>0</v>
      </c>
      <c r="C13" s="68">
        <f>DELIVERIES!C13</f>
        <v>30</v>
      </c>
      <c r="D13" s="69">
        <f t="shared" si="0"/>
        <v>0</v>
      </c>
      <c r="E13" s="70">
        <f>'7'!F7</f>
        <v>158</v>
      </c>
      <c r="F13" s="70">
        <f>DELIVERIES!F13</f>
        <v>35</v>
      </c>
      <c r="G13" s="71">
        <f t="shared" si="1"/>
        <v>5530</v>
      </c>
      <c r="H13" s="84">
        <f>'7'!F8</f>
        <v>17</v>
      </c>
      <c r="I13" s="70">
        <f>DELIVERIES!I13</f>
        <v>8.5</v>
      </c>
      <c r="J13" s="71">
        <f t="shared" si="2"/>
        <v>144.5</v>
      </c>
      <c r="K13" s="84">
        <f>'7'!F15</f>
        <v>11</v>
      </c>
      <c r="L13" s="70">
        <f>DELIVERIES!L13</f>
        <v>18</v>
      </c>
      <c r="M13" s="71">
        <f t="shared" si="3"/>
        <v>198</v>
      </c>
      <c r="N13" s="68">
        <f>'7'!F9</f>
        <v>86</v>
      </c>
      <c r="O13" s="70">
        <f>DELIVERIES!O13</f>
        <v>7</v>
      </c>
      <c r="P13" s="71">
        <f t="shared" si="4"/>
        <v>602</v>
      </c>
      <c r="Q13" s="68">
        <f>'7'!F10</f>
        <v>0</v>
      </c>
      <c r="R13" s="72">
        <f>DELIVERIES!R13</f>
        <v>5.5</v>
      </c>
      <c r="S13" s="71">
        <f t="shared" si="5"/>
        <v>0</v>
      </c>
      <c r="T13" s="68">
        <f>'7'!F11</f>
        <v>169</v>
      </c>
      <c r="U13" s="72">
        <f>DELIVERIES!U13</f>
        <v>8.5</v>
      </c>
      <c r="V13" s="71">
        <f t="shared" si="6"/>
        <v>1436.5</v>
      </c>
      <c r="W13" s="68">
        <f>'7'!F12</f>
        <v>34</v>
      </c>
      <c r="X13" s="72">
        <f>DELIVERIES!X13</f>
        <v>6</v>
      </c>
      <c r="Y13" s="71">
        <f t="shared" si="7"/>
        <v>204</v>
      </c>
      <c r="Z13" s="68">
        <f>'7'!F13</f>
        <v>33</v>
      </c>
      <c r="AA13" s="72">
        <f>DELIVERIES!AA13</f>
        <v>6</v>
      </c>
      <c r="AB13" s="71">
        <f t="shared" si="8"/>
        <v>198</v>
      </c>
      <c r="AC13" s="68">
        <f>'7'!F14</f>
        <v>11</v>
      </c>
      <c r="AD13" s="72">
        <f>DELIVERIES!AD13</f>
        <v>8</v>
      </c>
      <c r="AE13" s="73">
        <f t="shared" si="9"/>
        <v>88</v>
      </c>
      <c r="AF13" s="72"/>
      <c r="AG13" s="72">
        <f>AG7</f>
        <v>0</v>
      </c>
      <c r="AH13" s="118">
        <f t="shared" si="10"/>
        <v>0</v>
      </c>
      <c r="AI13" s="119"/>
      <c r="AJ13" s="119"/>
      <c r="AK13" s="69">
        <f t="shared" si="11"/>
        <v>8401</v>
      </c>
      <c r="AL13" s="76"/>
      <c r="AM13" s="68">
        <f>'7'!F17</f>
        <v>8</v>
      </c>
      <c r="AN13" s="72">
        <f>DELIVERIES!AQ13</f>
        <v>8.75</v>
      </c>
      <c r="AO13" s="71">
        <f t="shared" si="12"/>
        <v>70</v>
      </c>
      <c r="AP13" s="68">
        <f>'7'!F18</f>
        <v>31</v>
      </c>
      <c r="AQ13" s="72">
        <f>DELIVERIES!AT13</f>
        <v>12.25</v>
      </c>
      <c r="AR13" s="71">
        <f t="shared" si="13"/>
        <v>379.75</v>
      </c>
      <c r="AS13" s="68">
        <f>'7'!F21</f>
        <v>0</v>
      </c>
      <c r="AT13" s="70">
        <f>DELIVERIES!AW13</f>
        <v>7.9166666666600003</v>
      </c>
      <c r="AU13" s="71">
        <f t="shared" si="14"/>
        <v>0</v>
      </c>
      <c r="AV13" s="68">
        <f>'7'!F22</f>
        <v>9</v>
      </c>
      <c r="AW13" s="70">
        <f>DELIVERIES!AZ13</f>
        <v>9.7916666666666661</v>
      </c>
      <c r="AX13" s="71">
        <f t="shared" si="15"/>
        <v>88.125</v>
      </c>
      <c r="AY13" s="68">
        <f>'7'!F26</f>
        <v>0</v>
      </c>
      <c r="AZ13" s="68">
        <f>DELIVERIES!BC13</f>
        <v>16.333333333333332</v>
      </c>
      <c r="BA13" s="69">
        <f t="shared" si="16"/>
        <v>0</v>
      </c>
      <c r="BB13" s="68">
        <f>'7'!F27</f>
        <v>6</v>
      </c>
      <c r="BC13" s="68">
        <f>DELIVERIES!BF13</f>
        <v>11.5</v>
      </c>
      <c r="BD13" s="69">
        <f t="shared" si="17"/>
        <v>69</v>
      </c>
      <c r="BE13" s="68">
        <f>'7'!F28</f>
        <v>2</v>
      </c>
      <c r="BF13" s="70">
        <f>DELIVERIES!BI37</f>
        <v>20</v>
      </c>
      <c r="BG13" s="71">
        <f t="shared" si="18"/>
        <v>40</v>
      </c>
      <c r="BH13" s="68">
        <f>'7'!F23</f>
        <v>0</v>
      </c>
      <c r="BI13" s="70">
        <f>DELIVERIES!BL13</f>
        <v>23</v>
      </c>
      <c r="BJ13" s="71">
        <f t="shared" si="19"/>
        <v>0</v>
      </c>
      <c r="BK13" s="68">
        <f>'7'!F25</f>
        <v>0</v>
      </c>
      <c r="BL13" s="72">
        <f>DELIVERIES!BO13</f>
        <v>12.5</v>
      </c>
      <c r="BM13" s="71">
        <f t="shared" si="20"/>
        <v>0</v>
      </c>
      <c r="BN13" s="68">
        <f>'7'!F24</f>
        <v>7</v>
      </c>
      <c r="BO13" s="68">
        <f>DELIVERIES!BR13</f>
        <v>12.75</v>
      </c>
      <c r="BP13" s="69">
        <f t="shared" si="21"/>
        <v>89.25</v>
      </c>
      <c r="BQ13" s="68">
        <f>'7'!F19</f>
        <v>0</v>
      </c>
      <c r="BR13" s="70">
        <f>DELIVERIES!BU13</f>
        <v>30.25</v>
      </c>
      <c r="BS13" s="77">
        <f t="shared" si="22"/>
        <v>0</v>
      </c>
      <c r="BT13" s="68">
        <f>'7'!F20</f>
        <v>0</v>
      </c>
      <c r="BU13" s="70">
        <f>DELIVERIES!BX13</f>
        <v>15.916666666659999</v>
      </c>
      <c r="BV13" s="77">
        <f t="shared" si="23"/>
        <v>0</v>
      </c>
      <c r="BW13" s="78"/>
      <c r="BX13" s="79"/>
      <c r="BY13" s="69">
        <f t="shared" si="24"/>
        <v>736.125</v>
      </c>
      <c r="BZ13" s="39"/>
      <c r="CA13" s="71">
        <f t="shared" si="25"/>
        <v>9137.125</v>
      </c>
      <c r="CB13" s="90"/>
      <c r="CC13" s="39"/>
      <c r="CD13" s="39">
        <f t="shared" si="26"/>
        <v>9137.125</v>
      </c>
    </row>
    <row r="14" spans="1:83" ht="14.5">
      <c r="A14" s="129" t="s">
        <v>23</v>
      </c>
      <c r="B14" s="68">
        <f>SUM(B7:B13)</f>
        <v>0</v>
      </c>
      <c r="C14" s="68"/>
      <c r="D14" s="130">
        <f t="shared" ref="D14:E14" si="27">SUM(D7:D13)</f>
        <v>0</v>
      </c>
      <c r="E14" s="70">
        <f t="shared" si="27"/>
        <v>1278</v>
      </c>
      <c r="F14" s="70"/>
      <c r="G14" s="131">
        <f t="shared" ref="G14:H14" si="28">SUM(G7:G13)</f>
        <v>44730</v>
      </c>
      <c r="H14" s="72">
        <f t="shared" si="28"/>
        <v>92</v>
      </c>
      <c r="I14" s="70"/>
      <c r="J14" s="131">
        <f t="shared" ref="J14:K14" si="29">SUM(J7:J13)</f>
        <v>782</v>
      </c>
      <c r="K14" s="70">
        <f t="shared" si="29"/>
        <v>103</v>
      </c>
      <c r="L14" s="70"/>
      <c r="M14" s="131">
        <f t="shared" ref="M14:N14" si="30">SUM(M7:M13)</f>
        <v>1854</v>
      </c>
      <c r="N14" s="70">
        <f t="shared" si="30"/>
        <v>452</v>
      </c>
      <c r="O14" s="70"/>
      <c r="P14" s="131">
        <f t="shared" ref="P14:Q14" si="31">SUM(P7:P13)</f>
        <v>3164</v>
      </c>
      <c r="Q14" s="70">
        <f t="shared" si="31"/>
        <v>0</v>
      </c>
      <c r="R14" s="70"/>
      <c r="S14" s="131">
        <f t="shared" ref="S14:T14" si="32">SUM(S7:S13)</f>
        <v>0</v>
      </c>
      <c r="T14" s="70">
        <f t="shared" si="32"/>
        <v>1381</v>
      </c>
      <c r="U14" s="70"/>
      <c r="V14" s="131">
        <f t="shared" ref="V14:W14" si="33">SUM(V7:V13)</f>
        <v>11738.5</v>
      </c>
      <c r="W14" s="70">
        <f t="shared" si="33"/>
        <v>302</v>
      </c>
      <c r="X14" s="70"/>
      <c r="Y14" s="131">
        <f t="shared" ref="Y14:Z14" si="34">SUM(Y7:Y13)</f>
        <v>1812</v>
      </c>
      <c r="Z14" s="70">
        <f t="shared" si="34"/>
        <v>271</v>
      </c>
      <c r="AA14" s="70"/>
      <c r="AB14" s="132">
        <f t="shared" ref="AB14:AC14" si="35">SUM(AB7:AB13)</f>
        <v>1626</v>
      </c>
      <c r="AC14" s="70">
        <f t="shared" si="35"/>
        <v>81</v>
      </c>
      <c r="AD14" s="70"/>
      <c r="AE14" s="132">
        <f t="shared" ref="AE14:AF14" si="36">SUM(AE7:AE13)</f>
        <v>648</v>
      </c>
      <c r="AF14" s="70">
        <f t="shared" si="36"/>
        <v>0</v>
      </c>
      <c r="AG14" s="70"/>
      <c r="AH14" s="131">
        <f>SUM(AH7:AH13)</f>
        <v>0</v>
      </c>
      <c r="AI14" s="39"/>
      <c r="AJ14" s="39"/>
      <c r="AK14" s="131">
        <f>SUM(AK7:AK13)</f>
        <v>66354.5</v>
      </c>
      <c r="AL14" s="76"/>
      <c r="AM14" s="68">
        <f>SUM(AM7:AM13)</f>
        <v>83</v>
      </c>
      <c r="AN14" s="70"/>
      <c r="AO14" s="131">
        <f t="shared" ref="AO14:AP14" si="37">SUM(AO7:AO13)</f>
        <v>726.25</v>
      </c>
      <c r="AP14" s="70">
        <f t="shared" si="37"/>
        <v>281</v>
      </c>
      <c r="AQ14" s="70"/>
      <c r="AR14" s="131">
        <f t="shared" ref="AR14:AS14" si="38">SUM(AR7:AR13)</f>
        <v>3442.25</v>
      </c>
      <c r="AS14" s="70">
        <f t="shared" si="38"/>
        <v>0</v>
      </c>
      <c r="AT14" s="70"/>
      <c r="AU14" s="131">
        <f t="shared" ref="AU14:AV14" si="39">SUM(AU7:AU13)</f>
        <v>0</v>
      </c>
      <c r="AV14" s="72">
        <f t="shared" si="39"/>
        <v>46</v>
      </c>
      <c r="AW14" s="70"/>
      <c r="AX14" s="131">
        <f t="shared" ref="AX14:AY14" si="40">SUM(AX7:AX13)</f>
        <v>450.41666666666663</v>
      </c>
      <c r="AY14" s="70">
        <f t="shared" si="40"/>
        <v>0</v>
      </c>
      <c r="AZ14" s="70"/>
      <c r="BA14" s="131">
        <f t="shared" ref="BA14:BB14" si="41">SUM(BA7:BA13)</f>
        <v>0</v>
      </c>
      <c r="BB14" s="70">
        <f t="shared" si="41"/>
        <v>57</v>
      </c>
      <c r="BC14" s="70"/>
      <c r="BD14" s="131">
        <f t="shared" ref="BD14:BE14" si="42">SUM(BD7:BD13)</f>
        <v>655.5</v>
      </c>
      <c r="BE14" s="70">
        <f t="shared" si="42"/>
        <v>36</v>
      </c>
      <c r="BF14" s="70"/>
      <c r="BG14" s="131">
        <f t="shared" ref="BG14:BH14" si="43">SUM(BG7:BG13)</f>
        <v>720</v>
      </c>
      <c r="BH14" s="70">
        <f t="shared" si="43"/>
        <v>0</v>
      </c>
      <c r="BI14" s="70"/>
      <c r="BJ14" s="131">
        <f t="shared" ref="BJ14:BK14" si="44">SUM(BJ7:BJ13)</f>
        <v>0</v>
      </c>
      <c r="BK14" s="72">
        <f t="shared" si="44"/>
        <v>0</v>
      </c>
      <c r="BL14" s="70"/>
      <c r="BM14" s="131">
        <f t="shared" ref="BM14:BN14" si="45">SUM(BM7:BM13)</f>
        <v>0</v>
      </c>
      <c r="BN14" s="70">
        <f t="shared" si="45"/>
        <v>32</v>
      </c>
      <c r="BO14" s="70"/>
      <c r="BP14" s="131">
        <f t="shared" ref="BP14:BQ14" si="46">SUM(BP7:BP13)</f>
        <v>408</v>
      </c>
      <c r="BQ14" s="70">
        <f t="shared" si="46"/>
        <v>0</v>
      </c>
      <c r="BR14" s="70"/>
      <c r="BS14" s="132">
        <f t="shared" ref="BS14:BT14" si="47">SUM(BS7:BS13)</f>
        <v>0</v>
      </c>
      <c r="BT14" s="70">
        <f t="shared" si="47"/>
        <v>0</v>
      </c>
      <c r="BU14" s="70"/>
      <c r="BV14" s="132">
        <f>SUM(BV7:BV13)</f>
        <v>0</v>
      </c>
      <c r="BW14" s="39"/>
      <c r="BX14" s="39"/>
      <c r="BY14" s="130">
        <f>SUM(BY7:BY13)</f>
        <v>6402.416666666667</v>
      </c>
      <c r="BZ14" s="39"/>
      <c r="CA14" s="131">
        <f>SUM(CA7:CA13)</f>
        <v>72756.916666666657</v>
      </c>
      <c r="CB14" s="133"/>
      <c r="CC14" s="39"/>
      <c r="CD14" s="134">
        <f>SUM(CD7:CD13)</f>
        <v>72756.916666666657</v>
      </c>
    </row>
    <row r="15" spans="1:83" ht="14.5">
      <c r="A15" s="135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</row>
    <row r="16" spans="1:83" ht="14.5">
      <c r="A16" s="135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</row>
    <row r="17" spans="1:82" ht="14.5">
      <c r="A17" s="51" t="s">
        <v>101</v>
      </c>
      <c r="B17" s="460" t="str">
        <f>B5</f>
        <v>PREMIUM - CUT</v>
      </c>
      <c r="C17" s="445"/>
      <c r="D17" s="423"/>
      <c r="E17" s="460" t="s">
        <v>30</v>
      </c>
      <c r="F17" s="445"/>
      <c r="G17" s="423"/>
      <c r="H17" s="460" t="s">
        <v>102</v>
      </c>
      <c r="I17" s="445"/>
      <c r="J17" s="423"/>
      <c r="K17" s="460" t="str">
        <f>K5</f>
        <v>Chicken Fillet</v>
      </c>
      <c r="L17" s="445"/>
      <c r="M17" s="423"/>
      <c r="N17" s="460" t="s">
        <v>53</v>
      </c>
      <c r="O17" s="445"/>
      <c r="P17" s="445"/>
      <c r="Q17" s="459" t="s">
        <v>54</v>
      </c>
      <c r="R17" s="445"/>
      <c r="S17" s="423"/>
      <c r="T17" s="448" t="s">
        <v>55</v>
      </c>
      <c r="U17" s="445"/>
      <c r="V17" s="423"/>
      <c r="W17" s="448" t="s">
        <v>56</v>
      </c>
      <c r="X17" s="445"/>
      <c r="Y17" s="423"/>
      <c r="Z17" s="448" t="s">
        <v>57</v>
      </c>
      <c r="AA17" s="445"/>
      <c r="AB17" s="445"/>
      <c r="AC17" s="448" t="s">
        <v>58</v>
      </c>
      <c r="AD17" s="445"/>
      <c r="AE17" s="445"/>
      <c r="AF17" s="448">
        <f>AF5</f>
        <v>0</v>
      </c>
      <c r="AG17" s="445"/>
      <c r="AH17" s="423"/>
      <c r="AI17" s="448" t="str">
        <f>AI5</f>
        <v>SUBTOTAL</v>
      </c>
      <c r="AJ17" s="445"/>
      <c r="AK17" s="423"/>
      <c r="AL17" s="136"/>
      <c r="AM17" s="459" t="s">
        <v>103</v>
      </c>
      <c r="AN17" s="445"/>
      <c r="AO17" s="423"/>
      <c r="AP17" s="448" t="s">
        <v>60</v>
      </c>
      <c r="AQ17" s="445"/>
      <c r="AR17" s="423"/>
      <c r="AS17" s="448" t="s">
        <v>61</v>
      </c>
      <c r="AT17" s="445"/>
      <c r="AU17" s="423"/>
      <c r="AV17" s="448" t="s">
        <v>62</v>
      </c>
      <c r="AW17" s="445"/>
      <c r="AX17" s="423"/>
      <c r="AY17" s="448" t="s">
        <v>63</v>
      </c>
      <c r="AZ17" s="445"/>
      <c r="BA17" s="423"/>
      <c r="BB17" s="448" t="str">
        <f>BB5</f>
        <v>swakto</v>
      </c>
      <c r="BC17" s="445"/>
      <c r="BD17" s="423"/>
      <c r="BE17" s="448" t="str">
        <f>BE5</f>
        <v>Calamansi Juice</v>
      </c>
      <c r="BF17" s="445"/>
      <c r="BG17" s="423"/>
      <c r="BH17" s="448" t="str">
        <f>BH5</f>
        <v>GATORADE</v>
      </c>
      <c r="BI17" s="445"/>
      <c r="BJ17" s="423"/>
      <c r="BK17" s="448" t="s">
        <v>66</v>
      </c>
      <c r="BL17" s="445"/>
      <c r="BM17" s="423"/>
      <c r="BN17" s="448" t="s">
        <v>67</v>
      </c>
      <c r="BO17" s="445"/>
      <c r="BP17" s="423"/>
      <c r="BQ17" s="447" t="str">
        <f>BQ5</f>
        <v>1 LITER</v>
      </c>
      <c r="BR17" s="445"/>
      <c r="BS17" s="423"/>
      <c r="BT17" s="447" t="str">
        <f>BT5</f>
        <v>1.5 L</v>
      </c>
      <c r="BU17" s="445"/>
      <c r="BV17" s="423"/>
      <c r="BW17" s="444" t="s">
        <v>68</v>
      </c>
      <c r="BX17" s="445"/>
      <c r="BY17" s="423"/>
      <c r="BZ17" s="39"/>
      <c r="CA17" s="137" t="s">
        <v>23</v>
      </c>
      <c r="CB17" s="39"/>
      <c r="CC17" s="39"/>
      <c r="CD17" s="39"/>
    </row>
    <row r="18" spans="1:82" ht="14.5">
      <c r="A18" s="56" t="s">
        <v>7</v>
      </c>
      <c r="B18" s="118" t="s">
        <v>71</v>
      </c>
      <c r="C18" s="118" t="s">
        <v>72</v>
      </c>
      <c r="D18" s="118" t="s">
        <v>26</v>
      </c>
      <c r="E18" s="118" t="s">
        <v>71</v>
      </c>
      <c r="F18" s="118" t="s">
        <v>72</v>
      </c>
      <c r="G18" s="118" t="s">
        <v>26</v>
      </c>
      <c r="H18" s="138" t="s">
        <v>71</v>
      </c>
      <c r="I18" s="139" t="s">
        <v>72</v>
      </c>
      <c r="J18" s="140" t="s">
        <v>73</v>
      </c>
      <c r="K18" s="138" t="s">
        <v>71</v>
      </c>
      <c r="L18" s="139" t="s">
        <v>72</v>
      </c>
      <c r="M18" s="140" t="s">
        <v>73</v>
      </c>
      <c r="N18" s="118" t="s">
        <v>71</v>
      </c>
      <c r="O18" s="118" t="s">
        <v>72</v>
      </c>
      <c r="P18" s="118" t="s">
        <v>26</v>
      </c>
      <c r="Q18" s="138" t="s">
        <v>71</v>
      </c>
      <c r="R18" s="139" t="s">
        <v>72</v>
      </c>
      <c r="S18" s="140" t="s">
        <v>73</v>
      </c>
      <c r="T18" s="138" t="s">
        <v>71</v>
      </c>
      <c r="U18" s="139" t="s">
        <v>72</v>
      </c>
      <c r="V18" s="141" t="s">
        <v>73</v>
      </c>
      <c r="W18" s="138" t="s">
        <v>71</v>
      </c>
      <c r="X18" s="139" t="s">
        <v>72</v>
      </c>
      <c r="Y18" s="141" t="s">
        <v>73</v>
      </c>
      <c r="Z18" s="138" t="s">
        <v>71</v>
      </c>
      <c r="AA18" s="139" t="s">
        <v>72</v>
      </c>
      <c r="AB18" s="141" t="s">
        <v>73</v>
      </c>
      <c r="AC18" s="138" t="s">
        <v>71</v>
      </c>
      <c r="AD18" s="139" t="s">
        <v>72</v>
      </c>
      <c r="AE18" s="141" t="s">
        <v>26</v>
      </c>
      <c r="AF18" s="118" t="s">
        <v>71</v>
      </c>
      <c r="AG18" s="118" t="s">
        <v>72</v>
      </c>
      <c r="AH18" s="73" t="s">
        <v>26</v>
      </c>
      <c r="AI18" s="142"/>
      <c r="AJ18" s="143"/>
      <c r="AK18" s="144" t="s">
        <v>73</v>
      </c>
      <c r="AL18" s="136"/>
      <c r="AM18" s="145" t="s">
        <v>71</v>
      </c>
      <c r="AN18" s="146" t="s">
        <v>72</v>
      </c>
      <c r="AO18" s="145" t="s">
        <v>73</v>
      </c>
      <c r="AP18" s="147" t="s">
        <v>71</v>
      </c>
      <c r="AQ18" s="146" t="s">
        <v>72</v>
      </c>
      <c r="AR18" s="145" t="s">
        <v>73</v>
      </c>
      <c r="AS18" s="147" t="s">
        <v>71</v>
      </c>
      <c r="AT18" s="146" t="s">
        <v>72</v>
      </c>
      <c r="AU18" s="145" t="s">
        <v>73</v>
      </c>
      <c r="AV18" s="146" t="s">
        <v>71</v>
      </c>
      <c r="AW18" s="146" t="s">
        <v>72</v>
      </c>
      <c r="AX18" s="146" t="s">
        <v>26</v>
      </c>
      <c r="AY18" s="146" t="s">
        <v>71</v>
      </c>
      <c r="AZ18" s="146" t="s">
        <v>72</v>
      </c>
      <c r="BA18" s="146" t="s">
        <v>26</v>
      </c>
      <c r="BB18" s="146" t="s">
        <v>71</v>
      </c>
      <c r="BC18" s="146" t="s">
        <v>72</v>
      </c>
      <c r="BD18" s="146" t="s">
        <v>26</v>
      </c>
      <c r="BE18" s="146" t="s">
        <v>71</v>
      </c>
      <c r="BF18" s="146" t="s">
        <v>72</v>
      </c>
      <c r="BG18" s="146" t="s">
        <v>26</v>
      </c>
      <c r="BH18" s="146" t="s">
        <v>71</v>
      </c>
      <c r="BI18" s="146" t="s">
        <v>72</v>
      </c>
      <c r="BJ18" s="146" t="s">
        <v>26</v>
      </c>
      <c r="BK18" s="146" t="s">
        <v>71</v>
      </c>
      <c r="BL18" s="146" t="s">
        <v>72</v>
      </c>
      <c r="BM18" s="146" t="s">
        <v>26</v>
      </c>
      <c r="BN18" s="146" t="s">
        <v>71</v>
      </c>
      <c r="BO18" s="146" t="s">
        <v>72</v>
      </c>
      <c r="BP18" s="146" t="s">
        <v>26</v>
      </c>
      <c r="BQ18" s="146" t="s">
        <v>71</v>
      </c>
      <c r="BR18" s="146" t="s">
        <v>72</v>
      </c>
      <c r="BS18" s="147" t="s">
        <v>26</v>
      </c>
      <c r="BT18" s="146" t="s">
        <v>71</v>
      </c>
      <c r="BU18" s="146" t="s">
        <v>72</v>
      </c>
      <c r="BV18" s="147" t="s">
        <v>26</v>
      </c>
      <c r="BW18" s="142"/>
      <c r="BX18" s="143"/>
      <c r="BY18" s="144" t="s">
        <v>26</v>
      </c>
      <c r="BZ18" s="39"/>
      <c r="CA18" s="118" t="s">
        <v>26</v>
      </c>
      <c r="CB18" s="39"/>
      <c r="CC18" s="39"/>
      <c r="CD18" s="39"/>
    </row>
    <row r="19" spans="1:82" ht="14.5">
      <c r="A19" s="56">
        <v>8</v>
      </c>
      <c r="B19" s="68">
        <f>GROSS!B19</f>
        <v>0</v>
      </c>
      <c r="C19" s="68">
        <f>DELIVERIES!C19</f>
        <v>30</v>
      </c>
      <c r="D19" s="69">
        <f t="shared" ref="D19:D25" si="48">B19*C19</f>
        <v>0</v>
      </c>
      <c r="E19" s="70">
        <f>'8'!F7</f>
        <v>243</v>
      </c>
      <c r="F19" s="70">
        <f>DELIVERIES!F19</f>
        <v>35</v>
      </c>
      <c r="G19" s="71">
        <f t="shared" ref="G19:G25" si="49">E19*F19</f>
        <v>8505</v>
      </c>
      <c r="H19" s="72">
        <f>'8'!F8</f>
        <v>8</v>
      </c>
      <c r="I19" s="70">
        <f>DELIVERIES!I19</f>
        <v>8.5</v>
      </c>
      <c r="J19" s="71">
        <f t="shared" ref="J19:J25" si="50">H19*I19</f>
        <v>68</v>
      </c>
      <c r="K19" s="72">
        <f>'8'!F15</f>
        <v>12</v>
      </c>
      <c r="L19" s="70">
        <f>DELIVERIES!L19</f>
        <v>18</v>
      </c>
      <c r="M19" s="71">
        <f t="shared" ref="M19:M25" si="51">K19*L19</f>
        <v>216</v>
      </c>
      <c r="N19" s="70">
        <f>'8'!F9</f>
        <v>64</v>
      </c>
      <c r="O19" s="70">
        <f>DELIVERIES!O19</f>
        <v>7</v>
      </c>
      <c r="P19" s="71">
        <f t="shared" ref="P19:P25" si="52">N19*O19</f>
        <v>448</v>
      </c>
      <c r="Q19" s="68">
        <f>'8'!F10</f>
        <v>0</v>
      </c>
      <c r="R19" s="72">
        <f>DELIVERIES!R19</f>
        <v>5.5</v>
      </c>
      <c r="S19" s="71">
        <f t="shared" ref="S19:S25" si="53">Q19*R19</f>
        <v>0</v>
      </c>
      <c r="T19" s="68">
        <f>'8'!F11</f>
        <v>180</v>
      </c>
      <c r="U19" s="72">
        <f>DELIVERIES!U19</f>
        <v>8.5</v>
      </c>
      <c r="V19" s="71">
        <f t="shared" ref="V19:V25" si="54">T19*U19</f>
        <v>1530</v>
      </c>
      <c r="W19" s="68">
        <f>'8'!F12</f>
        <v>44</v>
      </c>
      <c r="X19" s="72">
        <f>DELIVERIES!X19</f>
        <v>6</v>
      </c>
      <c r="Y19" s="71">
        <f t="shared" ref="Y19:Y25" si="55">W19*X19</f>
        <v>264</v>
      </c>
      <c r="Z19" s="68">
        <f>'8'!F13</f>
        <v>41</v>
      </c>
      <c r="AA19" s="72">
        <f>DELIVERIES!AA19</f>
        <v>6</v>
      </c>
      <c r="AB19" s="71">
        <f t="shared" ref="AB19:AB25" si="56">Z19*AA19</f>
        <v>246</v>
      </c>
      <c r="AC19" s="68">
        <f>'8'!F14</f>
        <v>4</v>
      </c>
      <c r="AD19" s="72">
        <f>DELIVERIES!AD19</f>
        <v>8</v>
      </c>
      <c r="AE19" s="73">
        <f t="shared" ref="AE19:AE25" si="57">AC19*AD19</f>
        <v>32</v>
      </c>
      <c r="AF19" s="72"/>
      <c r="AG19" s="72">
        <f>AG7</f>
        <v>0</v>
      </c>
      <c r="AH19" s="73">
        <f t="shared" ref="AH19:AH25" si="58">AF19*AG19</f>
        <v>0</v>
      </c>
      <c r="AI19" s="74"/>
      <c r="AJ19" s="75"/>
      <c r="AK19" s="69">
        <f t="shared" ref="AK19:AK25" si="59">D19+G19+J19+M19+P19+S19+V19+Y19+AB19+AE19+AH19</f>
        <v>11309</v>
      </c>
      <c r="AL19" s="76"/>
      <c r="AM19" s="68">
        <f>'8'!F17</f>
        <v>13</v>
      </c>
      <c r="AN19" s="72">
        <f>DELIVERIES!AQ19</f>
        <v>8.75</v>
      </c>
      <c r="AO19" s="71">
        <f t="shared" ref="AO19:AO25" si="60">AM19*AN19</f>
        <v>113.75</v>
      </c>
      <c r="AP19" s="68">
        <f>'8'!F18</f>
        <v>32</v>
      </c>
      <c r="AQ19" s="72">
        <f>DELIVERIES!AT19</f>
        <v>12.25</v>
      </c>
      <c r="AR19" s="71">
        <f t="shared" ref="AR19:AR25" si="61">AP19*AQ19</f>
        <v>392</v>
      </c>
      <c r="AS19" s="68">
        <f>'8'!F21</f>
        <v>0</v>
      </c>
      <c r="AT19" s="70">
        <f>DELIVERIES!AZ19</f>
        <v>9.7916666666666661</v>
      </c>
      <c r="AU19" s="71">
        <f t="shared" ref="AU19:AU25" si="62">AS19*AT19</f>
        <v>0</v>
      </c>
      <c r="AV19" s="68">
        <f>'8'!F22</f>
        <v>10</v>
      </c>
      <c r="AW19" s="70">
        <f>DELIVERIES!AZ19</f>
        <v>9.7916666666666661</v>
      </c>
      <c r="AX19" s="71">
        <f t="shared" ref="AX19:AX25" si="63">AV19*AW19</f>
        <v>97.916666666666657</v>
      </c>
      <c r="AY19" s="68">
        <f>'8'!F26</f>
        <v>0</v>
      </c>
      <c r="AZ19" s="68">
        <f>DELIVERIES!BC19</f>
        <v>16.333333333333332</v>
      </c>
      <c r="BA19" s="69">
        <f t="shared" ref="BA19:BA25" si="64">AY19*AZ19</f>
        <v>0</v>
      </c>
      <c r="BB19" s="68">
        <f>'8'!F27</f>
        <v>11</v>
      </c>
      <c r="BC19" s="68">
        <f>DELIVERIES!BF19</f>
        <v>11.5</v>
      </c>
      <c r="BD19" s="69">
        <f t="shared" ref="BD19:BD25" si="65">BB19*BC19</f>
        <v>126.5</v>
      </c>
      <c r="BE19" s="68">
        <f>'8'!F28</f>
        <v>3</v>
      </c>
      <c r="BF19" s="70">
        <f>DELIVERIES!BI43</f>
        <v>20</v>
      </c>
      <c r="BG19" s="71">
        <f t="shared" ref="BG19:BG25" si="66">BE19*BF19</f>
        <v>60</v>
      </c>
      <c r="BH19" s="68">
        <f>'8'!F23</f>
        <v>0</v>
      </c>
      <c r="BI19" s="70">
        <f>DELIVERIES!BL19</f>
        <v>23</v>
      </c>
      <c r="BJ19" s="71">
        <f t="shared" ref="BJ19:BJ25" si="67">BH19*BI19</f>
        <v>0</v>
      </c>
      <c r="BK19" s="68">
        <f>'8'!F25</f>
        <v>0</v>
      </c>
      <c r="BL19" s="72">
        <f>DELIVERIES!BO19</f>
        <v>12.5</v>
      </c>
      <c r="BM19" s="71">
        <f t="shared" ref="BM19:BM25" si="68">BK19*BL19</f>
        <v>0</v>
      </c>
      <c r="BN19" s="68">
        <f>'8'!F24</f>
        <v>4</v>
      </c>
      <c r="BO19" s="68">
        <f>DELIVERIES!BR19</f>
        <v>12.75</v>
      </c>
      <c r="BP19" s="69">
        <f t="shared" ref="BP19:BP25" si="69">BN19*BO19</f>
        <v>51</v>
      </c>
      <c r="BQ19" s="68">
        <f>'8'!F19</f>
        <v>0</v>
      </c>
      <c r="BR19" s="70">
        <f>DELIVERIES!BU19</f>
        <v>30.25</v>
      </c>
      <c r="BS19" s="77">
        <f t="shared" ref="BS19:BS25" si="70">BQ19*BR19</f>
        <v>0</v>
      </c>
      <c r="BT19" s="68">
        <f>'8'!F20</f>
        <v>0</v>
      </c>
      <c r="BU19" s="70">
        <f>DELIVERIES!BX19</f>
        <v>15.916666666659999</v>
      </c>
      <c r="BV19" s="77">
        <f t="shared" ref="BV19:BV25" si="71">BT19*BU19</f>
        <v>0</v>
      </c>
      <c r="BW19" s="78"/>
      <c r="BX19" s="79"/>
      <c r="BY19" s="69">
        <f t="shared" ref="BY19:BY25" si="72">AO19+AR19+AU19+AX19+BA19+BD19+BG19+BJ19+BM19+BP19+BS19+BV19</f>
        <v>841.16666666666663</v>
      </c>
      <c r="BZ19" s="39"/>
      <c r="CA19" s="71">
        <f t="shared" ref="CA19:CA25" si="73">AK19+BY19</f>
        <v>12150.166666666666</v>
      </c>
      <c r="CB19" s="39"/>
      <c r="CC19" s="39"/>
      <c r="CD19" s="39">
        <f t="shared" ref="CD19:CD25" si="74">CA19-CC19</f>
        <v>12150.166666666666</v>
      </c>
    </row>
    <row r="20" spans="1:82" ht="14.5">
      <c r="A20" s="56">
        <v>9</v>
      </c>
      <c r="B20" s="68">
        <f>GROSS!B20</f>
        <v>0</v>
      </c>
      <c r="C20" s="68">
        <f>DELIVERIES!C20</f>
        <v>30</v>
      </c>
      <c r="D20" s="69">
        <f t="shared" si="48"/>
        <v>0</v>
      </c>
      <c r="E20" s="68">
        <f>'9'!F7</f>
        <v>226</v>
      </c>
      <c r="F20" s="70">
        <f>DELIVERIES!F20</f>
        <v>35</v>
      </c>
      <c r="G20" s="71">
        <f t="shared" si="49"/>
        <v>7910</v>
      </c>
      <c r="H20" s="84">
        <f>'9'!F8</f>
        <v>8</v>
      </c>
      <c r="I20" s="70">
        <f>DELIVERIES!I20</f>
        <v>8.5</v>
      </c>
      <c r="J20" s="71">
        <f t="shared" si="50"/>
        <v>68</v>
      </c>
      <c r="K20" s="84">
        <f>'9'!F15</f>
        <v>16</v>
      </c>
      <c r="L20" s="70">
        <f>DELIVERIES!L20</f>
        <v>18</v>
      </c>
      <c r="M20" s="71">
        <f t="shared" si="51"/>
        <v>288</v>
      </c>
      <c r="N20" s="68">
        <f>'9'!F9</f>
        <v>100</v>
      </c>
      <c r="O20" s="70">
        <f>DELIVERIES!O20</f>
        <v>7</v>
      </c>
      <c r="P20" s="71">
        <f t="shared" si="52"/>
        <v>700</v>
      </c>
      <c r="Q20" s="68">
        <f>'9'!F10</f>
        <v>0</v>
      </c>
      <c r="R20" s="72">
        <f>DELIVERIES!R20</f>
        <v>5.5</v>
      </c>
      <c r="S20" s="71">
        <f t="shared" si="53"/>
        <v>0</v>
      </c>
      <c r="T20" s="68">
        <f>'9'!F11</f>
        <v>203</v>
      </c>
      <c r="U20" s="72">
        <f>DELIVERIES!U20</f>
        <v>8.5</v>
      </c>
      <c r="V20" s="71">
        <f t="shared" si="54"/>
        <v>1725.5</v>
      </c>
      <c r="W20" s="68">
        <f>'9'!F12</f>
        <v>39</v>
      </c>
      <c r="X20" s="72">
        <f>DELIVERIES!X20</f>
        <v>6</v>
      </c>
      <c r="Y20" s="71">
        <f t="shared" si="55"/>
        <v>234</v>
      </c>
      <c r="Z20" s="68">
        <f>'9'!F13</f>
        <v>35</v>
      </c>
      <c r="AA20" s="72">
        <f>DELIVERIES!AA20</f>
        <v>6</v>
      </c>
      <c r="AB20" s="71">
        <f t="shared" si="56"/>
        <v>210</v>
      </c>
      <c r="AC20" s="68">
        <f>'9'!F14</f>
        <v>7</v>
      </c>
      <c r="AD20" s="72">
        <f>DELIVERIES!AD20</f>
        <v>8</v>
      </c>
      <c r="AE20" s="73">
        <f t="shared" si="57"/>
        <v>56</v>
      </c>
      <c r="AF20" s="72"/>
      <c r="AG20" s="72">
        <f>AG7</f>
        <v>0</v>
      </c>
      <c r="AH20" s="73">
        <f t="shared" si="58"/>
        <v>0</v>
      </c>
      <c r="AI20" s="74"/>
      <c r="AJ20" s="75"/>
      <c r="AK20" s="69">
        <f t="shared" si="59"/>
        <v>11191.5</v>
      </c>
      <c r="AL20" s="76"/>
      <c r="AM20" s="68">
        <f>'9'!F17</f>
        <v>10</v>
      </c>
      <c r="AN20" s="72">
        <f>DELIVERIES!AQ20</f>
        <v>8.75</v>
      </c>
      <c r="AO20" s="71">
        <f t="shared" si="60"/>
        <v>87.5</v>
      </c>
      <c r="AP20" s="68">
        <f>'9'!F18</f>
        <v>38</v>
      </c>
      <c r="AQ20" s="72">
        <f>DELIVERIES!AT20</f>
        <v>12.25</v>
      </c>
      <c r="AR20" s="71">
        <f t="shared" si="61"/>
        <v>465.5</v>
      </c>
      <c r="AS20" s="68">
        <f>'9'!F21</f>
        <v>0</v>
      </c>
      <c r="AT20" s="70">
        <f>DELIVERIES!AZ20</f>
        <v>9.7916666666666661</v>
      </c>
      <c r="AU20" s="71">
        <f t="shared" si="62"/>
        <v>0</v>
      </c>
      <c r="AV20" s="68">
        <f>'9'!F22</f>
        <v>1</v>
      </c>
      <c r="AW20" s="70">
        <f>DELIVERIES!AZ20</f>
        <v>9.7916666666666661</v>
      </c>
      <c r="AX20" s="71">
        <f t="shared" si="63"/>
        <v>9.7916666666666661</v>
      </c>
      <c r="AY20" s="68">
        <f>'9'!F26</f>
        <v>0</v>
      </c>
      <c r="AZ20" s="68">
        <f>DELIVERIES!BC20</f>
        <v>16.333333333333332</v>
      </c>
      <c r="BA20" s="69">
        <f t="shared" si="64"/>
        <v>0</v>
      </c>
      <c r="BB20" s="68">
        <f>'9'!F27</f>
        <v>14</v>
      </c>
      <c r="BC20" s="68">
        <f>DELIVERIES!BF20</f>
        <v>11.5</v>
      </c>
      <c r="BD20" s="69">
        <f t="shared" si="65"/>
        <v>161</v>
      </c>
      <c r="BE20" s="68">
        <f>'9'!F28</f>
        <v>0</v>
      </c>
      <c r="BF20" s="70">
        <f>DELIVERIES!BI44</f>
        <v>20</v>
      </c>
      <c r="BG20" s="71">
        <f t="shared" si="66"/>
        <v>0</v>
      </c>
      <c r="BH20" s="68">
        <f>'9'!F23</f>
        <v>0</v>
      </c>
      <c r="BI20" s="70">
        <f>DELIVERIES!BL20</f>
        <v>23</v>
      </c>
      <c r="BJ20" s="71">
        <f t="shared" si="67"/>
        <v>0</v>
      </c>
      <c r="BK20" s="68">
        <f>'9'!F25</f>
        <v>0</v>
      </c>
      <c r="BL20" s="72">
        <f>DELIVERIES!BO20</f>
        <v>12.5</v>
      </c>
      <c r="BM20" s="71">
        <f t="shared" si="68"/>
        <v>0</v>
      </c>
      <c r="BN20" s="68">
        <f>'9'!F24</f>
        <v>1</v>
      </c>
      <c r="BO20" s="68">
        <f>DELIVERIES!BR20</f>
        <v>12.75</v>
      </c>
      <c r="BP20" s="69">
        <f t="shared" si="69"/>
        <v>12.75</v>
      </c>
      <c r="BQ20" s="68">
        <f>'9'!F19</f>
        <v>0</v>
      </c>
      <c r="BR20" s="70">
        <f>DELIVERIES!BU20</f>
        <v>30.25</v>
      </c>
      <c r="BS20" s="77">
        <f t="shared" si="70"/>
        <v>0</v>
      </c>
      <c r="BT20" s="68">
        <f>'9'!F20</f>
        <v>0</v>
      </c>
      <c r="BU20" s="70">
        <f>DELIVERIES!BX20</f>
        <v>15.916666666659999</v>
      </c>
      <c r="BV20" s="77">
        <f t="shared" si="71"/>
        <v>0</v>
      </c>
      <c r="BW20" s="78"/>
      <c r="BX20" s="79"/>
      <c r="BY20" s="69">
        <f t="shared" si="72"/>
        <v>736.54166666666663</v>
      </c>
      <c r="BZ20" s="39"/>
      <c r="CA20" s="71">
        <f t="shared" si="73"/>
        <v>11928.041666666666</v>
      </c>
      <c r="CB20" s="90"/>
      <c r="CC20" s="39"/>
      <c r="CD20" s="39">
        <f t="shared" si="74"/>
        <v>11928.041666666666</v>
      </c>
    </row>
    <row r="21" spans="1:82" ht="15.75" customHeight="1">
      <c r="A21" s="56">
        <v>10</v>
      </c>
      <c r="B21" s="68">
        <f>GROSS!B21</f>
        <v>0</v>
      </c>
      <c r="C21" s="68">
        <f>DELIVERIES!C21</f>
        <v>30</v>
      </c>
      <c r="D21" s="69">
        <f t="shared" si="48"/>
        <v>0</v>
      </c>
      <c r="E21" s="68">
        <f>'10'!F7</f>
        <v>190</v>
      </c>
      <c r="F21" s="70">
        <f>DELIVERIES!F21</f>
        <v>35</v>
      </c>
      <c r="G21" s="71">
        <f t="shared" si="49"/>
        <v>6650</v>
      </c>
      <c r="H21" s="84">
        <f>'10'!F8</f>
        <v>4</v>
      </c>
      <c r="I21" s="70">
        <f>DELIVERIES!I21</f>
        <v>8.5</v>
      </c>
      <c r="J21" s="71">
        <f t="shared" si="50"/>
        <v>34</v>
      </c>
      <c r="K21" s="84">
        <f>'10'!F15</f>
        <v>7</v>
      </c>
      <c r="L21" s="70">
        <f>DELIVERIES!L21</f>
        <v>18</v>
      </c>
      <c r="M21" s="71">
        <f t="shared" si="51"/>
        <v>126</v>
      </c>
      <c r="N21" s="68">
        <f>'10'!F9</f>
        <v>100</v>
      </c>
      <c r="O21" s="70">
        <f>DELIVERIES!O21</f>
        <v>7</v>
      </c>
      <c r="P21" s="71">
        <f t="shared" si="52"/>
        <v>700</v>
      </c>
      <c r="Q21" s="68">
        <f>'10'!F10</f>
        <v>0</v>
      </c>
      <c r="R21" s="72">
        <f>DELIVERIES!R21</f>
        <v>5.5</v>
      </c>
      <c r="S21" s="71">
        <f t="shared" si="53"/>
        <v>0</v>
      </c>
      <c r="T21" s="68">
        <f>'10'!F11</f>
        <v>167</v>
      </c>
      <c r="U21" s="72">
        <f>DELIVERIES!U21</f>
        <v>8.5</v>
      </c>
      <c r="V21" s="71">
        <f t="shared" si="54"/>
        <v>1419.5</v>
      </c>
      <c r="W21" s="68">
        <f>'10'!F12</f>
        <v>36</v>
      </c>
      <c r="X21" s="72">
        <f>DELIVERIES!X21</f>
        <v>6</v>
      </c>
      <c r="Y21" s="71">
        <f t="shared" si="55"/>
        <v>216</v>
      </c>
      <c r="Z21" s="68">
        <f>'10'!F13</f>
        <v>35</v>
      </c>
      <c r="AA21" s="72">
        <f>DELIVERIES!AA21</f>
        <v>6</v>
      </c>
      <c r="AB21" s="71">
        <f t="shared" si="56"/>
        <v>210</v>
      </c>
      <c r="AC21" s="68">
        <f>'10'!F14</f>
        <v>5</v>
      </c>
      <c r="AD21" s="72">
        <f>DELIVERIES!AD21</f>
        <v>8</v>
      </c>
      <c r="AE21" s="73">
        <f t="shared" si="57"/>
        <v>40</v>
      </c>
      <c r="AF21" s="72"/>
      <c r="AG21" s="72">
        <f>AG7</f>
        <v>0</v>
      </c>
      <c r="AH21" s="73">
        <f t="shared" si="58"/>
        <v>0</v>
      </c>
      <c r="AI21" s="74"/>
      <c r="AJ21" s="75"/>
      <c r="AK21" s="69">
        <f t="shared" si="59"/>
        <v>9395.5</v>
      </c>
      <c r="AL21" s="76"/>
      <c r="AM21" s="68">
        <f>'10'!F17</f>
        <v>8</v>
      </c>
      <c r="AN21" s="72">
        <f>DELIVERIES!AQ21</f>
        <v>8.75</v>
      </c>
      <c r="AO21" s="71">
        <f t="shared" si="60"/>
        <v>70</v>
      </c>
      <c r="AP21" s="68">
        <f>'10'!F18</f>
        <v>30</v>
      </c>
      <c r="AQ21" s="72">
        <f>DELIVERIES!AT21</f>
        <v>12.25</v>
      </c>
      <c r="AR21" s="71">
        <f t="shared" si="61"/>
        <v>367.5</v>
      </c>
      <c r="AS21" s="68">
        <f>'10'!F21</f>
        <v>0</v>
      </c>
      <c r="AT21" s="70">
        <f>DELIVERIES!AZ21</f>
        <v>9.7916666666666661</v>
      </c>
      <c r="AU21" s="71">
        <f t="shared" si="62"/>
        <v>0</v>
      </c>
      <c r="AV21" s="68">
        <f>'10'!F22</f>
        <v>2</v>
      </c>
      <c r="AW21" s="70">
        <f>DELIVERIES!AZ21</f>
        <v>9.7916666666666661</v>
      </c>
      <c r="AX21" s="71">
        <f t="shared" si="63"/>
        <v>19.583333333333332</v>
      </c>
      <c r="AY21" s="68">
        <f>'10'!F26</f>
        <v>0</v>
      </c>
      <c r="AZ21" s="68">
        <f>DELIVERIES!BC21</f>
        <v>16.333333333333332</v>
      </c>
      <c r="BA21" s="69">
        <f t="shared" si="64"/>
        <v>0</v>
      </c>
      <c r="BB21" s="68">
        <f>'10'!F27</f>
        <v>4</v>
      </c>
      <c r="BC21" s="68">
        <f>DELIVERIES!BF21</f>
        <v>11.5</v>
      </c>
      <c r="BD21" s="69">
        <f t="shared" si="65"/>
        <v>46</v>
      </c>
      <c r="BE21" s="68">
        <f>'10'!F28</f>
        <v>5</v>
      </c>
      <c r="BF21" s="70">
        <f>DELIVERIES!BI45</f>
        <v>20</v>
      </c>
      <c r="BG21" s="71">
        <f t="shared" si="66"/>
        <v>100</v>
      </c>
      <c r="BH21" s="68">
        <f>'10'!F23</f>
        <v>0</v>
      </c>
      <c r="BI21" s="70">
        <f>DELIVERIES!BL21</f>
        <v>23</v>
      </c>
      <c r="BJ21" s="71">
        <f t="shared" si="67"/>
        <v>0</v>
      </c>
      <c r="BK21" s="68">
        <f>'10'!F25</f>
        <v>0</v>
      </c>
      <c r="BL21" s="72">
        <f>DELIVERIES!BO21</f>
        <v>12.5</v>
      </c>
      <c r="BM21" s="71">
        <f t="shared" si="68"/>
        <v>0</v>
      </c>
      <c r="BN21" s="68">
        <f>'10'!F24</f>
        <v>1</v>
      </c>
      <c r="BO21" s="68">
        <f>DELIVERIES!BR21</f>
        <v>12.75</v>
      </c>
      <c r="BP21" s="69">
        <f t="shared" si="69"/>
        <v>12.75</v>
      </c>
      <c r="BQ21" s="68">
        <f>'10'!F19</f>
        <v>0</v>
      </c>
      <c r="BR21" s="70">
        <f>DELIVERIES!BU21</f>
        <v>30.25</v>
      </c>
      <c r="BS21" s="77">
        <f t="shared" si="70"/>
        <v>0</v>
      </c>
      <c r="BT21" s="68">
        <f>'10'!F20</f>
        <v>0</v>
      </c>
      <c r="BU21" s="70">
        <f>DELIVERIES!BX21</f>
        <v>15.916666666659999</v>
      </c>
      <c r="BV21" s="77">
        <f t="shared" si="71"/>
        <v>0</v>
      </c>
      <c r="BW21" s="78"/>
      <c r="BX21" s="79"/>
      <c r="BY21" s="69">
        <f t="shared" si="72"/>
        <v>615.83333333333326</v>
      </c>
      <c r="BZ21" s="39"/>
      <c r="CA21" s="71">
        <f t="shared" si="73"/>
        <v>10011.333333333334</v>
      </c>
      <c r="CB21" s="90"/>
      <c r="CC21" s="39"/>
      <c r="CD21" s="39">
        <f t="shared" si="74"/>
        <v>10011.333333333334</v>
      </c>
    </row>
    <row r="22" spans="1:82" ht="15.75" customHeight="1">
      <c r="A22" s="56">
        <v>11</v>
      </c>
      <c r="B22" s="68">
        <f>GROSS!B22</f>
        <v>0</v>
      </c>
      <c r="C22" s="68">
        <f>DELIVERIES!C22</f>
        <v>30</v>
      </c>
      <c r="D22" s="69">
        <f t="shared" si="48"/>
        <v>0</v>
      </c>
      <c r="E22" s="68">
        <f>'11'!F7</f>
        <v>213</v>
      </c>
      <c r="F22" s="70">
        <f>DELIVERIES!F22</f>
        <v>35</v>
      </c>
      <c r="G22" s="71">
        <f t="shared" si="49"/>
        <v>7455</v>
      </c>
      <c r="H22" s="84">
        <f>'11'!F8</f>
        <v>7</v>
      </c>
      <c r="I22" s="70">
        <f>DELIVERIES!I22</f>
        <v>8.5</v>
      </c>
      <c r="J22" s="71">
        <f t="shared" si="50"/>
        <v>59.5</v>
      </c>
      <c r="K22" s="84">
        <f>'11'!F15</f>
        <v>16</v>
      </c>
      <c r="L22" s="70">
        <f>DELIVERIES!L22</f>
        <v>18</v>
      </c>
      <c r="M22" s="71">
        <f t="shared" si="51"/>
        <v>288</v>
      </c>
      <c r="N22" s="68">
        <f>'11'!F9</f>
        <v>110</v>
      </c>
      <c r="O22" s="70">
        <f>DELIVERIES!O22</f>
        <v>7</v>
      </c>
      <c r="P22" s="71">
        <f t="shared" si="52"/>
        <v>770</v>
      </c>
      <c r="Q22" s="68">
        <f>'11'!F10</f>
        <v>0</v>
      </c>
      <c r="R22" s="72">
        <f>DELIVERIES!R22</f>
        <v>5.5</v>
      </c>
      <c r="S22" s="71">
        <f t="shared" si="53"/>
        <v>0</v>
      </c>
      <c r="T22" s="68">
        <f>'11'!F11</f>
        <v>190</v>
      </c>
      <c r="U22" s="72">
        <f>DELIVERIES!U22</f>
        <v>8.5</v>
      </c>
      <c r="V22" s="71">
        <f t="shared" si="54"/>
        <v>1615</v>
      </c>
      <c r="W22" s="68">
        <f>'11'!F12</f>
        <v>41</v>
      </c>
      <c r="X22" s="72">
        <f>DELIVERIES!X22</f>
        <v>6</v>
      </c>
      <c r="Y22" s="71">
        <f t="shared" si="55"/>
        <v>246</v>
      </c>
      <c r="Z22" s="68">
        <f>'11'!F13</f>
        <v>37</v>
      </c>
      <c r="AA22" s="72">
        <f>DELIVERIES!AA22</f>
        <v>6</v>
      </c>
      <c r="AB22" s="71">
        <f t="shared" si="56"/>
        <v>222</v>
      </c>
      <c r="AC22" s="68">
        <f>'11'!F14</f>
        <v>12</v>
      </c>
      <c r="AD22" s="72">
        <f>DELIVERIES!AD22</f>
        <v>8</v>
      </c>
      <c r="AE22" s="73">
        <f t="shared" si="57"/>
        <v>96</v>
      </c>
      <c r="AF22" s="72"/>
      <c r="AG22" s="72">
        <f>AG7</f>
        <v>0</v>
      </c>
      <c r="AH22" s="73">
        <f t="shared" si="58"/>
        <v>0</v>
      </c>
      <c r="AI22" s="74"/>
      <c r="AJ22" s="75"/>
      <c r="AK22" s="69">
        <f t="shared" si="59"/>
        <v>10751.5</v>
      </c>
      <c r="AL22" s="76"/>
      <c r="AM22" s="68">
        <f>'11'!F17</f>
        <v>16</v>
      </c>
      <c r="AN22" s="72">
        <f>DELIVERIES!AQ22</f>
        <v>8.75</v>
      </c>
      <c r="AO22" s="71">
        <f t="shared" si="60"/>
        <v>140</v>
      </c>
      <c r="AP22" s="68">
        <f>'11'!F18</f>
        <v>27</v>
      </c>
      <c r="AQ22" s="72">
        <f>DELIVERIES!AT22</f>
        <v>12.25</v>
      </c>
      <c r="AR22" s="71">
        <f t="shared" si="61"/>
        <v>330.75</v>
      </c>
      <c r="AS22" s="68">
        <f>'11'!F21</f>
        <v>0</v>
      </c>
      <c r="AT22" s="70">
        <f>DELIVERIES!AZ22</f>
        <v>9.7916666666666661</v>
      </c>
      <c r="AU22" s="71">
        <f t="shared" si="62"/>
        <v>0</v>
      </c>
      <c r="AV22" s="68">
        <f>'11'!F22</f>
        <v>1</v>
      </c>
      <c r="AW22" s="70">
        <f>DELIVERIES!AZ22</f>
        <v>9.7916666666666661</v>
      </c>
      <c r="AX22" s="71">
        <f t="shared" si="63"/>
        <v>9.7916666666666661</v>
      </c>
      <c r="AY22" s="68">
        <f>'11'!F26</f>
        <v>0</v>
      </c>
      <c r="AZ22" s="68">
        <f>DELIVERIES!BC22</f>
        <v>16.333333333333332</v>
      </c>
      <c r="BA22" s="69">
        <f t="shared" si="64"/>
        <v>0</v>
      </c>
      <c r="BB22" s="68">
        <f>'11'!F27</f>
        <v>10</v>
      </c>
      <c r="BC22" s="68">
        <f>DELIVERIES!BF22</f>
        <v>11.5</v>
      </c>
      <c r="BD22" s="69">
        <f t="shared" si="65"/>
        <v>115</v>
      </c>
      <c r="BE22" s="68">
        <f>'11'!F28</f>
        <v>0</v>
      </c>
      <c r="BF22" s="70">
        <f>DELIVERIES!BI46</f>
        <v>20</v>
      </c>
      <c r="BG22" s="71">
        <f t="shared" si="66"/>
        <v>0</v>
      </c>
      <c r="BH22" s="68">
        <f>'11'!F23</f>
        <v>0</v>
      </c>
      <c r="BI22" s="70">
        <f>DELIVERIES!BL22</f>
        <v>23</v>
      </c>
      <c r="BJ22" s="71">
        <f t="shared" si="67"/>
        <v>0</v>
      </c>
      <c r="BK22" s="68">
        <f>'11'!F25</f>
        <v>0</v>
      </c>
      <c r="BL22" s="72">
        <f>DELIVERIES!BO22</f>
        <v>12.5</v>
      </c>
      <c r="BM22" s="71">
        <f t="shared" si="68"/>
        <v>0</v>
      </c>
      <c r="BN22" s="68">
        <f>'11'!F24</f>
        <v>5</v>
      </c>
      <c r="BO22" s="68">
        <f>DELIVERIES!BR22</f>
        <v>12.75</v>
      </c>
      <c r="BP22" s="69">
        <f t="shared" si="69"/>
        <v>63.75</v>
      </c>
      <c r="BQ22" s="68">
        <f>'11'!F19</f>
        <v>0</v>
      </c>
      <c r="BR22" s="70">
        <f>DELIVERIES!BU22</f>
        <v>30.25</v>
      </c>
      <c r="BS22" s="77">
        <f t="shared" si="70"/>
        <v>0</v>
      </c>
      <c r="BT22" s="68">
        <f>'11'!F20</f>
        <v>0</v>
      </c>
      <c r="BU22" s="70">
        <f>DELIVERIES!BX22</f>
        <v>15.916666666659999</v>
      </c>
      <c r="BV22" s="77">
        <f t="shared" si="71"/>
        <v>0</v>
      </c>
      <c r="BW22" s="78"/>
      <c r="BX22" s="79"/>
      <c r="BY22" s="69">
        <f t="shared" si="72"/>
        <v>659.29166666666674</v>
      </c>
      <c r="BZ22" s="39"/>
      <c r="CA22" s="71">
        <f t="shared" si="73"/>
        <v>11410.791666666666</v>
      </c>
      <c r="CB22" s="90"/>
      <c r="CC22" s="39"/>
      <c r="CD22" s="39">
        <f t="shared" si="74"/>
        <v>11410.791666666666</v>
      </c>
    </row>
    <row r="23" spans="1:82" ht="15.75" customHeight="1">
      <c r="A23" s="56">
        <v>12</v>
      </c>
      <c r="B23" s="68">
        <f>GROSS!B23</f>
        <v>0</v>
      </c>
      <c r="C23" s="68">
        <f>DELIVERIES!C23</f>
        <v>30</v>
      </c>
      <c r="D23" s="69">
        <f t="shared" si="48"/>
        <v>0</v>
      </c>
      <c r="E23" s="68">
        <f>'12'!F7</f>
        <v>258</v>
      </c>
      <c r="F23" s="70">
        <f>DELIVERIES!F23</f>
        <v>35</v>
      </c>
      <c r="G23" s="71">
        <f t="shared" si="49"/>
        <v>9030</v>
      </c>
      <c r="H23" s="84">
        <f>'12'!F8</f>
        <v>12</v>
      </c>
      <c r="I23" s="70">
        <f>DELIVERIES!I23</f>
        <v>8.5</v>
      </c>
      <c r="J23" s="71">
        <f t="shared" si="50"/>
        <v>102</v>
      </c>
      <c r="K23" s="84">
        <f>'12'!F15</f>
        <v>25</v>
      </c>
      <c r="L23" s="70">
        <f>DELIVERIES!L23</f>
        <v>18</v>
      </c>
      <c r="M23" s="71">
        <f t="shared" si="51"/>
        <v>450</v>
      </c>
      <c r="N23" s="68">
        <f>'12'!F9</f>
        <v>40</v>
      </c>
      <c r="O23" s="70">
        <f>DELIVERIES!O23</f>
        <v>7</v>
      </c>
      <c r="P23" s="71">
        <f t="shared" si="52"/>
        <v>280</v>
      </c>
      <c r="Q23" s="68">
        <f>'12'!F10</f>
        <v>0</v>
      </c>
      <c r="R23" s="72">
        <f>DELIVERIES!R23</f>
        <v>5.5</v>
      </c>
      <c r="S23" s="71">
        <f t="shared" si="53"/>
        <v>0</v>
      </c>
      <c r="T23" s="68">
        <f>'12'!F11</f>
        <v>183</v>
      </c>
      <c r="U23" s="72">
        <f>DELIVERIES!U23</f>
        <v>8.5</v>
      </c>
      <c r="V23" s="71">
        <f t="shared" si="54"/>
        <v>1555.5</v>
      </c>
      <c r="W23" s="68">
        <f>'12'!F12</f>
        <v>65</v>
      </c>
      <c r="X23" s="72">
        <f>DELIVERIES!X23</f>
        <v>6</v>
      </c>
      <c r="Y23" s="71">
        <f t="shared" si="55"/>
        <v>390</v>
      </c>
      <c r="Z23" s="68">
        <f>'12'!F13</f>
        <v>48</v>
      </c>
      <c r="AA23" s="72">
        <f>DELIVERIES!AA23</f>
        <v>6</v>
      </c>
      <c r="AB23" s="71">
        <f t="shared" si="56"/>
        <v>288</v>
      </c>
      <c r="AC23" s="68">
        <f>'12'!F14</f>
        <v>21</v>
      </c>
      <c r="AD23" s="72">
        <f>DELIVERIES!AD23</f>
        <v>8</v>
      </c>
      <c r="AE23" s="73">
        <f t="shared" si="57"/>
        <v>168</v>
      </c>
      <c r="AF23" s="72"/>
      <c r="AG23" s="72">
        <f>AG7</f>
        <v>0</v>
      </c>
      <c r="AH23" s="73">
        <f t="shared" si="58"/>
        <v>0</v>
      </c>
      <c r="AI23" s="74"/>
      <c r="AJ23" s="75"/>
      <c r="AK23" s="69">
        <f t="shared" si="59"/>
        <v>12263.5</v>
      </c>
      <c r="AL23" s="76"/>
      <c r="AM23" s="68">
        <f>'12'!F17</f>
        <v>16</v>
      </c>
      <c r="AN23" s="72">
        <f>DELIVERIES!AQ23</f>
        <v>8.75</v>
      </c>
      <c r="AO23" s="71">
        <f t="shared" si="60"/>
        <v>140</v>
      </c>
      <c r="AP23" s="68">
        <f>'12'!F18</f>
        <v>44</v>
      </c>
      <c r="AQ23" s="72">
        <f>DELIVERIES!AT23</f>
        <v>12.25</v>
      </c>
      <c r="AR23" s="71">
        <f t="shared" si="61"/>
        <v>539</v>
      </c>
      <c r="AS23" s="68">
        <f>'12'!F21</f>
        <v>0</v>
      </c>
      <c r="AT23" s="70">
        <f>DELIVERIES!AZ23</f>
        <v>9.7916666666666661</v>
      </c>
      <c r="AU23" s="71">
        <f t="shared" si="62"/>
        <v>0</v>
      </c>
      <c r="AV23" s="68">
        <f>'12'!F22</f>
        <v>9</v>
      </c>
      <c r="AW23" s="70">
        <f>DELIVERIES!AZ23</f>
        <v>9.7916666666666661</v>
      </c>
      <c r="AX23" s="71">
        <f t="shared" si="63"/>
        <v>88.125</v>
      </c>
      <c r="AY23" s="68">
        <f>'12'!F26</f>
        <v>0</v>
      </c>
      <c r="AZ23" s="68">
        <f>DELIVERIES!BC23</f>
        <v>16.333333333333332</v>
      </c>
      <c r="BA23" s="69">
        <f t="shared" si="64"/>
        <v>0</v>
      </c>
      <c r="BB23" s="68">
        <f>'12'!F27</f>
        <v>11</v>
      </c>
      <c r="BC23" s="68">
        <f>DELIVERIES!BF23</f>
        <v>11.666666666666666</v>
      </c>
      <c r="BD23" s="69">
        <f t="shared" si="65"/>
        <v>128.33333333333331</v>
      </c>
      <c r="BE23" s="68">
        <f>'12'!F28</f>
        <v>7</v>
      </c>
      <c r="BF23" s="70">
        <f>DELIVERIES!BI47</f>
        <v>20</v>
      </c>
      <c r="BG23" s="71">
        <f t="shared" si="66"/>
        <v>140</v>
      </c>
      <c r="BH23" s="68">
        <f>'12'!F23</f>
        <v>0</v>
      </c>
      <c r="BI23" s="70">
        <f>DELIVERIES!BL23</f>
        <v>23</v>
      </c>
      <c r="BJ23" s="71">
        <f t="shared" si="67"/>
        <v>0</v>
      </c>
      <c r="BK23" s="68">
        <f>'12'!F25</f>
        <v>0</v>
      </c>
      <c r="BL23" s="72">
        <f>DELIVERIES!BO23</f>
        <v>12.5</v>
      </c>
      <c r="BM23" s="71">
        <f t="shared" si="68"/>
        <v>0</v>
      </c>
      <c r="BN23" s="68">
        <f>'12'!F24</f>
        <v>2</v>
      </c>
      <c r="BO23" s="68">
        <f>DELIVERIES!BR23</f>
        <v>12.75</v>
      </c>
      <c r="BP23" s="69">
        <f t="shared" si="69"/>
        <v>25.5</v>
      </c>
      <c r="BQ23" s="68">
        <f>'12'!F19</f>
        <v>0</v>
      </c>
      <c r="BR23" s="70">
        <f>DELIVERIES!BU23</f>
        <v>30.25</v>
      </c>
      <c r="BS23" s="77">
        <f t="shared" si="70"/>
        <v>0</v>
      </c>
      <c r="BT23" s="68">
        <f>'12'!F20</f>
        <v>0</v>
      </c>
      <c r="BU23" s="70">
        <f>DELIVERIES!BX23</f>
        <v>15.916666666659999</v>
      </c>
      <c r="BV23" s="77">
        <f t="shared" si="71"/>
        <v>0</v>
      </c>
      <c r="BW23" s="78"/>
      <c r="BX23" s="79"/>
      <c r="BY23" s="69">
        <f t="shared" si="72"/>
        <v>1060.9583333333333</v>
      </c>
      <c r="BZ23" s="39"/>
      <c r="CA23" s="71">
        <f t="shared" si="73"/>
        <v>13324.458333333334</v>
      </c>
      <c r="CB23" s="90"/>
      <c r="CC23" s="39"/>
      <c r="CD23" s="39">
        <f t="shared" si="74"/>
        <v>13324.458333333334</v>
      </c>
    </row>
    <row r="24" spans="1:82" ht="15.75" customHeight="1">
      <c r="A24" s="56">
        <v>13</v>
      </c>
      <c r="B24" s="68">
        <f>GROSS!B24</f>
        <v>0</v>
      </c>
      <c r="C24" s="68">
        <f>DELIVERIES!C24</f>
        <v>30</v>
      </c>
      <c r="D24" s="69">
        <f t="shared" si="48"/>
        <v>0</v>
      </c>
      <c r="E24" s="68">
        <f>'13'!F7</f>
        <v>183</v>
      </c>
      <c r="F24" s="70">
        <f>DELIVERIES!F24</f>
        <v>35</v>
      </c>
      <c r="G24" s="71">
        <f t="shared" si="49"/>
        <v>6405</v>
      </c>
      <c r="H24" s="84">
        <f>'13'!F8</f>
        <v>6</v>
      </c>
      <c r="I24" s="70">
        <f>DELIVERIES!I24</f>
        <v>8.5</v>
      </c>
      <c r="J24" s="71">
        <f t="shared" si="50"/>
        <v>51</v>
      </c>
      <c r="K24" s="84">
        <f>'13'!F15</f>
        <v>11</v>
      </c>
      <c r="L24" s="70">
        <f>DELIVERIES!L24</f>
        <v>18</v>
      </c>
      <c r="M24" s="71">
        <f t="shared" si="51"/>
        <v>198</v>
      </c>
      <c r="N24" s="68">
        <f>'13'!F9</f>
        <v>89</v>
      </c>
      <c r="O24" s="70">
        <f>DELIVERIES!O24</f>
        <v>7</v>
      </c>
      <c r="P24" s="71">
        <f t="shared" si="52"/>
        <v>623</v>
      </c>
      <c r="Q24" s="68">
        <f>'13'!F10</f>
        <v>0</v>
      </c>
      <c r="R24" s="72">
        <f>DELIVERIES!R24</f>
        <v>5.5</v>
      </c>
      <c r="S24" s="71">
        <f t="shared" si="53"/>
        <v>0</v>
      </c>
      <c r="T24" s="68">
        <f>'13'!F11</f>
        <v>169</v>
      </c>
      <c r="U24" s="72">
        <f>DELIVERIES!U24</f>
        <v>8.5</v>
      </c>
      <c r="V24" s="71">
        <f t="shared" si="54"/>
        <v>1436.5</v>
      </c>
      <c r="W24" s="68">
        <f>'13'!F12</f>
        <v>39</v>
      </c>
      <c r="X24" s="72">
        <f>DELIVERIES!X24</f>
        <v>6</v>
      </c>
      <c r="Y24" s="71">
        <f t="shared" si="55"/>
        <v>234</v>
      </c>
      <c r="Z24" s="68">
        <f>'13'!F13</f>
        <v>36</v>
      </c>
      <c r="AA24" s="72">
        <f>DELIVERIES!AA24</f>
        <v>6</v>
      </c>
      <c r="AB24" s="71">
        <f t="shared" si="56"/>
        <v>216</v>
      </c>
      <c r="AC24" s="68">
        <f>'13'!F14</f>
        <v>11</v>
      </c>
      <c r="AD24" s="72">
        <f>DELIVERIES!AD24</f>
        <v>8</v>
      </c>
      <c r="AE24" s="73">
        <f t="shared" si="57"/>
        <v>88</v>
      </c>
      <c r="AF24" s="72"/>
      <c r="AG24" s="72">
        <f>AG7</f>
        <v>0</v>
      </c>
      <c r="AH24" s="118">
        <f t="shared" si="58"/>
        <v>0</v>
      </c>
      <c r="AI24" s="119"/>
      <c r="AJ24" s="119"/>
      <c r="AK24" s="69">
        <f t="shared" si="59"/>
        <v>9251.5</v>
      </c>
      <c r="AL24" s="76"/>
      <c r="AM24" s="68">
        <f>'13'!F17</f>
        <v>17</v>
      </c>
      <c r="AN24" s="72">
        <f>DELIVERIES!AQ24</f>
        <v>8.75</v>
      </c>
      <c r="AO24" s="71">
        <f t="shared" si="60"/>
        <v>148.75</v>
      </c>
      <c r="AP24" s="68">
        <f>'13'!F18</f>
        <v>32</v>
      </c>
      <c r="AQ24" s="72">
        <f>DELIVERIES!AT24</f>
        <v>12.25</v>
      </c>
      <c r="AR24" s="71">
        <f t="shared" si="61"/>
        <v>392</v>
      </c>
      <c r="AS24" s="68">
        <f>'13'!F21</f>
        <v>0</v>
      </c>
      <c r="AT24" s="70">
        <f>DELIVERIES!AZ24</f>
        <v>9.7916666666666661</v>
      </c>
      <c r="AU24" s="71">
        <f t="shared" si="62"/>
        <v>0</v>
      </c>
      <c r="AV24" s="68">
        <f>'13'!F22</f>
        <v>6</v>
      </c>
      <c r="AW24" s="70">
        <f>DELIVERIES!AZ24</f>
        <v>9.7916666666666661</v>
      </c>
      <c r="AX24" s="71">
        <f t="shared" si="63"/>
        <v>58.75</v>
      </c>
      <c r="AY24" s="68">
        <f>'13'!F26</f>
        <v>0</v>
      </c>
      <c r="AZ24" s="68">
        <f>DELIVERIES!BC24</f>
        <v>16.333333333333332</v>
      </c>
      <c r="BA24" s="69">
        <f t="shared" si="64"/>
        <v>0</v>
      </c>
      <c r="BB24" s="68">
        <f>'13'!F27</f>
        <v>0</v>
      </c>
      <c r="BC24" s="68">
        <f>DELIVERIES!BF24</f>
        <v>11.666666666666666</v>
      </c>
      <c r="BD24" s="69">
        <f t="shared" si="65"/>
        <v>0</v>
      </c>
      <c r="BE24" s="68">
        <f>'13'!F28</f>
        <v>2</v>
      </c>
      <c r="BF24" s="70">
        <f>DELIVERIES!BI48</f>
        <v>20</v>
      </c>
      <c r="BG24" s="71">
        <f t="shared" si="66"/>
        <v>40</v>
      </c>
      <c r="BH24" s="68">
        <f>'13'!F23</f>
        <v>0</v>
      </c>
      <c r="BI24" s="70">
        <f>DELIVERIES!BL24</f>
        <v>23</v>
      </c>
      <c r="BJ24" s="71">
        <f t="shared" si="67"/>
        <v>0</v>
      </c>
      <c r="BK24" s="68">
        <f>'13'!F25</f>
        <v>0</v>
      </c>
      <c r="BL24" s="72">
        <f>DELIVERIES!BO24</f>
        <v>12.5</v>
      </c>
      <c r="BM24" s="71">
        <f t="shared" si="68"/>
        <v>0</v>
      </c>
      <c r="BN24" s="68">
        <f>'13'!F24</f>
        <v>2</v>
      </c>
      <c r="BO24" s="68">
        <f>DELIVERIES!BR24</f>
        <v>12.75</v>
      </c>
      <c r="BP24" s="69">
        <f t="shared" si="69"/>
        <v>25.5</v>
      </c>
      <c r="BQ24" s="68">
        <f>'13'!F19</f>
        <v>0</v>
      </c>
      <c r="BR24" s="70">
        <f>DELIVERIES!BU24</f>
        <v>30.25</v>
      </c>
      <c r="BS24" s="77">
        <f t="shared" si="70"/>
        <v>0</v>
      </c>
      <c r="BT24" s="68">
        <f>'13'!F20</f>
        <v>0</v>
      </c>
      <c r="BU24" s="70">
        <f>DELIVERIES!BX24</f>
        <v>15.916666666659999</v>
      </c>
      <c r="BV24" s="77">
        <f t="shared" si="71"/>
        <v>0</v>
      </c>
      <c r="BW24" s="78"/>
      <c r="BX24" s="79"/>
      <c r="BY24" s="69">
        <f t="shared" si="72"/>
        <v>665</v>
      </c>
      <c r="BZ24" s="39"/>
      <c r="CA24" s="71">
        <f t="shared" si="73"/>
        <v>9916.5</v>
      </c>
      <c r="CB24" s="90"/>
      <c r="CC24" s="39"/>
      <c r="CD24" s="39">
        <f t="shared" si="74"/>
        <v>9916.5</v>
      </c>
    </row>
    <row r="25" spans="1:82" ht="15.75" customHeight="1">
      <c r="A25" s="56">
        <v>14</v>
      </c>
      <c r="B25" s="68">
        <f>GROSS!B25</f>
        <v>0</v>
      </c>
      <c r="C25" s="68">
        <f>DELIVERIES!C25</f>
        <v>30</v>
      </c>
      <c r="D25" s="69">
        <f t="shared" si="48"/>
        <v>0</v>
      </c>
      <c r="E25" s="68">
        <f>'14'!F7</f>
        <v>183</v>
      </c>
      <c r="F25" s="70">
        <f>DELIVERIES!F25</f>
        <v>35</v>
      </c>
      <c r="G25" s="71">
        <f t="shared" si="49"/>
        <v>6405</v>
      </c>
      <c r="H25" s="84">
        <f>'14'!F8</f>
        <v>3</v>
      </c>
      <c r="I25" s="70">
        <f>DELIVERIES!I25</f>
        <v>8.5</v>
      </c>
      <c r="J25" s="71">
        <f t="shared" si="50"/>
        <v>25.5</v>
      </c>
      <c r="K25" s="84">
        <f>'14'!F15</f>
        <v>10</v>
      </c>
      <c r="L25" s="70">
        <f>DELIVERIES!L25</f>
        <v>18</v>
      </c>
      <c r="M25" s="71">
        <f t="shared" si="51"/>
        <v>180</v>
      </c>
      <c r="N25" s="68">
        <f>'14'!F9</f>
        <v>111</v>
      </c>
      <c r="O25" s="70">
        <f>DELIVERIES!O25</f>
        <v>7</v>
      </c>
      <c r="P25" s="71">
        <f t="shared" si="52"/>
        <v>777</v>
      </c>
      <c r="Q25" s="68">
        <f>'14'!F10</f>
        <v>0</v>
      </c>
      <c r="R25" s="72">
        <f>DELIVERIES!R25</f>
        <v>5.5</v>
      </c>
      <c r="S25" s="71">
        <f t="shared" si="53"/>
        <v>0</v>
      </c>
      <c r="T25" s="68">
        <f>'14'!F11</f>
        <v>167</v>
      </c>
      <c r="U25" s="72">
        <f>DELIVERIES!U25</f>
        <v>8.5</v>
      </c>
      <c r="V25" s="71">
        <f t="shared" si="54"/>
        <v>1419.5</v>
      </c>
      <c r="W25" s="68">
        <f>'14'!F12</f>
        <v>26</v>
      </c>
      <c r="X25" s="72">
        <f>DELIVERIES!X25</f>
        <v>6</v>
      </c>
      <c r="Y25" s="71">
        <f t="shared" si="55"/>
        <v>156</v>
      </c>
      <c r="Z25" s="68">
        <f>'14'!F13</f>
        <v>34</v>
      </c>
      <c r="AA25" s="72">
        <f>DELIVERIES!AA25</f>
        <v>6</v>
      </c>
      <c r="AB25" s="71">
        <f t="shared" si="56"/>
        <v>204</v>
      </c>
      <c r="AC25" s="68">
        <f>'14'!F14</f>
        <v>20</v>
      </c>
      <c r="AD25" s="72">
        <f>DELIVERIES!AD25</f>
        <v>8</v>
      </c>
      <c r="AE25" s="73">
        <f t="shared" si="57"/>
        <v>160</v>
      </c>
      <c r="AF25" s="72"/>
      <c r="AG25" s="72">
        <f>AG7</f>
        <v>0</v>
      </c>
      <c r="AH25" s="118">
        <f t="shared" si="58"/>
        <v>0</v>
      </c>
      <c r="AI25" s="119"/>
      <c r="AJ25" s="119"/>
      <c r="AK25" s="69">
        <f t="shared" si="59"/>
        <v>9327</v>
      </c>
      <c r="AL25" s="76"/>
      <c r="AM25" s="68">
        <f>'14'!F17</f>
        <v>13</v>
      </c>
      <c r="AN25" s="72">
        <f>DELIVERIES!AQ25</f>
        <v>8.75</v>
      </c>
      <c r="AO25" s="71">
        <f t="shared" si="60"/>
        <v>113.75</v>
      </c>
      <c r="AP25" s="68">
        <f>'14'!F18</f>
        <v>39</v>
      </c>
      <c r="AQ25" s="72">
        <f>DELIVERIES!AT25</f>
        <v>12.25</v>
      </c>
      <c r="AR25" s="71">
        <f t="shared" si="61"/>
        <v>477.75</v>
      </c>
      <c r="AS25" s="68">
        <f>'14'!F21</f>
        <v>0</v>
      </c>
      <c r="AT25" s="70">
        <f>DELIVERIES!AZ25</f>
        <v>9.7916666666666661</v>
      </c>
      <c r="AU25" s="71">
        <f t="shared" si="62"/>
        <v>0</v>
      </c>
      <c r="AV25" s="68">
        <f>'14'!F22</f>
        <v>10</v>
      </c>
      <c r="AW25" s="70">
        <f>DELIVERIES!AZ25</f>
        <v>9.7916666666666661</v>
      </c>
      <c r="AX25" s="71">
        <f t="shared" si="63"/>
        <v>97.916666666666657</v>
      </c>
      <c r="AY25" s="68">
        <f>'14'!F26</f>
        <v>0</v>
      </c>
      <c r="AZ25" s="68">
        <f>DELIVERIES!BC25</f>
        <v>16.333333333333332</v>
      </c>
      <c r="BA25" s="69">
        <f t="shared" si="64"/>
        <v>0</v>
      </c>
      <c r="BB25" s="68">
        <f>'14'!F27</f>
        <v>0</v>
      </c>
      <c r="BC25" s="68">
        <f>DELIVERIES!BF25</f>
        <v>11.666666666666666</v>
      </c>
      <c r="BD25" s="69">
        <f t="shared" si="65"/>
        <v>0</v>
      </c>
      <c r="BE25" s="68">
        <f>'14'!F28</f>
        <v>8</v>
      </c>
      <c r="BF25" s="70">
        <f>DELIVERIES!BI49</f>
        <v>20</v>
      </c>
      <c r="BG25" s="71">
        <f t="shared" si="66"/>
        <v>160</v>
      </c>
      <c r="BH25" s="68">
        <f>'14'!F23</f>
        <v>0</v>
      </c>
      <c r="BI25" s="70">
        <f>DELIVERIES!BL25</f>
        <v>23</v>
      </c>
      <c r="BJ25" s="71">
        <f t="shared" si="67"/>
        <v>0</v>
      </c>
      <c r="BK25" s="68">
        <f>'14'!F25</f>
        <v>0</v>
      </c>
      <c r="BL25" s="72">
        <f>DELIVERIES!BO25</f>
        <v>12.5</v>
      </c>
      <c r="BM25" s="71">
        <f t="shared" si="68"/>
        <v>0</v>
      </c>
      <c r="BN25" s="68">
        <f>'14'!F24</f>
        <v>4</v>
      </c>
      <c r="BO25" s="68">
        <f>DELIVERIES!BR25</f>
        <v>12.75</v>
      </c>
      <c r="BP25" s="69">
        <f t="shared" si="69"/>
        <v>51</v>
      </c>
      <c r="BQ25" s="68">
        <f>'14'!F19</f>
        <v>0</v>
      </c>
      <c r="BR25" s="70">
        <f>DELIVERIES!BU25</f>
        <v>30.25</v>
      </c>
      <c r="BS25" s="77">
        <f t="shared" si="70"/>
        <v>0</v>
      </c>
      <c r="BT25" s="68">
        <f>'14'!F20</f>
        <v>0</v>
      </c>
      <c r="BU25" s="70">
        <f>DELIVERIES!BX25</f>
        <v>15.916666666666</v>
      </c>
      <c r="BV25" s="77">
        <f t="shared" si="71"/>
        <v>0</v>
      </c>
      <c r="BW25" s="78"/>
      <c r="BX25" s="79"/>
      <c r="BY25" s="69">
        <f t="shared" si="72"/>
        <v>900.41666666666663</v>
      </c>
      <c r="BZ25" s="39"/>
      <c r="CA25" s="71">
        <f t="shared" si="73"/>
        <v>10227.416666666666</v>
      </c>
      <c r="CB25" s="90"/>
      <c r="CC25" s="39"/>
      <c r="CD25" s="39">
        <f t="shared" si="74"/>
        <v>10227.416666666666</v>
      </c>
    </row>
    <row r="26" spans="1:82" ht="15.75" customHeight="1">
      <c r="A26" s="129" t="s">
        <v>23</v>
      </c>
      <c r="B26" s="68">
        <f>SUM(B19:B25)</f>
        <v>0</v>
      </c>
      <c r="C26" s="68"/>
      <c r="D26" s="130">
        <f t="shared" ref="D26:E26" si="75">SUM(D19:D25)</f>
        <v>0</v>
      </c>
      <c r="E26" s="70">
        <f t="shared" si="75"/>
        <v>1496</v>
      </c>
      <c r="F26" s="70"/>
      <c r="G26" s="131">
        <f t="shared" ref="G26:H26" si="76">SUM(G19:G25)</f>
        <v>52360</v>
      </c>
      <c r="H26" s="72">
        <f t="shared" si="76"/>
        <v>48</v>
      </c>
      <c r="I26" s="70"/>
      <c r="J26" s="131">
        <f t="shared" ref="J26:K26" si="77">SUM(J19:J25)</f>
        <v>408</v>
      </c>
      <c r="K26" s="70">
        <f t="shared" si="77"/>
        <v>97</v>
      </c>
      <c r="L26" s="70"/>
      <c r="M26" s="131">
        <f t="shared" ref="M26:N26" si="78">SUM(M19:M25)</f>
        <v>1746</v>
      </c>
      <c r="N26" s="70">
        <f t="shared" si="78"/>
        <v>614</v>
      </c>
      <c r="O26" s="70"/>
      <c r="P26" s="131">
        <f t="shared" ref="P26:Q26" si="79">SUM(P19:P25)</f>
        <v>4298</v>
      </c>
      <c r="Q26" s="70">
        <f t="shared" si="79"/>
        <v>0</v>
      </c>
      <c r="R26" s="70"/>
      <c r="S26" s="131">
        <f t="shared" ref="S26:T26" si="80">SUM(S19:S25)</f>
        <v>0</v>
      </c>
      <c r="T26" s="70">
        <f t="shared" si="80"/>
        <v>1259</v>
      </c>
      <c r="U26" s="70"/>
      <c r="V26" s="131">
        <f t="shared" ref="V26:W26" si="81">SUM(V19:V25)</f>
        <v>10701.5</v>
      </c>
      <c r="W26" s="70">
        <f t="shared" si="81"/>
        <v>290</v>
      </c>
      <c r="X26" s="70"/>
      <c r="Y26" s="131">
        <f t="shared" ref="Y26:Z26" si="82">SUM(Y19:Y25)</f>
        <v>1740</v>
      </c>
      <c r="Z26" s="70">
        <f t="shared" si="82"/>
        <v>266</v>
      </c>
      <c r="AA26" s="70"/>
      <c r="AB26" s="132">
        <f t="shared" ref="AB26:AC26" si="83">SUM(AB19:AB25)</f>
        <v>1596</v>
      </c>
      <c r="AC26" s="70">
        <f t="shared" si="83"/>
        <v>80</v>
      </c>
      <c r="AD26" s="70"/>
      <c r="AE26" s="132">
        <f t="shared" ref="AE26:AF26" si="84">SUM(AE19:AE25)</f>
        <v>640</v>
      </c>
      <c r="AF26" s="70">
        <f t="shared" si="84"/>
        <v>0</v>
      </c>
      <c r="AG26" s="70"/>
      <c r="AH26" s="131">
        <f>SUM(AH19:AH25)</f>
        <v>0</v>
      </c>
      <c r="AI26" s="39"/>
      <c r="AJ26" s="39"/>
      <c r="AK26" s="131">
        <f>SUM(AK19:AK25)</f>
        <v>73489.5</v>
      </c>
      <c r="AL26" s="76"/>
      <c r="AM26" s="68">
        <f>SUM(AM19:AM25)</f>
        <v>93</v>
      </c>
      <c r="AN26" s="70"/>
      <c r="AO26" s="131">
        <f t="shared" ref="AO26:AP26" si="85">SUM(AO19:AO25)</f>
        <v>813.75</v>
      </c>
      <c r="AP26" s="70">
        <f t="shared" si="85"/>
        <v>242</v>
      </c>
      <c r="AQ26" s="70"/>
      <c r="AR26" s="131">
        <f t="shared" ref="AR26:AS26" si="86">SUM(AR19:AR25)</f>
        <v>2964.5</v>
      </c>
      <c r="AS26" s="70">
        <f t="shared" si="86"/>
        <v>0</v>
      </c>
      <c r="AT26" s="70"/>
      <c r="AU26" s="131">
        <f t="shared" ref="AU26:AV26" si="87">SUM(AU19:AU25)</f>
        <v>0</v>
      </c>
      <c r="AV26" s="72">
        <f t="shared" si="87"/>
        <v>39</v>
      </c>
      <c r="AW26" s="70"/>
      <c r="AX26" s="131">
        <f t="shared" ref="AX26:AY26" si="88">SUM(AX19:AX25)</f>
        <v>381.875</v>
      </c>
      <c r="AY26" s="70">
        <f t="shared" si="88"/>
        <v>0</v>
      </c>
      <c r="AZ26" s="70"/>
      <c r="BA26" s="131">
        <f t="shared" ref="BA26:BB26" si="89">SUM(BA19:BA25)</f>
        <v>0</v>
      </c>
      <c r="BB26" s="70">
        <f t="shared" si="89"/>
        <v>50</v>
      </c>
      <c r="BC26" s="70"/>
      <c r="BD26" s="131">
        <f t="shared" ref="BD26:BE26" si="90">SUM(BD19:BD25)</f>
        <v>576.83333333333326</v>
      </c>
      <c r="BE26" s="70">
        <f t="shared" si="90"/>
        <v>25</v>
      </c>
      <c r="BF26" s="70"/>
      <c r="BG26" s="131">
        <f t="shared" ref="BG26:BH26" si="91">SUM(BG19:BG25)</f>
        <v>500</v>
      </c>
      <c r="BH26" s="70">
        <f t="shared" si="91"/>
        <v>0</v>
      </c>
      <c r="BI26" s="70"/>
      <c r="BJ26" s="131">
        <f t="shared" ref="BJ26:BK26" si="92">SUM(BJ19:BJ25)</f>
        <v>0</v>
      </c>
      <c r="BK26" s="72">
        <f t="shared" si="92"/>
        <v>0</v>
      </c>
      <c r="BL26" s="70"/>
      <c r="BM26" s="131">
        <f t="shared" ref="BM26:BN26" si="93">SUM(BM19:BM25)</f>
        <v>0</v>
      </c>
      <c r="BN26" s="70">
        <f t="shared" si="93"/>
        <v>19</v>
      </c>
      <c r="BO26" s="70"/>
      <c r="BP26" s="131">
        <f t="shared" ref="BP26:BQ26" si="94">SUM(BP19:BP25)</f>
        <v>242.25</v>
      </c>
      <c r="BQ26" s="70">
        <f t="shared" si="94"/>
        <v>0</v>
      </c>
      <c r="BR26" s="70"/>
      <c r="BS26" s="132">
        <f t="shared" ref="BS26:BT26" si="95">SUM(BS19:BS25)</f>
        <v>0</v>
      </c>
      <c r="BT26" s="70">
        <f t="shared" si="95"/>
        <v>0</v>
      </c>
      <c r="BU26" s="70"/>
      <c r="BV26" s="132">
        <f>SUM(BV19:BV25)</f>
        <v>0</v>
      </c>
      <c r="BY26" s="130">
        <f>SUM(BY19:BY25)</f>
        <v>5479.208333333333</v>
      </c>
      <c r="BZ26" s="39"/>
      <c r="CA26" s="131">
        <f>SUM(CA19:CA25)</f>
        <v>78968.708333333328</v>
      </c>
      <c r="CB26" s="133"/>
      <c r="CC26" s="39"/>
      <c r="CD26" s="134">
        <f>SUM(CD19:CD25)</f>
        <v>78968.708333333328</v>
      </c>
    </row>
    <row r="27" spans="1:82" ht="15.75" customHeight="1">
      <c r="A27" s="135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</row>
    <row r="28" spans="1:82" ht="15.75" customHeight="1">
      <c r="A28" s="135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</row>
    <row r="29" spans="1:82" ht="15.75" customHeight="1">
      <c r="A29" s="51" t="s">
        <v>110</v>
      </c>
      <c r="B29" s="460" t="str">
        <f>B5</f>
        <v>PREMIUM - CUT</v>
      </c>
      <c r="C29" s="445"/>
      <c r="D29" s="423"/>
      <c r="E29" s="460" t="s">
        <v>30</v>
      </c>
      <c r="F29" s="445"/>
      <c r="G29" s="423"/>
      <c r="H29" s="460" t="s">
        <v>102</v>
      </c>
      <c r="I29" s="445"/>
      <c r="J29" s="423"/>
      <c r="K29" s="460" t="str">
        <f>K17</f>
        <v>Chicken Fillet</v>
      </c>
      <c r="L29" s="445"/>
      <c r="M29" s="423"/>
      <c r="N29" s="460" t="s">
        <v>53</v>
      </c>
      <c r="O29" s="445"/>
      <c r="P29" s="445"/>
      <c r="Q29" s="459" t="s">
        <v>54</v>
      </c>
      <c r="R29" s="445"/>
      <c r="S29" s="423"/>
      <c r="T29" s="448" t="s">
        <v>55</v>
      </c>
      <c r="U29" s="445"/>
      <c r="V29" s="423"/>
      <c r="W29" s="448" t="s">
        <v>56</v>
      </c>
      <c r="X29" s="445"/>
      <c r="Y29" s="423"/>
      <c r="Z29" s="448" t="s">
        <v>57</v>
      </c>
      <c r="AA29" s="445"/>
      <c r="AB29" s="445"/>
      <c r="AC29" s="448" t="s">
        <v>58</v>
      </c>
      <c r="AD29" s="445"/>
      <c r="AE29" s="445"/>
      <c r="AF29" s="448">
        <f>AF5</f>
        <v>0</v>
      </c>
      <c r="AG29" s="445"/>
      <c r="AH29" s="423"/>
      <c r="AI29" s="448" t="str">
        <f>AI5</f>
        <v>SUBTOTAL</v>
      </c>
      <c r="AJ29" s="445"/>
      <c r="AK29" s="423"/>
      <c r="AL29" s="136"/>
      <c r="AM29" s="459" t="s">
        <v>103</v>
      </c>
      <c r="AN29" s="445"/>
      <c r="AO29" s="423"/>
      <c r="AP29" s="448" t="s">
        <v>60</v>
      </c>
      <c r="AQ29" s="445"/>
      <c r="AR29" s="423"/>
      <c r="AS29" s="448" t="s">
        <v>61</v>
      </c>
      <c r="AT29" s="445"/>
      <c r="AU29" s="423"/>
      <c r="AV29" s="448" t="s">
        <v>62</v>
      </c>
      <c r="AW29" s="445"/>
      <c r="AX29" s="423"/>
      <c r="AY29" s="448" t="s">
        <v>63</v>
      </c>
      <c r="AZ29" s="445"/>
      <c r="BA29" s="423"/>
      <c r="BB29" s="448" t="str">
        <f>BB17</f>
        <v>swakto</v>
      </c>
      <c r="BC29" s="445"/>
      <c r="BD29" s="423"/>
      <c r="BE29" s="448" t="s">
        <v>65</v>
      </c>
      <c r="BF29" s="445"/>
      <c r="BG29" s="423"/>
      <c r="BH29" s="448" t="str">
        <f>BH17</f>
        <v>GATORADE</v>
      </c>
      <c r="BI29" s="445"/>
      <c r="BJ29" s="423"/>
      <c r="BK29" s="448" t="s">
        <v>66</v>
      </c>
      <c r="BL29" s="445"/>
      <c r="BM29" s="423"/>
      <c r="BN29" s="448" t="s">
        <v>67</v>
      </c>
      <c r="BO29" s="445"/>
      <c r="BP29" s="423"/>
      <c r="BQ29" s="447" t="str">
        <f>BQ17</f>
        <v>1 LITER</v>
      </c>
      <c r="BR29" s="445"/>
      <c r="BS29" s="423"/>
      <c r="BT29" s="447" t="str">
        <f>BT17</f>
        <v>1.5 L</v>
      </c>
      <c r="BU29" s="445"/>
      <c r="BV29" s="423"/>
      <c r="BW29" s="444" t="s">
        <v>68</v>
      </c>
      <c r="BX29" s="445"/>
      <c r="BY29" s="423"/>
      <c r="BZ29" s="39"/>
      <c r="CA29" s="137" t="s">
        <v>23</v>
      </c>
      <c r="CB29" s="39"/>
      <c r="CC29" s="39"/>
      <c r="CD29" s="39"/>
    </row>
    <row r="30" spans="1:82" ht="15.75" customHeight="1">
      <c r="A30" s="56" t="s">
        <v>7</v>
      </c>
      <c r="B30" s="118" t="s">
        <v>71</v>
      </c>
      <c r="C30" s="118" t="s">
        <v>72</v>
      </c>
      <c r="D30" s="118" t="s">
        <v>26</v>
      </c>
      <c r="E30" s="118" t="s">
        <v>71</v>
      </c>
      <c r="F30" s="118" t="s">
        <v>72</v>
      </c>
      <c r="G30" s="118" t="s">
        <v>26</v>
      </c>
      <c r="H30" s="138" t="s">
        <v>71</v>
      </c>
      <c r="I30" s="139" t="s">
        <v>72</v>
      </c>
      <c r="J30" s="140" t="s">
        <v>73</v>
      </c>
      <c r="K30" s="138" t="s">
        <v>71</v>
      </c>
      <c r="L30" s="139" t="s">
        <v>72</v>
      </c>
      <c r="M30" s="140" t="s">
        <v>73</v>
      </c>
      <c r="N30" s="118" t="s">
        <v>71</v>
      </c>
      <c r="O30" s="118" t="s">
        <v>72</v>
      </c>
      <c r="P30" s="118" t="s">
        <v>26</v>
      </c>
      <c r="Q30" s="138" t="s">
        <v>71</v>
      </c>
      <c r="R30" s="139" t="s">
        <v>72</v>
      </c>
      <c r="S30" s="140" t="s">
        <v>73</v>
      </c>
      <c r="T30" s="138" t="s">
        <v>71</v>
      </c>
      <c r="U30" s="139" t="s">
        <v>72</v>
      </c>
      <c r="V30" s="141" t="s">
        <v>73</v>
      </c>
      <c r="W30" s="138" t="s">
        <v>71</v>
      </c>
      <c r="X30" s="139" t="s">
        <v>72</v>
      </c>
      <c r="Y30" s="141" t="s">
        <v>73</v>
      </c>
      <c r="Z30" s="138" t="s">
        <v>71</v>
      </c>
      <c r="AA30" s="139" t="s">
        <v>72</v>
      </c>
      <c r="AB30" s="141" t="s">
        <v>73</v>
      </c>
      <c r="AC30" s="138" t="s">
        <v>71</v>
      </c>
      <c r="AD30" s="139" t="s">
        <v>72</v>
      </c>
      <c r="AE30" s="141" t="s">
        <v>26</v>
      </c>
      <c r="AF30" s="118" t="s">
        <v>71</v>
      </c>
      <c r="AG30" s="118" t="s">
        <v>72</v>
      </c>
      <c r="AH30" s="118" t="s">
        <v>26</v>
      </c>
      <c r="AI30" s="142"/>
      <c r="AJ30" s="143"/>
      <c r="AK30" s="118" t="s">
        <v>73</v>
      </c>
      <c r="AL30" s="136"/>
      <c r="AM30" s="145" t="s">
        <v>71</v>
      </c>
      <c r="AN30" s="146" t="s">
        <v>72</v>
      </c>
      <c r="AO30" s="145" t="s">
        <v>73</v>
      </c>
      <c r="AP30" s="147" t="s">
        <v>71</v>
      </c>
      <c r="AQ30" s="146" t="s">
        <v>72</v>
      </c>
      <c r="AR30" s="145" t="s">
        <v>73</v>
      </c>
      <c r="AS30" s="147" t="s">
        <v>71</v>
      </c>
      <c r="AT30" s="146" t="s">
        <v>72</v>
      </c>
      <c r="AU30" s="145" t="s">
        <v>73</v>
      </c>
      <c r="AV30" s="146" t="s">
        <v>71</v>
      </c>
      <c r="AW30" s="146" t="s">
        <v>72</v>
      </c>
      <c r="AX30" s="146" t="s">
        <v>26</v>
      </c>
      <c r="AY30" s="146" t="s">
        <v>71</v>
      </c>
      <c r="AZ30" s="146" t="s">
        <v>72</v>
      </c>
      <c r="BA30" s="146" t="s">
        <v>26</v>
      </c>
      <c r="BB30" s="146" t="s">
        <v>71</v>
      </c>
      <c r="BC30" s="146" t="s">
        <v>72</v>
      </c>
      <c r="BD30" s="146" t="s">
        <v>26</v>
      </c>
      <c r="BE30" s="146" t="s">
        <v>71</v>
      </c>
      <c r="BF30" s="146" t="s">
        <v>72</v>
      </c>
      <c r="BG30" s="146" t="s">
        <v>26</v>
      </c>
      <c r="BH30" s="146" t="s">
        <v>71</v>
      </c>
      <c r="BI30" s="146" t="s">
        <v>72</v>
      </c>
      <c r="BJ30" s="146" t="s">
        <v>26</v>
      </c>
      <c r="BK30" s="146" t="s">
        <v>71</v>
      </c>
      <c r="BL30" s="146" t="s">
        <v>72</v>
      </c>
      <c r="BM30" s="146" t="s">
        <v>26</v>
      </c>
      <c r="BN30" s="146" t="s">
        <v>71</v>
      </c>
      <c r="BO30" s="146" t="s">
        <v>72</v>
      </c>
      <c r="BP30" s="146" t="s">
        <v>26</v>
      </c>
      <c r="BQ30" s="146" t="s">
        <v>71</v>
      </c>
      <c r="BR30" s="146" t="s">
        <v>72</v>
      </c>
      <c r="BS30" s="146" t="s">
        <v>26</v>
      </c>
      <c r="BT30" s="146" t="s">
        <v>71</v>
      </c>
      <c r="BU30" s="146" t="s">
        <v>72</v>
      </c>
      <c r="BV30" s="146" t="s">
        <v>26</v>
      </c>
      <c r="BW30" s="142"/>
      <c r="BX30" s="143"/>
      <c r="BY30" s="118" t="s">
        <v>26</v>
      </c>
      <c r="BZ30" s="39"/>
      <c r="CA30" s="118" t="s">
        <v>26</v>
      </c>
      <c r="CB30" s="39"/>
      <c r="CC30" s="39"/>
      <c r="CD30" s="39"/>
    </row>
    <row r="31" spans="1:82" ht="15.75" customHeight="1">
      <c r="A31" s="56">
        <v>15</v>
      </c>
      <c r="B31" s="68">
        <f>GROSS!B31</f>
        <v>0</v>
      </c>
      <c r="C31" s="68">
        <f>DELIVERIES!C31</f>
        <v>30</v>
      </c>
      <c r="D31" s="69">
        <f t="shared" ref="D31:D37" si="96">B31*C31</f>
        <v>0</v>
      </c>
      <c r="E31" s="70">
        <f>'15'!F7</f>
        <v>238</v>
      </c>
      <c r="F31" s="70">
        <f>DELIVERIES!F31</f>
        <v>35</v>
      </c>
      <c r="G31" s="71">
        <f t="shared" ref="G31:G37" si="97">E31*F31</f>
        <v>8330</v>
      </c>
      <c r="H31" s="72">
        <f>'15'!F8</f>
        <v>14</v>
      </c>
      <c r="I31" s="70">
        <f>DELIVERIES!I31</f>
        <v>8.5</v>
      </c>
      <c r="J31" s="71">
        <f t="shared" ref="J31:J37" si="98">H31*I31</f>
        <v>119</v>
      </c>
      <c r="K31" s="72">
        <f>'15'!F15</f>
        <v>10</v>
      </c>
      <c r="L31" s="70">
        <f>DELIVERIES!L31</f>
        <v>18</v>
      </c>
      <c r="M31" s="71">
        <f t="shared" ref="M31:M37" si="99">K31*L31</f>
        <v>180</v>
      </c>
      <c r="N31" s="70">
        <f>'15'!F9</f>
        <v>50</v>
      </c>
      <c r="O31" s="70">
        <f>DELIVERIES!O31</f>
        <v>7</v>
      </c>
      <c r="P31" s="71">
        <f t="shared" ref="P31:P37" si="100">N31*O31</f>
        <v>350</v>
      </c>
      <c r="Q31" s="68">
        <f>'15'!F10</f>
        <v>0</v>
      </c>
      <c r="R31" s="72">
        <f>DELIVERIES!R31</f>
        <v>5.5</v>
      </c>
      <c r="S31" s="71">
        <f t="shared" ref="S31:S37" si="101">Q31*R31</f>
        <v>0</v>
      </c>
      <c r="T31" s="68">
        <f>'15'!F11</f>
        <v>195</v>
      </c>
      <c r="U31" s="72">
        <f>DELIVERIES!U31</f>
        <v>8.5</v>
      </c>
      <c r="V31" s="71">
        <f t="shared" ref="V31:V37" si="102">T31*U31</f>
        <v>1657.5</v>
      </c>
      <c r="W31" s="68">
        <f>'15'!F12</f>
        <v>36</v>
      </c>
      <c r="X31" s="68">
        <f>DELIVERIES!X31</f>
        <v>6</v>
      </c>
      <c r="Y31" s="71">
        <f t="shared" ref="Y31:Y37" si="103">W31*X31</f>
        <v>216</v>
      </c>
      <c r="Z31" s="68">
        <f>'15'!F13</f>
        <v>42</v>
      </c>
      <c r="AA31" s="72">
        <f>DELIVERIES!AA31</f>
        <v>6</v>
      </c>
      <c r="AB31" s="71">
        <f t="shared" ref="AB31:AB37" si="104">Z31*AA31</f>
        <v>252</v>
      </c>
      <c r="AC31" s="68">
        <f>'15'!F14</f>
        <v>12</v>
      </c>
      <c r="AD31" s="72">
        <f>DELIVERIES!AD31</f>
        <v>8</v>
      </c>
      <c r="AE31" s="73">
        <f t="shared" ref="AE31:AE37" si="105">AC31*AD31</f>
        <v>96</v>
      </c>
      <c r="AF31" s="72"/>
      <c r="AG31" s="72">
        <f>AG7</f>
        <v>0</v>
      </c>
      <c r="AH31" s="118">
        <f t="shared" ref="AH31:AH37" si="106">AF31*AG31</f>
        <v>0</v>
      </c>
      <c r="AI31" s="74"/>
      <c r="AJ31" s="75"/>
      <c r="AK31" s="71">
        <f t="shared" ref="AK31:AK37" si="107">D31+G31+J31+M31+P31+S31+V31+Y31+AB31+AE31+AH31</f>
        <v>11200.5</v>
      </c>
      <c r="AL31" s="76"/>
      <c r="AM31" s="68">
        <f>'15'!F17</f>
        <v>20</v>
      </c>
      <c r="AN31" s="72">
        <f>DELIVERIES!AQ31</f>
        <v>8.75</v>
      </c>
      <c r="AO31" s="71">
        <f t="shared" ref="AO31:AO37" si="108">AM31*AN31</f>
        <v>175</v>
      </c>
      <c r="AP31" s="68">
        <f>'15'!F18</f>
        <v>54</v>
      </c>
      <c r="AQ31" s="72">
        <f>DELIVERIES!AT31</f>
        <v>12.25</v>
      </c>
      <c r="AR31" s="71">
        <f t="shared" ref="AR31:AR37" si="109">AP31*AQ31</f>
        <v>661.5</v>
      </c>
      <c r="AS31" s="68">
        <f>'15'!F21</f>
        <v>0</v>
      </c>
      <c r="AT31" s="70">
        <f>DELIVERIES!AW31</f>
        <v>7.9166666666600003</v>
      </c>
      <c r="AU31" s="71">
        <f t="shared" ref="AU31:AU37" si="110">AS31*AT31</f>
        <v>0</v>
      </c>
      <c r="AV31" s="68">
        <f>'15'!F22</f>
        <v>6</v>
      </c>
      <c r="AW31" s="70">
        <f>DELIVERIES!AZ31</f>
        <v>9.7916666666666661</v>
      </c>
      <c r="AX31" s="71">
        <f t="shared" ref="AX31:AX37" si="111">AV31*AW31</f>
        <v>58.75</v>
      </c>
      <c r="AY31" s="68">
        <f>'15'!F26</f>
        <v>0</v>
      </c>
      <c r="AZ31" s="68">
        <f>DELIVERIES!BC31</f>
        <v>16.333333333333332</v>
      </c>
      <c r="BA31" s="69">
        <f t="shared" ref="BA31:BA37" si="112">AY31*AZ31</f>
        <v>0</v>
      </c>
      <c r="BB31" s="68">
        <f>'15'!F27</f>
        <v>0</v>
      </c>
      <c r="BC31" s="68">
        <f>DELIVERIES!BF31</f>
        <v>11.666666666666666</v>
      </c>
      <c r="BD31" s="69">
        <f t="shared" ref="BD31:BD37" si="113">BB31*BC31</f>
        <v>0</v>
      </c>
      <c r="BE31" s="68">
        <f>'15'!F28</f>
        <v>2</v>
      </c>
      <c r="BF31" s="70">
        <f>DELIVERIES!BI31</f>
        <v>20</v>
      </c>
      <c r="BG31" s="71">
        <f t="shared" ref="BG31:BG37" si="114">BE31*BF31</f>
        <v>40</v>
      </c>
      <c r="BH31" s="68">
        <f>'15'!F23</f>
        <v>0</v>
      </c>
      <c r="BI31" s="70">
        <f>DELIVERIES!BL31</f>
        <v>23</v>
      </c>
      <c r="BJ31" s="71">
        <f t="shared" ref="BJ31:BJ37" si="115">BH31*BI31</f>
        <v>0</v>
      </c>
      <c r="BK31" s="68">
        <f>'15'!F25</f>
        <v>0</v>
      </c>
      <c r="BL31" s="72">
        <f>DELIVERIES!BO31</f>
        <v>12.5</v>
      </c>
      <c r="BM31" s="71">
        <f t="shared" ref="BM31:BM37" si="116">BK31*BL31</f>
        <v>0</v>
      </c>
      <c r="BN31" s="68">
        <f>'15'!F24</f>
        <v>3</v>
      </c>
      <c r="BO31" s="68">
        <f>DELIVERIES!BR31</f>
        <v>12.75</v>
      </c>
      <c r="BP31" s="69">
        <f t="shared" ref="BP31:BP37" si="117">BN31*BO31</f>
        <v>38.25</v>
      </c>
      <c r="BQ31" s="68">
        <f>'15'!F19</f>
        <v>0</v>
      </c>
      <c r="BR31" s="70">
        <f>DELIVERIES!BU31</f>
        <v>30.25</v>
      </c>
      <c r="BS31" s="71">
        <f t="shared" ref="BS31:BS37" si="118">BQ31*BR31</f>
        <v>0</v>
      </c>
      <c r="BT31" s="68">
        <f>'15'!F20</f>
        <v>0</v>
      </c>
      <c r="BU31" s="70">
        <f>DELIVERIES!BX31</f>
        <v>15.916666666659999</v>
      </c>
      <c r="BV31" s="71">
        <f t="shared" ref="BV31:BV37" si="119">BT31*BU31</f>
        <v>0</v>
      </c>
      <c r="BW31" s="78"/>
      <c r="BX31" s="79"/>
      <c r="BY31" s="69">
        <f t="shared" ref="BY31:BY37" si="120">AO31+AR31+AU31+AX31+BA31+BD31+BG31+BJ31+BM31+BP31+BS31+BV31</f>
        <v>973.5</v>
      </c>
      <c r="BZ31" s="39"/>
      <c r="CA31" s="71">
        <f t="shared" ref="CA31:CA37" si="121">AK31+BY31</f>
        <v>12174</v>
      </c>
      <c r="CB31" s="39"/>
      <c r="CC31" s="39"/>
      <c r="CD31" s="39">
        <f t="shared" ref="CD31:CD37" si="122">CA31-CC31</f>
        <v>12174</v>
      </c>
    </row>
    <row r="32" spans="1:82" ht="15.75" customHeight="1">
      <c r="A32" s="56">
        <v>16</v>
      </c>
      <c r="B32" s="68">
        <f>GROSS!B32</f>
        <v>0</v>
      </c>
      <c r="C32" s="68">
        <f>DELIVERIES!C32</f>
        <v>30</v>
      </c>
      <c r="D32" s="69">
        <f t="shared" si="96"/>
        <v>0</v>
      </c>
      <c r="E32" s="68">
        <f>'16'!F7</f>
        <v>214</v>
      </c>
      <c r="F32" s="70">
        <f>DELIVERIES!F32</f>
        <v>35</v>
      </c>
      <c r="G32" s="71">
        <f t="shared" si="97"/>
        <v>7490</v>
      </c>
      <c r="H32" s="84">
        <f>'16'!F8</f>
        <v>6</v>
      </c>
      <c r="I32" s="70">
        <f>DELIVERIES!I32</f>
        <v>8.5</v>
      </c>
      <c r="J32" s="71">
        <f t="shared" si="98"/>
        <v>51</v>
      </c>
      <c r="K32" s="84">
        <f>'16'!F15</f>
        <v>20</v>
      </c>
      <c r="L32" s="70">
        <f>DELIVERIES!L32</f>
        <v>18</v>
      </c>
      <c r="M32" s="71">
        <f t="shared" si="99"/>
        <v>360</v>
      </c>
      <c r="N32" s="68">
        <f>'16'!F9</f>
        <v>80</v>
      </c>
      <c r="O32" s="70">
        <f>DELIVERIES!O32</f>
        <v>7</v>
      </c>
      <c r="P32" s="71">
        <f t="shared" si="100"/>
        <v>560</v>
      </c>
      <c r="Q32" s="68">
        <f>'16'!F10</f>
        <v>0</v>
      </c>
      <c r="R32" s="72">
        <f>DELIVERIES!R32</f>
        <v>5.5</v>
      </c>
      <c r="S32" s="71">
        <f t="shared" si="101"/>
        <v>0</v>
      </c>
      <c r="T32" s="68">
        <f>'16'!F11</f>
        <v>204</v>
      </c>
      <c r="U32" s="72">
        <f>DELIVERIES!U32</f>
        <v>8.5</v>
      </c>
      <c r="V32" s="71">
        <f t="shared" si="102"/>
        <v>1734</v>
      </c>
      <c r="W32" s="68">
        <f>'16'!F12</f>
        <v>24</v>
      </c>
      <c r="X32" s="68">
        <f>DELIVERIES!X32</f>
        <v>6</v>
      </c>
      <c r="Y32" s="71">
        <f t="shared" si="103"/>
        <v>144</v>
      </c>
      <c r="Z32" s="68">
        <f>'16'!F13</f>
        <v>25</v>
      </c>
      <c r="AA32" s="72">
        <f>DELIVERIES!AA32</f>
        <v>6</v>
      </c>
      <c r="AB32" s="71">
        <f t="shared" si="104"/>
        <v>150</v>
      </c>
      <c r="AC32" s="68">
        <f>'16'!F14</f>
        <v>7</v>
      </c>
      <c r="AD32" s="72">
        <f>DELIVERIES!AD32</f>
        <v>8</v>
      </c>
      <c r="AE32" s="73">
        <f t="shared" si="105"/>
        <v>56</v>
      </c>
      <c r="AF32" s="72"/>
      <c r="AG32" s="72">
        <f>AG7</f>
        <v>0</v>
      </c>
      <c r="AH32" s="118">
        <f t="shared" si="106"/>
        <v>0</v>
      </c>
      <c r="AI32" s="74"/>
      <c r="AJ32" s="75"/>
      <c r="AK32" s="71">
        <f t="shared" si="107"/>
        <v>10545</v>
      </c>
      <c r="AL32" s="76"/>
      <c r="AM32" s="68">
        <f>'16'!F17</f>
        <v>9</v>
      </c>
      <c r="AN32" s="72">
        <f>DELIVERIES!AQ32</f>
        <v>8.75</v>
      </c>
      <c r="AO32" s="71">
        <f t="shared" si="108"/>
        <v>78.75</v>
      </c>
      <c r="AP32" s="68">
        <f>'16'!F18</f>
        <v>47</v>
      </c>
      <c r="AQ32" s="72">
        <f>DELIVERIES!AT32</f>
        <v>12.25</v>
      </c>
      <c r="AR32" s="71">
        <f t="shared" si="109"/>
        <v>575.75</v>
      </c>
      <c r="AS32" s="68">
        <f>'16'!F21</f>
        <v>0</v>
      </c>
      <c r="AT32" s="70">
        <f>DELIVERIES!AW32</f>
        <v>7.9166666666600003</v>
      </c>
      <c r="AU32" s="71">
        <f t="shared" si="110"/>
        <v>0</v>
      </c>
      <c r="AV32" s="68">
        <f>'16'!F22</f>
        <v>6</v>
      </c>
      <c r="AW32" s="70">
        <f>DELIVERIES!AZ32</f>
        <v>9.7916666666666661</v>
      </c>
      <c r="AX32" s="71">
        <f t="shared" si="111"/>
        <v>58.75</v>
      </c>
      <c r="AY32" s="68">
        <f>'16'!F26</f>
        <v>0</v>
      </c>
      <c r="AZ32" s="68">
        <f>DELIVERIES!BC32</f>
        <v>16.333333333333332</v>
      </c>
      <c r="BA32" s="69">
        <f t="shared" si="112"/>
        <v>0</v>
      </c>
      <c r="BB32" s="68">
        <f>'16'!F27</f>
        <v>0</v>
      </c>
      <c r="BC32" s="68">
        <f>DELIVERIES!BF32</f>
        <v>11.666666666666666</v>
      </c>
      <c r="BD32" s="69">
        <f t="shared" si="113"/>
        <v>0</v>
      </c>
      <c r="BE32" s="68">
        <f>'16'!F28</f>
        <v>6</v>
      </c>
      <c r="BF32" s="70">
        <f>DELIVERIES!BI32</f>
        <v>20</v>
      </c>
      <c r="BG32" s="71">
        <f t="shared" si="114"/>
        <v>120</v>
      </c>
      <c r="BH32" s="68">
        <f>'16'!F23</f>
        <v>0</v>
      </c>
      <c r="BI32" s="70">
        <f>DELIVERIES!BL32</f>
        <v>23</v>
      </c>
      <c r="BJ32" s="71">
        <f t="shared" si="115"/>
        <v>0</v>
      </c>
      <c r="BK32" s="68">
        <f>'16'!F25</f>
        <v>0</v>
      </c>
      <c r="BL32" s="72">
        <f>DELIVERIES!BO32</f>
        <v>12.5</v>
      </c>
      <c r="BM32" s="71">
        <f t="shared" si="116"/>
        <v>0</v>
      </c>
      <c r="BN32" s="68">
        <f>'16'!F24</f>
        <v>4</v>
      </c>
      <c r="BO32" s="68">
        <f>DELIVERIES!BR32</f>
        <v>12.75</v>
      </c>
      <c r="BP32" s="69">
        <f t="shared" si="117"/>
        <v>51</v>
      </c>
      <c r="BQ32" s="68">
        <f>'16'!F19</f>
        <v>0</v>
      </c>
      <c r="BR32" s="70">
        <f>DELIVERIES!BU32</f>
        <v>30.25</v>
      </c>
      <c r="BS32" s="71">
        <f t="shared" si="118"/>
        <v>0</v>
      </c>
      <c r="BT32" s="68">
        <f>'16'!F20</f>
        <v>0</v>
      </c>
      <c r="BU32" s="70">
        <f>DELIVERIES!BX32</f>
        <v>15.916666666659999</v>
      </c>
      <c r="BV32" s="71">
        <f t="shared" si="119"/>
        <v>0</v>
      </c>
      <c r="BW32" s="78"/>
      <c r="BX32" s="79"/>
      <c r="BY32" s="69">
        <f t="shared" si="120"/>
        <v>884.25</v>
      </c>
      <c r="BZ32" s="39"/>
      <c r="CA32" s="71">
        <f t="shared" si="121"/>
        <v>11429.25</v>
      </c>
      <c r="CB32" s="90"/>
      <c r="CC32" s="39"/>
      <c r="CD32" s="39">
        <f t="shared" si="122"/>
        <v>11429.25</v>
      </c>
    </row>
    <row r="33" spans="1:83" ht="15.75" customHeight="1">
      <c r="A33" s="56">
        <v>17</v>
      </c>
      <c r="B33" s="68">
        <f>GROSS!B33</f>
        <v>0</v>
      </c>
      <c r="C33" s="68">
        <f>DELIVERIES!C33</f>
        <v>30</v>
      </c>
      <c r="D33" s="69">
        <f t="shared" si="96"/>
        <v>0</v>
      </c>
      <c r="E33" s="68">
        <f>'17'!F7</f>
        <v>217</v>
      </c>
      <c r="F33" s="70">
        <f>DELIVERIES!F33</f>
        <v>35</v>
      </c>
      <c r="G33" s="71">
        <f t="shared" si="97"/>
        <v>7595</v>
      </c>
      <c r="H33" s="84">
        <f>'17'!F8</f>
        <v>15</v>
      </c>
      <c r="I33" s="70">
        <f>DELIVERIES!I33</f>
        <v>8.5</v>
      </c>
      <c r="J33" s="71">
        <f t="shared" si="98"/>
        <v>127.5</v>
      </c>
      <c r="K33" s="84">
        <f>'17'!F15</f>
        <v>10</v>
      </c>
      <c r="L33" s="70">
        <f>DELIVERIES!L33</f>
        <v>18</v>
      </c>
      <c r="M33" s="71">
        <f t="shared" si="99"/>
        <v>180</v>
      </c>
      <c r="N33" s="68">
        <f>'17'!F9</f>
        <v>110</v>
      </c>
      <c r="O33" s="70">
        <f>DELIVERIES!O33</f>
        <v>7</v>
      </c>
      <c r="P33" s="71">
        <f t="shared" si="100"/>
        <v>770</v>
      </c>
      <c r="Q33" s="68">
        <f>'17'!F10</f>
        <v>0</v>
      </c>
      <c r="R33" s="72">
        <f>DELIVERIES!R33</f>
        <v>5.5</v>
      </c>
      <c r="S33" s="71">
        <f t="shared" si="101"/>
        <v>0</v>
      </c>
      <c r="T33" s="68">
        <f>'17'!F11</f>
        <v>200</v>
      </c>
      <c r="U33" s="72">
        <f>DELIVERIES!U33</f>
        <v>8.5</v>
      </c>
      <c r="V33" s="71">
        <f t="shared" si="102"/>
        <v>1700</v>
      </c>
      <c r="W33" s="68">
        <f>'17'!F12</f>
        <v>34</v>
      </c>
      <c r="X33" s="68">
        <f>DELIVERIES!X33</f>
        <v>6</v>
      </c>
      <c r="Y33" s="71">
        <f t="shared" si="103"/>
        <v>204</v>
      </c>
      <c r="Z33" s="68">
        <f>'17'!F13</f>
        <v>31</v>
      </c>
      <c r="AA33" s="72">
        <f>DELIVERIES!AA33</f>
        <v>6</v>
      </c>
      <c r="AB33" s="71">
        <f t="shared" si="104"/>
        <v>186</v>
      </c>
      <c r="AC33" s="68">
        <f>'17'!F14</f>
        <v>0</v>
      </c>
      <c r="AD33" s="72">
        <f>DELIVERIES!AD33</f>
        <v>8</v>
      </c>
      <c r="AE33" s="73">
        <f t="shared" si="105"/>
        <v>0</v>
      </c>
      <c r="AF33" s="72"/>
      <c r="AG33" s="72">
        <f>AG7</f>
        <v>0</v>
      </c>
      <c r="AH33" s="118">
        <f t="shared" si="106"/>
        <v>0</v>
      </c>
      <c r="AI33" s="74"/>
      <c r="AJ33" s="75"/>
      <c r="AK33" s="71">
        <f t="shared" si="107"/>
        <v>10762.5</v>
      </c>
      <c r="AL33" s="76"/>
      <c r="AM33" s="68">
        <f>'17'!F17</f>
        <v>14</v>
      </c>
      <c r="AN33" s="72">
        <f>DELIVERIES!AQ33</f>
        <v>8.75</v>
      </c>
      <c r="AO33" s="71">
        <f t="shared" si="108"/>
        <v>122.5</v>
      </c>
      <c r="AP33" s="68">
        <f>'17'!F18</f>
        <v>45</v>
      </c>
      <c r="AQ33" s="72">
        <f>DELIVERIES!AT33</f>
        <v>12.25</v>
      </c>
      <c r="AR33" s="71">
        <f t="shared" si="109"/>
        <v>551.25</v>
      </c>
      <c r="AS33" s="68">
        <f>'17'!F21</f>
        <v>0</v>
      </c>
      <c r="AT33" s="70">
        <f>DELIVERIES!AW33</f>
        <v>7.9166666666600003</v>
      </c>
      <c r="AU33" s="71">
        <f t="shared" si="110"/>
        <v>0</v>
      </c>
      <c r="AV33" s="68">
        <f>'17'!F22</f>
        <v>9</v>
      </c>
      <c r="AW33" s="70">
        <f>DELIVERIES!AZ33</f>
        <v>9.7916666666666661</v>
      </c>
      <c r="AX33" s="71">
        <f t="shared" si="111"/>
        <v>88.125</v>
      </c>
      <c r="AY33" s="68">
        <f>'17'!F26</f>
        <v>0</v>
      </c>
      <c r="AZ33" s="68">
        <f>DELIVERIES!BC33</f>
        <v>16.333333333333332</v>
      </c>
      <c r="BA33" s="69">
        <f t="shared" si="112"/>
        <v>0</v>
      </c>
      <c r="BB33" s="68">
        <f>'17'!F27</f>
        <v>0</v>
      </c>
      <c r="BC33" s="68">
        <f>DELIVERIES!BF33</f>
        <v>11.666666666666666</v>
      </c>
      <c r="BD33" s="69">
        <f t="shared" si="113"/>
        <v>0</v>
      </c>
      <c r="BE33" s="68">
        <f>'17'!F28</f>
        <v>4</v>
      </c>
      <c r="BF33" s="70">
        <f>DELIVERIES!BI33</f>
        <v>20</v>
      </c>
      <c r="BG33" s="71">
        <f t="shared" si="114"/>
        <v>80</v>
      </c>
      <c r="BH33" s="68">
        <f>'17'!F23</f>
        <v>0</v>
      </c>
      <c r="BI33" s="70">
        <f>DELIVERIES!BL33</f>
        <v>23</v>
      </c>
      <c r="BJ33" s="71">
        <f t="shared" si="115"/>
        <v>0</v>
      </c>
      <c r="BK33" s="68">
        <f>'17'!F25</f>
        <v>0</v>
      </c>
      <c r="BL33" s="72">
        <f>DELIVERIES!BO33</f>
        <v>12.5</v>
      </c>
      <c r="BM33" s="71">
        <f t="shared" si="116"/>
        <v>0</v>
      </c>
      <c r="BN33" s="68">
        <f>'17'!F24</f>
        <v>1</v>
      </c>
      <c r="BO33" s="68">
        <f>DELIVERIES!BR33</f>
        <v>12.75</v>
      </c>
      <c r="BP33" s="69">
        <f t="shared" si="117"/>
        <v>12.75</v>
      </c>
      <c r="BQ33" s="68">
        <f>'17'!F19</f>
        <v>0</v>
      </c>
      <c r="BR33" s="70">
        <f>DELIVERIES!BU33</f>
        <v>30.25</v>
      </c>
      <c r="BS33" s="71">
        <f t="shared" si="118"/>
        <v>0</v>
      </c>
      <c r="BT33" s="68">
        <f>'17'!F20</f>
        <v>0</v>
      </c>
      <c r="BU33" s="70">
        <f>DELIVERIES!BX33</f>
        <v>15.916666666659999</v>
      </c>
      <c r="BV33" s="71">
        <f t="shared" si="119"/>
        <v>0</v>
      </c>
      <c r="BW33" s="78"/>
      <c r="BX33" s="79"/>
      <c r="BY33" s="69">
        <f t="shared" si="120"/>
        <v>854.625</v>
      </c>
      <c r="BZ33" s="39"/>
      <c r="CA33" s="71">
        <f t="shared" si="121"/>
        <v>11617.125</v>
      </c>
      <c r="CB33" s="90"/>
      <c r="CC33" s="39"/>
      <c r="CD33" s="39">
        <f t="shared" si="122"/>
        <v>11617.125</v>
      </c>
    </row>
    <row r="34" spans="1:83" ht="15.75" customHeight="1">
      <c r="A34" s="56">
        <v>18</v>
      </c>
      <c r="B34" s="68">
        <f>GROSS!B34</f>
        <v>0</v>
      </c>
      <c r="C34" s="68">
        <f>DELIVERIES!C34</f>
        <v>30</v>
      </c>
      <c r="D34" s="69">
        <f t="shared" si="96"/>
        <v>0</v>
      </c>
      <c r="E34" s="68">
        <f>'18'!F7</f>
        <v>195</v>
      </c>
      <c r="F34" s="70">
        <f>DELIVERIES!F34</f>
        <v>35</v>
      </c>
      <c r="G34" s="71">
        <f t="shared" si="97"/>
        <v>6825</v>
      </c>
      <c r="H34" s="84">
        <f>'18'!F8</f>
        <v>23</v>
      </c>
      <c r="I34" s="70">
        <f>DELIVERIES!I34</f>
        <v>8.5</v>
      </c>
      <c r="J34" s="71">
        <f t="shared" si="98"/>
        <v>195.5</v>
      </c>
      <c r="K34" s="84">
        <f>'18'!F15</f>
        <v>20</v>
      </c>
      <c r="L34" s="70">
        <f>DELIVERIES!L34</f>
        <v>18</v>
      </c>
      <c r="M34" s="71">
        <f t="shared" si="99"/>
        <v>360</v>
      </c>
      <c r="N34" s="68">
        <f>'18'!F9</f>
        <v>100</v>
      </c>
      <c r="O34" s="70">
        <f>DELIVERIES!O34</f>
        <v>7</v>
      </c>
      <c r="P34" s="71">
        <f t="shared" si="100"/>
        <v>700</v>
      </c>
      <c r="Q34" s="68">
        <f>'18'!F10</f>
        <v>0</v>
      </c>
      <c r="R34" s="72">
        <f>DELIVERIES!R34</f>
        <v>5.5</v>
      </c>
      <c r="S34" s="71">
        <f t="shared" si="101"/>
        <v>0</v>
      </c>
      <c r="T34" s="68">
        <f>'18'!F11</f>
        <v>197</v>
      </c>
      <c r="U34" s="72">
        <f>DELIVERIES!U34</f>
        <v>8.5</v>
      </c>
      <c r="V34" s="71">
        <f t="shared" si="102"/>
        <v>1674.5</v>
      </c>
      <c r="W34" s="68">
        <f>'18'!F12</f>
        <v>50</v>
      </c>
      <c r="X34" s="68">
        <f>DELIVERIES!X34</f>
        <v>6</v>
      </c>
      <c r="Y34" s="71">
        <f t="shared" si="103"/>
        <v>300</v>
      </c>
      <c r="Z34" s="68">
        <f>'18'!F13</f>
        <v>47</v>
      </c>
      <c r="AA34" s="72">
        <f>DELIVERIES!AA34</f>
        <v>6</v>
      </c>
      <c r="AB34" s="71">
        <f t="shared" si="104"/>
        <v>282</v>
      </c>
      <c r="AC34" s="68">
        <f>'18'!F14</f>
        <v>0</v>
      </c>
      <c r="AD34" s="72">
        <f>DELIVERIES!AD34</f>
        <v>8</v>
      </c>
      <c r="AE34" s="73">
        <f t="shared" si="105"/>
        <v>0</v>
      </c>
      <c r="AF34" s="72"/>
      <c r="AG34" s="72">
        <f>AG7</f>
        <v>0</v>
      </c>
      <c r="AH34" s="118">
        <f t="shared" si="106"/>
        <v>0</v>
      </c>
      <c r="AI34" s="74"/>
      <c r="AJ34" s="75"/>
      <c r="AK34" s="71">
        <f t="shared" si="107"/>
        <v>10337</v>
      </c>
      <c r="AL34" s="76"/>
      <c r="AM34" s="68">
        <f>'18'!F17</f>
        <v>13</v>
      </c>
      <c r="AN34" s="72">
        <f>DELIVERIES!AQ34</f>
        <v>8.75</v>
      </c>
      <c r="AO34" s="71">
        <f t="shared" si="108"/>
        <v>113.75</v>
      </c>
      <c r="AP34" s="68">
        <f>'18'!F18</f>
        <v>28</v>
      </c>
      <c r="AQ34" s="72">
        <f>DELIVERIES!AT34</f>
        <v>12.25</v>
      </c>
      <c r="AR34" s="71">
        <f t="shared" si="109"/>
        <v>343</v>
      </c>
      <c r="AS34" s="68">
        <f>'18'!F21</f>
        <v>0</v>
      </c>
      <c r="AT34" s="70">
        <f>DELIVERIES!AW34</f>
        <v>7.9166666666600003</v>
      </c>
      <c r="AU34" s="71">
        <f t="shared" si="110"/>
        <v>0</v>
      </c>
      <c r="AV34" s="68">
        <f>'18'!F22</f>
        <v>7</v>
      </c>
      <c r="AW34" s="70">
        <f>DELIVERIES!AZ34</f>
        <v>9.7916666666666661</v>
      </c>
      <c r="AX34" s="71">
        <f t="shared" si="111"/>
        <v>68.541666666666657</v>
      </c>
      <c r="AY34" s="68">
        <f>'18'!F26</f>
        <v>0</v>
      </c>
      <c r="AZ34" s="68">
        <f>DELIVERIES!BC34</f>
        <v>16.333333333333332</v>
      </c>
      <c r="BA34" s="69">
        <f t="shared" si="112"/>
        <v>0</v>
      </c>
      <c r="BB34" s="68">
        <f>'18'!F27</f>
        <v>0</v>
      </c>
      <c r="BC34" s="68">
        <f>DELIVERIES!BF34</f>
        <v>11.666666666666666</v>
      </c>
      <c r="BD34" s="69">
        <f t="shared" si="113"/>
        <v>0</v>
      </c>
      <c r="BE34" s="68">
        <f>'18'!F28</f>
        <v>2</v>
      </c>
      <c r="BF34" s="70">
        <f>DELIVERIES!BI34</f>
        <v>20</v>
      </c>
      <c r="BG34" s="71">
        <f t="shared" si="114"/>
        <v>40</v>
      </c>
      <c r="BH34" s="68">
        <f>'18'!F23</f>
        <v>0</v>
      </c>
      <c r="BI34" s="70">
        <f>DELIVERIES!BL34</f>
        <v>23</v>
      </c>
      <c r="BJ34" s="71">
        <f t="shared" si="115"/>
        <v>0</v>
      </c>
      <c r="BK34" s="68">
        <f>'18'!F25</f>
        <v>0</v>
      </c>
      <c r="BL34" s="72">
        <f>DELIVERIES!BO34</f>
        <v>12.5</v>
      </c>
      <c r="BM34" s="71">
        <f t="shared" si="116"/>
        <v>0</v>
      </c>
      <c r="BN34" s="68">
        <f>'18'!F24</f>
        <v>1</v>
      </c>
      <c r="BO34" s="68">
        <f>DELIVERIES!BR34</f>
        <v>12.75</v>
      </c>
      <c r="BP34" s="69">
        <f t="shared" si="117"/>
        <v>12.75</v>
      </c>
      <c r="BQ34" s="68">
        <f>'18'!F19</f>
        <v>0</v>
      </c>
      <c r="BR34" s="70">
        <f>DELIVERIES!BU34</f>
        <v>30.416666666666668</v>
      </c>
      <c r="BS34" s="71">
        <f t="shared" si="118"/>
        <v>0</v>
      </c>
      <c r="BT34" s="68">
        <f>'18'!F20</f>
        <v>0</v>
      </c>
      <c r="BU34" s="70">
        <f>DELIVERIES!BX34</f>
        <v>15.916666666659999</v>
      </c>
      <c r="BV34" s="71">
        <f t="shared" si="119"/>
        <v>0</v>
      </c>
      <c r="BW34" s="78"/>
      <c r="BX34" s="79"/>
      <c r="BY34" s="69">
        <f t="shared" si="120"/>
        <v>578.04166666666663</v>
      </c>
      <c r="BZ34" s="39"/>
      <c r="CA34" s="71">
        <f t="shared" si="121"/>
        <v>10915.041666666666</v>
      </c>
      <c r="CB34" s="90"/>
      <c r="CC34" s="39"/>
      <c r="CD34" s="39">
        <f t="shared" si="122"/>
        <v>10915.041666666666</v>
      </c>
    </row>
    <row r="35" spans="1:83" ht="15.75" customHeight="1">
      <c r="A35" s="56">
        <v>19</v>
      </c>
      <c r="B35" s="68">
        <f>GROSS!B35</f>
        <v>0</v>
      </c>
      <c r="C35" s="68">
        <f>DELIVERIES!C35</f>
        <v>30</v>
      </c>
      <c r="D35" s="69">
        <f t="shared" si="96"/>
        <v>0</v>
      </c>
      <c r="E35" s="68">
        <f>'19'!F7</f>
        <v>236</v>
      </c>
      <c r="F35" s="70">
        <f>DELIVERIES!F35</f>
        <v>35</v>
      </c>
      <c r="G35" s="71">
        <f t="shared" si="97"/>
        <v>8260</v>
      </c>
      <c r="H35" s="84">
        <f>'19'!F8</f>
        <v>5</v>
      </c>
      <c r="I35" s="70">
        <f>DELIVERIES!I35</f>
        <v>8.5</v>
      </c>
      <c r="J35" s="71">
        <f t="shared" si="98"/>
        <v>42.5</v>
      </c>
      <c r="K35" s="84">
        <f>'19'!F15</f>
        <v>25</v>
      </c>
      <c r="L35" s="70">
        <f>DELIVERIES!L35</f>
        <v>18</v>
      </c>
      <c r="M35" s="71">
        <f t="shared" si="99"/>
        <v>450</v>
      </c>
      <c r="N35" s="68">
        <f>'19'!F9</f>
        <v>120</v>
      </c>
      <c r="O35" s="70">
        <f>DELIVERIES!O35</f>
        <v>7</v>
      </c>
      <c r="P35" s="71">
        <f t="shared" si="100"/>
        <v>840</v>
      </c>
      <c r="Q35" s="68">
        <f>'19'!F10</f>
        <v>0</v>
      </c>
      <c r="R35" s="72">
        <f>DELIVERIES!R35</f>
        <v>5.5</v>
      </c>
      <c r="S35" s="71">
        <f t="shared" si="101"/>
        <v>0</v>
      </c>
      <c r="T35" s="68">
        <f>'19'!F11</f>
        <v>229</v>
      </c>
      <c r="U35" s="72">
        <f>DELIVERIES!U35</f>
        <v>8.5</v>
      </c>
      <c r="V35" s="71">
        <f t="shared" si="102"/>
        <v>1946.5</v>
      </c>
      <c r="W35" s="68">
        <f>'19'!F12</f>
        <v>34</v>
      </c>
      <c r="X35" s="68">
        <f>DELIVERIES!X35</f>
        <v>6</v>
      </c>
      <c r="Y35" s="71">
        <f t="shared" si="103"/>
        <v>204</v>
      </c>
      <c r="Z35" s="68">
        <f>'19'!F13</f>
        <v>44</v>
      </c>
      <c r="AA35" s="72">
        <f>DELIVERIES!AA35</f>
        <v>6</v>
      </c>
      <c r="AB35" s="71">
        <f t="shared" si="104"/>
        <v>264</v>
      </c>
      <c r="AC35" s="68">
        <f>'19'!F14</f>
        <v>0</v>
      </c>
      <c r="AD35" s="72">
        <f>DELIVERIES!AD35</f>
        <v>8</v>
      </c>
      <c r="AE35" s="73">
        <f t="shared" si="105"/>
        <v>0</v>
      </c>
      <c r="AF35" s="72"/>
      <c r="AG35" s="72">
        <f>AG7</f>
        <v>0</v>
      </c>
      <c r="AH35" s="118">
        <f t="shared" si="106"/>
        <v>0</v>
      </c>
      <c r="AI35" s="74"/>
      <c r="AJ35" s="75"/>
      <c r="AK35" s="71">
        <f t="shared" si="107"/>
        <v>12007</v>
      </c>
      <c r="AL35" s="76"/>
      <c r="AM35" s="68">
        <f>'19'!F17</f>
        <v>21</v>
      </c>
      <c r="AN35" s="72">
        <f>DELIVERIES!AQ35</f>
        <v>8.75</v>
      </c>
      <c r="AO35" s="71">
        <f t="shared" si="108"/>
        <v>183.75</v>
      </c>
      <c r="AP35" s="68">
        <f>'19'!F18</f>
        <v>61</v>
      </c>
      <c r="AQ35" s="72">
        <f>DELIVERIES!AT35</f>
        <v>12.25</v>
      </c>
      <c r="AR35" s="71">
        <f t="shared" si="109"/>
        <v>747.25</v>
      </c>
      <c r="AS35" s="68">
        <f>'19'!F21</f>
        <v>0</v>
      </c>
      <c r="AT35" s="70">
        <f>DELIVERIES!AW35</f>
        <v>7.9166666666600003</v>
      </c>
      <c r="AU35" s="71">
        <f t="shared" si="110"/>
        <v>0</v>
      </c>
      <c r="AV35" s="68">
        <f>'19'!F22</f>
        <v>9</v>
      </c>
      <c r="AW35" s="70">
        <f>DELIVERIES!AZ35</f>
        <v>9.7916666666666661</v>
      </c>
      <c r="AX35" s="71">
        <f t="shared" si="111"/>
        <v>88.125</v>
      </c>
      <c r="AY35" s="68">
        <f>'19'!F26</f>
        <v>0</v>
      </c>
      <c r="AZ35" s="68">
        <f>DELIVERIES!BC35</f>
        <v>16.333333333333332</v>
      </c>
      <c r="BA35" s="69">
        <f t="shared" si="112"/>
        <v>0</v>
      </c>
      <c r="BB35" s="68">
        <f>'19'!F27</f>
        <v>0</v>
      </c>
      <c r="BC35" s="68">
        <f>DELIVERIES!BF35</f>
        <v>11.666666666666666</v>
      </c>
      <c r="BD35" s="69">
        <f t="shared" si="113"/>
        <v>0</v>
      </c>
      <c r="BE35" s="68">
        <f>'19'!F28</f>
        <v>1</v>
      </c>
      <c r="BF35" s="70">
        <f>DELIVERIES!BI35</f>
        <v>20</v>
      </c>
      <c r="BG35" s="71">
        <f t="shared" si="114"/>
        <v>20</v>
      </c>
      <c r="BH35" s="68">
        <f>'19'!F23</f>
        <v>0</v>
      </c>
      <c r="BI35" s="70">
        <f>DELIVERIES!BL35</f>
        <v>23</v>
      </c>
      <c r="BJ35" s="71">
        <f t="shared" si="115"/>
        <v>0</v>
      </c>
      <c r="BK35" s="68">
        <f>'19'!F25</f>
        <v>0</v>
      </c>
      <c r="BL35" s="72">
        <f>DELIVERIES!BO35</f>
        <v>12.5</v>
      </c>
      <c r="BM35" s="71">
        <f t="shared" si="116"/>
        <v>0</v>
      </c>
      <c r="BN35" s="68">
        <f>'19'!F24</f>
        <v>4</v>
      </c>
      <c r="BO35" s="68">
        <f>DELIVERIES!BR35</f>
        <v>12.75</v>
      </c>
      <c r="BP35" s="69">
        <f t="shared" si="117"/>
        <v>51</v>
      </c>
      <c r="BQ35" s="68">
        <f>'19'!F19</f>
        <v>0</v>
      </c>
      <c r="BR35" s="70">
        <f>DELIVERIES!BU35</f>
        <v>30.416666666666668</v>
      </c>
      <c r="BS35" s="71">
        <f t="shared" si="118"/>
        <v>0</v>
      </c>
      <c r="BT35" s="68">
        <f>'19'!F20</f>
        <v>0</v>
      </c>
      <c r="BU35" s="70">
        <f>DELIVERIES!BX35</f>
        <v>15.916666666659999</v>
      </c>
      <c r="BV35" s="71">
        <f t="shared" si="119"/>
        <v>0</v>
      </c>
      <c r="BW35" s="78"/>
      <c r="BX35" s="79"/>
      <c r="BY35" s="69">
        <f t="shared" si="120"/>
        <v>1090.125</v>
      </c>
      <c r="BZ35" s="39"/>
      <c r="CA35" s="71">
        <f t="shared" si="121"/>
        <v>13097.125</v>
      </c>
      <c r="CB35" s="90"/>
      <c r="CC35" s="39"/>
      <c r="CD35" s="39">
        <f t="shared" si="122"/>
        <v>13097.125</v>
      </c>
    </row>
    <row r="36" spans="1:83" ht="15.75" customHeight="1">
      <c r="A36" s="56">
        <v>20</v>
      </c>
      <c r="B36" s="68">
        <f>GROSS!B36</f>
        <v>0</v>
      </c>
      <c r="C36" s="68">
        <f>DELIVERIES!C36</f>
        <v>30</v>
      </c>
      <c r="D36" s="69">
        <f t="shared" si="96"/>
        <v>0</v>
      </c>
      <c r="E36" s="68">
        <f>'20'!F7</f>
        <v>176</v>
      </c>
      <c r="F36" s="70">
        <f>DELIVERIES!F36</f>
        <v>35</v>
      </c>
      <c r="G36" s="71">
        <f t="shared" si="97"/>
        <v>6160</v>
      </c>
      <c r="H36" s="84">
        <f>'20'!F8</f>
        <v>5</v>
      </c>
      <c r="I36" s="70">
        <f>DELIVERIES!I36</f>
        <v>8.5</v>
      </c>
      <c r="J36" s="71">
        <f t="shared" si="98"/>
        <v>42.5</v>
      </c>
      <c r="K36" s="84">
        <f>'20'!F15</f>
        <v>13</v>
      </c>
      <c r="L36" s="70">
        <f>DELIVERIES!L36</f>
        <v>18</v>
      </c>
      <c r="M36" s="71">
        <f t="shared" si="99"/>
        <v>234</v>
      </c>
      <c r="N36" s="68">
        <f>'20'!F9</f>
        <v>90</v>
      </c>
      <c r="O36" s="70">
        <f>DELIVERIES!O36</f>
        <v>7</v>
      </c>
      <c r="P36" s="71">
        <f t="shared" si="100"/>
        <v>630</v>
      </c>
      <c r="Q36" s="68">
        <f>'20'!F10</f>
        <v>0</v>
      </c>
      <c r="R36" s="72">
        <f>DELIVERIES!R36</f>
        <v>5.5</v>
      </c>
      <c r="S36" s="71">
        <f t="shared" si="101"/>
        <v>0</v>
      </c>
      <c r="T36" s="68">
        <f>'20'!F11</f>
        <v>185</v>
      </c>
      <c r="U36" s="72">
        <f>DELIVERIES!U36</f>
        <v>8.5</v>
      </c>
      <c r="V36" s="71">
        <f t="shared" si="102"/>
        <v>1572.5</v>
      </c>
      <c r="W36" s="68">
        <f>'20'!F12</f>
        <v>25</v>
      </c>
      <c r="X36" s="68">
        <f>DELIVERIES!X36</f>
        <v>6</v>
      </c>
      <c r="Y36" s="71">
        <f t="shared" si="103"/>
        <v>150</v>
      </c>
      <c r="Z36" s="68">
        <f>'20'!F13</f>
        <v>25</v>
      </c>
      <c r="AA36" s="72">
        <f>DELIVERIES!AA36</f>
        <v>6</v>
      </c>
      <c r="AB36" s="71">
        <f t="shared" si="104"/>
        <v>150</v>
      </c>
      <c r="AC36" s="68">
        <f>'20'!F14</f>
        <v>0</v>
      </c>
      <c r="AD36" s="72">
        <f>DELIVERIES!AD36</f>
        <v>8</v>
      </c>
      <c r="AE36" s="73">
        <f t="shared" si="105"/>
        <v>0</v>
      </c>
      <c r="AF36" s="72"/>
      <c r="AG36" s="72">
        <f>AG7</f>
        <v>0</v>
      </c>
      <c r="AH36" s="118">
        <f t="shared" si="106"/>
        <v>0</v>
      </c>
      <c r="AI36" s="119"/>
      <c r="AJ36" s="119"/>
      <c r="AK36" s="71">
        <f t="shared" si="107"/>
        <v>8939</v>
      </c>
      <c r="AL36" s="76"/>
      <c r="AM36" s="68">
        <f>'20'!F17</f>
        <v>9</v>
      </c>
      <c r="AN36" s="72">
        <f>DELIVERIES!AQ36</f>
        <v>8.75</v>
      </c>
      <c r="AO36" s="71">
        <f t="shared" si="108"/>
        <v>78.75</v>
      </c>
      <c r="AP36" s="68">
        <f>'20'!F18</f>
        <v>44</v>
      </c>
      <c r="AQ36" s="72">
        <f>DELIVERIES!AT36</f>
        <v>12.25</v>
      </c>
      <c r="AR36" s="71">
        <f t="shared" si="109"/>
        <v>539</v>
      </c>
      <c r="AS36" s="68">
        <f>'20'!F21</f>
        <v>0</v>
      </c>
      <c r="AT36" s="70">
        <f>DELIVERIES!AW36</f>
        <v>7.9166666666600003</v>
      </c>
      <c r="AU36" s="71">
        <f t="shared" si="110"/>
        <v>0</v>
      </c>
      <c r="AV36" s="68">
        <f>'20'!F22</f>
        <v>12</v>
      </c>
      <c r="AW36" s="70">
        <f>DELIVERIES!AZ36</f>
        <v>9.7916666666666661</v>
      </c>
      <c r="AX36" s="71">
        <f t="shared" si="111"/>
        <v>117.5</v>
      </c>
      <c r="AY36" s="68">
        <f>'20'!F26</f>
        <v>0</v>
      </c>
      <c r="AZ36" s="68">
        <f>DELIVERIES!BC36</f>
        <v>16.333333333333332</v>
      </c>
      <c r="BA36" s="69">
        <f t="shared" si="112"/>
        <v>0</v>
      </c>
      <c r="BB36" s="68">
        <f>'20'!F27</f>
        <v>0</v>
      </c>
      <c r="BC36" s="68">
        <f>DELIVERIES!BF36</f>
        <v>11.666666666666666</v>
      </c>
      <c r="BD36" s="69">
        <f t="shared" si="113"/>
        <v>0</v>
      </c>
      <c r="BE36" s="68">
        <f>'20'!F28</f>
        <v>2</v>
      </c>
      <c r="BF36" s="70">
        <f>DELIVERIES!BI36</f>
        <v>20</v>
      </c>
      <c r="BG36" s="71">
        <f t="shared" si="114"/>
        <v>40</v>
      </c>
      <c r="BH36" s="68">
        <f>'20'!F23</f>
        <v>0</v>
      </c>
      <c r="BI36" s="70">
        <f>DELIVERIES!BL36</f>
        <v>23</v>
      </c>
      <c r="BJ36" s="71">
        <f t="shared" si="115"/>
        <v>0</v>
      </c>
      <c r="BK36" s="68">
        <f>'20'!F25</f>
        <v>0</v>
      </c>
      <c r="BL36" s="72">
        <f>DELIVERIES!BO36</f>
        <v>12.5</v>
      </c>
      <c r="BM36" s="71">
        <f t="shared" si="116"/>
        <v>0</v>
      </c>
      <c r="BN36" s="68">
        <f>'20'!F24</f>
        <v>2</v>
      </c>
      <c r="BO36" s="68">
        <f>DELIVERIES!BR36</f>
        <v>12.75</v>
      </c>
      <c r="BP36" s="69">
        <f t="shared" si="117"/>
        <v>25.5</v>
      </c>
      <c r="BQ36" s="68">
        <f>'20'!F19</f>
        <v>0</v>
      </c>
      <c r="BR36" s="70">
        <f>DELIVERIES!BU36</f>
        <v>30.416666666666668</v>
      </c>
      <c r="BS36" s="71">
        <f t="shared" si="118"/>
        <v>0</v>
      </c>
      <c r="BT36" s="68">
        <f>'20'!F20</f>
        <v>0</v>
      </c>
      <c r="BU36" s="70">
        <f>DELIVERIES!BX36</f>
        <v>15.916666666659999</v>
      </c>
      <c r="BV36" s="71">
        <f t="shared" si="119"/>
        <v>0</v>
      </c>
      <c r="BW36" s="78"/>
      <c r="BX36" s="79"/>
      <c r="BY36" s="69">
        <f t="shared" si="120"/>
        <v>800.75</v>
      </c>
      <c r="BZ36" s="39"/>
      <c r="CA36" s="71">
        <f t="shared" si="121"/>
        <v>9739.75</v>
      </c>
      <c r="CB36" s="90"/>
      <c r="CC36" s="39"/>
      <c r="CD36" s="39">
        <f t="shared" si="122"/>
        <v>9739.75</v>
      </c>
    </row>
    <row r="37" spans="1:83" ht="15.75" customHeight="1">
      <c r="A37" s="56">
        <v>21</v>
      </c>
      <c r="B37" s="68">
        <f>GROSS!B37</f>
        <v>0</v>
      </c>
      <c r="C37" s="68">
        <f>DELIVERIES!C37</f>
        <v>30</v>
      </c>
      <c r="D37" s="69">
        <f t="shared" si="96"/>
        <v>0</v>
      </c>
      <c r="E37" s="68">
        <f>'21'!F7</f>
        <v>182</v>
      </c>
      <c r="F37" s="70">
        <f>DELIVERIES!F37</f>
        <v>35</v>
      </c>
      <c r="G37" s="71">
        <f t="shared" si="97"/>
        <v>6370</v>
      </c>
      <c r="H37" s="84">
        <f>'21'!F8</f>
        <v>15</v>
      </c>
      <c r="I37" s="70">
        <f>DELIVERIES!I37</f>
        <v>8.5</v>
      </c>
      <c r="J37" s="71">
        <f t="shared" si="98"/>
        <v>127.5</v>
      </c>
      <c r="K37" s="84">
        <f>'21'!F15</f>
        <v>22</v>
      </c>
      <c r="L37" s="70">
        <f>DELIVERIES!L37</f>
        <v>18</v>
      </c>
      <c r="M37" s="71">
        <f t="shared" si="99"/>
        <v>396</v>
      </c>
      <c r="N37" s="68">
        <f>'21'!F9</f>
        <v>120</v>
      </c>
      <c r="O37" s="70">
        <f>DELIVERIES!O37</f>
        <v>7</v>
      </c>
      <c r="P37" s="71">
        <f t="shared" si="100"/>
        <v>840</v>
      </c>
      <c r="Q37" s="68">
        <f>'21'!F10</f>
        <v>0</v>
      </c>
      <c r="R37" s="72">
        <f>DELIVERIES!R37</f>
        <v>5.5</v>
      </c>
      <c r="S37" s="71">
        <f t="shared" si="101"/>
        <v>0</v>
      </c>
      <c r="T37" s="68">
        <f>'21'!F11</f>
        <v>169</v>
      </c>
      <c r="U37" s="72">
        <f>DELIVERIES!U37</f>
        <v>8.5</v>
      </c>
      <c r="V37" s="71">
        <f t="shared" si="102"/>
        <v>1436.5</v>
      </c>
      <c r="W37" s="68">
        <f>'21'!F12</f>
        <v>33</v>
      </c>
      <c r="X37" s="68">
        <f>DELIVERIES!X37</f>
        <v>6</v>
      </c>
      <c r="Y37" s="71">
        <f t="shared" si="103"/>
        <v>198</v>
      </c>
      <c r="Z37" s="68">
        <f>'21'!F13</f>
        <v>42</v>
      </c>
      <c r="AA37" s="72">
        <f>DELIVERIES!AA37</f>
        <v>6</v>
      </c>
      <c r="AB37" s="71">
        <f t="shared" si="104"/>
        <v>252</v>
      </c>
      <c r="AC37" s="68">
        <f>'21'!F14</f>
        <v>10</v>
      </c>
      <c r="AD37" s="72">
        <f>DELIVERIES!AD37</f>
        <v>8</v>
      </c>
      <c r="AE37" s="73">
        <f t="shared" si="105"/>
        <v>80</v>
      </c>
      <c r="AF37" s="72"/>
      <c r="AG37" s="72">
        <f>AG7</f>
        <v>0</v>
      </c>
      <c r="AH37" s="118">
        <f t="shared" si="106"/>
        <v>0</v>
      </c>
      <c r="AI37" s="119"/>
      <c r="AJ37" s="119"/>
      <c r="AK37" s="71">
        <f t="shared" si="107"/>
        <v>9700</v>
      </c>
      <c r="AL37" s="76"/>
      <c r="AM37" s="68">
        <f>'21'!F17</f>
        <v>6</v>
      </c>
      <c r="AN37" s="72">
        <f>DELIVERIES!AQ37</f>
        <v>8.75</v>
      </c>
      <c r="AO37" s="71">
        <f t="shared" si="108"/>
        <v>52.5</v>
      </c>
      <c r="AP37" s="68">
        <f>'21'!F18</f>
        <v>38</v>
      </c>
      <c r="AQ37" s="72">
        <f>DELIVERIES!AT37</f>
        <v>12.25</v>
      </c>
      <c r="AR37" s="71">
        <f t="shared" si="109"/>
        <v>465.5</v>
      </c>
      <c r="AS37" s="68">
        <f>'21'!F21</f>
        <v>0</v>
      </c>
      <c r="AT37" s="70">
        <f>DELIVERIES!AW37</f>
        <v>7.9166666666600003</v>
      </c>
      <c r="AU37" s="71">
        <f t="shared" si="110"/>
        <v>0</v>
      </c>
      <c r="AV37" s="68">
        <f>'21'!F22</f>
        <v>8</v>
      </c>
      <c r="AW37" s="70">
        <f>DELIVERIES!AZ37</f>
        <v>9.7916666666666661</v>
      </c>
      <c r="AX37" s="71">
        <f t="shared" si="111"/>
        <v>78.333333333333329</v>
      </c>
      <c r="AY37" s="68">
        <f>'21'!F26</f>
        <v>0</v>
      </c>
      <c r="AZ37" s="68">
        <f>DELIVERIES!BC37</f>
        <v>16.333333333333332</v>
      </c>
      <c r="BA37" s="69">
        <f t="shared" si="112"/>
        <v>0</v>
      </c>
      <c r="BB37" s="68">
        <f>'21'!F27</f>
        <v>0</v>
      </c>
      <c r="BC37" s="68">
        <f>DELIVERIES!BF37</f>
        <v>11.666666666666666</v>
      </c>
      <c r="BD37" s="69">
        <f t="shared" si="113"/>
        <v>0</v>
      </c>
      <c r="BE37" s="68">
        <f>'21'!F28</f>
        <v>3</v>
      </c>
      <c r="BF37" s="70">
        <f>DELIVERIES!BI37</f>
        <v>20</v>
      </c>
      <c r="BG37" s="71">
        <f t="shared" si="114"/>
        <v>60</v>
      </c>
      <c r="BH37" s="68">
        <f>'21'!F23</f>
        <v>0</v>
      </c>
      <c r="BI37" s="70">
        <f>DELIVERIES!BL37</f>
        <v>23</v>
      </c>
      <c r="BJ37" s="71">
        <f t="shared" si="115"/>
        <v>0</v>
      </c>
      <c r="BK37" s="68">
        <f>'21'!F25</f>
        <v>0</v>
      </c>
      <c r="BL37" s="72">
        <f>DELIVERIES!BO37</f>
        <v>12.5</v>
      </c>
      <c r="BM37" s="71">
        <f t="shared" si="116"/>
        <v>0</v>
      </c>
      <c r="BN37" s="68">
        <f>'21'!F24</f>
        <v>3</v>
      </c>
      <c r="BO37" s="68">
        <f>DELIVERIES!BR37</f>
        <v>12.75</v>
      </c>
      <c r="BP37" s="69">
        <f t="shared" si="117"/>
        <v>38.25</v>
      </c>
      <c r="BQ37" s="68">
        <f>'21'!F19</f>
        <v>0</v>
      </c>
      <c r="BR37" s="70">
        <f>DELIVERIES!BU37</f>
        <v>30.416666666666668</v>
      </c>
      <c r="BS37" s="71">
        <f t="shared" si="118"/>
        <v>0</v>
      </c>
      <c r="BT37" s="68">
        <f>'21'!F20</f>
        <v>0</v>
      </c>
      <c r="BU37" s="70">
        <f>DELIVERIES!BX37</f>
        <v>15.916666666659999</v>
      </c>
      <c r="BV37" s="71">
        <f t="shared" si="119"/>
        <v>0</v>
      </c>
      <c r="BW37" s="78"/>
      <c r="BX37" s="79"/>
      <c r="BY37" s="69">
        <f t="shared" si="120"/>
        <v>694.58333333333337</v>
      </c>
      <c r="BZ37" s="39"/>
      <c r="CA37" s="71">
        <f t="shared" si="121"/>
        <v>10394.583333333334</v>
      </c>
      <c r="CB37" s="90"/>
      <c r="CC37" s="39"/>
      <c r="CD37" s="39">
        <f t="shared" si="122"/>
        <v>10394.583333333334</v>
      </c>
    </row>
    <row r="38" spans="1:83" ht="15.75" customHeight="1">
      <c r="A38" s="129" t="s">
        <v>23</v>
      </c>
      <c r="B38" s="68">
        <f>SUM(B31:B37)</f>
        <v>0</v>
      </c>
      <c r="C38" s="68"/>
      <c r="D38" s="130">
        <f t="shared" ref="D38:E38" si="123">SUM(D31:D37)</f>
        <v>0</v>
      </c>
      <c r="E38" s="70">
        <f t="shared" si="123"/>
        <v>1458</v>
      </c>
      <c r="F38" s="70"/>
      <c r="G38" s="131">
        <f t="shared" ref="G38:H38" si="124">SUM(G31:G37)</f>
        <v>51030</v>
      </c>
      <c r="H38" s="72">
        <f t="shared" si="124"/>
        <v>83</v>
      </c>
      <c r="I38" s="70"/>
      <c r="J38" s="131">
        <f t="shared" ref="J38:K38" si="125">SUM(J31:J37)</f>
        <v>705.5</v>
      </c>
      <c r="K38" s="70">
        <f t="shared" si="125"/>
        <v>120</v>
      </c>
      <c r="L38" s="70"/>
      <c r="M38" s="131">
        <f t="shared" ref="M38:N38" si="126">SUM(M31:M37)</f>
        <v>2160</v>
      </c>
      <c r="N38" s="70">
        <f t="shared" si="126"/>
        <v>670</v>
      </c>
      <c r="O38" s="70"/>
      <c r="P38" s="131">
        <f t="shared" ref="P38:Q38" si="127">SUM(P31:P37)</f>
        <v>4690</v>
      </c>
      <c r="Q38" s="70">
        <f t="shared" si="127"/>
        <v>0</v>
      </c>
      <c r="R38" s="70"/>
      <c r="S38" s="131">
        <f t="shared" ref="S38:T38" si="128">SUM(S31:S37)</f>
        <v>0</v>
      </c>
      <c r="T38" s="70">
        <f t="shared" si="128"/>
        <v>1379</v>
      </c>
      <c r="U38" s="70"/>
      <c r="V38" s="131">
        <f t="shared" ref="V38:W38" si="129">SUM(V31:V37)</f>
        <v>11721.5</v>
      </c>
      <c r="W38" s="70">
        <f t="shared" si="129"/>
        <v>236</v>
      </c>
      <c r="X38" s="70"/>
      <c r="Y38" s="131">
        <f t="shared" ref="Y38:Z38" si="130">SUM(Y31:Y37)</f>
        <v>1416</v>
      </c>
      <c r="Z38" s="70">
        <f t="shared" si="130"/>
        <v>256</v>
      </c>
      <c r="AA38" s="70"/>
      <c r="AB38" s="132">
        <f t="shared" ref="AB38:AC38" si="131">SUM(AB31:AB37)</f>
        <v>1536</v>
      </c>
      <c r="AC38" s="70">
        <f t="shared" si="131"/>
        <v>29</v>
      </c>
      <c r="AD38" s="70"/>
      <c r="AE38" s="132">
        <f t="shared" ref="AE38:AF38" si="132">SUM(AE31:AE37)</f>
        <v>232</v>
      </c>
      <c r="AF38" s="70">
        <f t="shared" si="132"/>
        <v>0</v>
      </c>
      <c r="AG38" s="70"/>
      <c r="AH38" s="131">
        <f>SUM(AH31:AH37)</f>
        <v>0</v>
      </c>
      <c r="AI38" s="39"/>
      <c r="AJ38" s="39"/>
      <c r="AK38" s="131">
        <f>SUM(AK31:AK37)</f>
        <v>73491</v>
      </c>
      <c r="AL38" s="76"/>
      <c r="AM38" s="68">
        <f>SUM(AM31:AM37)</f>
        <v>92</v>
      </c>
      <c r="AN38" s="70"/>
      <c r="AO38" s="131">
        <f t="shared" ref="AO38:AP38" si="133">SUM(AO31:AO37)</f>
        <v>805</v>
      </c>
      <c r="AP38" s="70">
        <f t="shared" si="133"/>
        <v>317</v>
      </c>
      <c r="AQ38" s="70"/>
      <c r="AR38" s="131">
        <f t="shared" ref="AR38:AS38" si="134">SUM(AR31:AR37)</f>
        <v>3883.25</v>
      </c>
      <c r="AS38" s="70">
        <f t="shared" si="134"/>
        <v>0</v>
      </c>
      <c r="AT38" s="70"/>
      <c r="AU38" s="131">
        <f t="shared" ref="AU38:AV38" si="135">SUM(AU31:AU37)</f>
        <v>0</v>
      </c>
      <c r="AV38" s="72">
        <f t="shared" si="135"/>
        <v>57</v>
      </c>
      <c r="AW38" s="70"/>
      <c r="AX38" s="131">
        <f t="shared" ref="AX38:AY38" si="136">SUM(AX31:AX37)</f>
        <v>558.125</v>
      </c>
      <c r="AY38" s="70">
        <f t="shared" si="136"/>
        <v>0</v>
      </c>
      <c r="AZ38" s="70"/>
      <c r="BA38" s="131">
        <f t="shared" ref="BA38:BB38" si="137">SUM(BA31:BA37)</f>
        <v>0</v>
      </c>
      <c r="BB38" s="70">
        <f t="shared" si="137"/>
        <v>0</v>
      </c>
      <c r="BC38" s="70"/>
      <c r="BD38" s="131">
        <f t="shared" ref="BD38:BE38" si="138">SUM(BD31:BD37)</f>
        <v>0</v>
      </c>
      <c r="BE38" s="70">
        <f t="shared" si="138"/>
        <v>20</v>
      </c>
      <c r="BF38" s="70"/>
      <c r="BG38" s="131">
        <f t="shared" ref="BG38:BH38" si="139">SUM(BG31:BG37)</f>
        <v>400</v>
      </c>
      <c r="BH38" s="70">
        <f t="shared" si="139"/>
        <v>0</v>
      </c>
      <c r="BI38" s="70"/>
      <c r="BJ38" s="131">
        <f t="shared" ref="BJ38:BK38" si="140">SUM(BJ31:BJ37)</f>
        <v>0</v>
      </c>
      <c r="BK38" s="72">
        <f t="shared" si="140"/>
        <v>0</v>
      </c>
      <c r="BL38" s="70"/>
      <c r="BM38" s="131">
        <f t="shared" ref="BM38:BN38" si="141">SUM(BM31:BM37)</f>
        <v>0</v>
      </c>
      <c r="BN38" s="70">
        <f t="shared" si="141"/>
        <v>18</v>
      </c>
      <c r="BO38" s="70"/>
      <c r="BP38" s="131">
        <f t="shared" ref="BP38:BQ38" si="142">SUM(BP31:BP37)</f>
        <v>229.5</v>
      </c>
      <c r="BQ38" s="70">
        <f t="shared" si="142"/>
        <v>0</v>
      </c>
      <c r="BR38" s="70"/>
      <c r="BS38" s="131">
        <f t="shared" ref="BS38:BT38" si="143">SUM(BS31:BS37)</f>
        <v>0</v>
      </c>
      <c r="BT38" s="70">
        <f t="shared" si="143"/>
        <v>0</v>
      </c>
      <c r="BU38" s="70"/>
      <c r="BV38" s="131">
        <f>SUM(BV31:BV37)</f>
        <v>0</v>
      </c>
      <c r="BW38" s="78"/>
      <c r="BX38" s="79"/>
      <c r="BY38" s="131">
        <f>SUM(BY31:BY37)</f>
        <v>5875.8749999999991</v>
      </c>
      <c r="BZ38" s="39"/>
      <c r="CA38" s="131">
        <f>SUM(CA31:CA37)</f>
        <v>79366.874999999985</v>
      </c>
      <c r="CB38" s="133"/>
      <c r="CC38" s="39"/>
      <c r="CD38" s="134">
        <f>SUM(CD31:CD37)</f>
        <v>79366.874999999985</v>
      </c>
      <c r="CE38" s="39"/>
    </row>
    <row r="39" spans="1:83" ht="15.75" customHeight="1">
      <c r="A39" s="135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</row>
    <row r="40" spans="1:83" ht="15.75" customHeight="1">
      <c r="A40" s="135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</row>
    <row r="41" spans="1:83" ht="15.75" customHeight="1">
      <c r="A41" s="51" t="s">
        <v>112</v>
      </c>
      <c r="B41" s="460" t="str">
        <f>B5</f>
        <v>PREMIUM - CUT</v>
      </c>
      <c r="C41" s="445"/>
      <c r="D41" s="423"/>
      <c r="E41" s="460" t="s">
        <v>30</v>
      </c>
      <c r="F41" s="445"/>
      <c r="G41" s="423"/>
      <c r="H41" s="460" t="s">
        <v>102</v>
      </c>
      <c r="I41" s="445"/>
      <c r="J41" s="423"/>
      <c r="K41" s="460" t="str">
        <f>K29</f>
        <v>Chicken Fillet</v>
      </c>
      <c r="L41" s="445"/>
      <c r="M41" s="423"/>
      <c r="N41" s="460" t="s">
        <v>53</v>
      </c>
      <c r="O41" s="445"/>
      <c r="P41" s="445"/>
      <c r="Q41" s="459" t="s">
        <v>54</v>
      </c>
      <c r="R41" s="445"/>
      <c r="S41" s="423"/>
      <c r="T41" s="448" t="s">
        <v>55</v>
      </c>
      <c r="U41" s="445"/>
      <c r="V41" s="423"/>
      <c r="W41" s="448" t="s">
        <v>56</v>
      </c>
      <c r="X41" s="445"/>
      <c r="Y41" s="423"/>
      <c r="Z41" s="448" t="s">
        <v>57</v>
      </c>
      <c r="AA41" s="445"/>
      <c r="AB41" s="445"/>
      <c r="AC41" s="448" t="s">
        <v>58</v>
      </c>
      <c r="AD41" s="445"/>
      <c r="AE41" s="445"/>
      <c r="AF41" s="448">
        <f>AF5</f>
        <v>0</v>
      </c>
      <c r="AG41" s="445"/>
      <c r="AH41" s="423"/>
      <c r="AI41" s="448" t="str">
        <f>AI5</f>
        <v>SUBTOTAL</v>
      </c>
      <c r="AJ41" s="445"/>
      <c r="AK41" s="423"/>
      <c r="AL41" s="136"/>
      <c r="AM41" s="459" t="s">
        <v>103</v>
      </c>
      <c r="AN41" s="445"/>
      <c r="AO41" s="423"/>
      <c r="AP41" s="448" t="s">
        <v>60</v>
      </c>
      <c r="AQ41" s="445"/>
      <c r="AR41" s="423"/>
      <c r="AS41" s="448" t="s">
        <v>61</v>
      </c>
      <c r="AT41" s="445"/>
      <c r="AU41" s="423"/>
      <c r="AV41" s="448" t="s">
        <v>62</v>
      </c>
      <c r="AW41" s="445"/>
      <c r="AX41" s="423"/>
      <c r="AY41" s="448" t="s">
        <v>63</v>
      </c>
      <c r="AZ41" s="445"/>
      <c r="BA41" s="423"/>
      <c r="BB41" s="448" t="str">
        <f>BB29</f>
        <v>swakto</v>
      </c>
      <c r="BC41" s="445"/>
      <c r="BD41" s="423"/>
      <c r="BE41" s="448" t="s">
        <v>65</v>
      </c>
      <c r="BF41" s="445"/>
      <c r="BG41" s="423"/>
      <c r="BH41" s="448" t="str">
        <f>BH29</f>
        <v>GATORADE</v>
      </c>
      <c r="BI41" s="445"/>
      <c r="BJ41" s="423"/>
      <c r="BK41" s="448" t="s">
        <v>66</v>
      </c>
      <c r="BL41" s="445"/>
      <c r="BM41" s="423"/>
      <c r="BN41" s="448" t="s">
        <v>67</v>
      </c>
      <c r="BO41" s="445"/>
      <c r="BP41" s="423"/>
      <c r="BQ41" s="447" t="str">
        <f>BQ29</f>
        <v>1 LITER</v>
      </c>
      <c r="BR41" s="445"/>
      <c r="BS41" s="423"/>
      <c r="BT41" s="447" t="str">
        <f>BT29</f>
        <v>1.5 L</v>
      </c>
      <c r="BU41" s="445"/>
      <c r="BV41" s="423"/>
      <c r="BW41" s="444" t="s">
        <v>68</v>
      </c>
      <c r="BX41" s="445"/>
      <c r="BY41" s="423"/>
      <c r="BZ41" s="39"/>
      <c r="CA41" s="137" t="s">
        <v>23</v>
      </c>
      <c r="CB41" s="39"/>
      <c r="CC41" s="39"/>
      <c r="CD41" s="39"/>
    </row>
    <row r="42" spans="1:83" ht="15.75" customHeight="1">
      <c r="A42" s="56" t="s">
        <v>7</v>
      </c>
      <c r="B42" s="118" t="s">
        <v>71</v>
      </c>
      <c r="C42" s="118" t="s">
        <v>72</v>
      </c>
      <c r="D42" s="118" t="s">
        <v>26</v>
      </c>
      <c r="E42" s="118" t="s">
        <v>71</v>
      </c>
      <c r="F42" s="118" t="s">
        <v>72</v>
      </c>
      <c r="G42" s="118" t="s">
        <v>26</v>
      </c>
      <c r="H42" s="138" t="s">
        <v>71</v>
      </c>
      <c r="I42" s="139" t="s">
        <v>72</v>
      </c>
      <c r="J42" s="140" t="s">
        <v>73</v>
      </c>
      <c r="K42" s="138" t="s">
        <v>71</v>
      </c>
      <c r="L42" s="139" t="s">
        <v>72</v>
      </c>
      <c r="M42" s="140" t="s">
        <v>73</v>
      </c>
      <c r="N42" s="118" t="s">
        <v>71</v>
      </c>
      <c r="O42" s="118" t="s">
        <v>72</v>
      </c>
      <c r="P42" s="118" t="s">
        <v>26</v>
      </c>
      <c r="Q42" s="138" t="s">
        <v>71</v>
      </c>
      <c r="R42" s="139" t="s">
        <v>72</v>
      </c>
      <c r="S42" s="140" t="s">
        <v>73</v>
      </c>
      <c r="T42" s="138" t="s">
        <v>71</v>
      </c>
      <c r="U42" s="139" t="s">
        <v>72</v>
      </c>
      <c r="V42" s="141" t="s">
        <v>73</v>
      </c>
      <c r="W42" s="138" t="s">
        <v>71</v>
      </c>
      <c r="X42" s="139" t="s">
        <v>72</v>
      </c>
      <c r="Y42" s="141" t="s">
        <v>73</v>
      </c>
      <c r="Z42" s="138" t="s">
        <v>71</v>
      </c>
      <c r="AA42" s="139" t="s">
        <v>72</v>
      </c>
      <c r="AB42" s="141" t="s">
        <v>73</v>
      </c>
      <c r="AC42" s="138" t="s">
        <v>71</v>
      </c>
      <c r="AD42" s="139" t="s">
        <v>72</v>
      </c>
      <c r="AE42" s="141" t="s">
        <v>26</v>
      </c>
      <c r="AF42" s="118" t="s">
        <v>71</v>
      </c>
      <c r="AG42" s="118" t="s">
        <v>72</v>
      </c>
      <c r="AH42" s="118" t="s">
        <v>26</v>
      </c>
      <c r="AI42" s="142"/>
      <c r="AJ42" s="143"/>
      <c r="AK42" s="118" t="s">
        <v>73</v>
      </c>
      <c r="AL42" s="136"/>
      <c r="AM42" s="145" t="s">
        <v>71</v>
      </c>
      <c r="AN42" s="146" t="s">
        <v>72</v>
      </c>
      <c r="AO42" s="145" t="s">
        <v>73</v>
      </c>
      <c r="AP42" s="147" t="s">
        <v>71</v>
      </c>
      <c r="AQ42" s="146" t="s">
        <v>72</v>
      </c>
      <c r="AR42" s="145" t="s">
        <v>73</v>
      </c>
      <c r="AS42" s="147" t="s">
        <v>71</v>
      </c>
      <c r="AT42" s="146" t="s">
        <v>72</v>
      </c>
      <c r="AU42" s="145" t="s">
        <v>73</v>
      </c>
      <c r="AV42" s="146" t="s">
        <v>71</v>
      </c>
      <c r="AW42" s="146" t="s">
        <v>72</v>
      </c>
      <c r="AX42" s="146" t="s">
        <v>26</v>
      </c>
      <c r="AY42" s="146" t="s">
        <v>71</v>
      </c>
      <c r="AZ42" s="146" t="s">
        <v>72</v>
      </c>
      <c r="BA42" s="146" t="s">
        <v>26</v>
      </c>
      <c r="BB42" s="146" t="s">
        <v>71</v>
      </c>
      <c r="BC42" s="146" t="s">
        <v>72</v>
      </c>
      <c r="BD42" s="146" t="s">
        <v>26</v>
      </c>
      <c r="BE42" s="146" t="s">
        <v>71</v>
      </c>
      <c r="BF42" s="146" t="s">
        <v>72</v>
      </c>
      <c r="BG42" s="146" t="s">
        <v>26</v>
      </c>
      <c r="BH42" s="146" t="s">
        <v>71</v>
      </c>
      <c r="BI42" s="146" t="s">
        <v>72</v>
      </c>
      <c r="BJ42" s="146" t="s">
        <v>26</v>
      </c>
      <c r="BK42" s="146" t="s">
        <v>71</v>
      </c>
      <c r="BL42" s="146" t="s">
        <v>72</v>
      </c>
      <c r="BM42" s="146" t="s">
        <v>26</v>
      </c>
      <c r="BN42" s="146" t="s">
        <v>71</v>
      </c>
      <c r="BO42" s="146" t="s">
        <v>72</v>
      </c>
      <c r="BP42" s="146" t="s">
        <v>26</v>
      </c>
      <c r="BQ42" s="146" t="s">
        <v>71</v>
      </c>
      <c r="BR42" s="146" t="s">
        <v>72</v>
      </c>
      <c r="BS42" s="147" t="s">
        <v>26</v>
      </c>
      <c r="BT42" s="146" t="s">
        <v>71</v>
      </c>
      <c r="BU42" s="146" t="s">
        <v>72</v>
      </c>
      <c r="BV42" s="147" t="s">
        <v>26</v>
      </c>
      <c r="BW42" s="142"/>
      <c r="BX42" s="143"/>
      <c r="BY42" s="144" t="s">
        <v>26</v>
      </c>
      <c r="BZ42" s="39"/>
      <c r="CA42" s="118" t="s">
        <v>26</v>
      </c>
      <c r="CB42" s="39"/>
      <c r="CC42" s="39"/>
      <c r="CD42" s="39"/>
    </row>
    <row r="43" spans="1:83" ht="15.75" customHeight="1">
      <c r="A43" s="56">
        <v>22</v>
      </c>
      <c r="B43" s="68">
        <f>GROSS!B43</f>
        <v>0</v>
      </c>
      <c r="C43" s="68">
        <f>DELIVERIES!C43</f>
        <v>30</v>
      </c>
      <c r="D43" s="69">
        <f t="shared" ref="D43:D52" si="144">B43*C43</f>
        <v>0</v>
      </c>
      <c r="E43" s="70">
        <f>'22'!F7</f>
        <v>172</v>
      </c>
      <c r="F43" s="70">
        <f>DELIVERIES!F43</f>
        <v>35</v>
      </c>
      <c r="G43" s="71">
        <f t="shared" ref="G43:G52" si="145">E43*F43</f>
        <v>6020</v>
      </c>
      <c r="H43" s="72">
        <f>'22'!F8</f>
        <v>7</v>
      </c>
      <c r="I43" s="70">
        <f>DELIVERIES!I43</f>
        <v>8.5</v>
      </c>
      <c r="J43" s="71">
        <f t="shared" ref="J43:J52" si="146">H43*I43</f>
        <v>59.5</v>
      </c>
      <c r="K43" s="72">
        <f>'22'!F15</f>
        <v>15</v>
      </c>
      <c r="L43" s="70">
        <f>DELIVERIES!L43</f>
        <v>18</v>
      </c>
      <c r="M43" s="71">
        <f t="shared" ref="M43:M52" si="147">K43*L43</f>
        <v>270</v>
      </c>
      <c r="N43" s="70">
        <f>'22'!F9</f>
        <v>100</v>
      </c>
      <c r="O43" s="70">
        <f>DELIVERIES!O43</f>
        <v>7</v>
      </c>
      <c r="P43" s="71">
        <f t="shared" ref="P43:P52" si="148">N43*O43</f>
        <v>700</v>
      </c>
      <c r="Q43" s="68">
        <f>'22'!F10</f>
        <v>0</v>
      </c>
      <c r="R43" s="72">
        <f>DELIVERIES!R43</f>
        <v>5.5</v>
      </c>
      <c r="S43" s="71">
        <f t="shared" ref="S43:S52" si="149">Q43*R43</f>
        <v>0</v>
      </c>
      <c r="T43" s="68">
        <f>'22'!F11</f>
        <v>192</v>
      </c>
      <c r="U43" s="72">
        <f>DELIVERIES!U43</f>
        <v>8.5</v>
      </c>
      <c r="V43" s="71">
        <f t="shared" ref="V43:V52" si="150">T43*U43</f>
        <v>1632</v>
      </c>
      <c r="W43" s="68">
        <f>'22'!F12</f>
        <v>34</v>
      </c>
      <c r="X43" s="68">
        <f>DELIVERIES!X43</f>
        <v>6</v>
      </c>
      <c r="Y43" s="71">
        <f t="shared" ref="Y43:Y52" si="151">W43*X43</f>
        <v>204</v>
      </c>
      <c r="Z43" s="68">
        <f>'22'!F13</f>
        <v>47</v>
      </c>
      <c r="AA43" s="72">
        <f>DELIVERIES!AA43</f>
        <v>6</v>
      </c>
      <c r="AB43" s="71">
        <f t="shared" ref="AB43:AB52" si="152">Z43*AA43</f>
        <v>282</v>
      </c>
      <c r="AC43" s="68">
        <f>'22'!F14</f>
        <v>13</v>
      </c>
      <c r="AD43" s="72">
        <f>DELIVERIES!AD43</f>
        <v>8</v>
      </c>
      <c r="AE43" s="73">
        <f t="shared" ref="AE43:AE52" si="153">AC43*AD43</f>
        <v>104</v>
      </c>
      <c r="AF43" s="72"/>
      <c r="AG43" s="72">
        <f>AG7</f>
        <v>0</v>
      </c>
      <c r="AH43" s="118">
        <f t="shared" ref="AH43:AH52" si="154">AF43*AG43</f>
        <v>0</v>
      </c>
      <c r="AI43" s="74"/>
      <c r="AJ43" s="75"/>
      <c r="AK43" s="71">
        <f t="shared" ref="AK43:AK52" si="155">D43+G43+J43+M43+P43+S43+V43+Y43+AB43+AE43+AH43</f>
        <v>9271.5</v>
      </c>
      <c r="AL43" s="76"/>
      <c r="AM43" s="68">
        <f>'22'!F17</f>
        <v>10</v>
      </c>
      <c r="AN43" s="72">
        <f>DELIVERIES!AQ43</f>
        <v>8.75</v>
      </c>
      <c r="AO43" s="71">
        <f t="shared" ref="AO43:AO52" si="156">AM43*AN43</f>
        <v>87.5</v>
      </c>
      <c r="AP43" s="68">
        <f>'22'!F18</f>
        <v>44</v>
      </c>
      <c r="AQ43" s="72">
        <f>DELIVERIES!AT43</f>
        <v>12.25</v>
      </c>
      <c r="AR43" s="71">
        <f t="shared" ref="AR43:AR52" si="157">AP43*AQ43</f>
        <v>539</v>
      </c>
      <c r="AS43" s="68">
        <f>'22'!F21</f>
        <v>0</v>
      </c>
      <c r="AT43" s="70">
        <f>DELIVERIES!AW43</f>
        <v>7.791666666666667</v>
      </c>
      <c r="AU43" s="71">
        <f t="shared" ref="AU43:AU52" si="158">AS43*AT43</f>
        <v>0</v>
      </c>
      <c r="AV43" s="68">
        <f>'22'!F22</f>
        <v>7</v>
      </c>
      <c r="AW43" s="70">
        <f>DELIVERIES!AZ43</f>
        <v>9.7916666666666661</v>
      </c>
      <c r="AX43" s="71">
        <f t="shared" ref="AX43:AX52" si="159">AV43*AW43</f>
        <v>68.541666666666657</v>
      </c>
      <c r="AY43" s="68">
        <f>'22'!F26</f>
        <v>0</v>
      </c>
      <c r="AZ43" s="68">
        <f>DELIVERIES!BC43</f>
        <v>16.333333333333332</v>
      </c>
      <c r="BA43" s="69">
        <f t="shared" ref="BA43:BA52" si="160">AY43*AZ43</f>
        <v>0</v>
      </c>
      <c r="BB43" s="68">
        <f>'22'!F27</f>
        <v>0</v>
      </c>
      <c r="BC43" s="68">
        <f>DELIVERIES!BF43</f>
        <v>11.833333333333334</v>
      </c>
      <c r="BD43" s="69">
        <f t="shared" ref="BD43:BD52" si="161">BB43*BC43</f>
        <v>0</v>
      </c>
      <c r="BE43" s="68">
        <f>'22'!F28</f>
        <v>4</v>
      </c>
      <c r="BF43" s="70">
        <f>DELIVERIES!BI43</f>
        <v>20</v>
      </c>
      <c r="BG43" s="71">
        <f t="shared" ref="BG43:BG52" si="162">BE43*BF43</f>
        <v>80</v>
      </c>
      <c r="BH43" s="68">
        <f>'22'!F23</f>
        <v>0</v>
      </c>
      <c r="BI43" s="70">
        <f>DELIVERIES!BL43</f>
        <v>23</v>
      </c>
      <c r="BJ43" s="71">
        <f t="shared" ref="BJ43:BJ52" si="163">BH43*BI43</f>
        <v>0</v>
      </c>
      <c r="BK43" s="68">
        <f>'22'!F25</f>
        <v>0</v>
      </c>
      <c r="BL43" s="72">
        <f>DELIVERIES!BO43</f>
        <v>12.5</v>
      </c>
      <c r="BM43" s="71">
        <f t="shared" ref="BM43:BM52" si="164">BK43*BL43</f>
        <v>0</v>
      </c>
      <c r="BN43" s="68">
        <f>'22'!F24</f>
        <v>4</v>
      </c>
      <c r="BO43" s="68">
        <f>DELIVERIES!BR43</f>
        <v>12.75</v>
      </c>
      <c r="BP43" s="69">
        <f t="shared" ref="BP43:BP52" si="165">BN43*BO43</f>
        <v>51</v>
      </c>
      <c r="BQ43" s="68">
        <f>'22'!F19</f>
        <v>0</v>
      </c>
      <c r="BR43" s="70">
        <f>DELIVERIES!BU43</f>
        <v>30.416666666666668</v>
      </c>
      <c r="BS43" s="77">
        <f t="shared" ref="BS43:BS52" si="166">BQ43*BR43</f>
        <v>0</v>
      </c>
      <c r="BT43" s="68">
        <f>'22'!F20</f>
        <v>0</v>
      </c>
      <c r="BU43" s="70">
        <f>DELIVERIES!BX43</f>
        <v>15.916666666659999</v>
      </c>
      <c r="BV43" s="77">
        <f t="shared" ref="BV43:BV52" si="167">BT43*BU43</f>
        <v>0</v>
      </c>
      <c r="BW43" s="78"/>
      <c r="BX43" s="79"/>
      <c r="BY43" s="69">
        <f t="shared" ref="BY43:BY52" si="168">AO43+AR43+AU43+AX43+BA43+BD43+BG43+BJ43+BM43+BP43+BS43+BV43</f>
        <v>826.04166666666663</v>
      </c>
      <c r="BZ43" s="39"/>
      <c r="CA43" s="71">
        <f t="shared" ref="CA43:CA52" si="169">AK43+BY43</f>
        <v>10097.541666666666</v>
      </c>
      <c r="CB43" s="39"/>
      <c r="CC43" s="39"/>
      <c r="CD43" s="39">
        <f t="shared" ref="CD43:CD52" si="170">CA43-CC43</f>
        <v>10097.541666666666</v>
      </c>
    </row>
    <row r="44" spans="1:83" ht="15.75" customHeight="1">
      <c r="A44" s="56">
        <v>23</v>
      </c>
      <c r="B44" s="68">
        <f>GROSS!B44</f>
        <v>0</v>
      </c>
      <c r="C44" s="68">
        <f>DELIVERIES!C44</f>
        <v>30</v>
      </c>
      <c r="D44" s="69">
        <f t="shared" si="144"/>
        <v>0</v>
      </c>
      <c r="E44" s="68">
        <f>'23'!F7</f>
        <v>194</v>
      </c>
      <c r="F44" s="70">
        <f>DELIVERIES!F44</f>
        <v>35</v>
      </c>
      <c r="G44" s="71">
        <f t="shared" si="145"/>
        <v>6790</v>
      </c>
      <c r="H44" s="84">
        <f>'23'!F8</f>
        <v>14</v>
      </c>
      <c r="I44" s="70">
        <f>DELIVERIES!I44</f>
        <v>8.5</v>
      </c>
      <c r="J44" s="71">
        <f t="shared" si="146"/>
        <v>119</v>
      </c>
      <c r="K44" s="84">
        <f>'23'!F15</f>
        <v>11</v>
      </c>
      <c r="L44" s="70">
        <f>DELIVERIES!L44</f>
        <v>18</v>
      </c>
      <c r="M44" s="71">
        <f t="shared" si="147"/>
        <v>198</v>
      </c>
      <c r="N44" s="68">
        <f>'23'!F9</f>
        <v>109</v>
      </c>
      <c r="O44" s="70">
        <f>DELIVERIES!O44</f>
        <v>7</v>
      </c>
      <c r="P44" s="71">
        <f t="shared" si="148"/>
        <v>763</v>
      </c>
      <c r="Q44" s="68">
        <f>'23'!F10</f>
        <v>0</v>
      </c>
      <c r="R44" s="72">
        <f>DELIVERIES!R44</f>
        <v>5.5</v>
      </c>
      <c r="S44" s="71">
        <f t="shared" si="149"/>
        <v>0</v>
      </c>
      <c r="T44" s="68">
        <f>'23'!F11</f>
        <v>190</v>
      </c>
      <c r="U44" s="72">
        <f>DELIVERIES!U44</f>
        <v>8.5</v>
      </c>
      <c r="V44" s="71">
        <f t="shared" si="150"/>
        <v>1615</v>
      </c>
      <c r="W44" s="68">
        <f>'23'!F12</f>
        <v>24</v>
      </c>
      <c r="X44" s="68">
        <f>DELIVERIES!X44</f>
        <v>6</v>
      </c>
      <c r="Y44" s="71">
        <f t="shared" si="151"/>
        <v>144</v>
      </c>
      <c r="Z44" s="68">
        <f>'23'!F13</f>
        <v>54</v>
      </c>
      <c r="AA44" s="72">
        <f>DELIVERIES!AA44</f>
        <v>6</v>
      </c>
      <c r="AB44" s="71">
        <f t="shared" si="152"/>
        <v>324</v>
      </c>
      <c r="AC44" s="68">
        <f>'23'!F14</f>
        <v>10</v>
      </c>
      <c r="AD44" s="72">
        <f>DELIVERIES!AD44</f>
        <v>8</v>
      </c>
      <c r="AE44" s="73">
        <f t="shared" si="153"/>
        <v>80</v>
      </c>
      <c r="AF44" s="72"/>
      <c r="AG44" s="72">
        <f>AG7</f>
        <v>0</v>
      </c>
      <c r="AH44" s="118">
        <f t="shared" si="154"/>
        <v>0</v>
      </c>
      <c r="AI44" s="74"/>
      <c r="AJ44" s="75"/>
      <c r="AK44" s="71">
        <f t="shared" si="155"/>
        <v>10033</v>
      </c>
      <c r="AL44" s="76"/>
      <c r="AM44" s="68">
        <f>'23'!F17</f>
        <v>12</v>
      </c>
      <c r="AN44" s="72">
        <f>DELIVERIES!AQ44</f>
        <v>8.75</v>
      </c>
      <c r="AO44" s="71">
        <f t="shared" si="156"/>
        <v>105</v>
      </c>
      <c r="AP44" s="68">
        <f>'23'!F18</f>
        <v>37</v>
      </c>
      <c r="AQ44" s="72">
        <f>DELIVERIES!AT44</f>
        <v>12.25</v>
      </c>
      <c r="AR44" s="71">
        <f t="shared" si="157"/>
        <v>453.25</v>
      </c>
      <c r="AS44" s="68">
        <f>'23'!F21</f>
        <v>0</v>
      </c>
      <c r="AT44" s="70">
        <f>DELIVERIES!AW44</f>
        <v>7.791666666666667</v>
      </c>
      <c r="AU44" s="71">
        <f t="shared" si="158"/>
        <v>0</v>
      </c>
      <c r="AV44" s="68">
        <f>'23'!F22</f>
        <v>7</v>
      </c>
      <c r="AW44" s="70">
        <f>DELIVERIES!AZ44</f>
        <v>9.7916666666666661</v>
      </c>
      <c r="AX44" s="71">
        <f t="shared" si="159"/>
        <v>68.541666666666657</v>
      </c>
      <c r="AY44" s="68">
        <f>'23'!F26</f>
        <v>0</v>
      </c>
      <c r="AZ44" s="68">
        <f>DELIVERIES!BC44</f>
        <v>16.333333333333332</v>
      </c>
      <c r="BA44" s="69">
        <f t="shared" si="160"/>
        <v>0</v>
      </c>
      <c r="BB44" s="68">
        <f>'23'!F27</f>
        <v>0</v>
      </c>
      <c r="BC44" s="68">
        <f>DELIVERIES!BF44</f>
        <v>11.833333333333334</v>
      </c>
      <c r="BD44" s="69">
        <f t="shared" si="161"/>
        <v>0</v>
      </c>
      <c r="BE44" s="68">
        <f>'23'!F28</f>
        <v>3</v>
      </c>
      <c r="BF44" s="70">
        <f>DELIVERIES!BI44</f>
        <v>20</v>
      </c>
      <c r="BG44" s="71">
        <f t="shared" si="162"/>
        <v>60</v>
      </c>
      <c r="BH44" s="68">
        <f>'23'!F23</f>
        <v>0</v>
      </c>
      <c r="BI44" s="70">
        <f>DELIVERIES!BL44</f>
        <v>23</v>
      </c>
      <c r="BJ44" s="71">
        <f t="shared" si="163"/>
        <v>0</v>
      </c>
      <c r="BK44" s="68">
        <f>'23'!F25</f>
        <v>0</v>
      </c>
      <c r="BL44" s="72">
        <f>DELIVERIES!BO44</f>
        <v>12.5</v>
      </c>
      <c r="BM44" s="71">
        <f t="shared" si="164"/>
        <v>0</v>
      </c>
      <c r="BN44" s="68">
        <f>'23'!F24</f>
        <v>2</v>
      </c>
      <c r="BO44" s="68">
        <f>DELIVERIES!BR44</f>
        <v>12.75</v>
      </c>
      <c r="BP44" s="69">
        <f t="shared" si="165"/>
        <v>25.5</v>
      </c>
      <c r="BQ44" s="68">
        <f>'23'!F19</f>
        <v>0</v>
      </c>
      <c r="BR44" s="70">
        <f>DELIVERIES!BU44</f>
        <v>30.416666666666668</v>
      </c>
      <c r="BS44" s="77">
        <f t="shared" si="166"/>
        <v>0</v>
      </c>
      <c r="BT44" s="68">
        <f>'23'!F20</f>
        <v>0</v>
      </c>
      <c r="BU44" s="70">
        <f>DELIVERIES!BX44</f>
        <v>15.916666666659999</v>
      </c>
      <c r="BV44" s="77">
        <f t="shared" si="167"/>
        <v>0</v>
      </c>
      <c r="BW44" s="78"/>
      <c r="BX44" s="79"/>
      <c r="BY44" s="69">
        <f t="shared" si="168"/>
        <v>712.29166666666663</v>
      </c>
      <c r="BZ44" s="39"/>
      <c r="CA44" s="71">
        <f t="shared" si="169"/>
        <v>10745.291666666666</v>
      </c>
      <c r="CB44" s="90"/>
      <c r="CC44" s="39"/>
      <c r="CD44" s="39">
        <f t="shared" si="170"/>
        <v>10745.291666666666</v>
      </c>
    </row>
    <row r="45" spans="1:83" ht="15.75" customHeight="1">
      <c r="A45" s="56">
        <v>24</v>
      </c>
      <c r="B45" s="68">
        <f>GROSS!B45</f>
        <v>0</v>
      </c>
      <c r="C45" s="68">
        <f>DELIVERIES!C45</f>
        <v>30</v>
      </c>
      <c r="D45" s="69">
        <f t="shared" si="144"/>
        <v>0</v>
      </c>
      <c r="E45" s="68">
        <f>'24'!F7</f>
        <v>203</v>
      </c>
      <c r="F45" s="70">
        <f>DELIVERIES!F45</f>
        <v>35</v>
      </c>
      <c r="G45" s="71">
        <f t="shared" si="145"/>
        <v>7105</v>
      </c>
      <c r="H45" s="84">
        <f>'24'!F8</f>
        <v>6</v>
      </c>
      <c r="I45" s="70">
        <f>DELIVERIES!I45</f>
        <v>8.5</v>
      </c>
      <c r="J45" s="71">
        <f t="shared" si="146"/>
        <v>51</v>
      </c>
      <c r="K45" s="84">
        <f>'24'!F15</f>
        <v>30</v>
      </c>
      <c r="L45" s="70">
        <f>DELIVERIES!L45</f>
        <v>18</v>
      </c>
      <c r="M45" s="71">
        <f t="shared" si="147"/>
        <v>540</v>
      </c>
      <c r="N45" s="68">
        <f>'24'!F9</f>
        <v>111</v>
      </c>
      <c r="O45" s="70">
        <f>DELIVERIES!O45</f>
        <v>7</v>
      </c>
      <c r="P45" s="71">
        <f t="shared" si="148"/>
        <v>777</v>
      </c>
      <c r="Q45" s="68">
        <f>'24'!F10</f>
        <v>0</v>
      </c>
      <c r="R45" s="72">
        <f>DELIVERIES!R45</f>
        <v>5.5</v>
      </c>
      <c r="S45" s="71">
        <f t="shared" si="149"/>
        <v>0</v>
      </c>
      <c r="T45" s="68">
        <f>'24'!F11</f>
        <v>202</v>
      </c>
      <c r="U45" s="72">
        <f>DELIVERIES!U45</f>
        <v>8.5</v>
      </c>
      <c r="V45" s="71">
        <f t="shared" si="150"/>
        <v>1717</v>
      </c>
      <c r="W45" s="68">
        <f>'24'!F12</f>
        <v>33</v>
      </c>
      <c r="X45" s="68">
        <f>DELIVERIES!X45</f>
        <v>6</v>
      </c>
      <c r="Y45" s="71">
        <f t="shared" si="151"/>
        <v>198</v>
      </c>
      <c r="Z45" s="68">
        <f>'24'!F13</f>
        <v>51</v>
      </c>
      <c r="AA45" s="72">
        <f>DELIVERIES!AA45</f>
        <v>6</v>
      </c>
      <c r="AB45" s="71">
        <f t="shared" si="152"/>
        <v>306</v>
      </c>
      <c r="AC45" s="68">
        <f>'24'!F14</f>
        <v>7</v>
      </c>
      <c r="AD45" s="72">
        <f>DELIVERIES!AD45</f>
        <v>8</v>
      </c>
      <c r="AE45" s="73">
        <f t="shared" si="153"/>
        <v>56</v>
      </c>
      <c r="AF45" s="72"/>
      <c r="AG45" s="72">
        <f>AG7</f>
        <v>0</v>
      </c>
      <c r="AH45" s="118">
        <f t="shared" si="154"/>
        <v>0</v>
      </c>
      <c r="AI45" s="74"/>
      <c r="AJ45" s="75"/>
      <c r="AK45" s="71">
        <f t="shared" si="155"/>
        <v>10750</v>
      </c>
      <c r="AL45" s="76"/>
      <c r="AM45" s="68">
        <f>'24'!F17</f>
        <v>16</v>
      </c>
      <c r="AN45" s="72">
        <f>DELIVERIES!AQ45</f>
        <v>8.75</v>
      </c>
      <c r="AO45" s="71">
        <f t="shared" si="156"/>
        <v>140</v>
      </c>
      <c r="AP45" s="68">
        <f>'24'!F18</f>
        <v>25</v>
      </c>
      <c r="AQ45" s="72">
        <f>DELIVERIES!AT45</f>
        <v>12.25</v>
      </c>
      <c r="AR45" s="71">
        <f t="shared" si="157"/>
        <v>306.25</v>
      </c>
      <c r="AS45" s="68">
        <f>'24'!F21</f>
        <v>0</v>
      </c>
      <c r="AT45" s="70">
        <f>DELIVERIES!AW45</f>
        <v>7.791666666666667</v>
      </c>
      <c r="AU45" s="71">
        <f t="shared" si="158"/>
        <v>0</v>
      </c>
      <c r="AV45" s="68">
        <f>'24'!F22</f>
        <v>5</v>
      </c>
      <c r="AW45" s="70">
        <f>DELIVERIES!AZ45</f>
        <v>9.7916666666666661</v>
      </c>
      <c r="AX45" s="71">
        <f t="shared" si="159"/>
        <v>48.958333333333329</v>
      </c>
      <c r="AY45" s="68">
        <f>'24'!F26</f>
        <v>0</v>
      </c>
      <c r="AZ45" s="68">
        <f>DELIVERIES!BC45</f>
        <v>16.333333333333332</v>
      </c>
      <c r="BA45" s="69">
        <f t="shared" si="160"/>
        <v>0</v>
      </c>
      <c r="BB45" s="68">
        <f>'24'!F27</f>
        <v>0</v>
      </c>
      <c r="BC45" s="68">
        <f>DELIVERIES!BF45</f>
        <v>11.833333333333334</v>
      </c>
      <c r="BD45" s="69">
        <f t="shared" si="161"/>
        <v>0</v>
      </c>
      <c r="BE45" s="68">
        <f>'24'!F28</f>
        <v>5</v>
      </c>
      <c r="BF45" s="70">
        <f>DELIVERIES!BI45</f>
        <v>20</v>
      </c>
      <c r="BG45" s="71">
        <f t="shared" si="162"/>
        <v>100</v>
      </c>
      <c r="BH45" s="68">
        <f>'24'!F23</f>
        <v>0</v>
      </c>
      <c r="BI45" s="70">
        <f>DELIVERIES!BL45</f>
        <v>23</v>
      </c>
      <c r="BJ45" s="71">
        <f t="shared" si="163"/>
        <v>0</v>
      </c>
      <c r="BK45" s="68">
        <f>'24'!F25</f>
        <v>0</v>
      </c>
      <c r="BL45" s="72">
        <f>DELIVERIES!BO45</f>
        <v>12.5</v>
      </c>
      <c r="BM45" s="71">
        <f t="shared" si="164"/>
        <v>0</v>
      </c>
      <c r="BN45" s="68">
        <f>'24'!F24</f>
        <v>1</v>
      </c>
      <c r="BO45" s="68">
        <f>DELIVERIES!BR45</f>
        <v>12.75</v>
      </c>
      <c r="BP45" s="69">
        <f t="shared" si="165"/>
        <v>12.75</v>
      </c>
      <c r="BQ45" s="68">
        <f>'24'!F19</f>
        <v>0</v>
      </c>
      <c r="BR45" s="70">
        <f>DELIVERIES!BU45</f>
        <v>30.416666666666668</v>
      </c>
      <c r="BS45" s="77">
        <f t="shared" si="166"/>
        <v>0</v>
      </c>
      <c r="BT45" s="68">
        <f>'24'!F20</f>
        <v>0</v>
      </c>
      <c r="BU45" s="70">
        <f>DELIVERIES!BX45</f>
        <v>15.916666666659999</v>
      </c>
      <c r="BV45" s="77">
        <f t="shared" si="167"/>
        <v>0</v>
      </c>
      <c r="BW45" s="78"/>
      <c r="BX45" s="79"/>
      <c r="BY45" s="69">
        <f t="shared" si="168"/>
        <v>607.95833333333326</v>
      </c>
      <c r="BZ45" s="39"/>
      <c r="CA45" s="71">
        <f t="shared" si="169"/>
        <v>11357.958333333334</v>
      </c>
      <c r="CB45" s="90"/>
      <c r="CC45" s="39"/>
      <c r="CD45" s="39">
        <f t="shared" si="170"/>
        <v>11357.958333333334</v>
      </c>
    </row>
    <row r="46" spans="1:83" ht="15.75" customHeight="1">
      <c r="A46" s="56">
        <v>25</v>
      </c>
      <c r="B46" s="68">
        <f>GROSS!B46</f>
        <v>0</v>
      </c>
      <c r="C46" s="68">
        <f>DELIVERIES!C46</f>
        <v>30</v>
      </c>
      <c r="D46" s="69">
        <f t="shared" si="144"/>
        <v>0</v>
      </c>
      <c r="E46" s="68">
        <f>'25'!F7</f>
        <v>169</v>
      </c>
      <c r="F46" s="70">
        <f>DELIVERIES!F46</f>
        <v>35</v>
      </c>
      <c r="G46" s="71">
        <f t="shared" si="145"/>
        <v>5915</v>
      </c>
      <c r="H46" s="84">
        <f>'25'!F8</f>
        <v>10</v>
      </c>
      <c r="I46" s="70">
        <f>DELIVERIES!I46</f>
        <v>8.5</v>
      </c>
      <c r="J46" s="71">
        <f t="shared" si="146"/>
        <v>85</v>
      </c>
      <c r="K46" s="84">
        <f>'25'!F15</f>
        <v>13</v>
      </c>
      <c r="L46" s="70">
        <f>DELIVERIES!L46</f>
        <v>18</v>
      </c>
      <c r="M46" s="71">
        <f t="shared" si="147"/>
        <v>234</v>
      </c>
      <c r="N46" s="68">
        <f>'25'!F9</f>
        <v>110</v>
      </c>
      <c r="O46" s="70">
        <f>DELIVERIES!O46</f>
        <v>7</v>
      </c>
      <c r="P46" s="71">
        <f t="shared" si="148"/>
        <v>770</v>
      </c>
      <c r="Q46" s="68">
        <f>'25'!F10</f>
        <v>0</v>
      </c>
      <c r="R46" s="72">
        <f>DELIVERIES!R46</f>
        <v>5.5</v>
      </c>
      <c r="S46" s="71">
        <f t="shared" si="149"/>
        <v>0</v>
      </c>
      <c r="T46" s="68">
        <f>'25'!F11</f>
        <v>186</v>
      </c>
      <c r="U46" s="72">
        <f>DELIVERIES!U46</f>
        <v>8.5</v>
      </c>
      <c r="V46" s="71">
        <f t="shared" si="150"/>
        <v>1581</v>
      </c>
      <c r="W46" s="68">
        <f>'25'!F12</f>
        <v>30</v>
      </c>
      <c r="X46" s="68">
        <f>DELIVERIES!X46</f>
        <v>6</v>
      </c>
      <c r="Y46" s="71">
        <f t="shared" si="151"/>
        <v>180</v>
      </c>
      <c r="Z46" s="68">
        <f>'25'!F13</f>
        <v>25</v>
      </c>
      <c r="AA46" s="72">
        <f>DELIVERIES!AA46</f>
        <v>6</v>
      </c>
      <c r="AB46" s="71">
        <f t="shared" si="152"/>
        <v>150</v>
      </c>
      <c r="AC46" s="68">
        <f>'25'!F14</f>
        <v>0</v>
      </c>
      <c r="AD46" s="72">
        <f>DELIVERIES!AD46</f>
        <v>8</v>
      </c>
      <c r="AE46" s="73">
        <f t="shared" si="153"/>
        <v>0</v>
      </c>
      <c r="AF46" s="72"/>
      <c r="AG46" s="72">
        <f>AG7</f>
        <v>0</v>
      </c>
      <c r="AH46" s="118">
        <f t="shared" si="154"/>
        <v>0</v>
      </c>
      <c r="AI46" s="74"/>
      <c r="AJ46" s="75"/>
      <c r="AK46" s="71">
        <f t="shared" si="155"/>
        <v>8915</v>
      </c>
      <c r="AL46" s="76"/>
      <c r="AM46" s="68">
        <f>'25'!F17</f>
        <v>17</v>
      </c>
      <c r="AN46" s="72">
        <f>DELIVERIES!AQ46</f>
        <v>8.75</v>
      </c>
      <c r="AO46" s="71">
        <f t="shared" si="156"/>
        <v>148.75</v>
      </c>
      <c r="AP46" s="68">
        <f>'25'!F18</f>
        <v>33</v>
      </c>
      <c r="AQ46" s="72">
        <f>DELIVERIES!AT46</f>
        <v>12.25</v>
      </c>
      <c r="AR46" s="71">
        <f t="shared" si="157"/>
        <v>404.25</v>
      </c>
      <c r="AS46" s="68">
        <f>'25'!F21</f>
        <v>0</v>
      </c>
      <c r="AT46" s="70">
        <f>DELIVERIES!AW46</f>
        <v>7.791666666666667</v>
      </c>
      <c r="AU46" s="71">
        <f t="shared" si="158"/>
        <v>0</v>
      </c>
      <c r="AV46" s="68">
        <f>'25'!F22</f>
        <v>3</v>
      </c>
      <c r="AW46" s="70">
        <f>DELIVERIES!AZ46</f>
        <v>9.7916666666666661</v>
      </c>
      <c r="AX46" s="71">
        <f t="shared" si="159"/>
        <v>29.375</v>
      </c>
      <c r="AY46" s="68">
        <f>'25'!F26</f>
        <v>0</v>
      </c>
      <c r="AZ46" s="68">
        <f>DELIVERIES!BC46</f>
        <v>16.333333333333332</v>
      </c>
      <c r="BA46" s="69">
        <f t="shared" si="160"/>
        <v>0</v>
      </c>
      <c r="BB46" s="68">
        <f>'25'!F27</f>
        <v>0</v>
      </c>
      <c r="BC46" s="68">
        <f>DELIVERIES!BF46</f>
        <v>11.833333333333334</v>
      </c>
      <c r="BD46" s="69">
        <f t="shared" si="161"/>
        <v>0</v>
      </c>
      <c r="BE46" s="68">
        <f>'25'!F28</f>
        <v>3</v>
      </c>
      <c r="BF46" s="70">
        <f>DELIVERIES!BI46</f>
        <v>20</v>
      </c>
      <c r="BG46" s="71">
        <f t="shared" si="162"/>
        <v>60</v>
      </c>
      <c r="BH46" s="68">
        <f>'25'!F23</f>
        <v>0</v>
      </c>
      <c r="BI46" s="70">
        <f>DELIVERIES!BL46</f>
        <v>23</v>
      </c>
      <c r="BJ46" s="71">
        <f t="shared" si="163"/>
        <v>0</v>
      </c>
      <c r="BK46" s="68">
        <f>'25'!F25</f>
        <v>0</v>
      </c>
      <c r="BL46" s="72">
        <f>DELIVERIES!BO46</f>
        <v>12.5</v>
      </c>
      <c r="BM46" s="71">
        <f t="shared" si="164"/>
        <v>0</v>
      </c>
      <c r="BN46" s="68">
        <f>'25'!F24</f>
        <v>3</v>
      </c>
      <c r="BO46" s="68">
        <f>DELIVERIES!BR46</f>
        <v>12.75</v>
      </c>
      <c r="BP46" s="69">
        <f t="shared" si="165"/>
        <v>38.25</v>
      </c>
      <c r="BQ46" s="68">
        <f>'25'!F19</f>
        <v>0</v>
      </c>
      <c r="BR46" s="70">
        <f>DELIVERIES!BU46</f>
        <v>30.25</v>
      </c>
      <c r="BS46" s="77">
        <f t="shared" si="166"/>
        <v>0</v>
      </c>
      <c r="BT46" s="68">
        <f>'25'!F20</f>
        <v>0</v>
      </c>
      <c r="BU46" s="70">
        <f>DELIVERIES!BX46</f>
        <v>15.916666666659999</v>
      </c>
      <c r="BV46" s="77">
        <f t="shared" si="167"/>
        <v>0</v>
      </c>
      <c r="BW46" s="78"/>
      <c r="BX46" s="79"/>
      <c r="BY46" s="69">
        <f t="shared" si="168"/>
        <v>680.625</v>
      </c>
      <c r="BZ46" s="39"/>
      <c r="CA46" s="71">
        <f t="shared" si="169"/>
        <v>9595.625</v>
      </c>
      <c r="CB46" s="90"/>
      <c r="CC46" s="39"/>
      <c r="CD46" s="39">
        <f t="shared" si="170"/>
        <v>9595.625</v>
      </c>
    </row>
    <row r="47" spans="1:83" ht="15.75" customHeight="1">
      <c r="A47" s="56">
        <v>26</v>
      </c>
      <c r="B47" s="68">
        <f>GROSS!B47</f>
        <v>0</v>
      </c>
      <c r="C47" s="68">
        <f>DELIVERIES!C47</f>
        <v>30</v>
      </c>
      <c r="D47" s="69">
        <f t="shared" si="144"/>
        <v>0</v>
      </c>
      <c r="E47" s="68">
        <f>'26'!F7</f>
        <v>211</v>
      </c>
      <c r="F47" s="70">
        <f>DELIVERIES!F47</f>
        <v>35</v>
      </c>
      <c r="G47" s="71">
        <f t="shared" si="145"/>
        <v>7385</v>
      </c>
      <c r="H47" s="84">
        <f>'26'!F8</f>
        <v>18</v>
      </c>
      <c r="I47" s="70">
        <f>DELIVERIES!I47</f>
        <v>8.5</v>
      </c>
      <c r="J47" s="71">
        <f t="shared" si="146"/>
        <v>153</v>
      </c>
      <c r="K47" s="84">
        <f>'26'!F15</f>
        <v>30</v>
      </c>
      <c r="L47" s="70">
        <f>DELIVERIES!L47</f>
        <v>18</v>
      </c>
      <c r="M47" s="71">
        <f t="shared" si="147"/>
        <v>540</v>
      </c>
      <c r="N47" s="68">
        <f>'26'!F9</f>
        <v>90</v>
      </c>
      <c r="O47" s="70">
        <f>DELIVERIES!O47</f>
        <v>7</v>
      </c>
      <c r="P47" s="71">
        <f t="shared" si="148"/>
        <v>630</v>
      </c>
      <c r="Q47" s="68">
        <f>'26'!F10</f>
        <v>0</v>
      </c>
      <c r="R47" s="72">
        <f>DELIVERIES!R47</f>
        <v>5.5</v>
      </c>
      <c r="S47" s="71">
        <f t="shared" si="149"/>
        <v>0</v>
      </c>
      <c r="T47" s="68">
        <f>'26'!F11</f>
        <v>220</v>
      </c>
      <c r="U47" s="72">
        <f>DELIVERIES!U47</f>
        <v>8.5</v>
      </c>
      <c r="V47" s="71">
        <f t="shared" si="150"/>
        <v>1870</v>
      </c>
      <c r="W47" s="68">
        <f>'26'!F12</f>
        <v>58</v>
      </c>
      <c r="X47" s="68">
        <f>DELIVERIES!X47</f>
        <v>6</v>
      </c>
      <c r="Y47" s="71">
        <f t="shared" si="151"/>
        <v>348</v>
      </c>
      <c r="Z47" s="68">
        <f>'26'!F13</f>
        <v>36</v>
      </c>
      <c r="AA47" s="72">
        <f>DELIVERIES!AA47</f>
        <v>6</v>
      </c>
      <c r="AB47" s="71">
        <f t="shared" si="152"/>
        <v>216</v>
      </c>
      <c r="AC47" s="68">
        <f>'26'!F14</f>
        <v>0</v>
      </c>
      <c r="AD47" s="72">
        <f>DELIVERIES!AD47</f>
        <v>8</v>
      </c>
      <c r="AE47" s="73">
        <f t="shared" si="153"/>
        <v>0</v>
      </c>
      <c r="AF47" s="72"/>
      <c r="AG47" s="72">
        <f>AG7</f>
        <v>0</v>
      </c>
      <c r="AH47" s="118">
        <f t="shared" si="154"/>
        <v>0</v>
      </c>
      <c r="AI47" s="74"/>
      <c r="AJ47" s="75"/>
      <c r="AK47" s="71">
        <f t="shared" si="155"/>
        <v>11142</v>
      </c>
      <c r="AL47" s="76"/>
      <c r="AM47" s="68">
        <f>'26'!F17</f>
        <v>13</v>
      </c>
      <c r="AN47" s="72">
        <f>DELIVERIES!AQ47</f>
        <v>8.75</v>
      </c>
      <c r="AO47" s="71">
        <f t="shared" si="156"/>
        <v>113.75</v>
      </c>
      <c r="AP47" s="68">
        <f>'26'!F18</f>
        <v>64</v>
      </c>
      <c r="AQ47" s="72">
        <f>DELIVERIES!AT47</f>
        <v>12.25</v>
      </c>
      <c r="AR47" s="71">
        <f t="shared" si="157"/>
        <v>784</v>
      </c>
      <c r="AS47" s="68">
        <f>'26'!F21</f>
        <v>0</v>
      </c>
      <c r="AT47" s="70">
        <f>DELIVERIES!AW47</f>
        <v>7.791666666666667</v>
      </c>
      <c r="AU47" s="71">
        <f t="shared" si="158"/>
        <v>0</v>
      </c>
      <c r="AV47" s="68">
        <f>'26'!F22</f>
        <v>6</v>
      </c>
      <c r="AW47" s="70">
        <f>DELIVERIES!AZ47</f>
        <v>9.7916666666666661</v>
      </c>
      <c r="AX47" s="71">
        <f t="shared" si="159"/>
        <v>58.75</v>
      </c>
      <c r="AY47" s="68">
        <f>'26'!F26</f>
        <v>0</v>
      </c>
      <c r="AZ47" s="68">
        <f>DELIVERIES!BC47</f>
        <v>16.333333333333332</v>
      </c>
      <c r="BA47" s="69">
        <f t="shared" si="160"/>
        <v>0</v>
      </c>
      <c r="BB47" s="68">
        <f>'26'!F27</f>
        <v>0</v>
      </c>
      <c r="BC47" s="68">
        <f>DELIVERIES!BF47</f>
        <v>11.833333333333334</v>
      </c>
      <c r="BD47" s="69">
        <f t="shared" si="161"/>
        <v>0</v>
      </c>
      <c r="BE47" s="68">
        <f>'26'!F28</f>
        <v>0</v>
      </c>
      <c r="BF47" s="70">
        <f>DELIVERIES!BI47</f>
        <v>20</v>
      </c>
      <c r="BG47" s="71">
        <f t="shared" si="162"/>
        <v>0</v>
      </c>
      <c r="BH47" s="68">
        <f>'26'!F23</f>
        <v>0</v>
      </c>
      <c r="BI47" s="70">
        <f>DELIVERIES!BL47</f>
        <v>23</v>
      </c>
      <c r="BJ47" s="71">
        <f t="shared" si="163"/>
        <v>0</v>
      </c>
      <c r="BK47" s="68">
        <f>'26'!F25</f>
        <v>0</v>
      </c>
      <c r="BL47" s="72">
        <f>DELIVERIES!BO47</f>
        <v>12.5</v>
      </c>
      <c r="BM47" s="71">
        <f t="shared" si="164"/>
        <v>0</v>
      </c>
      <c r="BN47" s="68">
        <f>'26'!F24</f>
        <v>6</v>
      </c>
      <c r="BO47" s="68">
        <f>DELIVERIES!BR47</f>
        <v>12.75</v>
      </c>
      <c r="BP47" s="69">
        <f t="shared" si="165"/>
        <v>76.5</v>
      </c>
      <c r="BQ47" s="68">
        <f>'26'!F19</f>
        <v>0</v>
      </c>
      <c r="BR47" s="70">
        <f>DELIVERIES!BU47</f>
        <v>30.25</v>
      </c>
      <c r="BS47" s="77">
        <f t="shared" si="166"/>
        <v>0</v>
      </c>
      <c r="BT47" s="68">
        <f>'26'!F20</f>
        <v>0</v>
      </c>
      <c r="BU47" s="70">
        <f>DELIVERIES!BX47</f>
        <v>15.916666666659999</v>
      </c>
      <c r="BV47" s="77">
        <f t="shared" si="167"/>
        <v>0</v>
      </c>
      <c r="BW47" s="78"/>
      <c r="BX47" s="79"/>
      <c r="BY47" s="69">
        <f t="shared" si="168"/>
        <v>1033</v>
      </c>
      <c r="BZ47" s="39"/>
      <c r="CA47" s="71">
        <f t="shared" si="169"/>
        <v>12175</v>
      </c>
      <c r="CB47" s="90"/>
      <c r="CC47" s="39"/>
      <c r="CD47" s="39">
        <f t="shared" si="170"/>
        <v>12175</v>
      </c>
    </row>
    <row r="48" spans="1:83" ht="15.75" customHeight="1">
      <c r="A48" s="56">
        <v>27</v>
      </c>
      <c r="B48" s="68">
        <f>GROSS!B48</f>
        <v>0</v>
      </c>
      <c r="C48" s="68">
        <f>DELIVERIES!C48</f>
        <v>30</v>
      </c>
      <c r="D48" s="69">
        <f t="shared" si="144"/>
        <v>0</v>
      </c>
      <c r="E48" s="68">
        <f>'27'!F7</f>
        <v>184</v>
      </c>
      <c r="F48" s="70">
        <f>DELIVERIES!F48</f>
        <v>35</v>
      </c>
      <c r="G48" s="71">
        <f t="shared" si="145"/>
        <v>6440</v>
      </c>
      <c r="H48" s="84">
        <f>'27'!F8</f>
        <v>10</v>
      </c>
      <c r="I48" s="70">
        <f>DELIVERIES!I48</f>
        <v>8.5</v>
      </c>
      <c r="J48" s="71">
        <f t="shared" si="146"/>
        <v>85</v>
      </c>
      <c r="K48" s="84">
        <f>'27'!F15</f>
        <v>9</v>
      </c>
      <c r="L48" s="70">
        <f>DELIVERIES!L48</f>
        <v>18</v>
      </c>
      <c r="M48" s="71">
        <f t="shared" si="147"/>
        <v>162</v>
      </c>
      <c r="N48" s="68">
        <f>'27'!F9</f>
        <v>90</v>
      </c>
      <c r="O48" s="70">
        <f>DELIVERIES!O48</f>
        <v>7</v>
      </c>
      <c r="P48" s="71">
        <f t="shared" si="148"/>
        <v>630</v>
      </c>
      <c r="Q48" s="68">
        <f>'27'!F10</f>
        <v>0</v>
      </c>
      <c r="R48" s="72">
        <f>DELIVERIES!R48</f>
        <v>5.5</v>
      </c>
      <c r="S48" s="71">
        <f t="shared" si="149"/>
        <v>0</v>
      </c>
      <c r="T48" s="68">
        <f>'27'!F11</f>
        <v>176</v>
      </c>
      <c r="U48" s="72">
        <f>DELIVERIES!U48</f>
        <v>8.5</v>
      </c>
      <c r="V48" s="71">
        <f t="shared" si="150"/>
        <v>1496</v>
      </c>
      <c r="W48" s="68">
        <f>'27'!F12</f>
        <v>22</v>
      </c>
      <c r="X48" s="68">
        <f>DELIVERIES!X48</f>
        <v>6</v>
      </c>
      <c r="Y48" s="71">
        <f t="shared" si="151"/>
        <v>132</v>
      </c>
      <c r="Z48" s="68">
        <f>'27'!F13</f>
        <v>31</v>
      </c>
      <c r="AA48" s="72">
        <f>DELIVERIES!AA48</f>
        <v>6</v>
      </c>
      <c r="AB48" s="71">
        <f t="shared" si="152"/>
        <v>186</v>
      </c>
      <c r="AC48" s="68">
        <f>'27'!F14</f>
        <v>9</v>
      </c>
      <c r="AD48" s="72">
        <f>DELIVERIES!AD48</f>
        <v>8</v>
      </c>
      <c r="AE48" s="73">
        <f t="shared" si="153"/>
        <v>72</v>
      </c>
      <c r="AF48" s="72"/>
      <c r="AG48" s="72">
        <f>AG7</f>
        <v>0</v>
      </c>
      <c r="AH48" s="118">
        <f t="shared" si="154"/>
        <v>0</v>
      </c>
      <c r="AI48" s="119"/>
      <c r="AJ48" s="119"/>
      <c r="AK48" s="71">
        <f t="shared" si="155"/>
        <v>9203</v>
      </c>
      <c r="AL48" s="76"/>
      <c r="AM48" s="68">
        <f>'27'!F17</f>
        <v>14</v>
      </c>
      <c r="AN48" s="72">
        <f>DELIVERIES!AQ48</f>
        <v>8.75</v>
      </c>
      <c r="AO48" s="71">
        <f t="shared" si="156"/>
        <v>122.5</v>
      </c>
      <c r="AP48" s="68">
        <f>'27'!F18</f>
        <v>42</v>
      </c>
      <c r="AQ48" s="72">
        <f>DELIVERIES!AT48</f>
        <v>12.25</v>
      </c>
      <c r="AR48" s="71">
        <f t="shared" si="157"/>
        <v>514.5</v>
      </c>
      <c r="AS48" s="68">
        <f>'27'!F21</f>
        <v>0</v>
      </c>
      <c r="AT48" s="70">
        <f>DELIVERIES!AW48</f>
        <v>7.791666666666667</v>
      </c>
      <c r="AU48" s="71">
        <f t="shared" si="158"/>
        <v>0</v>
      </c>
      <c r="AV48" s="68">
        <f>'27'!F22</f>
        <v>12</v>
      </c>
      <c r="AW48" s="70">
        <f>DELIVERIES!AZ48</f>
        <v>9.7916666666666661</v>
      </c>
      <c r="AX48" s="71">
        <f t="shared" si="159"/>
        <v>117.5</v>
      </c>
      <c r="AY48" s="68">
        <f>'27'!F26</f>
        <v>0</v>
      </c>
      <c r="AZ48" s="68">
        <f>DELIVERIES!BC48</f>
        <v>16.333333333333332</v>
      </c>
      <c r="BA48" s="69">
        <f t="shared" si="160"/>
        <v>0</v>
      </c>
      <c r="BB48" s="68">
        <f>'27'!F27</f>
        <v>0</v>
      </c>
      <c r="BC48" s="68">
        <f>DELIVERIES!BF48</f>
        <v>11.833333333333334</v>
      </c>
      <c r="BD48" s="69">
        <f t="shared" si="161"/>
        <v>0</v>
      </c>
      <c r="BE48" s="68">
        <f>'27'!F28</f>
        <v>0</v>
      </c>
      <c r="BF48" s="70">
        <f>DELIVERIES!BI48</f>
        <v>20</v>
      </c>
      <c r="BG48" s="71">
        <f t="shared" si="162"/>
        <v>0</v>
      </c>
      <c r="BH48" s="68">
        <f>'27'!F23</f>
        <v>0</v>
      </c>
      <c r="BI48" s="70">
        <f>DELIVERIES!BL48</f>
        <v>23</v>
      </c>
      <c r="BJ48" s="71">
        <f t="shared" si="163"/>
        <v>0</v>
      </c>
      <c r="BK48" s="68">
        <f>'27'!F25</f>
        <v>0</v>
      </c>
      <c r="BL48" s="72">
        <f>DELIVERIES!BO48</f>
        <v>12.5</v>
      </c>
      <c r="BM48" s="71">
        <f t="shared" si="164"/>
        <v>0</v>
      </c>
      <c r="BN48" s="68">
        <f>'27'!F24</f>
        <v>0</v>
      </c>
      <c r="BO48" s="68">
        <f>DELIVERIES!BR48</f>
        <v>12.75</v>
      </c>
      <c r="BP48" s="69">
        <f t="shared" si="165"/>
        <v>0</v>
      </c>
      <c r="BQ48" s="68">
        <f>'27'!F19</f>
        <v>0</v>
      </c>
      <c r="BR48" s="70">
        <f>DELIVERIES!BU48</f>
        <v>30.25</v>
      </c>
      <c r="BS48" s="77">
        <f t="shared" si="166"/>
        <v>0</v>
      </c>
      <c r="BT48" s="68">
        <f>'27'!F20</f>
        <v>0</v>
      </c>
      <c r="BU48" s="70">
        <f>DELIVERIES!BX48</f>
        <v>15.916666666659999</v>
      </c>
      <c r="BV48" s="77">
        <f t="shared" si="167"/>
        <v>0</v>
      </c>
      <c r="BW48" s="78"/>
      <c r="BX48" s="79"/>
      <c r="BY48" s="69">
        <f t="shared" si="168"/>
        <v>754.5</v>
      </c>
      <c r="BZ48" s="39"/>
      <c r="CA48" s="71">
        <f t="shared" si="169"/>
        <v>9957.5</v>
      </c>
      <c r="CB48" s="90"/>
      <c r="CC48" s="39"/>
      <c r="CD48" s="39">
        <f t="shared" si="170"/>
        <v>9957.5</v>
      </c>
    </row>
    <row r="49" spans="1:83" ht="15.75" customHeight="1">
      <c r="A49" s="56">
        <v>28</v>
      </c>
      <c r="B49" s="68">
        <f>GROSS!B49</f>
        <v>0</v>
      </c>
      <c r="C49" s="68">
        <f>DELIVERIES!C49</f>
        <v>30</v>
      </c>
      <c r="D49" s="69">
        <f t="shared" si="144"/>
        <v>0</v>
      </c>
      <c r="E49" s="68">
        <f>'28'!F7</f>
        <v>167</v>
      </c>
      <c r="F49" s="70">
        <f>DELIVERIES!F49</f>
        <v>35</v>
      </c>
      <c r="G49" s="71">
        <f t="shared" si="145"/>
        <v>5845</v>
      </c>
      <c r="H49" s="84">
        <f>'28'!F8</f>
        <v>15</v>
      </c>
      <c r="I49" s="70">
        <f>DELIVERIES!I49</f>
        <v>8.5</v>
      </c>
      <c r="J49" s="71">
        <f t="shared" si="146"/>
        <v>127.5</v>
      </c>
      <c r="K49" s="84">
        <f>'28'!F15</f>
        <v>9</v>
      </c>
      <c r="L49" s="70">
        <f>DELIVERIES!L49</f>
        <v>18</v>
      </c>
      <c r="M49" s="71">
        <f t="shared" si="147"/>
        <v>162</v>
      </c>
      <c r="N49" s="68">
        <f>'28'!F9</f>
        <v>110</v>
      </c>
      <c r="O49" s="70">
        <f>DELIVERIES!O49</f>
        <v>7</v>
      </c>
      <c r="P49" s="71">
        <f t="shared" si="148"/>
        <v>770</v>
      </c>
      <c r="Q49" s="68">
        <f>'28'!F10</f>
        <v>0</v>
      </c>
      <c r="R49" s="72">
        <f>DELIVERIES!R49</f>
        <v>5.5</v>
      </c>
      <c r="S49" s="71">
        <f t="shared" si="149"/>
        <v>0</v>
      </c>
      <c r="T49" s="68">
        <f>'28'!F11</f>
        <v>176</v>
      </c>
      <c r="U49" s="72">
        <f>DELIVERIES!U49</f>
        <v>8.5</v>
      </c>
      <c r="V49" s="71">
        <f t="shared" si="150"/>
        <v>1496</v>
      </c>
      <c r="W49" s="68">
        <f>'28'!F12</f>
        <v>38</v>
      </c>
      <c r="X49" s="68">
        <f>DELIVERIES!X49</f>
        <v>6</v>
      </c>
      <c r="Y49" s="71">
        <f t="shared" si="151"/>
        <v>228</v>
      </c>
      <c r="Z49" s="68">
        <f>'28'!F13</f>
        <v>28</v>
      </c>
      <c r="AA49" s="72">
        <f>DELIVERIES!AA49</f>
        <v>6</v>
      </c>
      <c r="AB49" s="71">
        <f t="shared" si="152"/>
        <v>168</v>
      </c>
      <c r="AC49" s="68">
        <f>'28'!F14</f>
        <v>11</v>
      </c>
      <c r="AD49" s="72">
        <f>DELIVERIES!AD49</f>
        <v>8</v>
      </c>
      <c r="AE49" s="73">
        <f t="shared" si="153"/>
        <v>88</v>
      </c>
      <c r="AF49" s="72"/>
      <c r="AG49" s="72">
        <f>AG7</f>
        <v>0</v>
      </c>
      <c r="AH49" s="118">
        <f t="shared" si="154"/>
        <v>0</v>
      </c>
      <c r="AI49" s="119"/>
      <c r="AJ49" s="119"/>
      <c r="AK49" s="71">
        <f t="shared" si="155"/>
        <v>8884.5</v>
      </c>
      <c r="AL49" s="76"/>
      <c r="AM49" s="68">
        <f>'28'!F17</f>
        <v>13</v>
      </c>
      <c r="AN49" s="72">
        <f>DELIVERIES!AQ49</f>
        <v>8.75</v>
      </c>
      <c r="AO49" s="71">
        <f t="shared" si="156"/>
        <v>113.75</v>
      </c>
      <c r="AP49" s="68">
        <f>'28'!F18</f>
        <v>52</v>
      </c>
      <c r="AQ49" s="72">
        <f>DELIVERIES!AT49</f>
        <v>12.25</v>
      </c>
      <c r="AR49" s="71">
        <f t="shared" si="157"/>
        <v>637</v>
      </c>
      <c r="AS49" s="68">
        <f>'28'!F21</f>
        <v>0</v>
      </c>
      <c r="AT49" s="70">
        <f>DELIVERIES!AW49</f>
        <v>7.791666666666667</v>
      </c>
      <c r="AU49" s="71">
        <f t="shared" si="158"/>
        <v>0</v>
      </c>
      <c r="AV49" s="68">
        <f>'28'!F22</f>
        <v>7</v>
      </c>
      <c r="AW49" s="70">
        <f>DELIVERIES!AZ49</f>
        <v>9.7916666666666661</v>
      </c>
      <c r="AX49" s="71">
        <f t="shared" si="159"/>
        <v>68.541666666666657</v>
      </c>
      <c r="AY49" s="68">
        <f>'28'!F26</f>
        <v>0</v>
      </c>
      <c r="AZ49" s="68">
        <f>DELIVERIES!BC49</f>
        <v>16.333333333333332</v>
      </c>
      <c r="BA49" s="69">
        <f t="shared" si="160"/>
        <v>0</v>
      </c>
      <c r="BB49" s="68">
        <f>'28'!F27</f>
        <v>0</v>
      </c>
      <c r="BC49" s="68">
        <f>DELIVERIES!BF49</f>
        <v>11.833333333333334</v>
      </c>
      <c r="BD49" s="69">
        <f t="shared" si="161"/>
        <v>0</v>
      </c>
      <c r="BE49" s="68">
        <f>'28'!F28</f>
        <v>0</v>
      </c>
      <c r="BF49" s="70">
        <f>DELIVERIES!BI49</f>
        <v>20</v>
      </c>
      <c r="BG49" s="71">
        <f t="shared" si="162"/>
        <v>0</v>
      </c>
      <c r="BH49" s="68">
        <f>'28'!F23</f>
        <v>0</v>
      </c>
      <c r="BI49" s="70">
        <f>DELIVERIES!BL49</f>
        <v>23</v>
      </c>
      <c r="BJ49" s="71">
        <f t="shared" si="163"/>
        <v>0</v>
      </c>
      <c r="BK49" s="68">
        <f>'28'!F25</f>
        <v>0</v>
      </c>
      <c r="BL49" s="72">
        <f>DELIVERIES!BO49</f>
        <v>12.5</v>
      </c>
      <c r="BM49" s="71">
        <f t="shared" si="164"/>
        <v>0</v>
      </c>
      <c r="BN49" s="68">
        <f>'28'!F24</f>
        <v>1</v>
      </c>
      <c r="BO49" s="68">
        <f>DELIVERIES!BR49</f>
        <v>12.75</v>
      </c>
      <c r="BP49" s="69">
        <f t="shared" si="165"/>
        <v>12.75</v>
      </c>
      <c r="BQ49" s="68">
        <f>'28'!F19</f>
        <v>0</v>
      </c>
      <c r="BR49" s="70">
        <f>DELIVERIES!BU49</f>
        <v>30.25</v>
      </c>
      <c r="BS49" s="77">
        <f t="shared" si="166"/>
        <v>0</v>
      </c>
      <c r="BT49" s="68">
        <f>'28'!F20</f>
        <v>0</v>
      </c>
      <c r="BU49" s="70">
        <f>DELIVERIES!BX49</f>
        <v>15.916666666659999</v>
      </c>
      <c r="BV49" s="77">
        <f t="shared" si="167"/>
        <v>0</v>
      </c>
      <c r="BW49" s="78"/>
      <c r="BX49" s="79"/>
      <c r="BY49" s="69">
        <f t="shared" si="168"/>
        <v>832.04166666666663</v>
      </c>
      <c r="BZ49" s="39"/>
      <c r="CA49" s="71">
        <f t="shared" si="169"/>
        <v>9716.5416666666661</v>
      </c>
      <c r="CB49" s="90"/>
      <c r="CC49" s="39"/>
      <c r="CD49" s="39">
        <f t="shared" si="170"/>
        <v>9716.5416666666661</v>
      </c>
    </row>
    <row r="50" spans="1:83" ht="15.75" customHeight="1">
      <c r="A50" s="56">
        <v>29</v>
      </c>
      <c r="B50" s="68">
        <f>GROSS!B50</f>
        <v>0</v>
      </c>
      <c r="C50" s="68">
        <f>DELIVERIES!C50</f>
        <v>30</v>
      </c>
      <c r="D50" s="69">
        <f t="shared" si="144"/>
        <v>0</v>
      </c>
      <c r="E50" s="68">
        <f>'29'!F7</f>
        <v>118</v>
      </c>
      <c r="F50" s="70">
        <f>DELIVERIES!F50</f>
        <v>35</v>
      </c>
      <c r="G50" s="71">
        <f t="shared" si="145"/>
        <v>4130</v>
      </c>
      <c r="H50" s="84">
        <f>'29'!F8</f>
        <v>18</v>
      </c>
      <c r="I50" s="70">
        <f>DELIVERIES!I50</f>
        <v>8.5</v>
      </c>
      <c r="J50" s="71">
        <f t="shared" si="146"/>
        <v>153</v>
      </c>
      <c r="K50" s="84">
        <f>'29'!F15</f>
        <v>13</v>
      </c>
      <c r="L50" s="70">
        <f>DELIVERIES!L50</f>
        <v>18</v>
      </c>
      <c r="M50" s="71">
        <f t="shared" si="147"/>
        <v>234</v>
      </c>
      <c r="N50" s="68">
        <f>'29'!F9</f>
        <v>106</v>
      </c>
      <c r="O50" s="70">
        <f>DELIVERIES!O50</f>
        <v>7</v>
      </c>
      <c r="P50" s="71">
        <f t="shared" si="148"/>
        <v>742</v>
      </c>
      <c r="Q50" s="68">
        <f>'29'!F10</f>
        <v>0</v>
      </c>
      <c r="R50" s="72">
        <f>DELIVERIES!R50</f>
        <v>5.5</v>
      </c>
      <c r="S50" s="71">
        <f t="shared" si="149"/>
        <v>0</v>
      </c>
      <c r="T50" s="68">
        <f>'29'!F11</f>
        <v>182</v>
      </c>
      <c r="U50" s="72">
        <f>DELIVERIES!U50</f>
        <v>8.5</v>
      </c>
      <c r="V50" s="71">
        <f t="shared" si="150"/>
        <v>1547</v>
      </c>
      <c r="W50" s="68">
        <f>'29'!F12</f>
        <v>46</v>
      </c>
      <c r="X50" s="68">
        <f>DELIVERIES!X50</f>
        <v>6</v>
      </c>
      <c r="Y50" s="71">
        <f t="shared" si="151"/>
        <v>276</v>
      </c>
      <c r="Z50" s="68">
        <f>'29'!F13</f>
        <v>26</v>
      </c>
      <c r="AA50" s="72">
        <f>DELIVERIES!AA50</f>
        <v>6</v>
      </c>
      <c r="AB50" s="71">
        <f t="shared" si="152"/>
        <v>156</v>
      </c>
      <c r="AC50" s="68">
        <f>'29'!F14</f>
        <v>3</v>
      </c>
      <c r="AD50" s="72">
        <f>DELIVERIES!AD50</f>
        <v>8</v>
      </c>
      <c r="AE50" s="73">
        <f t="shared" si="153"/>
        <v>24</v>
      </c>
      <c r="AF50" s="72"/>
      <c r="AG50" s="72">
        <f>AG7</f>
        <v>0</v>
      </c>
      <c r="AH50" s="118">
        <f t="shared" si="154"/>
        <v>0</v>
      </c>
      <c r="AI50" s="39"/>
      <c r="AJ50" s="39"/>
      <c r="AK50" s="71">
        <f t="shared" si="155"/>
        <v>7262</v>
      </c>
      <c r="AL50" s="76"/>
      <c r="AM50" s="68">
        <f>'29'!F17</f>
        <v>13</v>
      </c>
      <c r="AN50" s="72">
        <f>DELIVERIES!AQ50</f>
        <v>8.75</v>
      </c>
      <c r="AO50" s="71">
        <f t="shared" si="156"/>
        <v>113.75</v>
      </c>
      <c r="AP50" s="68">
        <f>'29'!F18</f>
        <v>41</v>
      </c>
      <c r="AQ50" s="72">
        <f>DELIVERIES!AT50</f>
        <v>12.25</v>
      </c>
      <c r="AR50" s="71">
        <f t="shared" si="157"/>
        <v>502.25</v>
      </c>
      <c r="AS50" s="68">
        <f>'29'!F21</f>
        <v>0</v>
      </c>
      <c r="AT50" s="70">
        <f>DELIVERIES!AW50</f>
        <v>7.791666666666667</v>
      </c>
      <c r="AU50" s="71">
        <f t="shared" si="158"/>
        <v>0</v>
      </c>
      <c r="AV50" s="68">
        <f>'29'!F22</f>
        <v>15</v>
      </c>
      <c r="AW50" s="70">
        <f>DELIVERIES!AZ50</f>
        <v>9.7916666666666661</v>
      </c>
      <c r="AX50" s="71">
        <f t="shared" si="159"/>
        <v>146.875</v>
      </c>
      <c r="AY50" s="68">
        <f>'29'!F26</f>
        <v>0</v>
      </c>
      <c r="AZ50" s="68">
        <f>DELIVERIES!BC50</f>
        <v>16.333333333333332</v>
      </c>
      <c r="BA50" s="69">
        <f t="shared" si="160"/>
        <v>0</v>
      </c>
      <c r="BB50" s="68">
        <f>'29'!F27</f>
        <v>0</v>
      </c>
      <c r="BC50" s="68">
        <f>DELIVERIES!BF50</f>
        <v>11.833333333333334</v>
      </c>
      <c r="BD50" s="69">
        <f t="shared" si="161"/>
        <v>0</v>
      </c>
      <c r="BE50" s="68">
        <f>'29'!F28</f>
        <v>0</v>
      </c>
      <c r="BF50" s="70">
        <f>DELIVERIES!BI50</f>
        <v>20</v>
      </c>
      <c r="BG50" s="71">
        <f t="shared" si="162"/>
        <v>0</v>
      </c>
      <c r="BH50" s="68">
        <f>'29'!F23</f>
        <v>0</v>
      </c>
      <c r="BI50" s="70">
        <f>DELIVERIES!BL50</f>
        <v>23</v>
      </c>
      <c r="BJ50" s="71">
        <f t="shared" si="163"/>
        <v>0</v>
      </c>
      <c r="BK50" s="68">
        <f>'29'!F25</f>
        <v>0</v>
      </c>
      <c r="BL50" s="72">
        <f>DELIVERIES!BO50</f>
        <v>12.5</v>
      </c>
      <c r="BM50" s="71">
        <f t="shared" si="164"/>
        <v>0</v>
      </c>
      <c r="BN50" s="68">
        <f>'29'!F24</f>
        <v>2</v>
      </c>
      <c r="BO50" s="68">
        <f>DELIVERIES!BR50</f>
        <v>12.75</v>
      </c>
      <c r="BP50" s="69">
        <f t="shared" si="165"/>
        <v>25.5</v>
      </c>
      <c r="BQ50" s="68">
        <f>'29'!F19</f>
        <v>0</v>
      </c>
      <c r="BR50" s="70">
        <f>DELIVERIES!BU50</f>
        <v>30.25</v>
      </c>
      <c r="BS50" s="77">
        <f t="shared" si="166"/>
        <v>0</v>
      </c>
      <c r="BT50" s="68">
        <f>'29'!F20</f>
        <v>0</v>
      </c>
      <c r="BU50" s="70">
        <f>DELIVERIES!BX50</f>
        <v>15.916666666659999</v>
      </c>
      <c r="BV50" s="77">
        <f t="shared" si="167"/>
        <v>0</v>
      </c>
      <c r="BW50" s="78"/>
      <c r="BX50" s="79"/>
      <c r="BY50" s="69">
        <f t="shared" si="168"/>
        <v>788.375</v>
      </c>
      <c r="BZ50" s="39"/>
      <c r="CA50" s="71">
        <f t="shared" si="169"/>
        <v>8050.375</v>
      </c>
      <c r="CB50" s="90"/>
      <c r="CC50" s="39"/>
      <c r="CD50" s="39">
        <f t="shared" si="170"/>
        <v>8050.375</v>
      </c>
    </row>
    <row r="51" spans="1:83" ht="15.75" customHeight="1">
      <c r="A51" s="56">
        <v>30</v>
      </c>
      <c r="B51" s="68">
        <f>GROSS!B51</f>
        <v>0</v>
      </c>
      <c r="C51" s="68">
        <f>DELIVERIES!C51</f>
        <v>30</v>
      </c>
      <c r="D51" s="69">
        <f t="shared" si="144"/>
        <v>0</v>
      </c>
      <c r="E51" s="68">
        <f>'30'!F7</f>
        <v>182</v>
      </c>
      <c r="F51" s="70">
        <f>DELIVERIES!F51</f>
        <v>35</v>
      </c>
      <c r="G51" s="71">
        <f t="shared" si="145"/>
        <v>6370</v>
      </c>
      <c r="H51" s="84">
        <f>'30'!F8</f>
        <v>10</v>
      </c>
      <c r="I51" s="70">
        <f>DELIVERIES!I51</f>
        <v>8.5</v>
      </c>
      <c r="J51" s="71">
        <f t="shared" si="146"/>
        <v>85</v>
      </c>
      <c r="K51" s="84">
        <f>'30'!F15</f>
        <v>19</v>
      </c>
      <c r="L51" s="70">
        <f>DELIVERIES!L51</f>
        <v>18</v>
      </c>
      <c r="M51" s="71">
        <f t="shared" si="147"/>
        <v>342</v>
      </c>
      <c r="N51" s="68">
        <f>'30'!F9</f>
        <v>94</v>
      </c>
      <c r="O51" s="70">
        <f>DELIVERIES!O51</f>
        <v>7</v>
      </c>
      <c r="P51" s="71">
        <f t="shared" si="148"/>
        <v>658</v>
      </c>
      <c r="Q51" s="68">
        <f>'30'!F10</f>
        <v>0</v>
      </c>
      <c r="R51" s="72">
        <f>DELIVERIES!R51</f>
        <v>5.5</v>
      </c>
      <c r="S51" s="71">
        <f t="shared" si="149"/>
        <v>0</v>
      </c>
      <c r="T51" s="68">
        <f>'30'!F11</f>
        <v>158</v>
      </c>
      <c r="U51" s="72">
        <f>DELIVERIES!U51</f>
        <v>8.5</v>
      </c>
      <c r="V51" s="71">
        <f t="shared" si="150"/>
        <v>1343</v>
      </c>
      <c r="W51" s="68">
        <f>'30'!F12</f>
        <v>29</v>
      </c>
      <c r="X51" s="68">
        <f>DELIVERIES!X51</f>
        <v>6</v>
      </c>
      <c r="Y51" s="71">
        <f t="shared" si="151"/>
        <v>174</v>
      </c>
      <c r="Z51" s="68">
        <f>'30'!F13</f>
        <v>36</v>
      </c>
      <c r="AA51" s="72">
        <f>DELIVERIES!AA51</f>
        <v>6</v>
      </c>
      <c r="AB51" s="71">
        <f t="shared" si="152"/>
        <v>216</v>
      </c>
      <c r="AC51" s="68">
        <f>'30'!F14</f>
        <v>3</v>
      </c>
      <c r="AD51" s="72">
        <f>DELIVERIES!AD51</f>
        <v>8</v>
      </c>
      <c r="AE51" s="73">
        <f t="shared" si="153"/>
        <v>24</v>
      </c>
      <c r="AF51" s="72"/>
      <c r="AG51" s="72">
        <f>AG7</f>
        <v>0</v>
      </c>
      <c r="AH51" s="118">
        <f t="shared" si="154"/>
        <v>0</v>
      </c>
      <c r="AI51" s="119"/>
      <c r="AJ51" s="119"/>
      <c r="AK51" s="71">
        <f t="shared" si="155"/>
        <v>9212</v>
      </c>
      <c r="AL51" s="76"/>
      <c r="AM51" s="68">
        <f>'30'!F17</f>
        <v>17</v>
      </c>
      <c r="AN51" s="72">
        <f>DELIVERIES!AQ51</f>
        <v>8.75</v>
      </c>
      <c r="AO51" s="71">
        <f t="shared" si="156"/>
        <v>148.75</v>
      </c>
      <c r="AP51" s="68">
        <f>'30'!F18</f>
        <v>34</v>
      </c>
      <c r="AQ51" s="72">
        <f>DELIVERIES!AT51</f>
        <v>12.25</v>
      </c>
      <c r="AR51" s="71">
        <f t="shared" si="157"/>
        <v>416.5</v>
      </c>
      <c r="AS51" s="68">
        <f>'30'!F21</f>
        <v>0</v>
      </c>
      <c r="AT51" s="70">
        <f>DELIVERIES!AW51</f>
        <v>7.791666666666667</v>
      </c>
      <c r="AU51" s="71">
        <f t="shared" si="158"/>
        <v>0</v>
      </c>
      <c r="AV51" s="68">
        <f>'30'!F22</f>
        <v>16</v>
      </c>
      <c r="AW51" s="70">
        <f>DELIVERIES!AZ51</f>
        <v>9.7916666666666661</v>
      </c>
      <c r="AX51" s="71">
        <f t="shared" si="159"/>
        <v>156.66666666666666</v>
      </c>
      <c r="AY51" s="68">
        <f>'30'!F26</f>
        <v>0</v>
      </c>
      <c r="AZ51" s="68">
        <f>DELIVERIES!BC51</f>
        <v>16.333333333333332</v>
      </c>
      <c r="BA51" s="69">
        <f t="shared" si="160"/>
        <v>0</v>
      </c>
      <c r="BB51" s="68">
        <f>'30'!F27</f>
        <v>0</v>
      </c>
      <c r="BC51" s="68">
        <f>DELIVERIES!BF51</f>
        <v>11.833333333333334</v>
      </c>
      <c r="BD51" s="69">
        <f t="shared" si="161"/>
        <v>0</v>
      </c>
      <c r="BE51" s="68">
        <f>'30'!F28</f>
        <v>0</v>
      </c>
      <c r="BF51" s="70">
        <f>DELIVERIES!BI51</f>
        <v>20</v>
      </c>
      <c r="BG51" s="71">
        <f t="shared" si="162"/>
        <v>0</v>
      </c>
      <c r="BH51" s="68">
        <f>'30'!F23</f>
        <v>0</v>
      </c>
      <c r="BI51" s="70">
        <f>DELIVERIES!BL51</f>
        <v>23</v>
      </c>
      <c r="BJ51" s="71">
        <f t="shared" si="163"/>
        <v>0</v>
      </c>
      <c r="BK51" s="68">
        <f>'30'!F25</f>
        <v>0</v>
      </c>
      <c r="BL51" s="72">
        <f>DELIVERIES!BO51</f>
        <v>12.5</v>
      </c>
      <c r="BM51" s="71">
        <f t="shared" si="164"/>
        <v>0</v>
      </c>
      <c r="BN51" s="68">
        <f>'30'!F24</f>
        <v>3</v>
      </c>
      <c r="BO51" s="68">
        <f>DELIVERIES!BR51</f>
        <v>12.75</v>
      </c>
      <c r="BP51" s="69">
        <f t="shared" si="165"/>
        <v>38.25</v>
      </c>
      <c r="BQ51" s="68">
        <f>'30'!F19</f>
        <v>0</v>
      </c>
      <c r="BR51" s="70">
        <f>DELIVERIES!BU51</f>
        <v>30.25</v>
      </c>
      <c r="BS51" s="77">
        <f t="shared" si="166"/>
        <v>0</v>
      </c>
      <c r="BT51" s="68">
        <f>'30'!F20</f>
        <v>0</v>
      </c>
      <c r="BU51" s="70">
        <f>DELIVERIES!BX51</f>
        <v>15.916666666659999</v>
      </c>
      <c r="BV51" s="77">
        <f t="shared" si="167"/>
        <v>0</v>
      </c>
      <c r="BW51" s="78"/>
      <c r="BX51" s="79"/>
      <c r="BY51" s="69">
        <f t="shared" si="168"/>
        <v>760.16666666666663</v>
      </c>
      <c r="BZ51" s="39"/>
      <c r="CA51" s="71">
        <f t="shared" si="169"/>
        <v>9972.1666666666661</v>
      </c>
      <c r="CB51" s="90"/>
      <c r="CC51" s="39"/>
      <c r="CD51" s="39">
        <f t="shared" si="170"/>
        <v>9972.1666666666661</v>
      </c>
    </row>
    <row r="52" spans="1:83" ht="15.75" customHeight="1">
      <c r="A52" s="56">
        <v>31</v>
      </c>
      <c r="B52" s="68">
        <f>GROSS!B52</f>
        <v>0</v>
      </c>
      <c r="C52" s="68">
        <f>DELIVERIES!C52</f>
        <v>30</v>
      </c>
      <c r="D52" s="69">
        <f t="shared" si="144"/>
        <v>0</v>
      </c>
      <c r="E52" s="68">
        <f>'31'!F7</f>
        <v>180</v>
      </c>
      <c r="F52" s="70">
        <f>DELIVERIES!F52</f>
        <v>35</v>
      </c>
      <c r="G52" s="71">
        <f t="shared" si="145"/>
        <v>6300</v>
      </c>
      <c r="H52" s="84">
        <f>'31'!F8</f>
        <v>7</v>
      </c>
      <c r="I52" s="70">
        <f>DELIVERIES!I52</f>
        <v>8.5</v>
      </c>
      <c r="J52" s="71">
        <f t="shared" si="146"/>
        <v>59.5</v>
      </c>
      <c r="K52" s="84">
        <f>'31'!F15</f>
        <v>9</v>
      </c>
      <c r="L52" s="70">
        <f>DELIVERIES!L52</f>
        <v>18</v>
      </c>
      <c r="M52" s="71">
        <f t="shared" si="147"/>
        <v>162</v>
      </c>
      <c r="N52" s="68">
        <f>'31'!F9</f>
        <v>126</v>
      </c>
      <c r="O52" s="70">
        <f>DELIVERIES!O52</f>
        <v>7</v>
      </c>
      <c r="P52" s="71">
        <f t="shared" si="148"/>
        <v>882</v>
      </c>
      <c r="Q52" s="68">
        <f>'31'!F10</f>
        <v>0</v>
      </c>
      <c r="R52" s="72">
        <f>DELIVERIES!R52</f>
        <v>5.5</v>
      </c>
      <c r="S52" s="71">
        <f t="shared" si="149"/>
        <v>0</v>
      </c>
      <c r="T52" s="68">
        <f>'31'!F11</f>
        <v>173</v>
      </c>
      <c r="U52" s="72">
        <f>DELIVERIES!U52</f>
        <v>8.5</v>
      </c>
      <c r="V52" s="71">
        <f t="shared" si="150"/>
        <v>1470.5</v>
      </c>
      <c r="W52" s="68">
        <f>'31'!F12</f>
        <v>38</v>
      </c>
      <c r="X52" s="68">
        <f>DELIVERIES!X52</f>
        <v>6</v>
      </c>
      <c r="Y52" s="71">
        <f t="shared" si="151"/>
        <v>228</v>
      </c>
      <c r="Z52" s="68">
        <f>'31'!F13</f>
        <v>26</v>
      </c>
      <c r="AA52" s="72">
        <f>DELIVERIES!AA52</f>
        <v>6</v>
      </c>
      <c r="AB52" s="71">
        <f t="shared" si="152"/>
        <v>156</v>
      </c>
      <c r="AC52" s="68">
        <f>'31'!F14</f>
        <v>11</v>
      </c>
      <c r="AD52" s="72">
        <f>DELIVERIES!AD52</f>
        <v>8</v>
      </c>
      <c r="AE52" s="73">
        <f t="shared" si="153"/>
        <v>88</v>
      </c>
      <c r="AF52" s="72"/>
      <c r="AG52" s="72">
        <f>AG7</f>
        <v>0</v>
      </c>
      <c r="AH52" s="118">
        <f t="shared" si="154"/>
        <v>0</v>
      </c>
      <c r="AI52" s="119"/>
      <c r="AJ52" s="119"/>
      <c r="AK52" s="71">
        <f t="shared" si="155"/>
        <v>9346</v>
      </c>
      <c r="AL52" s="76"/>
      <c r="AM52" s="68">
        <f>'31'!F17</f>
        <v>14</v>
      </c>
      <c r="AN52" s="72">
        <f>DELIVERIES!AQ52</f>
        <v>8.75</v>
      </c>
      <c r="AO52" s="71">
        <f t="shared" si="156"/>
        <v>122.5</v>
      </c>
      <c r="AP52" s="68">
        <f>'31'!F18</f>
        <v>45</v>
      </c>
      <c r="AQ52" s="72">
        <f>DELIVERIES!AT52</f>
        <v>12.25</v>
      </c>
      <c r="AR52" s="71">
        <f t="shared" si="157"/>
        <v>551.25</v>
      </c>
      <c r="AS52" s="68">
        <f>'31'!F21</f>
        <v>0</v>
      </c>
      <c r="AT52" s="70">
        <f>DELIVERIES!AW52</f>
        <v>7.791666666666667</v>
      </c>
      <c r="AU52" s="71">
        <f t="shared" si="158"/>
        <v>0</v>
      </c>
      <c r="AV52" s="68">
        <f>'31'!F22</f>
        <v>9</v>
      </c>
      <c r="AW52" s="70">
        <f>DELIVERIES!AZ52</f>
        <v>9.7916666666666661</v>
      </c>
      <c r="AX52" s="71">
        <f t="shared" si="159"/>
        <v>88.125</v>
      </c>
      <c r="AY52" s="68">
        <f>'31'!F26</f>
        <v>0</v>
      </c>
      <c r="AZ52" s="68">
        <f>DELIVERIES!BC52</f>
        <v>16.333333333333332</v>
      </c>
      <c r="BA52" s="69">
        <f t="shared" si="160"/>
        <v>0</v>
      </c>
      <c r="BB52" s="68">
        <f>'31'!F27</f>
        <v>0</v>
      </c>
      <c r="BC52" s="68">
        <f>DELIVERIES!BF52</f>
        <v>11.833333333333334</v>
      </c>
      <c r="BD52" s="69">
        <f t="shared" si="161"/>
        <v>0</v>
      </c>
      <c r="BE52" s="68">
        <f>'31'!F28</f>
        <v>0</v>
      </c>
      <c r="BF52" s="70">
        <f>DELIVERIES!BI52</f>
        <v>20</v>
      </c>
      <c r="BG52" s="71">
        <f t="shared" si="162"/>
        <v>0</v>
      </c>
      <c r="BH52" s="68">
        <f>'31'!F23</f>
        <v>0</v>
      </c>
      <c r="BI52" s="70">
        <f>DELIVERIES!BL52</f>
        <v>23</v>
      </c>
      <c r="BJ52" s="71">
        <f t="shared" si="163"/>
        <v>0</v>
      </c>
      <c r="BK52" s="68">
        <f>'31'!F25</f>
        <v>0</v>
      </c>
      <c r="BL52" s="72">
        <f>DELIVERIES!BO52</f>
        <v>12.5</v>
      </c>
      <c r="BM52" s="71">
        <f t="shared" si="164"/>
        <v>0</v>
      </c>
      <c r="BN52" s="68">
        <f>'31'!F24</f>
        <v>2</v>
      </c>
      <c r="BO52" s="68">
        <f>DELIVERIES!BR52</f>
        <v>12.75</v>
      </c>
      <c r="BP52" s="69">
        <f t="shared" si="165"/>
        <v>25.5</v>
      </c>
      <c r="BQ52" s="68">
        <f>'31'!F19</f>
        <v>0</v>
      </c>
      <c r="BR52" s="70">
        <f>DELIVERIES!BU52</f>
        <v>30.25</v>
      </c>
      <c r="BS52" s="77">
        <f t="shared" si="166"/>
        <v>0</v>
      </c>
      <c r="BT52" s="68">
        <f>'31'!F20</f>
        <v>0</v>
      </c>
      <c r="BU52" s="70">
        <f>DELIVERIES!BX52</f>
        <v>15.916666666659999</v>
      </c>
      <c r="BV52" s="77">
        <f t="shared" si="167"/>
        <v>0</v>
      </c>
      <c r="BW52" s="39"/>
      <c r="BX52" s="39"/>
      <c r="BY52" s="69">
        <f t="shared" si="168"/>
        <v>787.375</v>
      </c>
      <c r="BZ52" s="39"/>
      <c r="CA52" s="71">
        <f t="shared" si="169"/>
        <v>10133.375</v>
      </c>
      <c r="CB52" s="90"/>
      <c r="CC52" s="39"/>
      <c r="CD52" s="39">
        <f t="shared" si="170"/>
        <v>10133.375</v>
      </c>
    </row>
    <row r="53" spans="1:83" ht="15.75" customHeight="1">
      <c r="A53" s="129" t="s">
        <v>23</v>
      </c>
      <c r="B53" s="68">
        <f>SUM(B43:B52)</f>
        <v>0</v>
      </c>
      <c r="C53" s="68"/>
      <c r="D53" s="130">
        <f t="shared" ref="D53:E53" si="171">SUM(D43:D52)</f>
        <v>0</v>
      </c>
      <c r="E53" s="70">
        <f t="shared" si="171"/>
        <v>1780</v>
      </c>
      <c r="F53" s="70"/>
      <c r="G53" s="131">
        <f t="shared" ref="G53:H53" si="172">SUM(G43:G52)</f>
        <v>62300</v>
      </c>
      <c r="H53" s="72">
        <f t="shared" si="172"/>
        <v>115</v>
      </c>
      <c r="I53" s="70"/>
      <c r="J53" s="131">
        <f t="shared" ref="J53:K53" si="173">SUM(J43:J52)</f>
        <v>977.5</v>
      </c>
      <c r="K53" s="70">
        <f t="shared" si="173"/>
        <v>158</v>
      </c>
      <c r="L53" s="70"/>
      <c r="M53" s="131">
        <f t="shared" ref="M53:N53" si="174">SUM(M43:M52)</f>
        <v>2844</v>
      </c>
      <c r="N53" s="70">
        <f t="shared" si="174"/>
        <v>1046</v>
      </c>
      <c r="O53" s="70"/>
      <c r="P53" s="131">
        <f t="shared" ref="P53:Q53" si="175">SUM(P43:P52)</f>
        <v>7322</v>
      </c>
      <c r="Q53" s="70">
        <f t="shared" si="175"/>
        <v>0</v>
      </c>
      <c r="R53" s="70"/>
      <c r="S53" s="131">
        <f t="shared" ref="S53:T53" si="176">SUM(S43:S52)</f>
        <v>0</v>
      </c>
      <c r="T53" s="70">
        <f t="shared" si="176"/>
        <v>1855</v>
      </c>
      <c r="U53" s="70"/>
      <c r="V53" s="131">
        <f t="shared" ref="V53:W53" si="177">SUM(V43:V52)</f>
        <v>15767.5</v>
      </c>
      <c r="W53" s="70">
        <f t="shared" si="177"/>
        <v>352</v>
      </c>
      <c r="X53" s="70"/>
      <c r="Y53" s="131">
        <f t="shared" ref="Y53:Z53" si="178">SUM(Y43:Y52)</f>
        <v>2112</v>
      </c>
      <c r="Z53" s="70">
        <f t="shared" si="178"/>
        <v>360</v>
      </c>
      <c r="AA53" s="70"/>
      <c r="AB53" s="132">
        <f t="shared" ref="AB53:AC53" si="179">SUM(AB43:AB52)</f>
        <v>2160</v>
      </c>
      <c r="AC53" s="70">
        <f t="shared" si="179"/>
        <v>67</v>
      </c>
      <c r="AD53" s="70"/>
      <c r="AE53" s="132">
        <f t="shared" ref="AE53:AF53" si="180">SUM(AE43:AE52)</f>
        <v>536</v>
      </c>
      <c r="AF53" s="70">
        <f t="shared" si="180"/>
        <v>0</v>
      </c>
      <c r="AG53" s="70"/>
      <c r="AH53" s="131">
        <f>SUM(AH43:AH52)</f>
        <v>0</v>
      </c>
      <c r="AI53" s="39"/>
      <c r="AJ53" s="39"/>
      <c r="AK53" s="131">
        <f>SUM(AK43:AK52)</f>
        <v>94019</v>
      </c>
      <c r="AL53" s="76"/>
      <c r="AM53" s="68">
        <f>SUM(AM43:AM52)</f>
        <v>139</v>
      </c>
      <c r="AN53" s="70"/>
      <c r="AO53" s="131">
        <f t="shared" ref="AO53:AP53" si="181">SUM(AO43:AO52)</f>
        <v>1216.25</v>
      </c>
      <c r="AP53" s="70">
        <f t="shared" si="181"/>
        <v>417</v>
      </c>
      <c r="AQ53" s="70"/>
      <c r="AR53" s="131">
        <f t="shared" ref="AR53:AS53" si="182">SUM(AR43:AR52)</f>
        <v>5108.25</v>
      </c>
      <c r="AS53" s="70">
        <f t="shared" si="182"/>
        <v>0</v>
      </c>
      <c r="AT53" s="70"/>
      <c r="AU53" s="131">
        <f t="shared" ref="AU53:AV53" si="183">SUM(AU43:AU52)</f>
        <v>0</v>
      </c>
      <c r="AV53" s="72">
        <f t="shared" si="183"/>
        <v>87</v>
      </c>
      <c r="AW53" s="70"/>
      <c r="AX53" s="131">
        <f t="shared" ref="AX53:AY53" si="184">SUM(AX43:AX52)</f>
        <v>851.87499999999989</v>
      </c>
      <c r="AY53" s="70">
        <f t="shared" si="184"/>
        <v>0</v>
      </c>
      <c r="AZ53" s="70"/>
      <c r="BA53" s="131">
        <f t="shared" ref="BA53:BB53" si="185">SUM(BA43:BA52)</f>
        <v>0</v>
      </c>
      <c r="BB53" s="70">
        <f t="shared" si="185"/>
        <v>0</v>
      </c>
      <c r="BC53" s="70"/>
      <c r="BD53" s="131">
        <f t="shared" ref="BD53:BE53" si="186">SUM(BD43:BD52)</f>
        <v>0</v>
      </c>
      <c r="BE53" s="70">
        <f t="shared" si="186"/>
        <v>15</v>
      </c>
      <c r="BF53" s="70"/>
      <c r="BG53" s="131">
        <f t="shared" ref="BG53:BH53" si="187">SUM(BG43:BG52)</f>
        <v>300</v>
      </c>
      <c r="BH53" s="70">
        <f t="shared" si="187"/>
        <v>0</v>
      </c>
      <c r="BI53" s="70"/>
      <c r="BJ53" s="131">
        <f t="shared" ref="BJ53:BK53" si="188">SUM(BJ43:BJ52)</f>
        <v>0</v>
      </c>
      <c r="BK53" s="72">
        <f t="shared" si="188"/>
        <v>0</v>
      </c>
      <c r="BL53" s="70"/>
      <c r="BM53" s="131">
        <f t="shared" ref="BM53:BN53" si="189">SUM(BM43:BM52)</f>
        <v>0</v>
      </c>
      <c r="BN53" s="70">
        <f t="shared" si="189"/>
        <v>24</v>
      </c>
      <c r="BO53" s="68"/>
      <c r="BP53" s="131">
        <f t="shared" ref="BP53:BQ53" si="190">SUM(BP43:BP52)</f>
        <v>306</v>
      </c>
      <c r="BQ53" s="70">
        <f t="shared" si="190"/>
        <v>0</v>
      </c>
      <c r="BR53" s="70"/>
      <c r="BS53" s="132">
        <f t="shared" ref="BS53:BT53" si="191">SUM(BS43:BS52)</f>
        <v>0</v>
      </c>
      <c r="BT53" s="70">
        <f t="shared" si="191"/>
        <v>0</v>
      </c>
      <c r="BU53" s="70"/>
      <c r="BV53" s="132">
        <f>SUM(BV43:BV52)</f>
        <v>0</v>
      </c>
      <c r="BW53" s="39"/>
      <c r="BX53" s="39"/>
      <c r="BY53" s="130">
        <f>SUM(BY43:BY52)</f>
        <v>7782.375</v>
      </c>
      <c r="BZ53" s="39"/>
      <c r="CA53" s="131">
        <f>SUM(CA43:CA52)</f>
        <v>101801.375</v>
      </c>
      <c r="CB53" s="78"/>
      <c r="CC53" s="39"/>
      <c r="CD53" s="134">
        <f>SUM(CD43:CD52)</f>
        <v>101801.375</v>
      </c>
    </row>
    <row r="54" spans="1:83" ht="6" customHeight="1">
      <c r="A54" s="135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</row>
    <row r="55" spans="1:83" ht="15.75" customHeight="1">
      <c r="A55" s="183" t="s">
        <v>23</v>
      </c>
      <c r="B55" s="184">
        <f>B14+B26+B38+B53</f>
        <v>0</v>
      </c>
      <c r="C55" s="185"/>
      <c r="D55" s="186">
        <f t="shared" ref="D55:E55" si="192">D14+D26+D38+D53</f>
        <v>0</v>
      </c>
      <c r="E55" s="187">
        <f t="shared" si="192"/>
        <v>6012</v>
      </c>
      <c r="F55" s="6"/>
      <c r="G55" s="188">
        <f t="shared" ref="G55:H55" si="193">G14+G26+G38+G53</f>
        <v>210420</v>
      </c>
      <c r="H55" s="187">
        <f t="shared" si="193"/>
        <v>338</v>
      </c>
      <c r="I55" s="6"/>
      <c r="J55" s="188">
        <f t="shared" ref="J55:K55" si="194">J14+J26+J38+J53</f>
        <v>2873</v>
      </c>
      <c r="K55" s="187">
        <f t="shared" si="194"/>
        <v>478</v>
      </c>
      <c r="L55" s="6"/>
      <c r="M55" s="188">
        <f t="shared" ref="M55:N55" si="195">M14+M26+M38+M53</f>
        <v>8604</v>
      </c>
      <c r="N55" s="187">
        <f t="shared" si="195"/>
        <v>2782</v>
      </c>
      <c r="O55" s="6"/>
      <c r="P55" s="188">
        <f t="shared" ref="P55:Q55" si="196">P14+P26+P38+P53</f>
        <v>19474</v>
      </c>
      <c r="Q55" s="187">
        <f t="shared" si="196"/>
        <v>0</v>
      </c>
      <c r="R55" s="6"/>
      <c r="S55" s="188">
        <f t="shared" ref="S55:T55" si="197">S14+S26+S38+S53</f>
        <v>0</v>
      </c>
      <c r="T55" s="187">
        <f t="shared" si="197"/>
        <v>5874</v>
      </c>
      <c r="U55" s="6"/>
      <c r="V55" s="188">
        <f t="shared" ref="V55:W55" si="198">V14+V26+V38+V53</f>
        <v>49929</v>
      </c>
      <c r="W55" s="187">
        <f t="shared" si="198"/>
        <v>1180</v>
      </c>
      <c r="X55" s="6"/>
      <c r="Y55" s="188">
        <f t="shared" ref="Y55:Z55" si="199">Y14+Y26+Y38+Y53</f>
        <v>7080</v>
      </c>
      <c r="Z55" s="187">
        <f t="shared" si="199"/>
        <v>1153</v>
      </c>
      <c r="AA55" s="6"/>
      <c r="AB55" s="188">
        <f t="shared" ref="AB55:AC55" si="200">AB14+AB26+AB38+AB53</f>
        <v>6918</v>
      </c>
      <c r="AC55" s="187">
        <f t="shared" si="200"/>
        <v>257</v>
      </c>
      <c r="AD55" s="6"/>
      <c r="AE55" s="188">
        <f t="shared" ref="AE55:AF55" si="201">AE14+AE26+AE38+AE53</f>
        <v>2056</v>
      </c>
      <c r="AF55" s="187">
        <f t="shared" si="201"/>
        <v>0</v>
      </c>
      <c r="AG55" s="6"/>
      <c r="AH55" s="188">
        <f>AH14+AH26+AH38+AH53</f>
        <v>0</v>
      </c>
      <c r="AI55" s="6"/>
      <c r="AJ55" s="6"/>
      <c r="AK55" s="188">
        <f>AK14+AK26+AK38+AK53</f>
        <v>307354</v>
      </c>
      <c r="AL55" s="6"/>
      <c r="AM55" s="6">
        <f>AM14+AM26+AM38+AM53</f>
        <v>407</v>
      </c>
      <c r="AN55" s="6"/>
      <c r="AO55" s="187">
        <f t="shared" ref="AO55:AP55" si="202">AO14+AO26+AO38+AO53</f>
        <v>3561.25</v>
      </c>
      <c r="AP55" s="6">
        <f t="shared" si="202"/>
        <v>1257</v>
      </c>
      <c r="AQ55" s="6"/>
      <c r="AR55" s="189">
        <f t="shared" ref="AR55:AS55" si="203">AR14+AR26+AR38+AR53</f>
        <v>15398.25</v>
      </c>
      <c r="AS55" s="187">
        <f t="shared" si="203"/>
        <v>0</v>
      </c>
      <c r="AT55" s="6"/>
      <c r="AU55" s="188">
        <f t="shared" ref="AU55:AV55" si="204">AU14+AU26+AU38+AU53</f>
        <v>0</v>
      </c>
      <c r="AV55" s="187">
        <f t="shared" si="204"/>
        <v>229</v>
      </c>
      <c r="AW55" s="6"/>
      <c r="AX55" s="188">
        <f t="shared" ref="AX55:AY55" si="205">AX14+AX26+AX38+AX53</f>
        <v>2242.2916666666665</v>
      </c>
      <c r="AY55" s="187">
        <f t="shared" si="205"/>
        <v>0</v>
      </c>
      <c r="AZ55" s="6"/>
      <c r="BA55" s="188">
        <f t="shared" ref="BA55:BB55" si="206">BA14+BA26+BA38+BA53</f>
        <v>0</v>
      </c>
      <c r="BB55" s="187">
        <f t="shared" si="206"/>
        <v>107</v>
      </c>
      <c r="BC55" s="6"/>
      <c r="BD55" s="188">
        <f t="shared" ref="BD55:BE55" si="207">BD14+BD26+BD38+BD53</f>
        <v>1232.3333333333333</v>
      </c>
      <c r="BE55" s="187">
        <f t="shared" si="207"/>
        <v>96</v>
      </c>
      <c r="BF55" s="6"/>
      <c r="BG55" s="188">
        <f t="shared" ref="BG55:BH55" si="208">BG14+BG26+BG38+BG53</f>
        <v>1920</v>
      </c>
      <c r="BH55" s="187">
        <f t="shared" si="208"/>
        <v>0</v>
      </c>
      <c r="BI55" s="6"/>
      <c r="BJ55" s="188">
        <f t="shared" ref="BJ55:BK55" si="209">BJ14+BJ26+BJ38+BJ53</f>
        <v>0</v>
      </c>
      <c r="BK55" s="187">
        <f t="shared" si="209"/>
        <v>0</v>
      </c>
      <c r="BL55" s="6"/>
      <c r="BM55" s="188">
        <f t="shared" ref="BM55:BN55" si="210">BM14+BM26+BM38+BM53</f>
        <v>0</v>
      </c>
      <c r="BN55" s="187">
        <f t="shared" si="210"/>
        <v>93</v>
      </c>
      <c r="BO55" s="6"/>
      <c r="BP55" s="188">
        <f t="shared" ref="BP55:BQ55" si="211">BP14+BP26+BP38+BP53</f>
        <v>1185.75</v>
      </c>
      <c r="BQ55" s="187">
        <f t="shared" si="211"/>
        <v>0</v>
      </c>
      <c r="BR55" s="6"/>
      <c r="BS55" s="188">
        <f t="shared" ref="BS55:BT55" si="212">BS14+BS26+BS38+BS53</f>
        <v>0</v>
      </c>
      <c r="BT55" s="187">
        <f t="shared" si="212"/>
        <v>0</v>
      </c>
      <c r="BU55" s="6"/>
      <c r="BV55" s="188">
        <f>BV14+BV26+BV38+BV53</f>
        <v>0</v>
      </c>
      <c r="BW55" s="6"/>
      <c r="BX55" s="6"/>
      <c r="BY55" s="188">
        <f>BY14+BY26+BY38+BY53</f>
        <v>25539.875</v>
      </c>
      <c r="BZ55" s="6"/>
      <c r="CA55" s="190">
        <f>CA14+CA26+CA38+CA53</f>
        <v>332893.875</v>
      </c>
      <c r="CB55" s="6">
        <f>CA55/30</f>
        <v>11096.4625</v>
      </c>
      <c r="CC55" s="6"/>
      <c r="CD55" s="6"/>
      <c r="CE55" s="188">
        <f>BY14+BY26+BY38+BY53</f>
        <v>25539.875</v>
      </c>
    </row>
    <row r="56" spans="1:83" ht="15.75" customHeight="1">
      <c r="A56" s="135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</row>
    <row r="57" spans="1:83" ht="15.75" customHeight="1">
      <c r="A57" s="135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</row>
    <row r="58" spans="1:83" ht="15.75" customHeight="1">
      <c r="A58" s="135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</row>
    <row r="59" spans="1:83" ht="15.75" customHeight="1">
      <c r="A59" s="135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</row>
    <row r="60" spans="1:83" ht="15.75" customHeight="1">
      <c r="A60" s="135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</row>
    <row r="61" spans="1:83" ht="15.75" customHeight="1">
      <c r="A61" s="135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</row>
    <row r="62" spans="1:83" ht="15.75" customHeight="1">
      <c r="A62" s="135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</row>
    <row r="63" spans="1:83" ht="15.75" customHeight="1">
      <c r="A63" s="135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</row>
    <row r="64" spans="1:83" ht="15.75" customHeight="1">
      <c r="A64" s="135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</row>
    <row r="65" spans="1:83" ht="15.75" customHeight="1">
      <c r="A65" s="135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</row>
    <row r="66" spans="1:83" ht="15.75" customHeight="1">
      <c r="A66" s="135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</row>
    <row r="67" spans="1:83" ht="15.75" customHeight="1">
      <c r="A67" s="135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</row>
    <row r="68" spans="1:83" ht="15.75" customHeight="1">
      <c r="A68" s="135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</row>
    <row r="69" spans="1:83" ht="15.75" customHeight="1">
      <c r="A69" s="135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</row>
    <row r="70" spans="1:83" ht="15.75" customHeight="1">
      <c r="A70" s="135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</row>
    <row r="71" spans="1:83" ht="15.75" customHeight="1">
      <c r="A71" s="135"/>
      <c r="BQ71" s="3"/>
    </row>
    <row r="72" spans="1:83" ht="15.75" customHeight="1">
      <c r="A72" s="135"/>
      <c r="BQ72" s="3"/>
    </row>
    <row r="73" spans="1:83" ht="15.75" customHeight="1">
      <c r="A73" s="135"/>
      <c r="BQ73" s="3"/>
    </row>
    <row r="74" spans="1:83" ht="15.75" customHeight="1">
      <c r="A74" s="135"/>
      <c r="BQ74" s="3"/>
    </row>
    <row r="75" spans="1:83" ht="15.75" customHeight="1">
      <c r="A75" s="135"/>
      <c r="BQ75" s="3"/>
    </row>
    <row r="76" spans="1:83" ht="15.75" customHeight="1">
      <c r="A76" s="135"/>
      <c r="BQ76" s="3"/>
    </row>
    <row r="77" spans="1:83" ht="15.75" customHeight="1">
      <c r="A77" s="135"/>
      <c r="BQ77" s="3"/>
    </row>
    <row r="78" spans="1:83" ht="15.75" customHeight="1">
      <c r="A78" s="135"/>
      <c r="BQ78" s="3"/>
    </row>
    <row r="79" spans="1:83" ht="15.75" customHeight="1">
      <c r="A79" s="135"/>
      <c r="BQ79" s="3"/>
    </row>
    <row r="80" spans="1:83" ht="15.75" customHeight="1">
      <c r="A80" s="135"/>
      <c r="BQ80" s="3"/>
    </row>
    <row r="81" spans="1:69" ht="15.75" customHeight="1">
      <c r="A81" s="135"/>
      <c r="BQ81" s="3"/>
    </row>
    <row r="82" spans="1:69" ht="15.75" customHeight="1">
      <c r="A82" s="135"/>
      <c r="BQ82" s="3"/>
    </row>
    <row r="83" spans="1:69" ht="15.75" customHeight="1">
      <c r="A83" s="135"/>
      <c r="BQ83" s="3"/>
    </row>
    <row r="84" spans="1:69" ht="15.75" customHeight="1">
      <c r="A84" s="135"/>
      <c r="BQ84" s="3"/>
    </row>
    <row r="85" spans="1:69" ht="15.75" customHeight="1">
      <c r="A85" s="135"/>
      <c r="BQ85" s="3"/>
    </row>
    <row r="86" spans="1:69" ht="15.75" customHeight="1">
      <c r="A86" s="135"/>
      <c r="BQ86" s="3"/>
    </row>
    <row r="87" spans="1:69" ht="15.75" customHeight="1">
      <c r="A87" s="135"/>
      <c r="BQ87" s="3"/>
    </row>
    <row r="88" spans="1:69" ht="15.75" customHeight="1">
      <c r="A88" s="135"/>
      <c r="BQ88" s="3"/>
    </row>
    <row r="89" spans="1:69" ht="15.75" customHeight="1">
      <c r="A89" s="135"/>
      <c r="BQ89" s="3"/>
    </row>
    <row r="90" spans="1:69" ht="15.75" customHeight="1">
      <c r="A90" s="135"/>
      <c r="BQ90" s="3"/>
    </row>
    <row r="91" spans="1:69" ht="15.75" customHeight="1">
      <c r="A91" s="135"/>
      <c r="BQ91" s="3"/>
    </row>
    <row r="92" spans="1:69" ht="15.75" customHeight="1">
      <c r="A92" s="135"/>
      <c r="BQ92" s="3"/>
    </row>
    <row r="93" spans="1:69" ht="15.75" customHeight="1">
      <c r="A93" s="135"/>
      <c r="BQ93" s="3"/>
    </row>
    <row r="94" spans="1:69" ht="15.75" customHeight="1">
      <c r="A94" s="135"/>
      <c r="BQ94" s="3"/>
    </row>
    <row r="95" spans="1:69" ht="15.75" customHeight="1">
      <c r="A95" s="135"/>
      <c r="BQ95" s="3"/>
    </row>
    <row r="96" spans="1:69" ht="15.75" customHeight="1">
      <c r="A96" s="135"/>
      <c r="BQ96" s="3"/>
    </row>
    <row r="97" spans="1:69" ht="15.75" customHeight="1">
      <c r="A97" s="135"/>
      <c r="BQ97" s="3"/>
    </row>
    <row r="98" spans="1:69" ht="15.75" customHeight="1">
      <c r="A98" s="135"/>
      <c r="BQ98" s="3"/>
    </row>
    <row r="99" spans="1:69" ht="15.75" customHeight="1">
      <c r="A99" s="135"/>
      <c r="BQ99" s="3"/>
    </row>
    <row r="100" spans="1:69" ht="15.75" customHeight="1">
      <c r="A100" s="135"/>
      <c r="BQ100" s="3"/>
    </row>
    <row r="101" spans="1:69" ht="15.75" customHeight="1">
      <c r="A101" s="135"/>
      <c r="BQ101" s="3"/>
    </row>
    <row r="102" spans="1:69" ht="15.75" customHeight="1">
      <c r="A102" s="135"/>
      <c r="BQ102" s="3"/>
    </row>
    <row r="103" spans="1:69" ht="15.75" customHeight="1">
      <c r="A103" s="135"/>
      <c r="BQ103" s="3"/>
    </row>
    <row r="104" spans="1:69" ht="15.75" customHeight="1">
      <c r="A104" s="135"/>
      <c r="BQ104" s="3"/>
    </row>
    <row r="105" spans="1:69" ht="15.75" customHeight="1">
      <c r="A105" s="135"/>
      <c r="BQ105" s="3"/>
    </row>
    <row r="106" spans="1:69" ht="15.75" customHeight="1">
      <c r="A106" s="135"/>
      <c r="BQ106" s="3"/>
    </row>
    <row r="107" spans="1:69" ht="15.75" customHeight="1">
      <c r="A107" s="135"/>
      <c r="BQ107" s="3"/>
    </row>
    <row r="108" spans="1:69" ht="15.75" customHeight="1">
      <c r="A108" s="135"/>
      <c r="BQ108" s="3"/>
    </row>
    <row r="109" spans="1:69" ht="15.75" customHeight="1">
      <c r="A109" s="135"/>
      <c r="BQ109" s="3"/>
    </row>
    <row r="110" spans="1:69" ht="15.75" customHeight="1">
      <c r="A110" s="135"/>
      <c r="BQ110" s="3"/>
    </row>
    <row r="111" spans="1:69" ht="15.75" customHeight="1">
      <c r="A111" s="135"/>
      <c r="BQ111" s="3"/>
    </row>
    <row r="112" spans="1:69" ht="15.75" customHeight="1">
      <c r="A112" s="135"/>
      <c r="BQ112" s="3"/>
    </row>
    <row r="113" spans="1:69" ht="15.75" customHeight="1">
      <c r="A113" s="135"/>
      <c r="BQ113" s="3"/>
    </row>
    <row r="114" spans="1:69" ht="15.75" customHeight="1">
      <c r="A114" s="135"/>
      <c r="BQ114" s="3"/>
    </row>
    <row r="115" spans="1:69" ht="15.75" customHeight="1">
      <c r="A115" s="135"/>
      <c r="BQ115" s="3"/>
    </row>
    <row r="116" spans="1:69" ht="15.75" customHeight="1">
      <c r="A116" s="135"/>
      <c r="BQ116" s="3"/>
    </row>
    <row r="117" spans="1:69" ht="15.75" customHeight="1">
      <c r="A117" s="135"/>
      <c r="BQ117" s="3"/>
    </row>
    <row r="118" spans="1:69" ht="15.75" customHeight="1">
      <c r="A118" s="135"/>
      <c r="BQ118" s="3"/>
    </row>
    <row r="119" spans="1:69" ht="15.75" customHeight="1">
      <c r="A119" s="135"/>
      <c r="BQ119" s="3"/>
    </row>
    <row r="120" spans="1:69" ht="15.75" customHeight="1">
      <c r="A120" s="135"/>
      <c r="BQ120" s="3"/>
    </row>
    <row r="121" spans="1:69" ht="15.75" customHeight="1">
      <c r="A121" s="135"/>
      <c r="BQ121" s="3"/>
    </row>
    <row r="122" spans="1:69" ht="15.75" customHeight="1">
      <c r="A122" s="135"/>
      <c r="BQ122" s="3"/>
    </row>
    <row r="123" spans="1:69" ht="15.75" customHeight="1">
      <c r="A123" s="135"/>
      <c r="BQ123" s="3"/>
    </row>
    <row r="124" spans="1:69" ht="15.75" customHeight="1">
      <c r="A124" s="135"/>
      <c r="BQ124" s="3"/>
    </row>
    <row r="125" spans="1:69" ht="15.75" customHeight="1">
      <c r="A125" s="135"/>
      <c r="BQ125" s="3"/>
    </row>
    <row r="126" spans="1:69" ht="15.75" customHeight="1">
      <c r="A126" s="135"/>
      <c r="BQ126" s="3"/>
    </row>
    <row r="127" spans="1:69" ht="15.75" customHeight="1">
      <c r="A127" s="135"/>
      <c r="BQ127" s="3"/>
    </row>
    <row r="128" spans="1:69" ht="15.75" customHeight="1">
      <c r="A128" s="135"/>
      <c r="BQ128" s="3"/>
    </row>
    <row r="129" spans="1:69" ht="15.75" customHeight="1">
      <c r="A129" s="135"/>
      <c r="BQ129" s="3"/>
    </row>
    <row r="130" spans="1:69" ht="15.75" customHeight="1">
      <c r="A130" s="135"/>
      <c r="BQ130" s="3"/>
    </row>
    <row r="131" spans="1:69" ht="15.75" customHeight="1">
      <c r="A131" s="135"/>
      <c r="BQ131" s="3"/>
    </row>
    <row r="132" spans="1:69" ht="15.75" customHeight="1">
      <c r="A132" s="135"/>
      <c r="BQ132" s="3"/>
    </row>
    <row r="133" spans="1:69" ht="15.75" customHeight="1">
      <c r="A133" s="135"/>
      <c r="BQ133" s="3"/>
    </row>
    <row r="134" spans="1:69" ht="15.75" customHeight="1">
      <c r="A134" s="135"/>
      <c r="BQ134" s="3"/>
    </row>
    <row r="135" spans="1:69" ht="15.75" customHeight="1">
      <c r="A135" s="135"/>
      <c r="BQ135" s="3"/>
    </row>
    <row r="136" spans="1:69" ht="15.75" customHeight="1">
      <c r="A136" s="135"/>
      <c r="BQ136" s="3"/>
    </row>
    <row r="137" spans="1:69" ht="15.75" customHeight="1">
      <c r="A137" s="135"/>
      <c r="BQ137" s="3"/>
    </row>
    <row r="138" spans="1:69" ht="15.75" customHeight="1">
      <c r="A138" s="135"/>
      <c r="BQ138" s="3"/>
    </row>
    <row r="139" spans="1:69" ht="15.75" customHeight="1">
      <c r="A139" s="135"/>
      <c r="BQ139" s="3"/>
    </row>
    <row r="140" spans="1:69" ht="15.75" customHeight="1">
      <c r="A140" s="135"/>
      <c r="BQ140" s="3"/>
    </row>
    <row r="141" spans="1:69" ht="15.75" customHeight="1">
      <c r="A141" s="135"/>
      <c r="BQ141" s="3"/>
    </row>
    <row r="142" spans="1:69" ht="15.75" customHeight="1">
      <c r="A142" s="135"/>
      <c r="BQ142" s="3"/>
    </row>
    <row r="143" spans="1:69" ht="15.75" customHeight="1">
      <c r="A143" s="135"/>
      <c r="BQ143" s="3"/>
    </row>
    <row r="144" spans="1:69" ht="15.75" customHeight="1">
      <c r="A144" s="135"/>
      <c r="BQ144" s="3"/>
    </row>
    <row r="145" spans="1:69" ht="15.75" customHeight="1">
      <c r="A145" s="135"/>
      <c r="BQ145" s="3"/>
    </row>
    <row r="146" spans="1:69" ht="15.75" customHeight="1">
      <c r="A146" s="135"/>
      <c r="BQ146" s="3"/>
    </row>
    <row r="147" spans="1:69" ht="15.75" customHeight="1">
      <c r="A147" s="135"/>
      <c r="BQ147" s="3"/>
    </row>
    <row r="148" spans="1:69" ht="15.75" customHeight="1">
      <c r="A148" s="135"/>
      <c r="BQ148" s="3"/>
    </row>
    <row r="149" spans="1:69" ht="15.75" customHeight="1">
      <c r="A149" s="135"/>
      <c r="BQ149" s="3"/>
    </row>
    <row r="150" spans="1:69" ht="15.75" customHeight="1">
      <c r="A150" s="135"/>
      <c r="BQ150" s="3"/>
    </row>
    <row r="151" spans="1:69" ht="15.75" customHeight="1">
      <c r="A151" s="135"/>
      <c r="BQ151" s="3"/>
    </row>
    <row r="152" spans="1:69" ht="15.75" customHeight="1">
      <c r="A152" s="135"/>
      <c r="BQ152" s="3"/>
    </row>
    <row r="153" spans="1:69" ht="15.75" customHeight="1">
      <c r="A153" s="135"/>
      <c r="BQ153" s="3"/>
    </row>
    <row r="154" spans="1:69" ht="15.75" customHeight="1">
      <c r="A154" s="135"/>
      <c r="BQ154" s="3"/>
    </row>
    <row r="155" spans="1:69" ht="15.75" customHeight="1">
      <c r="A155" s="135"/>
      <c r="BQ155" s="3"/>
    </row>
    <row r="156" spans="1:69" ht="15.75" customHeight="1">
      <c r="A156" s="135"/>
      <c r="BQ156" s="3"/>
    </row>
    <row r="157" spans="1:69" ht="15.75" customHeight="1">
      <c r="A157" s="135"/>
      <c r="BQ157" s="3"/>
    </row>
    <row r="158" spans="1:69" ht="15.75" customHeight="1">
      <c r="A158" s="135"/>
      <c r="BQ158" s="3"/>
    </row>
    <row r="159" spans="1:69" ht="15.75" customHeight="1">
      <c r="A159" s="135"/>
      <c r="BQ159" s="3"/>
    </row>
    <row r="160" spans="1:69" ht="15.75" customHeight="1">
      <c r="A160" s="135"/>
      <c r="BQ160" s="3"/>
    </row>
    <row r="161" spans="1:69" ht="15.75" customHeight="1">
      <c r="A161" s="135"/>
      <c r="BQ161" s="3"/>
    </row>
    <row r="162" spans="1:69" ht="15.75" customHeight="1">
      <c r="A162" s="135"/>
      <c r="BQ162" s="3"/>
    </row>
    <row r="163" spans="1:69" ht="15.75" customHeight="1">
      <c r="A163" s="135"/>
      <c r="BQ163" s="3"/>
    </row>
    <row r="164" spans="1:69" ht="15.75" customHeight="1">
      <c r="A164" s="135"/>
      <c r="BQ164" s="3"/>
    </row>
    <row r="165" spans="1:69" ht="15.75" customHeight="1">
      <c r="A165" s="135"/>
      <c r="BQ165" s="3"/>
    </row>
    <row r="166" spans="1:69" ht="15.75" customHeight="1">
      <c r="A166" s="135"/>
      <c r="BQ166" s="3"/>
    </row>
    <row r="167" spans="1:69" ht="15.75" customHeight="1">
      <c r="A167" s="135"/>
      <c r="BQ167" s="3"/>
    </row>
    <row r="168" spans="1:69" ht="15.75" customHeight="1">
      <c r="A168" s="135"/>
      <c r="BQ168" s="3"/>
    </row>
    <row r="169" spans="1:69" ht="15.75" customHeight="1">
      <c r="A169" s="135"/>
      <c r="BQ169" s="3"/>
    </row>
    <row r="170" spans="1:69" ht="15.75" customHeight="1">
      <c r="A170" s="135"/>
      <c r="BQ170" s="3"/>
    </row>
    <row r="171" spans="1:69" ht="15.75" customHeight="1">
      <c r="A171" s="135"/>
      <c r="BQ171" s="3"/>
    </row>
    <row r="172" spans="1:69" ht="15.75" customHeight="1">
      <c r="A172" s="135"/>
      <c r="BQ172" s="3"/>
    </row>
    <row r="173" spans="1:69" ht="15.75" customHeight="1">
      <c r="A173" s="135"/>
      <c r="BQ173" s="3"/>
    </row>
    <row r="174" spans="1:69" ht="15.75" customHeight="1">
      <c r="A174" s="135"/>
      <c r="BQ174" s="3"/>
    </row>
    <row r="175" spans="1:69" ht="15.75" customHeight="1">
      <c r="A175" s="135"/>
      <c r="BQ175" s="3"/>
    </row>
    <row r="176" spans="1:69" ht="15.75" customHeight="1">
      <c r="A176" s="135"/>
      <c r="BQ176" s="3"/>
    </row>
    <row r="177" spans="1:69" ht="15.75" customHeight="1">
      <c r="A177" s="135"/>
      <c r="BQ177" s="3"/>
    </row>
    <row r="178" spans="1:69" ht="15.75" customHeight="1">
      <c r="A178" s="135"/>
      <c r="BQ178" s="3"/>
    </row>
    <row r="179" spans="1:69" ht="15.75" customHeight="1">
      <c r="A179" s="135"/>
      <c r="BQ179" s="3"/>
    </row>
    <row r="180" spans="1:69" ht="15.75" customHeight="1">
      <c r="A180" s="135"/>
      <c r="BQ180" s="3"/>
    </row>
    <row r="181" spans="1:69" ht="15.75" customHeight="1">
      <c r="A181" s="135"/>
      <c r="BQ181" s="3"/>
    </row>
    <row r="182" spans="1:69" ht="15.75" customHeight="1">
      <c r="A182" s="135"/>
      <c r="BQ182" s="3"/>
    </row>
    <row r="183" spans="1:69" ht="15.75" customHeight="1">
      <c r="A183" s="135"/>
      <c r="BQ183" s="3"/>
    </row>
    <row r="184" spans="1:69" ht="15.75" customHeight="1">
      <c r="A184" s="135"/>
      <c r="BQ184" s="3"/>
    </row>
    <row r="185" spans="1:69" ht="15.75" customHeight="1">
      <c r="A185" s="135"/>
      <c r="BQ185" s="3"/>
    </row>
    <row r="186" spans="1:69" ht="15.75" customHeight="1">
      <c r="A186" s="135"/>
      <c r="BQ186" s="3"/>
    </row>
    <row r="187" spans="1:69" ht="15.75" customHeight="1">
      <c r="A187" s="135"/>
      <c r="BQ187" s="3"/>
    </row>
    <row r="188" spans="1:69" ht="15.75" customHeight="1">
      <c r="A188" s="135"/>
      <c r="BQ188" s="3"/>
    </row>
    <row r="189" spans="1:69" ht="15.75" customHeight="1">
      <c r="A189" s="135"/>
      <c r="BQ189" s="3"/>
    </row>
    <row r="190" spans="1:69" ht="15.75" customHeight="1">
      <c r="A190" s="135"/>
      <c r="BQ190" s="3"/>
    </row>
    <row r="191" spans="1:69" ht="15.75" customHeight="1">
      <c r="A191" s="135"/>
      <c r="BQ191" s="3"/>
    </row>
    <row r="192" spans="1:69" ht="15.75" customHeight="1">
      <c r="A192" s="135"/>
      <c r="BQ192" s="3"/>
    </row>
    <row r="193" spans="1:69" ht="15.75" customHeight="1">
      <c r="A193" s="135"/>
      <c r="BQ193" s="3"/>
    </row>
    <row r="194" spans="1:69" ht="15.75" customHeight="1">
      <c r="A194" s="135"/>
      <c r="BQ194" s="3"/>
    </row>
    <row r="195" spans="1:69" ht="15.75" customHeight="1">
      <c r="A195" s="135"/>
      <c r="BQ195" s="3"/>
    </row>
    <row r="196" spans="1:69" ht="15.75" customHeight="1">
      <c r="A196" s="135"/>
      <c r="BQ196" s="3"/>
    </row>
    <row r="197" spans="1:69" ht="15.75" customHeight="1">
      <c r="A197" s="135"/>
      <c r="BQ197" s="3"/>
    </row>
    <row r="198" spans="1:69" ht="15.75" customHeight="1">
      <c r="A198" s="135"/>
      <c r="BQ198" s="3"/>
    </row>
    <row r="199" spans="1:69" ht="15.75" customHeight="1">
      <c r="A199" s="135"/>
      <c r="BQ199" s="3"/>
    </row>
    <row r="200" spans="1:69" ht="15.75" customHeight="1">
      <c r="A200" s="135"/>
      <c r="BQ200" s="3"/>
    </row>
    <row r="201" spans="1:69" ht="15.75" customHeight="1">
      <c r="A201" s="135"/>
      <c r="BQ201" s="3"/>
    </row>
    <row r="202" spans="1:69" ht="15.75" customHeight="1">
      <c r="A202" s="135"/>
      <c r="BQ202" s="3"/>
    </row>
    <row r="203" spans="1:69" ht="15.75" customHeight="1">
      <c r="A203" s="135"/>
      <c r="BQ203" s="3"/>
    </row>
    <row r="204" spans="1:69" ht="15.75" customHeight="1">
      <c r="A204" s="135"/>
      <c r="BQ204" s="3"/>
    </row>
    <row r="205" spans="1:69" ht="15.75" customHeight="1">
      <c r="A205" s="135"/>
      <c r="BQ205" s="3"/>
    </row>
    <row r="206" spans="1:69" ht="15.75" customHeight="1">
      <c r="A206" s="135"/>
      <c r="BQ206" s="3"/>
    </row>
    <row r="207" spans="1:69" ht="15.75" customHeight="1">
      <c r="A207" s="135"/>
      <c r="BQ207" s="3"/>
    </row>
    <row r="208" spans="1:69" ht="15.75" customHeight="1">
      <c r="A208" s="135"/>
      <c r="BQ208" s="3"/>
    </row>
    <row r="209" spans="1:69" ht="15.75" customHeight="1">
      <c r="A209" s="135"/>
      <c r="BQ209" s="3"/>
    </row>
    <row r="210" spans="1:69" ht="15.75" customHeight="1">
      <c r="A210" s="135"/>
      <c r="BQ210" s="3"/>
    </row>
    <row r="211" spans="1:69" ht="15.75" customHeight="1">
      <c r="A211" s="135"/>
      <c r="BQ211" s="3"/>
    </row>
    <row r="212" spans="1:69" ht="15.75" customHeight="1">
      <c r="A212" s="135"/>
      <c r="BQ212" s="3"/>
    </row>
    <row r="213" spans="1:69" ht="15.75" customHeight="1">
      <c r="A213" s="135"/>
      <c r="BQ213" s="3"/>
    </row>
    <row r="214" spans="1:69" ht="15.75" customHeight="1">
      <c r="A214" s="135"/>
      <c r="BQ214" s="3"/>
    </row>
    <row r="215" spans="1:69" ht="15.75" customHeight="1">
      <c r="A215" s="135"/>
      <c r="BQ215" s="3"/>
    </row>
    <row r="216" spans="1:69" ht="15.75" customHeight="1">
      <c r="A216" s="135"/>
      <c r="BQ216" s="3"/>
    </row>
    <row r="217" spans="1:69" ht="15.75" customHeight="1">
      <c r="A217" s="135"/>
      <c r="BQ217" s="3"/>
    </row>
    <row r="218" spans="1:69" ht="15.75" customHeight="1">
      <c r="A218" s="135"/>
      <c r="BQ218" s="3"/>
    </row>
    <row r="219" spans="1:69" ht="15.75" customHeight="1">
      <c r="A219" s="135"/>
      <c r="BQ219" s="3"/>
    </row>
    <row r="220" spans="1:69" ht="15.75" customHeight="1">
      <c r="A220" s="135"/>
      <c r="BQ220" s="3"/>
    </row>
    <row r="221" spans="1:69" ht="15.75" customHeight="1">
      <c r="A221" s="135"/>
      <c r="BQ221" s="3"/>
    </row>
    <row r="222" spans="1:69" ht="15.75" customHeight="1">
      <c r="A222" s="135"/>
      <c r="BQ222" s="3"/>
    </row>
    <row r="223" spans="1:69" ht="15.75" customHeight="1">
      <c r="A223" s="135"/>
      <c r="BQ223" s="3"/>
    </row>
    <row r="224" spans="1:69" ht="15.75" customHeight="1">
      <c r="A224" s="135"/>
      <c r="BQ224" s="3"/>
    </row>
    <row r="225" spans="1:69" ht="15.75" customHeight="1">
      <c r="A225" s="135"/>
      <c r="BQ225" s="3"/>
    </row>
    <row r="226" spans="1:69" ht="15.75" customHeight="1">
      <c r="A226" s="135"/>
      <c r="BQ226" s="3"/>
    </row>
    <row r="227" spans="1:69" ht="15.75" customHeight="1">
      <c r="A227" s="135"/>
      <c r="BQ227" s="3"/>
    </row>
    <row r="228" spans="1:69" ht="15.75" customHeight="1">
      <c r="A228" s="135"/>
      <c r="BQ228" s="3"/>
    </row>
    <row r="229" spans="1:69" ht="15.75" customHeight="1">
      <c r="A229" s="135"/>
      <c r="BQ229" s="3"/>
    </row>
    <row r="230" spans="1:69" ht="15.75" customHeight="1">
      <c r="A230" s="135"/>
      <c r="BQ230" s="3"/>
    </row>
    <row r="231" spans="1:69" ht="15.75" customHeight="1">
      <c r="A231" s="135"/>
      <c r="BQ231" s="3"/>
    </row>
    <row r="232" spans="1:69" ht="15.75" customHeight="1">
      <c r="A232" s="135"/>
      <c r="BQ232" s="3"/>
    </row>
    <row r="233" spans="1:69" ht="15.75" customHeight="1">
      <c r="A233" s="135"/>
      <c r="BQ233" s="3"/>
    </row>
    <row r="234" spans="1:69" ht="15.75" customHeight="1">
      <c r="A234" s="135"/>
      <c r="BQ234" s="3"/>
    </row>
    <row r="235" spans="1:69" ht="15.75" customHeight="1">
      <c r="A235" s="135"/>
      <c r="BQ235" s="3"/>
    </row>
    <row r="236" spans="1:69" ht="15.75" customHeight="1">
      <c r="A236" s="135"/>
      <c r="BQ236" s="3"/>
    </row>
    <row r="237" spans="1:69" ht="15.75" customHeight="1">
      <c r="A237" s="135"/>
      <c r="BQ237" s="3"/>
    </row>
    <row r="238" spans="1:69" ht="15.75" customHeight="1">
      <c r="A238" s="135"/>
      <c r="BQ238" s="3"/>
    </row>
    <row r="239" spans="1:69" ht="15.75" customHeight="1">
      <c r="A239" s="135"/>
      <c r="BQ239" s="3"/>
    </row>
    <row r="240" spans="1:69" ht="15.75" customHeight="1">
      <c r="A240" s="135"/>
      <c r="BQ240" s="3"/>
    </row>
    <row r="241" spans="1:69" ht="15.75" customHeight="1">
      <c r="A241" s="135"/>
      <c r="BQ241" s="3"/>
    </row>
    <row r="242" spans="1:69" ht="15.75" customHeight="1">
      <c r="A242" s="135"/>
      <c r="BQ242" s="3"/>
    </row>
    <row r="243" spans="1:69" ht="15.75" customHeight="1">
      <c r="A243" s="135"/>
      <c r="BQ243" s="3"/>
    </row>
    <row r="244" spans="1:69" ht="15.75" customHeight="1">
      <c r="A244" s="135"/>
      <c r="BQ244" s="3"/>
    </row>
    <row r="245" spans="1:69" ht="15.75" customHeight="1">
      <c r="A245" s="135"/>
      <c r="BQ245" s="3"/>
    </row>
    <row r="246" spans="1:69" ht="15.75" customHeight="1">
      <c r="A246" s="135"/>
      <c r="BQ246" s="3"/>
    </row>
    <row r="247" spans="1:69" ht="15.75" customHeight="1">
      <c r="A247" s="135"/>
      <c r="BQ247" s="3"/>
    </row>
    <row r="248" spans="1:69" ht="15.75" customHeight="1">
      <c r="A248" s="135"/>
      <c r="BQ248" s="3"/>
    </row>
    <row r="249" spans="1:69" ht="15.75" customHeight="1">
      <c r="A249" s="135"/>
      <c r="BQ249" s="3"/>
    </row>
    <row r="250" spans="1:69" ht="15.75" customHeight="1">
      <c r="A250" s="135"/>
      <c r="BQ250" s="3"/>
    </row>
    <row r="251" spans="1:69" ht="15.75" customHeight="1">
      <c r="A251" s="135"/>
      <c r="BQ251" s="3"/>
    </row>
    <row r="252" spans="1:69" ht="15.75" customHeight="1">
      <c r="A252" s="135"/>
      <c r="BQ252" s="3"/>
    </row>
    <row r="253" spans="1:69" ht="15.75" customHeight="1">
      <c r="A253" s="135"/>
      <c r="BQ253" s="3"/>
    </row>
    <row r="254" spans="1:69" ht="15.75" customHeight="1">
      <c r="A254" s="135"/>
      <c r="BQ254" s="3"/>
    </row>
    <row r="255" spans="1:69" ht="15.75" customHeight="1">
      <c r="A255" s="135"/>
      <c r="BQ255" s="3"/>
    </row>
    <row r="256" spans="1:6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B17:D17"/>
    <mergeCell ref="E17:G17"/>
    <mergeCell ref="H17:J17"/>
    <mergeCell ref="K17:M17"/>
    <mergeCell ref="N17:P17"/>
    <mergeCell ref="AC41:AE41"/>
    <mergeCell ref="AF41:AH41"/>
    <mergeCell ref="AI41:AK41"/>
    <mergeCell ref="AM41:AO41"/>
    <mergeCell ref="AP41:AR41"/>
    <mergeCell ref="BN41:BP41"/>
    <mergeCell ref="BQ41:BS41"/>
    <mergeCell ref="BT41:BV41"/>
    <mergeCell ref="BW41:BY41"/>
    <mergeCell ref="AS41:AU41"/>
    <mergeCell ref="AV41:AX41"/>
    <mergeCell ref="AY41:BA41"/>
    <mergeCell ref="BB41:BD41"/>
    <mergeCell ref="BE41:BG41"/>
    <mergeCell ref="BH41:BJ41"/>
    <mergeCell ref="BK41:BM41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BH29:BJ29"/>
    <mergeCell ref="BK29:BM29"/>
    <mergeCell ref="B29:D29"/>
    <mergeCell ref="E29:G29"/>
    <mergeCell ref="H29:J29"/>
    <mergeCell ref="K29:M29"/>
    <mergeCell ref="N29:P29"/>
    <mergeCell ref="Q29:S29"/>
    <mergeCell ref="T29:V29"/>
    <mergeCell ref="BW17:BY17"/>
    <mergeCell ref="AM17:AO17"/>
    <mergeCell ref="AP17:AR17"/>
    <mergeCell ref="BB17:BD17"/>
    <mergeCell ref="BE17:BG17"/>
    <mergeCell ref="BH17:BJ17"/>
    <mergeCell ref="BK17:BM17"/>
    <mergeCell ref="BN17:BP17"/>
    <mergeCell ref="W29:Y29"/>
    <mergeCell ref="Z29:AB29"/>
    <mergeCell ref="AC29:AE29"/>
    <mergeCell ref="AF29:AH29"/>
    <mergeCell ref="AI29:AK29"/>
    <mergeCell ref="AM29:AO29"/>
    <mergeCell ref="AP29:AR29"/>
    <mergeCell ref="BN29:BP29"/>
    <mergeCell ref="BQ29:BS29"/>
    <mergeCell ref="BT29:BV29"/>
    <mergeCell ref="BW29:BY29"/>
    <mergeCell ref="AS29:AU29"/>
    <mergeCell ref="AV29:AX29"/>
    <mergeCell ref="AY29:BA29"/>
    <mergeCell ref="BB29:BD29"/>
    <mergeCell ref="BE29:BG29"/>
    <mergeCell ref="Q17:S17"/>
    <mergeCell ref="T17:V17"/>
    <mergeCell ref="W17:Y17"/>
    <mergeCell ref="Z17:AB17"/>
    <mergeCell ref="AC17:AE17"/>
    <mergeCell ref="AF17:AH17"/>
    <mergeCell ref="AI17:AK17"/>
    <mergeCell ref="BQ17:BS17"/>
    <mergeCell ref="BT17:BV17"/>
    <mergeCell ref="AS17:AU17"/>
    <mergeCell ref="AV17:AX17"/>
    <mergeCell ref="AY17:BA17"/>
    <mergeCell ref="BW5:BY5"/>
    <mergeCell ref="CC5:CC6"/>
    <mergeCell ref="CD5:CD6"/>
    <mergeCell ref="A1:D1"/>
    <mergeCell ref="E1:I1"/>
    <mergeCell ref="BN1:CE3"/>
    <mergeCell ref="A2:G2"/>
    <mergeCell ref="A3:B3"/>
    <mergeCell ref="C3:H3"/>
    <mergeCell ref="B5:D5"/>
    <mergeCell ref="K5:M5"/>
    <mergeCell ref="N5:P5"/>
    <mergeCell ref="Q5:S5"/>
    <mergeCell ref="T5:V5"/>
    <mergeCell ref="W5:Y5"/>
    <mergeCell ref="Z5:AB5"/>
    <mergeCell ref="AC5:AE5"/>
    <mergeCell ref="AF5:AH5"/>
    <mergeCell ref="AP5:AR5"/>
    <mergeCell ref="AS5:AU5"/>
    <mergeCell ref="AV5:AX5"/>
    <mergeCell ref="AY5:BA5"/>
    <mergeCell ref="E5:G5"/>
    <mergeCell ref="H5:J5"/>
    <mergeCell ref="AI5:AK5"/>
    <mergeCell ref="AM5:AO5"/>
    <mergeCell ref="BB5:BD5"/>
    <mergeCell ref="BE5:BG5"/>
    <mergeCell ref="BH5:BJ5"/>
    <mergeCell ref="BK5:BM5"/>
    <mergeCell ref="BN5:BP5"/>
    <mergeCell ref="BQ5:BS5"/>
    <mergeCell ref="BT5:BV5"/>
  </mergeCells>
  <pageMargins left="0.69930555555555596" right="0.69930555555555596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9.453125" customWidth="1"/>
    <col min="2" max="2" width="10.08984375" customWidth="1"/>
    <col min="3" max="3" width="7.54296875" customWidth="1"/>
    <col min="4" max="4" width="17.26953125" customWidth="1"/>
    <col min="5" max="5" width="9.54296875" customWidth="1"/>
    <col min="6" max="6" width="7.81640625" customWidth="1"/>
    <col min="7" max="7" width="18.26953125" customWidth="1"/>
    <col min="8" max="8" width="10.26953125" customWidth="1"/>
    <col min="9" max="9" width="7.453125" customWidth="1"/>
    <col min="10" max="10" width="19.08984375" customWidth="1"/>
    <col min="11" max="11" width="9" customWidth="1"/>
    <col min="12" max="12" width="7.08984375" customWidth="1"/>
    <col min="13" max="13" width="18.453125" customWidth="1"/>
    <col min="14" max="14" width="9.7265625" customWidth="1"/>
    <col min="15" max="15" width="8" customWidth="1"/>
    <col min="16" max="16" width="17.7265625" customWidth="1"/>
    <col min="17" max="17" width="11.08984375" customWidth="1"/>
    <col min="18" max="18" width="7.26953125" customWidth="1"/>
    <col min="19" max="19" width="17.7265625" customWidth="1"/>
    <col min="20" max="20" width="9.7265625" customWidth="1"/>
    <col min="21" max="21" width="8" customWidth="1"/>
    <col min="22" max="22" width="18.08984375" customWidth="1"/>
    <col min="23" max="23" width="9.54296875" customWidth="1"/>
    <col min="24" max="24" width="7.54296875" customWidth="1"/>
    <col min="25" max="25" width="18.08984375" customWidth="1"/>
    <col min="26" max="26" width="10.81640625" customWidth="1"/>
    <col min="27" max="27" width="7.7265625" customWidth="1"/>
    <col min="28" max="28" width="17.81640625" customWidth="1"/>
    <col min="29" max="29" width="10.08984375" customWidth="1"/>
    <col min="30" max="30" width="7" customWidth="1"/>
    <col min="31" max="31" width="17.54296875" customWidth="1"/>
    <col min="32" max="32" width="17.453125" hidden="1" customWidth="1"/>
    <col min="33" max="33" width="7" hidden="1" customWidth="1"/>
    <col min="34" max="34" width="17" hidden="1" customWidth="1"/>
    <col min="35" max="35" width="3.54296875" customWidth="1"/>
    <col min="36" max="36" width="4.26953125" customWidth="1"/>
    <col min="37" max="37" width="17.453125" customWidth="1"/>
    <col min="38" max="38" width="9.453125" customWidth="1"/>
    <col min="39" max="39" width="10.7265625" customWidth="1"/>
    <col min="40" max="40" width="10" customWidth="1"/>
    <col min="41" max="41" width="17.54296875" customWidth="1"/>
    <col min="42" max="42" width="10.81640625" customWidth="1"/>
    <col min="43" max="43" width="11" customWidth="1"/>
    <col min="44" max="44" width="17.453125" customWidth="1"/>
    <col min="45" max="45" width="10.08984375" customWidth="1"/>
    <col min="46" max="46" width="8.453125" customWidth="1"/>
    <col min="47" max="47" width="17.08984375" customWidth="1"/>
    <col min="48" max="48" width="10.54296875" customWidth="1"/>
    <col min="49" max="49" width="11.08984375" customWidth="1"/>
    <col min="50" max="50" width="17.453125" customWidth="1"/>
    <col min="51" max="51" width="12.7265625" customWidth="1"/>
    <col min="52" max="52" width="13.54296875" customWidth="1"/>
    <col min="53" max="53" width="17.81640625" customWidth="1"/>
    <col min="54" max="54" width="9.08984375" customWidth="1"/>
    <col min="55" max="55" width="8.453125" customWidth="1"/>
    <col min="56" max="56" width="17.54296875" customWidth="1"/>
    <col min="57" max="57" width="9" customWidth="1"/>
    <col min="58" max="58" width="8.81640625" customWidth="1"/>
    <col min="59" max="59" width="16" customWidth="1"/>
    <col min="60" max="60" width="9.08984375" customWidth="1"/>
    <col min="61" max="61" width="10.453125" customWidth="1"/>
    <col min="62" max="62" width="16.54296875" customWidth="1"/>
    <col min="63" max="63" width="7.54296875" customWidth="1"/>
    <col min="64" max="64" width="8.26953125" customWidth="1"/>
    <col min="65" max="65" width="15.08984375" customWidth="1"/>
    <col min="66" max="66" width="11.08984375" customWidth="1"/>
    <col min="67" max="67" width="7.08984375" customWidth="1"/>
    <col min="68" max="68" width="17.54296875" customWidth="1"/>
    <col min="69" max="69" width="10" customWidth="1"/>
    <col min="70" max="70" width="8.08984375" customWidth="1"/>
    <col min="71" max="71" width="17.453125" customWidth="1"/>
    <col min="72" max="72" width="10.54296875" customWidth="1"/>
    <col min="73" max="73" width="7.453125" customWidth="1"/>
    <col min="74" max="74" width="17.7265625" customWidth="1"/>
    <col min="75" max="75" width="2.54296875" customWidth="1"/>
    <col min="76" max="76" width="6" customWidth="1"/>
    <col min="77" max="77" width="16" customWidth="1"/>
    <col min="78" max="78" width="8.26953125" customWidth="1"/>
    <col min="79" max="79" width="14.08984375" customWidth="1"/>
    <col min="80" max="80" width="10" customWidth="1"/>
    <col min="81" max="81" width="18.7265625" customWidth="1"/>
    <col min="82" max="82" width="13.453125" customWidth="1"/>
  </cols>
  <sheetData>
    <row r="1" spans="1:82" ht="25.5" customHeight="1">
      <c r="A1" s="451" t="s">
        <v>13</v>
      </c>
      <c r="B1" s="438"/>
      <c r="C1" s="438"/>
      <c r="D1" s="438"/>
      <c r="E1" s="452" t="str">
        <f>GROSS!E1</f>
        <v>BRANCH</v>
      </c>
      <c r="F1" s="438"/>
      <c r="G1" s="438"/>
      <c r="H1" s="438"/>
      <c r="I1" s="438"/>
      <c r="J1" s="14"/>
      <c r="K1" s="16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49" t="s">
        <v>32</v>
      </c>
    </row>
    <row r="2" spans="1:82" ht="17.25" customHeight="1">
      <c r="A2" s="456" t="s">
        <v>34</v>
      </c>
      <c r="B2" s="438"/>
      <c r="C2" s="438"/>
      <c r="D2" s="438"/>
      <c r="E2" s="438"/>
      <c r="F2" s="438"/>
      <c r="G2" s="438"/>
      <c r="H2" s="33"/>
      <c r="I2" s="34"/>
      <c r="J2" s="14"/>
      <c r="K2" s="16"/>
      <c r="L2" s="17"/>
      <c r="M2" s="17"/>
      <c r="N2" s="17"/>
      <c r="O2" s="17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</row>
    <row r="3" spans="1:82" ht="18.75" customHeight="1">
      <c r="A3" s="457" t="s">
        <v>38</v>
      </c>
      <c r="B3" s="438"/>
      <c r="C3" s="458"/>
      <c r="D3" s="438"/>
      <c r="E3" s="438"/>
      <c r="F3" s="438"/>
      <c r="G3" s="438"/>
      <c r="H3" s="438"/>
      <c r="I3" s="40"/>
      <c r="J3" s="41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</row>
    <row r="4" spans="1:82" ht="9.75" customHeight="1">
      <c r="A4" s="43"/>
      <c r="B4" s="43"/>
      <c r="C4" s="43"/>
      <c r="D4" s="43"/>
      <c r="E4" s="43"/>
      <c r="F4" s="43"/>
      <c r="G4" s="43"/>
      <c r="H4" s="40"/>
      <c r="I4" s="40"/>
      <c r="J4" s="4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</row>
    <row r="5" spans="1:82" ht="15" customHeight="1">
      <c r="A5" s="51" t="s">
        <v>51</v>
      </c>
      <c r="B5" s="444" t="s">
        <v>52</v>
      </c>
      <c r="C5" s="445"/>
      <c r="D5" s="423"/>
      <c r="E5" s="444" t="str">
        <f>'1'!A7</f>
        <v>SPECIAL CUT</v>
      </c>
      <c r="F5" s="445"/>
      <c r="G5" s="423"/>
      <c r="H5" s="444" t="str">
        <f>'1'!A8</f>
        <v>NGOHIONG</v>
      </c>
      <c r="I5" s="445"/>
      <c r="J5" s="423"/>
      <c r="K5" s="460" t="str">
        <f>'1'!A15</f>
        <v>Chicken Fillet</v>
      </c>
      <c r="L5" s="445"/>
      <c r="M5" s="423"/>
      <c r="N5" s="444" t="s">
        <v>53</v>
      </c>
      <c r="O5" s="445"/>
      <c r="P5" s="445"/>
      <c r="Q5" s="461" t="s">
        <v>54</v>
      </c>
      <c r="R5" s="445"/>
      <c r="S5" s="423"/>
      <c r="T5" s="444" t="s">
        <v>55</v>
      </c>
      <c r="U5" s="445"/>
      <c r="V5" s="423"/>
      <c r="W5" s="444" t="s">
        <v>56</v>
      </c>
      <c r="X5" s="445"/>
      <c r="Y5" s="423"/>
      <c r="Z5" s="444" t="s">
        <v>57</v>
      </c>
      <c r="AA5" s="445"/>
      <c r="AB5" s="445"/>
      <c r="AC5" s="444" t="s">
        <v>58</v>
      </c>
      <c r="AD5" s="445"/>
      <c r="AE5" s="445"/>
      <c r="AF5" s="444"/>
      <c r="AG5" s="445"/>
      <c r="AH5" s="423"/>
      <c r="AI5" s="444" t="s">
        <v>59</v>
      </c>
      <c r="AJ5" s="445"/>
      <c r="AK5" s="423"/>
      <c r="AL5" s="54"/>
      <c r="AM5" s="446" t="str">
        <f>'1'!A17</f>
        <v>8 oz</v>
      </c>
      <c r="AN5" s="445"/>
      <c r="AO5" s="423"/>
      <c r="AP5" s="447" t="s">
        <v>60</v>
      </c>
      <c r="AQ5" s="445"/>
      <c r="AR5" s="423"/>
      <c r="AS5" s="447" t="s">
        <v>61</v>
      </c>
      <c r="AT5" s="445"/>
      <c r="AU5" s="423"/>
      <c r="AV5" s="447" t="s">
        <v>62</v>
      </c>
      <c r="AW5" s="445"/>
      <c r="AX5" s="423"/>
      <c r="AY5" s="447" t="s">
        <v>63</v>
      </c>
      <c r="AZ5" s="445"/>
      <c r="BA5" s="423"/>
      <c r="BB5" s="447" t="s">
        <v>64</v>
      </c>
      <c r="BC5" s="445"/>
      <c r="BD5" s="423"/>
      <c r="BE5" s="447" t="s">
        <v>65</v>
      </c>
      <c r="BF5" s="445"/>
      <c r="BG5" s="423"/>
      <c r="BH5" s="447" t="str">
        <f>'1'!A23</f>
        <v>GATORADE</v>
      </c>
      <c r="BI5" s="445"/>
      <c r="BJ5" s="423"/>
      <c r="BK5" s="448" t="s">
        <v>66</v>
      </c>
      <c r="BL5" s="445"/>
      <c r="BM5" s="423"/>
      <c r="BN5" s="447" t="s">
        <v>67</v>
      </c>
      <c r="BO5" s="445"/>
      <c r="BP5" s="423"/>
      <c r="BQ5" s="447" t="str">
        <f>'1'!A19</f>
        <v>1 LITER</v>
      </c>
      <c r="BR5" s="445"/>
      <c r="BS5" s="423"/>
      <c r="BT5" s="447" t="str">
        <f>'1'!A20</f>
        <v>1.5 L</v>
      </c>
      <c r="BU5" s="445"/>
      <c r="BV5" s="423"/>
      <c r="BW5" s="444" t="s">
        <v>68</v>
      </c>
      <c r="BX5" s="445"/>
      <c r="BY5" s="423"/>
      <c r="BZ5" s="3"/>
      <c r="CA5" s="55" t="s">
        <v>23</v>
      </c>
      <c r="CB5" s="3"/>
      <c r="CC5" s="449" t="s">
        <v>69</v>
      </c>
      <c r="CD5" s="450" t="s">
        <v>70</v>
      </c>
    </row>
    <row r="6" spans="1:82" ht="14.5">
      <c r="A6" s="56" t="s">
        <v>7</v>
      </c>
      <c r="B6" s="56" t="s">
        <v>71</v>
      </c>
      <c r="C6" s="56" t="s">
        <v>72</v>
      </c>
      <c r="D6" s="56" t="s">
        <v>26</v>
      </c>
      <c r="E6" s="56" t="s">
        <v>71</v>
      </c>
      <c r="F6" s="56" t="s">
        <v>72</v>
      </c>
      <c r="G6" s="56" t="s">
        <v>26</v>
      </c>
      <c r="H6" s="57" t="s">
        <v>71</v>
      </c>
      <c r="I6" s="58" t="s">
        <v>72</v>
      </c>
      <c r="J6" s="59" t="s">
        <v>73</v>
      </c>
      <c r="K6" s="57" t="s">
        <v>71</v>
      </c>
      <c r="L6" s="58" t="s">
        <v>72</v>
      </c>
      <c r="M6" s="59" t="s">
        <v>73</v>
      </c>
      <c r="N6" s="56" t="s">
        <v>71</v>
      </c>
      <c r="O6" s="56" t="s">
        <v>72</v>
      </c>
      <c r="P6" s="56" t="s">
        <v>26</v>
      </c>
      <c r="Q6" s="57" t="s">
        <v>71</v>
      </c>
      <c r="R6" s="58" t="s">
        <v>72</v>
      </c>
      <c r="S6" s="59" t="s">
        <v>73</v>
      </c>
      <c r="T6" s="57" t="s">
        <v>71</v>
      </c>
      <c r="U6" s="58" t="s">
        <v>72</v>
      </c>
      <c r="V6" s="60" t="s">
        <v>73</v>
      </c>
      <c r="W6" s="57" t="s">
        <v>71</v>
      </c>
      <c r="X6" s="58" t="s">
        <v>72</v>
      </c>
      <c r="Y6" s="60" t="s">
        <v>73</v>
      </c>
      <c r="Z6" s="57" t="s">
        <v>71</v>
      </c>
      <c r="AA6" s="58" t="s">
        <v>72</v>
      </c>
      <c r="AB6" s="60" t="s">
        <v>73</v>
      </c>
      <c r="AC6" s="57" t="s">
        <v>71</v>
      </c>
      <c r="AD6" s="58" t="s">
        <v>72</v>
      </c>
      <c r="AE6" s="60" t="s">
        <v>26</v>
      </c>
      <c r="AF6" s="56" t="s">
        <v>71</v>
      </c>
      <c r="AG6" s="56" t="s">
        <v>72</v>
      </c>
      <c r="AH6" s="61" t="s">
        <v>26</v>
      </c>
      <c r="AI6" s="62"/>
      <c r="AJ6" s="63"/>
      <c r="AK6" s="64" t="s">
        <v>73</v>
      </c>
      <c r="AL6" s="54"/>
      <c r="AM6" s="65" t="s">
        <v>71</v>
      </c>
      <c r="AN6" s="66" t="s">
        <v>72</v>
      </c>
      <c r="AO6" s="65" t="s">
        <v>73</v>
      </c>
      <c r="AP6" s="67" t="s">
        <v>71</v>
      </c>
      <c r="AQ6" s="66" t="s">
        <v>72</v>
      </c>
      <c r="AR6" s="65" t="s">
        <v>73</v>
      </c>
      <c r="AS6" s="67" t="s">
        <v>71</v>
      </c>
      <c r="AT6" s="66" t="s">
        <v>72</v>
      </c>
      <c r="AU6" s="65" t="s">
        <v>73</v>
      </c>
      <c r="AV6" s="66" t="s">
        <v>71</v>
      </c>
      <c r="AW6" s="66" t="s">
        <v>72</v>
      </c>
      <c r="AX6" s="66" t="s">
        <v>26</v>
      </c>
      <c r="AY6" s="66" t="s">
        <v>71</v>
      </c>
      <c r="AZ6" s="66" t="s">
        <v>72</v>
      </c>
      <c r="BA6" s="66" t="s">
        <v>26</v>
      </c>
      <c r="BB6" s="66" t="s">
        <v>71</v>
      </c>
      <c r="BC6" s="66" t="s">
        <v>72</v>
      </c>
      <c r="BD6" s="66" t="s">
        <v>26</v>
      </c>
      <c r="BE6" s="66" t="s">
        <v>71</v>
      </c>
      <c r="BF6" s="66" t="s">
        <v>72</v>
      </c>
      <c r="BG6" s="66" t="s">
        <v>26</v>
      </c>
      <c r="BH6" s="66" t="s">
        <v>71</v>
      </c>
      <c r="BI6" s="66" t="s">
        <v>72</v>
      </c>
      <c r="BJ6" s="66" t="s">
        <v>26</v>
      </c>
      <c r="BK6" s="66" t="s">
        <v>71</v>
      </c>
      <c r="BL6" s="66" t="s">
        <v>72</v>
      </c>
      <c r="BM6" s="66" t="s">
        <v>26</v>
      </c>
      <c r="BN6" s="66" t="s">
        <v>71</v>
      </c>
      <c r="BO6" s="66" t="s">
        <v>72</v>
      </c>
      <c r="BP6" s="66" t="s">
        <v>26</v>
      </c>
      <c r="BQ6" s="66" t="s">
        <v>71</v>
      </c>
      <c r="BR6" s="66" t="s">
        <v>72</v>
      </c>
      <c r="BS6" s="67" t="s">
        <v>26</v>
      </c>
      <c r="BT6" s="66" t="s">
        <v>71</v>
      </c>
      <c r="BU6" s="66" t="s">
        <v>72</v>
      </c>
      <c r="BV6" s="67" t="s">
        <v>26</v>
      </c>
      <c r="BW6" s="62"/>
      <c r="BX6" s="63"/>
      <c r="BY6" s="64" t="s">
        <v>26</v>
      </c>
      <c r="BZ6" s="3"/>
      <c r="CA6" s="56" t="s">
        <v>26</v>
      </c>
      <c r="CB6" s="3"/>
      <c r="CC6" s="425"/>
      <c r="CD6" s="425"/>
    </row>
    <row r="7" spans="1:82" ht="14.5">
      <c r="A7" s="56">
        <v>1</v>
      </c>
      <c r="B7" s="68">
        <f>'1'!D29</f>
        <v>0</v>
      </c>
      <c r="C7" s="68">
        <f>DELIVERIES!C7</f>
        <v>30</v>
      </c>
      <c r="D7" s="69">
        <f t="shared" ref="D7:D13" si="0">B7*C7</f>
        <v>0</v>
      </c>
      <c r="E7" s="70">
        <f>'1'!D7</f>
        <v>0</v>
      </c>
      <c r="F7" s="70">
        <f>DELIVERIES!F7</f>
        <v>35</v>
      </c>
      <c r="G7" s="71">
        <f t="shared" ref="G7:G13" si="1">E7*F7</f>
        <v>0</v>
      </c>
      <c r="H7" s="72">
        <f>'1'!D8</f>
        <v>0</v>
      </c>
      <c r="I7" s="70">
        <f>DELIVERIES!I7</f>
        <v>8.5</v>
      </c>
      <c r="J7" s="71">
        <f t="shared" ref="J7:J13" si="2">H7*I7</f>
        <v>0</v>
      </c>
      <c r="K7" s="68">
        <f>'1'!D15</f>
        <v>0</v>
      </c>
      <c r="L7" s="70">
        <f>DELIVERIES!L7</f>
        <v>18</v>
      </c>
      <c r="M7" s="71">
        <f t="shared" ref="M7:M13" si="3">K7*L7</f>
        <v>0</v>
      </c>
      <c r="N7" s="70">
        <f>'1'!D9</f>
        <v>0</v>
      </c>
      <c r="O7" s="70">
        <f>DELIVERIES!O7</f>
        <v>7</v>
      </c>
      <c r="P7" s="71">
        <f t="shared" ref="P7:P13" si="4">N7*O7</f>
        <v>0</v>
      </c>
      <c r="Q7" s="68">
        <f>'1'!D10</f>
        <v>0</v>
      </c>
      <c r="R7" s="72">
        <f>DELIVERIES!R7</f>
        <v>5.5</v>
      </c>
      <c r="S7" s="71">
        <f t="shared" ref="S7:S13" si="5">Q7*R7</f>
        <v>0</v>
      </c>
      <c r="T7" s="68">
        <f>'1'!D11</f>
        <v>0</v>
      </c>
      <c r="U7" s="72">
        <f>DELIVERIES!U7</f>
        <v>8.5</v>
      </c>
      <c r="V7" s="71">
        <f t="shared" ref="V7:V13" si="6">T7*U7</f>
        <v>0</v>
      </c>
      <c r="W7" s="68">
        <f>'1'!D12</f>
        <v>0</v>
      </c>
      <c r="X7" s="72">
        <f>DELIVERIES!X7</f>
        <v>6</v>
      </c>
      <c r="Y7" s="71">
        <f t="shared" ref="Y7:Y13" si="7">W7*X7</f>
        <v>0</v>
      </c>
      <c r="Z7" s="68">
        <f>'1'!D13</f>
        <v>0</v>
      </c>
      <c r="AA7" s="72">
        <f>DELIVERIES!AA7</f>
        <v>6</v>
      </c>
      <c r="AB7" s="71">
        <f t="shared" ref="AB7:AB13" si="8">Z7*AA7</f>
        <v>0</v>
      </c>
      <c r="AC7" s="68">
        <f>'1'!D14</f>
        <v>0</v>
      </c>
      <c r="AD7" s="72">
        <f>DELIVERIES!AD7</f>
        <v>8</v>
      </c>
      <c r="AE7" s="73">
        <f t="shared" ref="AE7:AE13" si="9">AC7*AD7</f>
        <v>0</v>
      </c>
      <c r="AF7" s="72"/>
      <c r="AG7" s="72"/>
      <c r="AH7" s="73">
        <f t="shared" ref="AH7:AH13" si="10">AF7*AG7</f>
        <v>0</v>
      </c>
      <c r="AI7" s="74"/>
      <c r="AJ7" s="75"/>
      <c r="AK7" s="69">
        <f t="shared" ref="AK7:AK13" si="11">D7+G7+J7+M7+P7+S7+V7+Y7+AB7+AE7+AH7</f>
        <v>0</v>
      </c>
      <c r="AL7" s="76"/>
      <c r="AM7" s="68">
        <f>'1'!D17</f>
        <v>0</v>
      </c>
      <c r="AN7" s="72">
        <f>DELIVERIES!AQ7</f>
        <v>8.75</v>
      </c>
      <c r="AO7" s="71">
        <f t="shared" ref="AO7:AO13" si="12">AM7*AN7</f>
        <v>0</v>
      </c>
      <c r="AP7" s="68">
        <f>'1'!D18</f>
        <v>0</v>
      </c>
      <c r="AQ7" s="72">
        <f>DELIVERIES!AT7</f>
        <v>12.25</v>
      </c>
      <c r="AR7" s="71">
        <f t="shared" ref="AR7:AR13" si="13">AP7*AQ7</f>
        <v>0</v>
      </c>
      <c r="AS7" s="68">
        <f>'1'!D21</f>
        <v>0</v>
      </c>
      <c r="AT7" s="70">
        <f>DELIVERIES!AW7</f>
        <v>7.9166666666600003</v>
      </c>
      <c r="AU7" s="71">
        <f t="shared" ref="AU7:AU13" si="14">AS7*AT7</f>
        <v>0</v>
      </c>
      <c r="AV7" s="68">
        <f>'1'!D22</f>
        <v>0</v>
      </c>
      <c r="AW7" s="70">
        <f>DELIVERIES!AZ7</f>
        <v>9.7916666666666661</v>
      </c>
      <c r="AX7" s="71">
        <f t="shared" ref="AX7:AX13" si="15">AV7*AW7</f>
        <v>0</v>
      </c>
      <c r="AY7" s="68">
        <f>'1'!D26</f>
        <v>0</v>
      </c>
      <c r="AZ7" s="68">
        <f>DELIVERIES!BC7</f>
        <v>16.333333333333332</v>
      </c>
      <c r="BA7" s="69">
        <f t="shared" ref="BA7:BA13" si="16">AY7*AZ7</f>
        <v>0</v>
      </c>
      <c r="BB7" s="68">
        <f>'1'!D27</f>
        <v>0</v>
      </c>
      <c r="BC7" s="68">
        <f>DELIVERIES!BF7</f>
        <v>11.5</v>
      </c>
      <c r="BD7" s="69">
        <f t="shared" ref="BD7:BD13" si="17">BB7*BC7</f>
        <v>0</v>
      </c>
      <c r="BE7" s="68">
        <f>'1'!D28</f>
        <v>0</v>
      </c>
      <c r="BF7" s="70">
        <f>DELIVERIES!BI31</f>
        <v>20</v>
      </c>
      <c r="BG7" s="71">
        <f t="shared" ref="BG7:BG13" si="18">BE7*BF7</f>
        <v>0</v>
      </c>
      <c r="BH7" s="70">
        <f>'1'!D23</f>
        <v>0</v>
      </c>
      <c r="BI7" s="70">
        <f>DELIVERIES!BL7</f>
        <v>23</v>
      </c>
      <c r="BJ7" s="71">
        <f t="shared" ref="BJ7:BJ13" si="19">BH7*BI7</f>
        <v>0</v>
      </c>
      <c r="BK7" s="68">
        <f>'1'!D25</f>
        <v>0</v>
      </c>
      <c r="BL7" s="72">
        <f>DELIVERIES!BO7</f>
        <v>12.5</v>
      </c>
      <c r="BM7" s="71">
        <f t="shared" ref="BM7:BM13" si="20">BK7*BL7</f>
        <v>0</v>
      </c>
      <c r="BN7" s="68">
        <f>'1'!D24</f>
        <v>0</v>
      </c>
      <c r="BO7" s="68">
        <f>DELIVERIES!BR7</f>
        <v>12.75</v>
      </c>
      <c r="BP7" s="69">
        <f t="shared" ref="BP7:BP13" si="21">BN7*BO7</f>
        <v>0</v>
      </c>
      <c r="BQ7" s="68">
        <f>'1'!D19</f>
        <v>0</v>
      </c>
      <c r="BR7" s="70">
        <f>DELIVERIES!BU7</f>
        <v>30.25</v>
      </c>
      <c r="BS7" s="77">
        <f t="shared" ref="BS7:BS13" si="22">BQ7*BR7</f>
        <v>0</v>
      </c>
      <c r="BT7" s="68">
        <f>'1'!D20</f>
        <v>0</v>
      </c>
      <c r="BU7" s="70">
        <f>DELIVERIES!BX7</f>
        <v>15.916666666659999</v>
      </c>
      <c r="BV7" s="77">
        <f t="shared" ref="BV7:BV13" si="23">BT7*BU7</f>
        <v>0</v>
      </c>
      <c r="BW7" s="78"/>
      <c r="BX7" s="79"/>
      <c r="BY7" s="69">
        <f t="shared" ref="BY7:BY13" si="24">AO7+AR7+AU7+AX7+BA7+BD7+BG7+BJ7+BM7+BP7+BS7+BV7</f>
        <v>0</v>
      </c>
      <c r="BZ7" s="39"/>
      <c r="CA7" s="71">
        <f t="shared" ref="CA7:CA13" si="25">BY7+AK7</f>
        <v>0</v>
      </c>
      <c r="CB7" s="39"/>
      <c r="CC7" s="39"/>
      <c r="CD7" s="39">
        <f t="shared" ref="CD7:CD13" si="26">CA7-CC7</f>
        <v>0</v>
      </c>
    </row>
    <row r="8" spans="1:82" ht="14.5">
      <c r="A8" s="56">
        <v>2</v>
      </c>
      <c r="B8" s="70">
        <f>'2'!D29</f>
        <v>0</v>
      </c>
      <c r="C8" s="68">
        <f>DELIVERIES!C8</f>
        <v>30</v>
      </c>
      <c r="D8" s="69">
        <f t="shared" si="0"/>
        <v>0</v>
      </c>
      <c r="E8" s="70">
        <f>'2'!D7</f>
        <v>0</v>
      </c>
      <c r="F8" s="70">
        <f>DELIVERIES!F8</f>
        <v>35</v>
      </c>
      <c r="G8" s="71">
        <f t="shared" si="1"/>
        <v>0</v>
      </c>
      <c r="H8" s="84">
        <f>'2'!D8</f>
        <v>0</v>
      </c>
      <c r="I8" s="70">
        <f>DELIVERIES!I8</f>
        <v>8.5</v>
      </c>
      <c r="J8" s="71">
        <f t="shared" si="2"/>
        <v>0</v>
      </c>
      <c r="K8" s="84">
        <f>'2'!D15</f>
        <v>0</v>
      </c>
      <c r="L8" s="70">
        <f>DELIVERIES!L8</f>
        <v>18</v>
      </c>
      <c r="M8" s="71">
        <f t="shared" si="3"/>
        <v>0</v>
      </c>
      <c r="N8" s="68">
        <f>'2'!D9</f>
        <v>0</v>
      </c>
      <c r="O8" s="70">
        <f>DELIVERIES!O8</f>
        <v>7</v>
      </c>
      <c r="P8" s="71">
        <f t="shared" si="4"/>
        <v>0</v>
      </c>
      <c r="Q8" s="68">
        <f>'2'!D10</f>
        <v>0</v>
      </c>
      <c r="R8" s="72">
        <f>DELIVERIES!R8</f>
        <v>5.5</v>
      </c>
      <c r="S8" s="71">
        <f t="shared" si="5"/>
        <v>0</v>
      </c>
      <c r="T8" s="68">
        <f>'2'!D11</f>
        <v>0</v>
      </c>
      <c r="U8" s="72">
        <f>DELIVERIES!U8</f>
        <v>8.5</v>
      </c>
      <c r="V8" s="71">
        <f t="shared" si="6"/>
        <v>0</v>
      </c>
      <c r="W8" s="68">
        <f>'2'!D12</f>
        <v>0</v>
      </c>
      <c r="X8" s="72">
        <f>DELIVERIES!X8</f>
        <v>6</v>
      </c>
      <c r="Y8" s="71">
        <f t="shared" si="7"/>
        <v>0</v>
      </c>
      <c r="Z8" s="68">
        <f>'2'!D13</f>
        <v>0</v>
      </c>
      <c r="AA8" s="72">
        <f>DELIVERIES!AA8</f>
        <v>6</v>
      </c>
      <c r="AB8" s="71">
        <f t="shared" si="8"/>
        <v>0</v>
      </c>
      <c r="AC8" s="68">
        <f>'2'!D14</f>
        <v>0</v>
      </c>
      <c r="AD8" s="72">
        <f>DELIVERIES!AD8</f>
        <v>8</v>
      </c>
      <c r="AE8" s="73">
        <f t="shared" si="9"/>
        <v>0</v>
      </c>
      <c r="AF8" s="72"/>
      <c r="AG8" s="72">
        <f>AG7</f>
        <v>0</v>
      </c>
      <c r="AH8" s="73">
        <f t="shared" si="10"/>
        <v>0</v>
      </c>
      <c r="AI8" s="74"/>
      <c r="AJ8" s="75"/>
      <c r="AK8" s="69">
        <f t="shared" si="11"/>
        <v>0</v>
      </c>
      <c r="AL8" s="76"/>
      <c r="AM8" s="68">
        <f>'2'!D17</f>
        <v>0</v>
      </c>
      <c r="AN8" s="72">
        <f>DELIVERIES!AQ8</f>
        <v>8.75</v>
      </c>
      <c r="AO8" s="71">
        <f t="shared" si="12"/>
        <v>0</v>
      </c>
      <c r="AP8" s="68">
        <f>'2'!D18</f>
        <v>0</v>
      </c>
      <c r="AQ8" s="72">
        <f>DELIVERIES!AT8</f>
        <v>12.25</v>
      </c>
      <c r="AR8" s="71">
        <f t="shared" si="13"/>
        <v>0</v>
      </c>
      <c r="AS8" s="68">
        <f>'2'!D21</f>
        <v>0</v>
      </c>
      <c r="AT8" s="70">
        <f>DELIVERIES!AW8</f>
        <v>7.9166666666600003</v>
      </c>
      <c r="AU8" s="71">
        <f t="shared" si="14"/>
        <v>0</v>
      </c>
      <c r="AV8" s="68">
        <f>'2'!D22</f>
        <v>0</v>
      </c>
      <c r="AW8" s="70">
        <f>DELIVERIES!AZ8</f>
        <v>9.7916666666666661</v>
      </c>
      <c r="AX8" s="71">
        <f t="shared" si="15"/>
        <v>0</v>
      </c>
      <c r="AY8" s="68">
        <f>'2'!D26</f>
        <v>0</v>
      </c>
      <c r="AZ8" s="68">
        <f>DELIVERIES!BC8</f>
        <v>16.333333333333332</v>
      </c>
      <c r="BA8" s="69">
        <f t="shared" si="16"/>
        <v>0</v>
      </c>
      <c r="BB8" s="68">
        <f>'2'!D27</f>
        <v>0</v>
      </c>
      <c r="BC8" s="68">
        <f>DELIVERIES!BF8</f>
        <v>11.5</v>
      </c>
      <c r="BD8" s="69">
        <f t="shared" si="17"/>
        <v>0</v>
      </c>
      <c r="BE8" s="68">
        <f>'2'!D28</f>
        <v>0</v>
      </c>
      <c r="BF8" s="70">
        <f>DELIVERIES!BI32</f>
        <v>20</v>
      </c>
      <c r="BG8" s="71">
        <f t="shared" si="18"/>
        <v>0</v>
      </c>
      <c r="BH8" s="68">
        <f>'2'!D23</f>
        <v>0</v>
      </c>
      <c r="BI8" s="70">
        <f>DELIVERIES!BL8</f>
        <v>23</v>
      </c>
      <c r="BJ8" s="71">
        <f t="shared" si="19"/>
        <v>0</v>
      </c>
      <c r="BK8" s="68">
        <f>'2'!D25</f>
        <v>0</v>
      </c>
      <c r="BL8" s="72">
        <f>DELIVERIES!BO8</f>
        <v>12.5</v>
      </c>
      <c r="BM8" s="71">
        <f t="shared" si="20"/>
        <v>0</v>
      </c>
      <c r="BN8" s="68">
        <f>'2'!D24</f>
        <v>0</v>
      </c>
      <c r="BO8" s="68">
        <f>DELIVERIES!BR8</f>
        <v>12.75</v>
      </c>
      <c r="BP8" s="69">
        <f t="shared" si="21"/>
        <v>0</v>
      </c>
      <c r="BQ8" s="68">
        <f>'2'!D19</f>
        <v>0</v>
      </c>
      <c r="BR8" s="70">
        <f>DELIVERIES!BU8</f>
        <v>30.25</v>
      </c>
      <c r="BS8" s="77">
        <f t="shared" si="22"/>
        <v>0</v>
      </c>
      <c r="BT8" s="68">
        <f>'2'!D20</f>
        <v>0</v>
      </c>
      <c r="BU8" s="70">
        <f>DELIVERIES!BX8</f>
        <v>15.916666666659999</v>
      </c>
      <c r="BV8" s="77">
        <f t="shared" si="23"/>
        <v>0</v>
      </c>
      <c r="BW8" s="78"/>
      <c r="BX8" s="79"/>
      <c r="BY8" s="69">
        <f t="shared" si="24"/>
        <v>0</v>
      </c>
      <c r="BZ8" s="39"/>
      <c r="CA8" s="71">
        <f t="shared" si="25"/>
        <v>0</v>
      </c>
      <c r="CB8" s="90"/>
      <c r="CC8" s="39"/>
      <c r="CD8" s="39">
        <f t="shared" si="26"/>
        <v>0</v>
      </c>
    </row>
    <row r="9" spans="1:82" ht="14.5">
      <c r="A9" s="56">
        <v>3</v>
      </c>
      <c r="B9" s="70">
        <f>'3'!D29</f>
        <v>0</v>
      </c>
      <c r="C9" s="68">
        <f>DELIVERIES!C9</f>
        <v>30</v>
      </c>
      <c r="D9" s="69">
        <f t="shared" si="0"/>
        <v>0</v>
      </c>
      <c r="E9" s="70">
        <f>'3'!D7</f>
        <v>0</v>
      </c>
      <c r="F9" s="70">
        <f>DELIVERIES!F9</f>
        <v>35</v>
      </c>
      <c r="G9" s="71">
        <f t="shared" si="1"/>
        <v>0</v>
      </c>
      <c r="H9" s="84">
        <f>'3'!D8</f>
        <v>0</v>
      </c>
      <c r="I9" s="70">
        <f>DELIVERIES!I9</f>
        <v>8.5</v>
      </c>
      <c r="J9" s="71">
        <f t="shared" si="2"/>
        <v>0</v>
      </c>
      <c r="K9" s="84">
        <f>'3'!D15</f>
        <v>0</v>
      </c>
      <c r="L9" s="70">
        <f>DELIVERIES!L9</f>
        <v>18</v>
      </c>
      <c r="M9" s="71">
        <f t="shared" si="3"/>
        <v>0</v>
      </c>
      <c r="N9" s="68">
        <f>'3'!D9</f>
        <v>0</v>
      </c>
      <c r="O9" s="70">
        <f>DELIVERIES!O9</f>
        <v>7</v>
      </c>
      <c r="P9" s="71">
        <f t="shared" si="4"/>
        <v>0</v>
      </c>
      <c r="Q9" s="68">
        <f>'3'!D10</f>
        <v>0</v>
      </c>
      <c r="R9" s="72">
        <f>DELIVERIES!R9</f>
        <v>5.5</v>
      </c>
      <c r="S9" s="71">
        <f t="shared" si="5"/>
        <v>0</v>
      </c>
      <c r="T9" s="68">
        <f>'3'!D11</f>
        <v>0</v>
      </c>
      <c r="U9" s="72">
        <f>DELIVERIES!U9</f>
        <v>8.5</v>
      </c>
      <c r="V9" s="71">
        <f t="shared" si="6"/>
        <v>0</v>
      </c>
      <c r="W9" s="68">
        <f>'3'!D12</f>
        <v>0</v>
      </c>
      <c r="X9" s="72">
        <f>DELIVERIES!X9</f>
        <v>6</v>
      </c>
      <c r="Y9" s="71">
        <f t="shared" si="7"/>
        <v>0</v>
      </c>
      <c r="Z9" s="68">
        <f>'3'!D13</f>
        <v>0</v>
      </c>
      <c r="AA9" s="72">
        <f>DELIVERIES!AA9</f>
        <v>6</v>
      </c>
      <c r="AB9" s="71">
        <f t="shared" si="8"/>
        <v>0</v>
      </c>
      <c r="AC9" s="68">
        <f>'3'!D14</f>
        <v>0</v>
      </c>
      <c r="AD9" s="72">
        <f>DELIVERIES!AD9</f>
        <v>8</v>
      </c>
      <c r="AE9" s="73">
        <f t="shared" si="9"/>
        <v>0</v>
      </c>
      <c r="AF9" s="72"/>
      <c r="AG9" s="72">
        <f>AG7</f>
        <v>0</v>
      </c>
      <c r="AH9" s="73">
        <f t="shared" si="10"/>
        <v>0</v>
      </c>
      <c r="AI9" s="74"/>
      <c r="AJ9" s="75"/>
      <c r="AK9" s="69">
        <f t="shared" si="11"/>
        <v>0</v>
      </c>
      <c r="AL9" s="76"/>
      <c r="AM9" s="68">
        <f>'3'!D17</f>
        <v>0</v>
      </c>
      <c r="AN9" s="72">
        <f>DELIVERIES!AQ9</f>
        <v>8.75</v>
      </c>
      <c r="AO9" s="71">
        <f t="shared" si="12"/>
        <v>0</v>
      </c>
      <c r="AP9" s="68">
        <f>'3'!D18</f>
        <v>0</v>
      </c>
      <c r="AQ9" s="72">
        <f>DELIVERIES!AT9</f>
        <v>12.25</v>
      </c>
      <c r="AR9" s="71">
        <f t="shared" si="13"/>
        <v>0</v>
      </c>
      <c r="AS9" s="68">
        <f>'3'!D21</f>
        <v>0</v>
      </c>
      <c r="AT9" s="70">
        <f>DELIVERIES!AW9</f>
        <v>7.9166666666600003</v>
      </c>
      <c r="AU9" s="71">
        <f t="shared" si="14"/>
        <v>0</v>
      </c>
      <c r="AV9" s="68">
        <f>'3'!D22</f>
        <v>0</v>
      </c>
      <c r="AW9" s="70">
        <f>DELIVERIES!AZ9</f>
        <v>9.7916666666666661</v>
      </c>
      <c r="AX9" s="71">
        <f t="shared" si="15"/>
        <v>0</v>
      </c>
      <c r="AY9" s="68">
        <f>'3'!D26</f>
        <v>0</v>
      </c>
      <c r="AZ9" s="68">
        <f>DELIVERIES!BC9</f>
        <v>16.333333333333332</v>
      </c>
      <c r="BA9" s="69">
        <f t="shared" si="16"/>
        <v>0</v>
      </c>
      <c r="BB9" s="68">
        <f>'3'!D27</f>
        <v>0</v>
      </c>
      <c r="BC9" s="68">
        <f>DELIVERIES!BF9</f>
        <v>11.5</v>
      </c>
      <c r="BD9" s="69">
        <f t="shared" si="17"/>
        <v>0</v>
      </c>
      <c r="BE9" s="68">
        <f>'3'!D28</f>
        <v>0</v>
      </c>
      <c r="BF9" s="70">
        <f>DELIVERIES!BI33</f>
        <v>20</v>
      </c>
      <c r="BG9" s="71">
        <f t="shared" si="18"/>
        <v>0</v>
      </c>
      <c r="BH9" s="68">
        <f>'3'!D23</f>
        <v>0</v>
      </c>
      <c r="BI9" s="70">
        <f>DELIVERIES!BL9</f>
        <v>23</v>
      </c>
      <c r="BJ9" s="71">
        <f t="shared" si="19"/>
        <v>0</v>
      </c>
      <c r="BK9" s="68">
        <f>'3'!D25</f>
        <v>0</v>
      </c>
      <c r="BL9" s="72">
        <f>DELIVERIES!BO9</f>
        <v>12.5</v>
      </c>
      <c r="BM9" s="71">
        <f t="shared" si="20"/>
        <v>0</v>
      </c>
      <c r="BN9" s="68">
        <f>'3'!D24</f>
        <v>0</v>
      </c>
      <c r="BO9" s="68">
        <f>DELIVERIES!BR9</f>
        <v>12.75</v>
      </c>
      <c r="BP9" s="69">
        <f t="shared" si="21"/>
        <v>0</v>
      </c>
      <c r="BQ9" s="68">
        <f>'3'!D19</f>
        <v>0</v>
      </c>
      <c r="BR9" s="70">
        <f>DELIVERIES!BU9</f>
        <v>30.25</v>
      </c>
      <c r="BS9" s="77">
        <f t="shared" si="22"/>
        <v>0</v>
      </c>
      <c r="BT9" s="68">
        <f>'3'!D20</f>
        <v>0</v>
      </c>
      <c r="BU9" s="70">
        <f>DELIVERIES!BX9</f>
        <v>15.916666666659999</v>
      </c>
      <c r="BV9" s="77">
        <f t="shared" si="23"/>
        <v>0</v>
      </c>
      <c r="BW9" s="78"/>
      <c r="BX9" s="79"/>
      <c r="BY9" s="69">
        <f t="shared" si="24"/>
        <v>0</v>
      </c>
      <c r="BZ9" s="39"/>
      <c r="CA9" s="71">
        <f t="shared" si="25"/>
        <v>0</v>
      </c>
      <c r="CB9" s="90"/>
      <c r="CC9" s="39"/>
      <c r="CD9" s="39">
        <f t="shared" si="26"/>
        <v>0</v>
      </c>
    </row>
    <row r="10" spans="1:82" ht="14.5">
      <c r="A10" s="56">
        <v>4</v>
      </c>
      <c r="B10" s="70">
        <f>'4'!D29</f>
        <v>0</v>
      </c>
      <c r="C10" s="68">
        <f>DELIVERIES!C10</f>
        <v>30</v>
      </c>
      <c r="D10" s="69">
        <f t="shared" si="0"/>
        <v>0</v>
      </c>
      <c r="E10" s="70">
        <f>'4'!D7</f>
        <v>0</v>
      </c>
      <c r="F10" s="70">
        <f>DELIVERIES!F10</f>
        <v>35</v>
      </c>
      <c r="G10" s="71">
        <f t="shared" si="1"/>
        <v>0</v>
      </c>
      <c r="H10" s="84">
        <f>'4'!D8</f>
        <v>0</v>
      </c>
      <c r="I10" s="70">
        <f>DELIVERIES!I10</f>
        <v>8.5</v>
      </c>
      <c r="J10" s="71">
        <f t="shared" si="2"/>
        <v>0</v>
      </c>
      <c r="K10" s="84">
        <f>'4'!D15</f>
        <v>0</v>
      </c>
      <c r="L10" s="70">
        <f>DELIVERIES!L10</f>
        <v>18</v>
      </c>
      <c r="M10" s="71">
        <f t="shared" si="3"/>
        <v>0</v>
      </c>
      <c r="N10" s="68">
        <f>'4'!D9</f>
        <v>0</v>
      </c>
      <c r="O10" s="70">
        <f>DELIVERIES!O10</f>
        <v>7</v>
      </c>
      <c r="P10" s="71">
        <f t="shared" si="4"/>
        <v>0</v>
      </c>
      <c r="Q10" s="68">
        <f>'4'!D10</f>
        <v>0</v>
      </c>
      <c r="R10" s="72">
        <f>DELIVERIES!R10</f>
        <v>5.5</v>
      </c>
      <c r="S10" s="71">
        <f t="shared" si="5"/>
        <v>0</v>
      </c>
      <c r="T10" s="68">
        <f>'4'!D11</f>
        <v>0</v>
      </c>
      <c r="U10" s="72">
        <f>DELIVERIES!U10</f>
        <v>8.5</v>
      </c>
      <c r="V10" s="71">
        <f t="shared" si="6"/>
        <v>0</v>
      </c>
      <c r="W10" s="68">
        <f>'4'!D12</f>
        <v>0</v>
      </c>
      <c r="X10" s="72">
        <f>DELIVERIES!X10</f>
        <v>6</v>
      </c>
      <c r="Y10" s="71">
        <f t="shared" si="7"/>
        <v>0</v>
      </c>
      <c r="Z10" s="68">
        <f>'4'!D13</f>
        <v>0</v>
      </c>
      <c r="AA10" s="72">
        <f>DELIVERIES!AA10</f>
        <v>6</v>
      </c>
      <c r="AB10" s="71">
        <f t="shared" si="8"/>
        <v>0</v>
      </c>
      <c r="AC10" s="68">
        <f>'4'!D14</f>
        <v>0</v>
      </c>
      <c r="AD10" s="72">
        <f>DELIVERIES!AD10</f>
        <v>8</v>
      </c>
      <c r="AE10" s="73">
        <f t="shared" si="9"/>
        <v>0</v>
      </c>
      <c r="AF10" s="72"/>
      <c r="AG10" s="72">
        <f>AG7</f>
        <v>0</v>
      </c>
      <c r="AH10" s="73">
        <f t="shared" si="10"/>
        <v>0</v>
      </c>
      <c r="AI10" s="74"/>
      <c r="AJ10" s="75"/>
      <c r="AK10" s="69">
        <f t="shared" si="11"/>
        <v>0</v>
      </c>
      <c r="AL10" s="76"/>
      <c r="AM10" s="68">
        <f>'4'!D17</f>
        <v>0</v>
      </c>
      <c r="AN10" s="72">
        <f>DELIVERIES!AQ10</f>
        <v>8.75</v>
      </c>
      <c r="AO10" s="71">
        <f t="shared" si="12"/>
        <v>0</v>
      </c>
      <c r="AP10" s="68">
        <f>'4'!D18</f>
        <v>0</v>
      </c>
      <c r="AQ10" s="72">
        <f>DELIVERIES!AT10</f>
        <v>12.25</v>
      </c>
      <c r="AR10" s="71">
        <f t="shared" si="13"/>
        <v>0</v>
      </c>
      <c r="AS10" s="68">
        <f>'4'!D21</f>
        <v>0</v>
      </c>
      <c r="AT10" s="70">
        <f>DELIVERIES!AW10</f>
        <v>7.9166666666600003</v>
      </c>
      <c r="AU10" s="71">
        <f t="shared" si="14"/>
        <v>0</v>
      </c>
      <c r="AV10" s="68">
        <f>'4'!D22</f>
        <v>0</v>
      </c>
      <c r="AW10" s="70">
        <f>DELIVERIES!AZ10</f>
        <v>9.7916666666666661</v>
      </c>
      <c r="AX10" s="71">
        <f t="shared" si="15"/>
        <v>0</v>
      </c>
      <c r="AY10" s="68">
        <f>'4'!D26</f>
        <v>0</v>
      </c>
      <c r="AZ10" s="68">
        <f>DELIVERIES!BC10</f>
        <v>16.333333333333332</v>
      </c>
      <c r="BA10" s="69">
        <f t="shared" si="16"/>
        <v>0</v>
      </c>
      <c r="BB10" s="68">
        <f>'4'!D27</f>
        <v>0</v>
      </c>
      <c r="BC10" s="68">
        <f>DELIVERIES!BF10</f>
        <v>11.5</v>
      </c>
      <c r="BD10" s="69">
        <f t="shared" si="17"/>
        <v>0</v>
      </c>
      <c r="BE10" s="68">
        <f>'4'!D28</f>
        <v>0</v>
      </c>
      <c r="BF10" s="70">
        <f>DELIVERIES!BI34</f>
        <v>20</v>
      </c>
      <c r="BG10" s="71">
        <f t="shared" si="18"/>
        <v>0</v>
      </c>
      <c r="BH10" s="68">
        <f>'4'!D23</f>
        <v>0</v>
      </c>
      <c r="BI10" s="70">
        <f>DELIVERIES!BL10</f>
        <v>23</v>
      </c>
      <c r="BJ10" s="71">
        <f t="shared" si="19"/>
        <v>0</v>
      </c>
      <c r="BK10" s="68">
        <f>'4'!D25</f>
        <v>0</v>
      </c>
      <c r="BL10" s="72">
        <f>DELIVERIES!BO10</f>
        <v>12.5</v>
      </c>
      <c r="BM10" s="71">
        <f t="shared" si="20"/>
        <v>0</v>
      </c>
      <c r="BN10" s="68">
        <f>'4'!D24</f>
        <v>0</v>
      </c>
      <c r="BO10" s="68">
        <f>DELIVERIES!BR10</f>
        <v>12.75</v>
      </c>
      <c r="BP10" s="69">
        <f t="shared" si="21"/>
        <v>0</v>
      </c>
      <c r="BQ10" s="68">
        <f>'4'!D19</f>
        <v>0</v>
      </c>
      <c r="BR10" s="70">
        <f>DELIVERIES!BU10</f>
        <v>30.25</v>
      </c>
      <c r="BS10" s="77">
        <f t="shared" si="22"/>
        <v>0</v>
      </c>
      <c r="BT10" s="68">
        <f>'4'!D20</f>
        <v>0</v>
      </c>
      <c r="BU10" s="70">
        <f>DELIVERIES!BX10</f>
        <v>15.916666666659999</v>
      </c>
      <c r="BV10" s="77">
        <f t="shared" si="23"/>
        <v>0</v>
      </c>
      <c r="BW10" s="78"/>
      <c r="BX10" s="79"/>
      <c r="BY10" s="69">
        <f t="shared" si="24"/>
        <v>0</v>
      </c>
      <c r="BZ10" s="39"/>
      <c r="CA10" s="71">
        <f t="shared" si="25"/>
        <v>0</v>
      </c>
      <c r="CB10" s="90"/>
      <c r="CC10" s="39"/>
      <c r="CD10" s="39">
        <f t="shared" si="26"/>
        <v>0</v>
      </c>
    </row>
    <row r="11" spans="1:82" ht="14.5">
      <c r="A11" s="56">
        <v>5</v>
      </c>
      <c r="B11" s="70">
        <f>'5'!D29</f>
        <v>0</v>
      </c>
      <c r="C11" s="68">
        <f>DELIVERIES!C11</f>
        <v>30</v>
      </c>
      <c r="D11" s="69">
        <f t="shared" si="0"/>
        <v>0</v>
      </c>
      <c r="E11" s="70">
        <f>'5'!D7</f>
        <v>0</v>
      </c>
      <c r="F11" s="70">
        <f>DELIVERIES!F11</f>
        <v>35</v>
      </c>
      <c r="G11" s="71">
        <f t="shared" si="1"/>
        <v>0</v>
      </c>
      <c r="H11" s="84">
        <f>'5'!D8</f>
        <v>0</v>
      </c>
      <c r="I11" s="70">
        <f>DELIVERIES!I11</f>
        <v>8.5</v>
      </c>
      <c r="J11" s="71">
        <f t="shared" si="2"/>
        <v>0</v>
      </c>
      <c r="K11" s="84">
        <f>'5'!D15</f>
        <v>0</v>
      </c>
      <c r="L11" s="70">
        <f>DELIVERIES!L11</f>
        <v>18</v>
      </c>
      <c r="M11" s="71">
        <f t="shared" si="3"/>
        <v>0</v>
      </c>
      <c r="N11" s="68">
        <f>'5'!D9</f>
        <v>0</v>
      </c>
      <c r="O11" s="70">
        <f>DELIVERIES!O11</f>
        <v>7</v>
      </c>
      <c r="P11" s="71">
        <f t="shared" si="4"/>
        <v>0</v>
      </c>
      <c r="Q11" s="68">
        <f>'5'!D10</f>
        <v>0</v>
      </c>
      <c r="R11" s="72">
        <f>DELIVERIES!R11</f>
        <v>5.5</v>
      </c>
      <c r="S11" s="71">
        <f t="shared" si="5"/>
        <v>0</v>
      </c>
      <c r="T11" s="68">
        <f>'5'!D11</f>
        <v>0</v>
      </c>
      <c r="U11" s="72">
        <f>DELIVERIES!U11</f>
        <v>8.5</v>
      </c>
      <c r="V11" s="71">
        <f t="shared" si="6"/>
        <v>0</v>
      </c>
      <c r="W11" s="68">
        <f>'5'!D12</f>
        <v>0</v>
      </c>
      <c r="X11" s="72">
        <f>DELIVERIES!X11</f>
        <v>6</v>
      </c>
      <c r="Y11" s="71">
        <f t="shared" si="7"/>
        <v>0</v>
      </c>
      <c r="Z11" s="68">
        <f>'5'!D13</f>
        <v>0</v>
      </c>
      <c r="AA11" s="72">
        <f>DELIVERIES!AA11</f>
        <v>6</v>
      </c>
      <c r="AB11" s="71">
        <f t="shared" si="8"/>
        <v>0</v>
      </c>
      <c r="AC11" s="68">
        <f>'5'!D14</f>
        <v>0</v>
      </c>
      <c r="AD11" s="72">
        <f>DELIVERIES!AD11</f>
        <v>8</v>
      </c>
      <c r="AE11" s="73">
        <f t="shared" si="9"/>
        <v>0</v>
      </c>
      <c r="AF11" s="72"/>
      <c r="AG11" s="72">
        <f>AG7</f>
        <v>0</v>
      </c>
      <c r="AH11" s="73">
        <f t="shared" si="10"/>
        <v>0</v>
      </c>
      <c r="AI11" s="74"/>
      <c r="AJ11" s="75"/>
      <c r="AK11" s="69">
        <f t="shared" si="11"/>
        <v>0</v>
      </c>
      <c r="AL11" s="76"/>
      <c r="AM11" s="68">
        <f>'5'!D17</f>
        <v>0</v>
      </c>
      <c r="AN11" s="72">
        <f>DELIVERIES!AQ11</f>
        <v>8.75</v>
      </c>
      <c r="AO11" s="71">
        <f t="shared" si="12"/>
        <v>0</v>
      </c>
      <c r="AP11" s="68">
        <f>'5'!D18</f>
        <v>0</v>
      </c>
      <c r="AQ11" s="72">
        <f>DELIVERIES!AT11</f>
        <v>12.25</v>
      </c>
      <c r="AR11" s="71">
        <f t="shared" si="13"/>
        <v>0</v>
      </c>
      <c r="AS11" s="68">
        <f>'5'!D21</f>
        <v>0</v>
      </c>
      <c r="AT11" s="70">
        <f>DELIVERIES!AW11</f>
        <v>7.9166666666600003</v>
      </c>
      <c r="AU11" s="71">
        <f t="shared" si="14"/>
        <v>0</v>
      </c>
      <c r="AV11" s="68">
        <f>'5'!D22</f>
        <v>0</v>
      </c>
      <c r="AW11" s="70">
        <f>DELIVERIES!AZ11</f>
        <v>9.7916666666666661</v>
      </c>
      <c r="AX11" s="71">
        <f t="shared" si="15"/>
        <v>0</v>
      </c>
      <c r="AY11" s="68">
        <f>'5'!D26</f>
        <v>0</v>
      </c>
      <c r="AZ11" s="68">
        <f>DELIVERIES!BC11</f>
        <v>16.333333333333332</v>
      </c>
      <c r="BA11" s="69">
        <f t="shared" si="16"/>
        <v>0</v>
      </c>
      <c r="BB11" s="68">
        <f>'5'!D27</f>
        <v>0</v>
      </c>
      <c r="BC11" s="68">
        <f>DELIVERIES!BF11</f>
        <v>11.5</v>
      </c>
      <c r="BD11" s="69">
        <f t="shared" si="17"/>
        <v>0</v>
      </c>
      <c r="BE11" s="68">
        <f>'5'!D28</f>
        <v>0</v>
      </c>
      <c r="BF11" s="70">
        <f>DELIVERIES!BI35</f>
        <v>20</v>
      </c>
      <c r="BG11" s="71">
        <f t="shared" si="18"/>
        <v>0</v>
      </c>
      <c r="BH11" s="68">
        <f>'5'!D23</f>
        <v>0</v>
      </c>
      <c r="BI11" s="70">
        <f>DELIVERIES!BL11</f>
        <v>23</v>
      </c>
      <c r="BJ11" s="71">
        <f t="shared" si="19"/>
        <v>0</v>
      </c>
      <c r="BK11" s="68">
        <f>'5'!D25</f>
        <v>0</v>
      </c>
      <c r="BL11" s="72">
        <f>DELIVERIES!BO11</f>
        <v>12.5</v>
      </c>
      <c r="BM11" s="71">
        <f t="shared" si="20"/>
        <v>0</v>
      </c>
      <c r="BN11" s="68">
        <f>'5'!D24</f>
        <v>0</v>
      </c>
      <c r="BO11" s="68">
        <f>DELIVERIES!BR11</f>
        <v>12.75</v>
      </c>
      <c r="BP11" s="69">
        <f t="shared" si="21"/>
        <v>0</v>
      </c>
      <c r="BQ11" s="68">
        <f>'5'!D19</f>
        <v>0</v>
      </c>
      <c r="BR11" s="70">
        <f>DELIVERIES!BU11</f>
        <v>30.25</v>
      </c>
      <c r="BS11" s="77">
        <f t="shared" si="22"/>
        <v>0</v>
      </c>
      <c r="BT11" s="68">
        <f>'5'!D20</f>
        <v>0</v>
      </c>
      <c r="BU11" s="70">
        <f>DELIVERIES!BX11</f>
        <v>15.916666666659999</v>
      </c>
      <c r="BV11" s="77">
        <f t="shared" si="23"/>
        <v>0</v>
      </c>
      <c r="BW11" s="78"/>
      <c r="BX11" s="79"/>
      <c r="BY11" s="69">
        <f t="shared" si="24"/>
        <v>0</v>
      </c>
      <c r="BZ11" s="39"/>
      <c r="CA11" s="71">
        <f t="shared" si="25"/>
        <v>0</v>
      </c>
      <c r="CB11" s="90"/>
      <c r="CC11" s="39"/>
      <c r="CD11" s="39">
        <f t="shared" si="26"/>
        <v>0</v>
      </c>
    </row>
    <row r="12" spans="1:82" ht="14.5">
      <c r="A12" s="56">
        <v>6</v>
      </c>
      <c r="B12" s="70">
        <f>'6'!D29</f>
        <v>0</v>
      </c>
      <c r="C12" s="68">
        <f>DELIVERIES!C12</f>
        <v>30</v>
      </c>
      <c r="D12" s="69">
        <f t="shared" si="0"/>
        <v>0</v>
      </c>
      <c r="E12" s="70">
        <f>'6'!D7</f>
        <v>0</v>
      </c>
      <c r="F12" s="70">
        <f>DELIVERIES!F12</f>
        <v>35</v>
      </c>
      <c r="G12" s="71">
        <f t="shared" si="1"/>
        <v>0</v>
      </c>
      <c r="H12" s="84">
        <f>'6'!D8</f>
        <v>0</v>
      </c>
      <c r="I12" s="70">
        <f>DELIVERIES!I12</f>
        <v>8.5</v>
      </c>
      <c r="J12" s="71">
        <f t="shared" si="2"/>
        <v>0</v>
      </c>
      <c r="K12" s="84">
        <f>'6'!D15</f>
        <v>0</v>
      </c>
      <c r="L12" s="70">
        <f>DELIVERIES!L12</f>
        <v>18</v>
      </c>
      <c r="M12" s="71">
        <f t="shared" si="3"/>
        <v>0</v>
      </c>
      <c r="N12" s="68">
        <f>'6'!D9</f>
        <v>0</v>
      </c>
      <c r="O12" s="70">
        <f>DELIVERIES!O12</f>
        <v>7</v>
      </c>
      <c r="P12" s="71">
        <f t="shared" si="4"/>
        <v>0</v>
      </c>
      <c r="Q12" s="68">
        <f>'6'!D10</f>
        <v>0</v>
      </c>
      <c r="R12" s="72">
        <f>DELIVERIES!R12</f>
        <v>5.5</v>
      </c>
      <c r="S12" s="71">
        <f t="shared" si="5"/>
        <v>0</v>
      </c>
      <c r="T12" s="68">
        <f>'6'!D11</f>
        <v>0</v>
      </c>
      <c r="U12" s="72">
        <f>DELIVERIES!U12</f>
        <v>8.5</v>
      </c>
      <c r="V12" s="71">
        <f t="shared" si="6"/>
        <v>0</v>
      </c>
      <c r="W12" s="68">
        <f>'6'!D12</f>
        <v>0</v>
      </c>
      <c r="X12" s="72">
        <f>DELIVERIES!X12</f>
        <v>6</v>
      </c>
      <c r="Y12" s="71">
        <f t="shared" si="7"/>
        <v>0</v>
      </c>
      <c r="Z12" s="68">
        <f>'6'!D13</f>
        <v>0</v>
      </c>
      <c r="AA12" s="72">
        <f>DELIVERIES!AA12</f>
        <v>6</v>
      </c>
      <c r="AB12" s="71">
        <f t="shared" si="8"/>
        <v>0</v>
      </c>
      <c r="AC12" s="68">
        <f>'6'!D14</f>
        <v>0</v>
      </c>
      <c r="AD12" s="72">
        <f>DELIVERIES!AD12</f>
        <v>8</v>
      </c>
      <c r="AE12" s="73">
        <f t="shared" si="9"/>
        <v>0</v>
      </c>
      <c r="AF12" s="72"/>
      <c r="AG12" s="72">
        <f>AG7</f>
        <v>0</v>
      </c>
      <c r="AH12" s="118">
        <f t="shared" si="10"/>
        <v>0</v>
      </c>
      <c r="AI12" s="119"/>
      <c r="AJ12" s="119"/>
      <c r="AK12" s="69">
        <f t="shared" si="11"/>
        <v>0</v>
      </c>
      <c r="AL12" s="76"/>
      <c r="AM12" s="68">
        <f>'6'!D17</f>
        <v>0</v>
      </c>
      <c r="AN12" s="72">
        <f>DELIVERIES!AQ12</f>
        <v>8.75</v>
      </c>
      <c r="AO12" s="71">
        <f t="shared" si="12"/>
        <v>0</v>
      </c>
      <c r="AP12" s="68">
        <f>'6'!D18</f>
        <v>0</v>
      </c>
      <c r="AQ12" s="72">
        <f>DELIVERIES!AT12</f>
        <v>12.25</v>
      </c>
      <c r="AR12" s="71">
        <f t="shared" si="13"/>
        <v>0</v>
      </c>
      <c r="AS12" s="68">
        <f>'6'!D21</f>
        <v>0</v>
      </c>
      <c r="AT12" s="70">
        <f>DELIVERIES!AW12</f>
        <v>7.9166666666600003</v>
      </c>
      <c r="AU12" s="71">
        <f t="shared" si="14"/>
        <v>0</v>
      </c>
      <c r="AV12" s="68">
        <f>'6'!D22</f>
        <v>0</v>
      </c>
      <c r="AW12" s="70">
        <f>DELIVERIES!AZ12</f>
        <v>9.7916666666666661</v>
      </c>
      <c r="AX12" s="71">
        <f t="shared" si="15"/>
        <v>0</v>
      </c>
      <c r="AY12" s="68">
        <f>'6'!D26</f>
        <v>0</v>
      </c>
      <c r="AZ12" s="68">
        <f>DELIVERIES!BC12</f>
        <v>16.333333333333332</v>
      </c>
      <c r="BA12" s="69">
        <f t="shared" si="16"/>
        <v>0</v>
      </c>
      <c r="BB12" s="68">
        <f>'6'!D27</f>
        <v>0</v>
      </c>
      <c r="BC12" s="68">
        <f>DELIVERIES!BF12</f>
        <v>11.5</v>
      </c>
      <c r="BD12" s="69">
        <f t="shared" si="17"/>
        <v>0</v>
      </c>
      <c r="BE12" s="68">
        <f>'6'!D28</f>
        <v>0</v>
      </c>
      <c r="BF12" s="70">
        <f>DELIVERIES!BI36</f>
        <v>20</v>
      </c>
      <c r="BG12" s="71">
        <f t="shared" si="18"/>
        <v>0</v>
      </c>
      <c r="BH12" s="68">
        <f>'6'!D23</f>
        <v>0</v>
      </c>
      <c r="BI12" s="70">
        <f>DELIVERIES!BL12</f>
        <v>23</v>
      </c>
      <c r="BJ12" s="71">
        <f t="shared" si="19"/>
        <v>0</v>
      </c>
      <c r="BK12" s="68">
        <f>'6'!D25</f>
        <v>0</v>
      </c>
      <c r="BL12" s="72">
        <f>DELIVERIES!BO12</f>
        <v>12.5</v>
      </c>
      <c r="BM12" s="71">
        <f t="shared" si="20"/>
        <v>0</v>
      </c>
      <c r="BN12" s="68">
        <f>'6'!D24</f>
        <v>0</v>
      </c>
      <c r="BO12" s="68">
        <f>DELIVERIES!BR12</f>
        <v>12.75</v>
      </c>
      <c r="BP12" s="69">
        <f t="shared" si="21"/>
        <v>0</v>
      </c>
      <c r="BQ12" s="68">
        <f>'6'!D19</f>
        <v>0</v>
      </c>
      <c r="BR12" s="70">
        <f>DELIVERIES!BU12</f>
        <v>30.25</v>
      </c>
      <c r="BS12" s="77">
        <f t="shared" si="22"/>
        <v>0</v>
      </c>
      <c r="BT12" s="68">
        <f>'6'!D20</f>
        <v>0</v>
      </c>
      <c r="BU12" s="70">
        <f>DELIVERIES!BX12</f>
        <v>15.916666666659999</v>
      </c>
      <c r="BV12" s="77">
        <f t="shared" si="23"/>
        <v>0</v>
      </c>
      <c r="BW12" s="78"/>
      <c r="BX12" s="79"/>
      <c r="BY12" s="69">
        <f t="shared" si="24"/>
        <v>0</v>
      </c>
      <c r="BZ12" s="39"/>
      <c r="CA12" s="71">
        <f t="shared" si="25"/>
        <v>0</v>
      </c>
      <c r="CB12" s="90"/>
      <c r="CC12" s="39"/>
      <c r="CD12" s="39">
        <f t="shared" si="26"/>
        <v>0</v>
      </c>
    </row>
    <row r="13" spans="1:82" ht="14.5">
      <c r="A13" s="56">
        <v>7</v>
      </c>
      <c r="B13" s="70">
        <f>'7'!D29</f>
        <v>0</v>
      </c>
      <c r="C13" s="68">
        <f>DELIVERIES!C13</f>
        <v>30</v>
      </c>
      <c r="D13" s="69">
        <f t="shared" si="0"/>
        <v>0</v>
      </c>
      <c r="E13" s="70">
        <f>'7'!D7</f>
        <v>0</v>
      </c>
      <c r="F13" s="70">
        <f>DELIVERIES!F13</f>
        <v>35</v>
      </c>
      <c r="G13" s="71">
        <f t="shared" si="1"/>
        <v>0</v>
      </c>
      <c r="H13" s="84">
        <f>'7'!D8</f>
        <v>0</v>
      </c>
      <c r="I13" s="70">
        <f>DELIVERIES!I13</f>
        <v>8.5</v>
      </c>
      <c r="J13" s="71">
        <f t="shared" si="2"/>
        <v>0</v>
      </c>
      <c r="K13" s="84">
        <f>'7'!D15</f>
        <v>0</v>
      </c>
      <c r="L13" s="70">
        <f>DELIVERIES!L13</f>
        <v>18</v>
      </c>
      <c r="M13" s="71">
        <f t="shared" si="3"/>
        <v>0</v>
      </c>
      <c r="N13" s="68">
        <f>'7'!D9</f>
        <v>0</v>
      </c>
      <c r="O13" s="70">
        <f>DELIVERIES!O13</f>
        <v>7</v>
      </c>
      <c r="P13" s="71">
        <f t="shared" si="4"/>
        <v>0</v>
      </c>
      <c r="Q13" s="68">
        <f>'7'!D10</f>
        <v>0</v>
      </c>
      <c r="R13" s="72">
        <f>DELIVERIES!R13</f>
        <v>5.5</v>
      </c>
      <c r="S13" s="71">
        <f t="shared" si="5"/>
        <v>0</v>
      </c>
      <c r="T13" s="68">
        <f>'7'!D11</f>
        <v>0</v>
      </c>
      <c r="U13" s="72">
        <f>DELIVERIES!U13</f>
        <v>8.5</v>
      </c>
      <c r="V13" s="71">
        <f t="shared" si="6"/>
        <v>0</v>
      </c>
      <c r="W13" s="68">
        <f>'7'!D12</f>
        <v>0</v>
      </c>
      <c r="X13" s="72">
        <f>DELIVERIES!X13</f>
        <v>6</v>
      </c>
      <c r="Y13" s="71">
        <f t="shared" si="7"/>
        <v>0</v>
      </c>
      <c r="Z13" s="68">
        <f>'7'!D13</f>
        <v>0</v>
      </c>
      <c r="AA13" s="72">
        <f>DELIVERIES!AA13</f>
        <v>6</v>
      </c>
      <c r="AB13" s="71">
        <f t="shared" si="8"/>
        <v>0</v>
      </c>
      <c r="AC13" s="68">
        <f>'7'!D14</f>
        <v>0</v>
      </c>
      <c r="AD13" s="72">
        <f>DELIVERIES!AD13</f>
        <v>8</v>
      </c>
      <c r="AE13" s="73">
        <f t="shared" si="9"/>
        <v>0</v>
      </c>
      <c r="AF13" s="72"/>
      <c r="AG13" s="72">
        <f>AG7</f>
        <v>0</v>
      </c>
      <c r="AH13" s="118">
        <f t="shared" si="10"/>
        <v>0</v>
      </c>
      <c r="AI13" s="119"/>
      <c r="AJ13" s="119"/>
      <c r="AK13" s="69">
        <f t="shared" si="11"/>
        <v>0</v>
      </c>
      <c r="AL13" s="76"/>
      <c r="AM13" s="68">
        <f>'7'!D17</f>
        <v>0</v>
      </c>
      <c r="AN13" s="72">
        <f>DELIVERIES!AQ13</f>
        <v>8.75</v>
      </c>
      <c r="AO13" s="71">
        <f t="shared" si="12"/>
        <v>0</v>
      </c>
      <c r="AP13" s="68">
        <f>'7'!D18</f>
        <v>0</v>
      </c>
      <c r="AQ13" s="72">
        <f>DELIVERIES!AT13</f>
        <v>12.25</v>
      </c>
      <c r="AR13" s="71">
        <f t="shared" si="13"/>
        <v>0</v>
      </c>
      <c r="AS13" s="68">
        <f>'7'!D21</f>
        <v>0</v>
      </c>
      <c r="AT13" s="70">
        <f>DELIVERIES!AW13</f>
        <v>7.9166666666600003</v>
      </c>
      <c r="AU13" s="71">
        <f t="shared" si="14"/>
        <v>0</v>
      </c>
      <c r="AV13" s="68">
        <f>'7'!D22</f>
        <v>0</v>
      </c>
      <c r="AW13" s="70">
        <f>DELIVERIES!AZ13</f>
        <v>9.7916666666666661</v>
      </c>
      <c r="AX13" s="71">
        <f t="shared" si="15"/>
        <v>0</v>
      </c>
      <c r="AY13" s="68">
        <f>'7'!D26</f>
        <v>0</v>
      </c>
      <c r="AZ13" s="68">
        <f>DELIVERIES!BC13</f>
        <v>16.333333333333332</v>
      </c>
      <c r="BA13" s="69">
        <f t="shared" si="16"/>
        <v>0</v>
      </c>
      <c r="BB13" s="68">
        <f>'7'!D27</f>
        <v>0</v>
      </c>
      <c r="BC13" s="68">
        <f>DELIVERIES!BF13</f>
        <v>11.5</v>
      </c>
      <c r="BD13" s="69">
        <f t="shared" si="17"/>
        <v>0</v>
      </c>
      <c r="BE13" s="68">
        <f>'7'!D28</f>
        <v>0</v>
      </c>
      <c r="BF13" s="70">
        <f>DELIVERIES!BI37</f>
        <v>20</v>
      </c>
      <c r="BG13" s="71">
        <f t="shared" si="18"/>
        <v>0</v>
      </c>
      <c r="BH13" s="68">
        <f>'7'!D23</f>
        <v>0</v>
      </c>
      <c r="BI13" s="70">
        <f>DELIVERIES!BL13</f>
        <v>23</v>
      </c>
      <c r="BJ13" s="71">
        <f t="shared" si="19"/>
        <v>0</v>
      </c>
      <c r="BK13" s="68">
        <f>'7'!D25</f>
        <v>0</v>
      </c>
      <c r="BL13" s="72">
        <f>DELIVERIES!BO13</f>
        <v>12.5</v>
      </c>
      <c r="BM13" s="71">
        <f t="shared" si="20"/>
        <v>0</v>
      </c>
      <c r="BN13" s="68">
        <f>'7'!D24</f>
        <v>0</v>
      </c>
      <c r="BO13" s="68">
        <f>DELIVERIES!BR13</f>
        <v>12.75</v>
      </c>
      <c r="BP13" s="69">
        <f t="shared" si="21"/>
        <v>0</v>
      </c>
      <c r="BQ13" s="68">
        <f>'7'!D19</f>
        <v>0</v>
      </c>
      <c r="BR13" s="70">
        <f>DELIVERIES!BU13</f>
        <v>30.25</v>
      </c>
      <c r="BS13" s="77">
        <f t="shared" si="22"/>
        <v>0</v>
      </c>
      <c r="BT13" s="68">
        <f>'7'!D20</f>
        <v>0</v>
      </c>
      <c r="BU13" s="70">
        <f>DELIVERIES!BX13</f>
        <v>15.916666666659999</v>
      </c>
      <c r="BV13" s="77">
        <f t="shared" si="23"/>
        <v>0</v>
      </c>
      <c r="BW13" s="78"/>
      <c r="BX13" s="79"/>
      <c r="BY13" s="69">
        <f t="shared" si="24"/>
        <v>0</v>
      </c>
      <c r="BZ13" s="39"/>
      <c r="CA13" s="71">
        <f t="shared" si="25"/>
        <v>0</v>
      </c>
      <c r="CB13" s="90"/>
      <c r="CC13" s="39"/>
      <c r="CD13" s="39">
        <f t="shared" si="26"/>
        <v>0</v>
      </c>
    </row>
    <row r="14" spans="1:82" ht="14.5">
      <c r="A14" s="129" t="s">
        <v>23</v>
      </c>
      <c r="B14" s="68">
        <f>SUM(B7:B13)</f>
        <v>0</v>
      </c>
      <c r="C14" s="68"/>
      <c r="D14" s="130">
        <f t="shared" ref="D14:E14" si="27">SUM(D7:D13)</f>
        <v>0</v>
      </c>
      <c r="E14" s="70">
        <f t="shared" si="27"/>
        <v>0</v>
      </c>
      <c r="F14" s="70"/>
      <c r="G14" s="131">
        <f t="shared" ref="G14:H14" si="28">SUM(G7:G13)</f>
        <v>0</v>
      </c>
      <c r="H14" s="72">
        <f t="shared" si="28"/>
        <v>0</v>
      </c>
      <c r="I14" s="70"/>
      <c r="J14" s="131">
        <f t="shared" ref="J14:K14" si="29">SUM(J7:J13)</f>
        <v>0</v>
      </c>
      <c r="K14" s="70">
        <f t="shared" si="29"/>
        <v>0</v>
      </c>
      <c r="L14" s="70"/>
      <c r="M14" s="131">
        <f t="shared" ref="M14:N14" si="30">SUM(M7:M13)</f>
        <v>0</v>
      </c>
      <c r="N14" s="70">
        <f t="shared" si="30"/>
        <v>0</v>
      </c>
      <c r="O14" s="70"/>
      <c r="P14" s="131">
        <f t="shared" ref="P14:Q14" si="31">SUM(P7:P13)</f>
        <v>0</v>
      </c>
      <c r="Q14" s="70">
        <f t="shared" si="31"/>
        <v>0</v>
      </c>
      <c r="R14" s="70"/>
      <c r="S14" s="131">
        <f t="shared" ref="S14:T14" si="32">SUM(S7:S13)</f>
        <v>0</v>
      </c>
      <c r="T14" s="70">
        <f t="shared" si="32"/>
        <v>0</v>
      </c>
      <c r="U14" s="70"/>
      <c r="V14" s="131">
        <f t="shared" ref="V14:W14" si="33">SUM(V7:V13)</f>
        <v>0</v>
      </c>
      <c r="W14" s="70">
        <f t="shared" si="33"/>
        <v>0</v>
      </c>
      <c r="X14" s="70"/>
      <c r="Y14" s="131">
        <f t="shared" ref="Y14:Z14" si="34">SUM(Y7:Y13)</f>
        <v>0</v>
      </c>
      <c r="Z14" s="70">
        <f t="shared" si="34"/>
        <v>0</v>
      </c>
      <c r="AA14" s="70"/>
      <c r="AB14" s="132">
        <f t="shared" ref="AB14:AC14" si="35">SUM(AB7:AB13)</f>
        <v>0</v>
      </c>
      <c r="AC14" s="70">
        <f t="shared" si="35"/>
        <v>0</v>
      </c>
      <c r="AD14" s="70"/>
      <c r="AE14" s="132">
        <f t="shared" ref="AE14:AF14" si="36">SUM(AE7:AE13)</f>
        <v>0</v>
      </c>
      <c r="AF14" s="70">
        <f t="shared" si="36"/>
        <v>0</v>
      </c>
      <c r="AG14" s="70"/>
      <c r="AH14" s="131">
        <f>SUM(AH7:AH13)</f>
        <v>0</v>
      </c>
      <c r="AI14" s="39"/>
      <c r="AJ14" s="39"/>
      <c r="AK14" s="131">
        <f>SUM(AK7:AK13)</f>
        <v>0</v>
      </c>
      <c r="AL14" s="76"/>
      <c r="AM14" s="68">
        <f>SUM(AM7:AM13)</f>
        <v>0</v>
      </c>
      <c r="AN14" s="70"/>
      <c r="AO14" s="131">
        <f t="shared" ref="AO14:AP14" si="37">SUM(AO7:AO13)</f>
        <v>0</v>
      </c>
      <c r="AP14" s="70">
        <f t="shared" si="37"/>
        <v>0</v>
      </c>
      <c r="AQ14" s="70"/>
      <c r="AR14" s="131">
        <f t="shared" ref="AR14:AS14" si="38">SUM(AR7:AR13)</f>
        <v>0</v>
      </c>
      <c r="AS14" s="70">
        <f t="shared" si="38"/>
        <v>0</v>
      </c>
      <c r="AT14" s="70"/>
      <c r="AU14" s="131">
        <f t="shared" ref="AU14:AV14" si="39">SUM(AU7:AU13)</f>
        <v>0</v>
      </c>
      <c r="AV14" s="72">
        <f t="shared" si="39"/>
        <v>0</v>
      </c>
      <c r="AW14" s="70"/>
      <c r="AX14" s="131">
        <f t="shared" ref="AX14:AY14" si="40">SUM(AX7:AX13)</f>
        <v>0</v>
      </c>
      <c r="AY14" s="70">
        <f t="shared" si="40"/>
        <v>0</v>
      </c>
      <c r="AZ14" s="70"/>
      <c r="BA14" s="131">
        <f t="shared" ref="BA14:BB14" si="41">SUM(BA7:BA13)</f>
        <v>0</v>
      </c>
      <c r="BB14" s="70">
        <f t="shared" si="41"/>
        <v>0</v>
      </c>
      <c r="BC14" s="70"/>
      <c r="BD14" s="131">
        <f t="shared" ref="BD14:BE14" si="42">SUM(BD7:BD13)</f>
        <v>0</v>
      </c>
      <c r="BE14" s="70">
        <f t="shared" si="42"/>
        <v>0</v>
      </c>
      <c r="BF14" s="70"/>
      <c r="BG14" s="131">
        <f t="shared" ref="BG14:BH14" si="43">SUM(BG7:BG13)</f>
        <v>0</v>
      </c>
      <c r="BH14" s="70">
        <f t="shared" si="43"/>
        <v>0</v>
      </c>
      <c r="BI14" s="70"/>
      <c r="BJ14" s="131">
        <f t="shared" ref="BJ14:BK14" si="44">SUM(BJ7:BJ13)</f>
        <v>0</v>
      </c>
      <c r="BK14" s="72">
        <f t="shared" si="44"/>
        <v>0</v>
      </c>
      <c r="BL14" s="70"/>
      <c r="BM14" s="131">
        <f t="shared" ref="BM14:BN14" si="45">SUM(BM7:BM13)</f>
        <v>0</v>
      </c>
      <c r="BN14" s="70">
        <f t="shared" si="45"/>
        <v>0</v>
      </c>
      <c r="BO14" s="70"/>
      <c r="BP14" s="131">
        <f t="shared" ref="BP14:BQ14" si="46">SUM(BP7:BP13)</f>
        <v>0</v>
      </c>
      <c r="BQ14" s="70">
        <f t="shared" si="46"/>
        <v>0</v>
      </c>
      <c r="BR14" s="70"/>
      <c r="BS14" s="132">
        <f t="shared" ref="BS14:BT14" si="47">SUM(BS7:BS13)</f>
        <v>0</v>
      </c>
      <c r="BT14" s="70">
        <f t="shared" si="47"/>
        <v>0</v>
      </c>
      <c r="BU14" s="70"/>
      <c r="BV14" s="132">
        <f>SUM(BV7:BV13)</f>
        <v>0</v>
      </c>
      <c r="BW14" s="39"/>
      <c r="BX14" s="39"/>
      <c r="BY14" s="130">
        <f>SUM(BY7:BY13)</f>
        <v>0</v>
      </c>
      <c r="BZ14" s="39"/>
      <c r="CA14" s="131">
        <f>SUM(CA7:CA13)</f>
        <v>0</v>
      </c>
      <c r="CB14" s="133"/>
      <c r="CC14" s="39"/>
      <c r="CD14" s="134">
        <f>SUM(CD7:CD13)</f>
        <v>0</v>
      </c>
    </row>
    <row r="15" spans="1:82" ht="14.5">
      <c r="A15" s="135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</row>
    <row r="16" spans="1:82" ht="14.5">
      <c r="A16" s="135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</row>
    <row r="17" spans="1:82" ht="14.5">
      <c r="A17" s="51" t="s">
        <v>101</v>
      </c>
      <c r="B17" s="460" t="str">
        <f>B5</f>
        <v>PREMIUM - CUT</v>
      </c>
      <c r="C17" s="445"/>
      <c r="D17" s="423"/>
      <c r="E17" s="460" t="s">
        <v>30</v>
      </c>
      <c r="F17" s="445"/>
      <c r="G17" s="423"/>
      <c r="H17" s="460" t="s">
        <v>102</v>
      </c>
      <c r="I17" s="445"/>
      <c r="J17" s="423"/>
      <c r="K17" s="460" t="str">
        <f>K5</f>
        <v>Chicken Fillet</v>
      </c>
      <c r="L17" s="445"/>
      <c r="M17" s="423"/>
      <c r="N17" s="460" t="s">
        <v>53</v>
      </c>
      <c r="O17" s="445"/>
      <c r="P17" s="445"/>
      <c r="Q17" s="459" t="s">
        <v>54</v>
      </c>
      <c r="R17" s="445"/>
      <c r="S17" s="423"/>
      <c r="T17" s="448" t="s">
        <v>55</v>
      </c>
      <c r="U17" s="445"/>
      <c r="V17" s="423"/>
      <c r="W17" s="448" t="s">
        <v>56</v>
      </c>
      <c r="X17" s="445"/>
      <c r="Y17" s="423"/>
      <c r="Z17" s="448" t="s">
        <v>57</v>
      </c>
      <c r="AA17" s="445"/>
      <c r="AB17" s="445"/>
      <c r="AC17" s="448" t="s">
        <v>58</v>
      </c>
      <c r="AD17" s="445"/>
      <c r="AE17" s="445"/>
      <c r="AF17" s="448">
        <f>AF5</f>
        <v>0</v>
      </c>
      <c r="AG17" s="445"/>
      <c r="AH17" s="423"/>
      <c r="AI17" s="448" t="str">
        <f>AI5</f>
        <v>SUBTOTAL</v>
      </c>
      <c r="AJ17" s="445"/>
      <c r="AK17" s="423"/>
      <c r="AL17" s="136"/>
      <c r="AM17" s="459" t="s">
        <v>103</v>
      </c>
      <c r="AN17" s="445"/>
      <c r="AO17" s="423"/>
      <c r="AP17" s="448" t="s">
        <v>60</v>
      </c>
      <c r="AQ17" s="445"/>
      <c r="AR17" s="423"/>
      <c r="AS17" s="448" t="s">
        <v>61</v>
      </c>
      <c r="AT17" s="445"/>
      <c r="AU17" s="423"/>
      <c r="AV17" s="448" t="s">
        <v>62</v>
      </c>
      <c r="AW17" s="445"/>
      <c r="AX17" s="423"/>
      <c r="AY17" s="448" t="s">
        <v>63</v>
      </c>
      <c r="AZ17" s="445"/>
      <c r="BA17" s="423"/>
      <c r="BB17" s="448" t="str">
        <f>BB5</f>
        <v>swakto</v>
      </c>
      <c r="BC17" s="445"/>
      <c r="BD17" s="423"/>
      <c r="BE17" s="448" t="str">
        <f>BE5</f>
        <v>Calamansi Juice</v>
      </c>
      <c r="BF17" s="445"/>
      <c r="BG17" s="423"/>
      <c r="BH17" s="448" t="str">
        <f>BH5</f>
        <v>GATORADE</v>
      </c>
      <c r="BI17" s="445"/>
      <c r="BJ17" s="423"/>
      <c r="BK17" s="448" t="s">
        <v>66</v>
      </c>
      <c r="BL17" s="445"/>
      <c r="BM17" s="423"/>
      <c r="BN17" s="448" t="s">
        <v>67</v>
      </c>
      <c r="BO17" s="445"/>
      <c r="BP17" s="423"/>
      <c r="BQ17" s="447" t="str">
        <f>BQ5</f>
        <v>1 LITER</v>
      </c>
      <c r="BR17" s="445"/>
      <c r="BS17" s="423"/>
      <c r="BT17" s="447" t="str">
        <f>BT5</f>
        <v>1.5 L</v>
      </c>
      <c r="BU17" s="445"/>
      <c r="BV17" s="423"/>
      <c r="BW17" s="444" t="s">
        <v>68</v>
      </c>
      <c r="BX17" s="445"/>
      <c r="BY17" s="423"/>
      <c r="BZ17" s="39"/>
      <c r="CA17" s="137" t="s">
        <v>23</v>
      </c>
      <c r="CB17" s="39"/>
      <c r="CC17" s="39"/>
      <c r="CD17" s="39"/>
    </row>
    <row r="18" spans="1:82" ht="14.5">
      <c r="A18" s="56" t="s">
        <v>7</v>
      </c>
      <c r="B18" s="118" t="s">
        <v>71</v>
      </c>
      <c r="C18" s="118" t="s">
        <v>72</v>
      </c>
      <c r="D18" s="118" t="s">
        <v>26</v>
      </c>
      <c r="E18" s="118" t="s">
        <v>71</v>
      </c>
      <c r="F18" s="118" t="s">
        <v>72</v>
      </c>
      <c r="G18" s="118" t="s">
        <v>26</v>
      </c>
      <c r="H18" s="138" t="s">
        <v>71</v>
      </c>
      <c r="I18" s="139" t="s">
        <v>72</v>
      </c>
      <c r="J18" s="140" t="s">
        <v>73</v>
      </c>
      <c r="K18" s="138" t="s">
        <v>71</v>
      </c>
      <c r="L18" s="139" t="s">
        <v>72</v>
      </c>
      <c r="M18" s="140" t="s">
        <v>73</v>
      </c>
      <c r="N18" s="118" t="s">
        <v>71</v>
      </c>
      <c r="O18" s="118" t="s">
        <v>72</v>
      </c>
      <c r="P18" s="118" t="s">
        <v>26</v>
      </c>
      <c r="Q18" s="138" t="s">
        <v>71</v>
      </c>
      <c r="R18" s="139" t="s">
        <v>72</v>
      </c>
      <c r="S18" s="140" t="s">
        <v>73</v>
      </c>
      <c r="T18" s="138" t="s">
        <v>71</v>
      </c>
      <c r="U18" s="139" t="s">
        <v>72</v>
      </c>
      <c r="V18" s="141" t="s">
        <v>73</v>
      </c>
      <c r="W18" s="138" t="s">
        <v>71</v>
      </c>
      <c r="X18" s="139" t="s">
        <v>72</v>
      </c>
      <c r="Y18" s="141" t="s">
        <v>73</v>
      </c>
      <c r="Z18" s="138" t="s">
        <v>71</v>
      </c>
      <c r="AA18" s="139" t="s">
        <v>72</v>
      </c>
      <c r="AB18" s="141" t="s">
        <v>73</v>
      </c>
      <c r="AC18" s="138" t="s">
        <v>71</v>
      </c>
      <c r="AD18" s="139" t="s">
        <v>72</v>
      </c>
      <c r="AE18" s="141" t="s">
        <v>26</v>
      </c>
      <c r="AF18" s="118" t="s">
        <v>71</v>
      </c>
      <c r="AG18" s="118" t="s">
        <v>72</v>
      </c>
      <c r="AH18" s="73" t="s">
        <v>26</v>
      </c>
      <c r="AI18" s="142"/>
      <c r="AJ18" s="143"/>
      <c r="AK18" s="144" t="s">
        <v>73</v>
      </c>
      <c r="AL18" s="136"/>
      <c r="AM18" s="145" t="s">
        <v>71</v>
      </c>
      <c r="AN18" s="146" t="s">
        <v>72</v>
      </c>
      <c r="AO18" s="145" t="s">
        <v>73</v>
      </c>
      <c r="AP18" s="147" t="s">
        <v>71</v>
      </c>
      <c r="AQ18" s="146" t="s">
        <v>72</v>
      </c>
      <c r="AR18" s="145" t="s">
        <v>73</v>
      </c>
      <c r="AS18" s="147" t="s">
        <v>71</v>
      </c>
      <c r="AT18" s="146" t="s">
        <v>72</v>
      </c>
      <c r="AU18" s="145" t="s">
        <v>73</v>
      </c>
      <c r="AV18" s="146" t="s">
        <v>71</v>
      </c>
      <c r="AW18" s="146" t="s">
        <v>72</v>
      </c>
      <c r="AX18" s="146" t="s">
        <v>26</v>
      </c>
      <c r="AY18" s="146" t="s">
        <v>71</v>
      </c>
      <c r="AZ18" s="146" t="s">
        <v>72</v>
      </c>
      <c r="BA18" s="146" t="s">
        <v>26</v>
      </c>
      <c r="BB18" s="146" t="s">
        <v>71</v>
      </c>
      <c r="BC18" s="146" t="s">
        <v>72</v>
      </c>
      <c r="BD18" s="146" t="s">
        <v>26</v>
      </c>
      <c r="BE18" s="146" t="s">
        <v>71</v>
      </c>
      <c r="BF18" s="146" t="s">
        <v>72</v>
      </c>
      <c r="BG18" s="146" t="s">
        <v>26</v>
      </c>
      <c r="BH18" s="146" t="s">
        <v>71</v>
      </c>
      <c r="BI18" s="146" t="s">
        <v>72</v>
      </c>
      <c r="BJ18" s="146" t="s">
        <v>26</v>
      </c>
      <c r="BK18" s="146" t="s">
        <v>71</v>
      </c>
      <c r="BL18" s="146" t="s">
        <v>72</v>
      </c>
      <c r="BM18" s="146" t="s">
        <v>26</v>
      </c>
      <c r="BN18" s="146" t="s">
        <v>71</v>
      </c>
      <c r="BO18" s="146" t="s">
        <v>72</v>
      </c>
      <c r="BP18" s="146" t="s">
        <v>26</v>
      </c>
      <c r="BQ18" s="146" t="s">
        <v>71</v>
      </c>
      <c r="BR18" s="146" t="s">
        <v>72</v>
      </c>
      <c r="BS18" s="147" t="s">
        <v>26</v>
      </c>
      <c r="BT18" s="146" t="s">
        <v>71</v>
      </c>
      <c r="BU18" s="146" t="s">
        <v>72</v>
      </c>
      <c r="BV18" s="147" t="s">
        <v>26</v>
      </c>
      <c r="BW18" s="142"/>
      <c r="BX18" s="143"/>
      <c r="BY18" s="144" t="s">
        <v>26</v>
      </c>
      <c r="BZ18" s="39"/>
      <c r="CA18" s="118" t="s">
        <v>26</v>
      </c>
      <c r="CB18" s="39"/>
      <c r="CC18" s="39"/>
      <c r="CD18" s="39"/>
    </row>
    <row r="19" spans="1:82" ht="14.5">
      <c r="A19" s="56">
        <v>8</v>
      </c>
      <c r="B19" s="70">
        <f>'8'!D29</f>
        <v>0</v>
      </c>
      <c r="C19" s="68">
        <f>DELIVERIES!C19</f>
        <v>30</v>
      </c>
      <c r="D19" s="69">
        <f t="shared" ref="D19:D25" si="48">B19*C19</f>
        <v>0</v>
      </c>
      <c r="E19" s="70">
        <f>'8'!D7</f>
        <v>0</v>
      </c>
      <c r="F19" s="70">
        <f>DELIVERIES!F19</f>
        <v>35</v>
      </c>
      <c r="G19" s="71">
        <f t="shared" ref="G19:G25" si="49">E19*F19</f>
        <v>0</v>
      </c>
      <c r="H19" s="72">
        <f>'8'!D8</f>
        <v>0</v>
      </c>
      <c r="I19" s="70">
        <f>DELIVERIES!I19</f>
        <v>8.5</v>
      </c>
      <c r="J19" s="71">
        <f t="shared" ref="J19:J25" si="50">H19*I19</f>
        <v>0</v>
      </c>
      <c r="K19" s="72">
        <f>'8'!D15</f>
        <v>0</v>
      </c>
      <c r="L19" s="70">
        <f>DELIVERIES!L19</f>
        <v>18</v>
      </c>
      <c r="M19" s="71">
        <f t="shared" ref="M19:M25" si="51">K19*L19</f>
        <v>0</v>
      </c>
      <c r="N19" s="70">
        <f>'8'!D9</f>
        <v>0</v>
      </c>
      <c r="O19" s="70">
        <f>DELIVERIES!O19</f>
        <v>7</v>
      </c>
      <c r="P19" s="71">
        <f t="shared" ref="P19:P25" si="52">N19*O19</f>
        <v>0</v>
      </c>
      <c r="Q19" s="68">
        <f>'8'!D10</f>
        <v>0</v>
      </c>
      <c r="R19" s="72">
        <f>DELIVERIES!R19</f>
        <v>5.5</v>
      </c>
      <c r="S19" s="71">
        <f t="shared" ref="S19:S25" si="53">Q19*R19</f>
        <v>0</v>
      </c>
      <c r="T19" s="68">
        <f>'8'!D11</f>
        <v>0</v>
      </c>
      <c r="U19" s="72">
        <f>DELIVERIES!U19</f>
        <v>8.5</v>
      </c>
      <c r="V19" s="71">
        <f t="shared" ref="V19:V25" si="54">T19*U19</f>
        <v>0</v>
      </c>
      <c r="W19" s="68">
        <f>'8'!D12</f>
        <v>0</v>
      </c>
      <c r="X19" s="72">
        <f>DELIVERIES!X19</f>
        <v>6</v>
      </c>
      <c r="Y19" s="71">
        <f t="shared" ref="Y19:Y25" si="55">W19*X19</f>
        <v>0</v>
      </c>
      <c r="Z19" s="68">
        <f>'8'!D13</f>
        <v>0</v>
      </c>
      <c r="AA19" s="72">
        <f>DELIVERIES!AA19</f>
        <v>6</v>
      </c>
      <c r="AB19" s="71">
        <f t="shared" ref="AB19:AB25" si="56">Z19*AA19</f>
        <v>0</v>
      </c>
      <c r="AC19" s="68">
        <f>'8'!D14</f>
        <v>0</v>
      </c>
      <c r="AD19" s="72">
        <f>DELIVERIES!AD19</f>
        <v>8</v>
      </c>
      <c r="AE19" s="73">
        <f t="shared" ref="AE19:AE25" si="57">AC19*AD19</f>
        <v>0</v>
      </c>
      <c r="AF19" s="72"/>
      <c r="AG19" s="72">
        <f>AG7</f>
        <v>0</v>
      </c>
      <c r="AH19" s="73">
        <f t="shared" ref="AH19:AH25" si="58">AF19*AG19</f>
        <v>0</v>
      </c>
      <c r="AI19" s="74"/>
      <c r="AJ19" s="75"/>
      <c r="AK19" s="69">
        <f>AE19+AB19+Y19+V19+S19+P19+J19+G19</f>
        <v>0</v>
      </c>
      <c r="AL19" s="76"/>
      <c r="AM19" s="68">
        <f>'8'!D17</f>
        <v>0</v>
      </c>
      <c r="AN19" s="72">
        <f>DELIVERIES!AQ19</f>
        <v>8.75</v>
      </c>
      <c r="AO19" s="71">
        <f t="shared" ref="AO19:AO25" si="59">AM19*AN19</f>
        <v>0</v>
      </c>
      <c r="AP19" s="68">
        <f>'8'!D18</f>
        <v>0</v>
      </c>
      <c r="AQ19" s="72">
        <f>DELIVERIES!AT19</f>
        <v>12.25</v>
      </c>
      <c r="AR19" s="71">
        <f t="shared" ref="AR19:AR25" si="60">AP19*AQ19</f>
        <v>0</v>
      </c>
      <c r="AS19" s="68">
        <f>'8'!D21</f>
        <v>0</v>
      </c>
      <c r="AT19" s="70">
        <f>DELIVERIES!AZ19</f>
        <v>9.7916666666666661</v>
      </c>
      <c r="AU19" s="71">
        <f t="shared" ref="AU19:AU25" si="61">AS19*AT19</f>
        <v>0</v>
      </c>
      <c r="AV19" s="68">
        <f>'8'!D22</f>
        <v>0</v>
      </c>
      <c r="AW19" s="70">
        <f>DELIVERIES!AZ19</f>
        <v>9.7916666666666661</v>
      </c>
      <c r="AX19" s="71">
        <f t="shared" ref="AX19:AX25" si="62">AV19*AW19</f>
        <v>0</v>
      </c>
      <c r="AY19" s="68">
        <f>'8'!D26</f>
        <v>0</v>
      </c>
      <c r="AZ19" s="68">
        <f>DELIVERIES!BC19</f>
        <v>16.333333333333332</v>
      </c>
      <c r="BA19" s="69">
        <f t="shared" ref="BA19:BA25" si="63">AY19*AZ19</f>
        <v>0</v>
      </c>
      <c r="BB19" s="68">
        <f>'8'!D27</f>
        <v>0</v>
      </c>
      <c r="BC19" s="68">
        <f>DELIVERIES!BF19</f>
        <v>11.5</v>
      </c>
      <c r="BD19" s="69">
        <f t="shared" ref="BD19:BD25" si="64">BB19*BC19</f>
        <v>0</v>
      </c>
      <c r="BE19" s="68">
        <f>'8'!D28</f>
        <v>0</v>
      </c>
      <c r="BF19" s="70">
        <f>DELIVERIES!BI43</f>
        <v>20</v>
      </c>
      <c r="BG19" s="71">
        <f t="shared" ref="BG19:BG25" si="65">BE19*BF19</f>
        <v>0</v>
      </c>
      <c r="BH19" s="68">
        <f>'8'!D23</f>
        <v>0</v>
      </c>
      <c r="BI19" s="70">
        <f>DELIVERIES!BL19</f>
        <v>23</v>
      </c>
      <c r="BJ19" s="71">
        <f t="shared" ref="BJ19:BJ25" si="66">BH19*BI19</f>
        <v>0</v>
      </c>
      <c r="BK19" s="68">
        <f>'8'!D25</f>
        <v>0</v>
      </c>
      <c r="BL19" s="72">
        <f>DELIVERIES!BO19</f>
        <v>12.5</v>
      </c>
      <c r="BM19" s="71">
        <f t="shared" ref="BM19:BM25" si="67">BK19*BL19</f>
        <v>0</v>
      </c>
      <c r="BN19" s="68">
        <f>'8'!D24</f>
        <v>0</v>
      </c>
      <c r="BO19" s="68">
        <f>DELIVERIES!BR19</f>
        <v>12.75</v>
      </c>
      <c r="BP19" s="69">
        <f t="shared" ref="BP19:BP25" si="68">BN19*BO19</f>
        <v>0</v>
      </c>
      <c r="BQ19" s="68">
        <f>'8'!D19</f>
        <v>0</v>
      </c>
      <c r="BR19" s="70">
        <f>DELIVERIES!BU19</f>
        <v>30.25</v>
      </c>
      <c r="BS19" s="77">
        <f t="shared" ref="BS19:BS25" si="69">BQ19*BR19</f>
        <v>0</v>
      </c>
      <c r="BT19" s="68">
        <f>'8'!D20</f>
        <v>0</v>
      </c>
      <c r="BU19" s="70">
        <f>DELIVERIES!BX19</f>
        <v>15.916666666659999</v>
      </c>
      <c r="BV19" s="77">
        <f t="shared" ref="BV19:BV25" si="70">BT19*BU19</f>
        <v>0</v>
      </c>
      <c r="BW19" s="78"/>
      <c r="BX19" s="79"/>
      <c r="BY19" s="69">
        <f t="shared" ref="BY19:BY25" si="71">AO19+AR19+AU19+AX19+BA19+BD19+BG19+BJ19+BM19+BP19+BS19+BV19</f>
        <v>0</v>
      </c>
      <c r="BZ19" s="39"/>
      <c r="CA19" s="71">
        <f t="shared" ref="CA19:CA25" si="72">AK19+BY19</f>
        <v>0</v>
      </c>
      <c r="CB19" s="39"/>
      <c r="CC19" s="39"/>
      <c r="CD19" s="39">
        <f t="shared" ref="CD19:CD25" si="73">CA19-CC19</f>
        <v>0</v>
      </c>
    </row>
    <row r="20" spans="1:82" ht="14.5">
      <c r="A20" s="56">
        <v>9</v>
      </c>
      <c r="B20" s="68">
        <f>'9'!D29</f>
        <v>0</v>
      </c>
      <c r="C20" s="68">
        <f>DELIVERIES!C20</f>
        <v>30</v>
      </c>
      <c r="D20" s="69">
        <f t="shared" si="48"/>
        <v>0</v>
      </c>
      <c r="E20" s="68">
        <f>'9'!D7</f>
        <v>0</v>
      </c>
      <c r="F20" s="70">
        <f>DELIVERIES!F20</f>
        <v>35</v>
      </c>
      <c r="G20" s="71">
        <f t="shared" si="49"/>
        <v>0</v>
      </c>
      <c r="H20" s="84">
        <f>'9'!D8</f>
        <v>0</v>
      </c>
      <c r="I20" s="70">
        <f>DELIVERIES!I20</f>
        <v>8.5</v>
      </c>
      <c r="J20" s="71">
        <f t="shared" si="50"/>
        <v>0</v>
      </c>
      <c r="K20" s="84">
        <f>'9'!D15</f>
        <v>0</v>
      </c>
      <c r="L20" s="70">
        <f>DELIVERIES!L20</f>
        <v>18</v>
      </c>
      <c r="M20" s="71">
        <f t="shared" si="51"/>
        <v>0</v>
      </c>
      <c r="N20" s="68">
        <f>'9'!D9</f>
        <v>0</v>
      </c>
      <c r="O20" s="70">
        <f>DELIVERIES!O20</f>
        <v>7</v>
      </c>
      <c r="P20" s="71">
        <f t="shared" si="52"/>
        <v>0</v>
      </c>
      <c r="Q20" s="68">
        <f>'9'!D10</f>
        <v>0</v>
      </c>
      <c r="R20" s="72">
        <f>DELIVERIES!R20</f>
        <v>5.5</v>
      </c>
      <c r="S20" s="71">
        <f t="shared" si="53"/>
        <v>0</v>
      </c>
      <c r="T20" s="68">
        <f>'9'!D11</f>
        <v>0</v>
      </c>
      <c r="U20" s="72">
        <f>DELIVERIES!U20</f>
        <v>8.5</v>
      </c>
      <c r="V20" s="71">
        <f t="shared" si="54"/>
        <v>0</v>
      </c>
      <c r="W20" s="68">
        <f>'9'!D12</f>
        <v>0</v>
      </c>
      <c r="X20" s="72">
        <f>DELIVERIES!X20</f>
        <v>6</v>
      </c>
      <c r="Y20" s="71">
        <f t="shared" si="55"/>
        <v>0</v>
      </c>
      <c r="Z20" s="68">
        <f>'9'!D13</f>
        <v>0</v>
      </c>
      <c r="AA20" s="72">
        <f>DELIVERIES!AA20</f>
        <v>6</v>
      </c>
      <c r="AB20" s="71">
        <f t="shared" si="56"/>
        <v>0</v>
      </c>
      <c r="AC20" s="68">
        <f>'9'!D14</f>
        <v>0</v>
      </c>
      <c r="AD20" s="72">
        <f>DELIVERIES!AD20</f>
        <v>8</v>
      </c>
      <c r="AE20" s="73">
        <f t="shared" si="57"/>
        <v>0</v>
      </c>
      <c r="AF20" s="72"/>
      <c r="AG20" s="72">
        <f>AG7</f>
        <v>0</v>
      </c>
      <c r="AH20" s="73">
        <f t="shared" si="58"/>
        <v>0</v>
      </c>
      <c r="AI20" s="74"/>
      <c r="AJ20" s="75"/>
      <c r="AK20" s="69">
        <f t="shared" ref="AK20:AK25" si="74">D20+G20+J20+M20+P20+S20+V20+Y20+AB20+AE20+AH20</f>
        <v>0</v>
      </c>
      <c r="AL20" s="76"/>
      <c r="AM20" s="68">
        <f>'9'!D17</f>
        <v>0</v>
      </c>
      <c r="AN20" s="72">
        <f>DELIVERIES!AQ20</f>
        <v>8.75</v>
      </c>
      <c r="AO20" s="71">
        <f t="shared" si="59"/>
        <v>0</v>
      </c>
      <c r="AP20" s="68">
        <f>'9'!D18</f>
        <v>0</v>
      </c>
      <c r="AQ20" s="72">
        <f>DELIVERIES!AT20</f>
        <v>12.25</v>
      </c>
      <c r="AR20" s="71">
        <f t="shared" si="60"/>
        <v>0</v>
      </c>
      <c r="AS20" s="68">
        <f>'9'!D21</f>
        <v>0</v>
      </c>
      <c r="AT20" s="70">
        <f>DELIVERIES!AZ20</f>
        <v>9.7916666666666661</v>
      </c>
      <c r="AU20" s="71">
        <f t="shared" si="61"/>
        <v>0</v>
      </c>
      <c r="AV20" s="68">
        <f>'9'!D22</f>
        <v>0</v>
      </c>
      <c r="AW20" s="70">
        <f>DELIVERIES!AZ20</f>
        <v>9.7916666666666661</v>
      </c>
      <c r="AX20" s="71">
        <f t="shared" si="62"/>
        <v>0</v>
      </c>
      <c r="AY20" s="68">
        <f>'9'!D26</f>
        <v>0</v>
      </c>
      <c r="AZ20" s="68">
        <f>DELIVERIES!BC20</f>
        <v>16.333333333333332</v>
      </c>
      <c r="BA20" s="69">
        <f t="shared" si="63"/>
        <v>0</v>
      </c>
      <c r="BB20" s="68">
        <f>'9'!D27</f>
        <v>0</v>
      </c>
      <c r="BC20" s="68">
        <f>DELIVERIES!BF20</f>
        <v>11.5</v>
      </c>
      <c r="BD20" s="69">
        <f t="shared" si="64"/>
        <v>0</v>
      </c>
      <c r="BE20" s="68">
        <f>'9'!D28</f>
        <v>0</v>
      </c>
      <c r="BF20" s="70">
        <f>DELIVERIES!BI44</f>
        <v>20</v>
      </c>
      <c r="BG20" s="71">
        <f t="shared" si="65"/>
        <v>0</v>
      </c>
      <c r="BH20" s="68">
        <f>'9'!D23</f>
        <v>0</v>
      </c>
      <c r="BI20" s="70">
        <f>DELIVERIES!BL20</f>
        <v>23</v>
      </c>
      <c r="BJ20" s="71">
        <f t="shared" si="66"/>
        <v>0</v>
      </c>
      <c r="BK20" s="68">
        <f>'9'!D25</f>
        <v>0</v>
      </c>
      <c r="BL20" s="72">
        <f>DELIVERIES!BO20</f>
        <v>12.5</v>
      </c>
      <c r="BM20" s="71">
        <f t="shared" si="67"/>
        <v>0</v>
      </c>
      <c r="BN20" s="68">
        <f>'9'!D24</f>
        <v>0</v>
      </c>
      <c r="BO20" s="68">
        <f>DELIVERIES!BR20</f>
        <v>12.75</v>
      </c>
      <c r="BP20" s="69">
        <f t="shared" si="68"/>
        <v>0</v>
      </c>
      <c r="BQ20" s="68">
        <f>'9'!D19</f>
        <v>0</v>
      </c>
      <c r="BR20" s="70">
        <f>DELIVERIES!BU20</f>
        <v>30.25</v>
      </c>
      <c r="BS20" s="77">
        <f t="shared" si="69"/>
        <v>0</v>
      </c>
      <c r="BT20" s="68">
        <f>'9'!D20</f>
        <v>0</v>
      </c>
      <c r="BU20" s="70">
        <f>DELIVERIES!BX20</f>
        <v>15.916666666659999</v>
      </c>
      <c r="BV20" s="77">
        <f t="shared" si="70"/>
        <v>0</v>
      </c>
      <c r="BW20" s="78"/>
      <c r="BX20" s="79"/>
      <c r="BY20" s="69">
        <f t="shared" si="71"/>
        <v>0</v>
      </c>
      <c r="BZ20" s="39"/>
      <c r="CA20" s="71">
        <f t="shared" si="72"/>
        <v>0</v>
      </c>
      <c r="CB20" s="90"/>
      <c r="CC20" s="39"/>
      <c r="CD20" s="39">
        <f t="shared" si="73"/>
        <v>0</v>
      </c>
    </row>
    <row r="21" spans="1:82" ht="15.75" customHeight="1">
      <c r="A21" s="56">
        <v>10</v>
      </c>
      <c r="B21" s="68">
        <f>'10'!D29</f>
        <v>0</v>
      </c>
      <c r="C21" s="68">
        <f>DELIVERIES!C21</f>
        <v>30</v>
      </c>
      <c r="D21" s="69">
        <f t="shared" si="48"/>
        <v>0</v>
      </c>
      <c r="E21" s="68">
        <f>'10'!D7</f>
        <v>0</v>
      </c>
      <c r="F21" s="70">
        <f>DELIVERIES!F21</f>
        <v>35</v>
      </c>
      <c r="G21" s="71">
        <f t="shared" si="49"/>
        <v>0</v>
      </c>
      <c r="H21" s="84">
        <f>'10'!D8</f>
        <v>0</v>
      </c>
      <c r="I21" s="70">
        <f>DELIVERIES!I21</f>
        <v>8.5</v>
      </c>
      <c r="J21" s="71">
        <f t="shared" si="50"/>
        <v>0</v>
      </c>
      <c r="K21" s="84">
        <f>'10'!D15</f>
        <v>0</v>
      </c>
      <c r="L21" s="70">
        <f>DELIVERIES!L21</f>
        <v>18</v>
      </c>
      <c r="M21" s="71">
        <f t="shared" si="51"/>
        <v>0</v>
      </c>
      <c r="N21" s="68">
        <f>'10'!D9</f>
        <v>0</v>
      </c>
      <c r="O21" s="70">
        <f>DELIVERIES!O21</f>
        <v>7</v>
      </c>
      <c r="P21" s="71">
        <f t="shared" si="52"/>
        <v>0</v>
      </c>
      <c r="Q21" s="68">
        <f>'10'!D10</f>
        <v>0</v>
      </c>
      <c r="R21" s="72">
        <f>DELIVERIES!R21</f>
        <v>5.5</v>
      </c>
      <c r="S21" s="71">
        <f t="shared" si="53"/>
        <v>0</v>
      </c>
      <c r="T21" s="68">
        <f>'10'!D11</f>
        <v>0</v>
      </c>
      <c r="U21" s="72">
        <f>DELIVERIES!U21</f>
        <v>8.5</v>
      </c>
      <c r="V21" s="71">
        <f t="shared" si="54"/>
        <v>0</v>
      </c>
      <c r="W21" s="68">
        <f>'10'!D12</f>
        <v>0</v>
      </c>
      <c r="X21" s="72">
        <f>DELIVERIES!X21</f>
        <v>6</v>
      </c>
      <c r="Y21" s="71">
        <f t="shared" si="55"/>
        <v>0</v>
      </c>
      <c r="Z21" s="68">
        <f>'10'!D13</f>
        <v>0</v>
      </c>
      <c r="AA21" s="72">
        <f>DELIVERIES!AA21</f>
        <v>6</v>
      </c>
      <c r="AB21" s="71">
        <f t="shared" si="56"/>
        <v>0</v>
      </c>
      <c r="AC21" s="68">
        <f>'10'!D14</f>
        <v>0</v>
      </c>
      <c r="AD21" s="72">
        <f>DELIVERIES!AD21</f>
        <v>8</v>
      </c>
      <c r="AE21" s="73">
        <f t="shared" si="57"/>
        <v>0</v>
      </c>
      <c r="AF21" s="72"/>
      <c r="AG21" s="72">
        <f>AG7</f>
        <v>0</v>
      </c>
      <c r="AH21" s="73">
        <f t="shared" si="58"/>
        <v>0</v>
      </c>
      <c r="AI21" s="74"/>
      <c r="AJ21" s="75"/>
      <c r="AK21" s="69">
        <f t="shared" si="74"/>
        <v>0</v>
      </c>
      <c r="AL21" s="76"/>
      <c r="AM21" s="68">
        <f>'10'!D17</f>
        <v>0</v>
      </c>
      <c r="AN21" s="72">
        <f>DELIVERIES!AQ21</f>
        <v>8.75</v>
      </c>
      <c r="AO21" s="71">
        <f t="shared" si="59"/>
        <v>0</v>
      </c>
      <c r="AP21" s="68">
        <f>'10'!D18</f>
        <v>0</v>
      </c>
      <c r="AQ21" s="72">
        <f>DELIVERIES!AT21</f>
        <v>12.25</v>
      </c>
      <c r="AR21" s="71">
        <f t="shared" si="60"/>
        <v>0</v>
      </c>
      <c r="AS21" s="68">
        <f>'10'!D21</f>
        <v>0</v>
      </c>
      <c r="AT21" s="70">
        <f>DELIVERIES!AZ21</f>
        <v>9.7916666666666661</v>
      </c>
      <c r="AU21" s="71">
        <f t="shared" si="61"/>
        <v>0</v>
      </c>
      <c r="AV21" s="68">
        <f>'10'!D22</f>
        <v>0</v>
      </c>
      <c r="AW21" s="70">
        <f>DELIVERIES!AZ21</f>
        <v>9.7916666666666661</v>
      </c>
      <c r="AX21" s="71">
        <f t="shared" si="62"/>
        <v>0</v>
      </c>
      <c r="AY21" s="68">
        <f>'10'!D26</f>
        <v>0</v>
      </c>
      <c r="AZ21" s="68">
        <f>DELIVERIES!BC21</f>
        <v>16.333333333333332</v>
      </c>
      <c r="BA21" s="69">
        <f t="shared" si="63"/>
        <v>0</v>
      </c>
      <c r="BB21" s="68">
        <f>'10'!D27</f>
        <v>0</v>
      </c>
      <c r="BC21" s="68">
        <f>DELIVERIES!BF21</f>
        <v>11.5</v>
      </c>
      <c r="BD21" s="69">
        <f t="shared" si="64"/>
        <v>0</v>
      </c>
      <c r="BE21" s="68">
        <f>'10'!D28</f>
        <v>0</v>
      </c>
      <c r="BF21" s="70">
        <f>DELIVERIES!BI45</f>
        <v>20</v>
      </c>
      <c r="BG21" s="71">
        <f t="shared" si="65"/>
        <v>0</v>
      </c>
      <c r="BH21" s="68">
        <f>'10'!D23</f>
        <v>0</v>
      </c>
      <c r="BI21" s="70">
        <f>DELIVERIES!BL21</f>
        <v>23</v>
      </c>
      <c r="BJ21" s="71">
        <f t="shared" si="66"/>
        <v>0</v>
      </c>
      <c r="BK21" s="68">
        <f>'10'!D25</f>
        <v>0</v>
      </c>
      <c r="BL21" s="72">
        <f>DELIVERIES!BO21</f>
        <v>12.5</v>
      </c>
      <c r="BM21" s="71">
        <f t="shared" si="67"/>
        <v>0</v>
      </c>
      <c r="BN21" s="68">
        <f>'10'!D24</f>
        <v>0</v>
      </c>
      <c r="BO21" s="68">
        <f>DELIVERIES!BR21</f>
        <v>12.75</v>
      </c>
      <c r="BP21" s="69">
        <f t="shared" si="68"/>
        <v>0</v>
      </c>
      <c r="BQ21" s="68">
        <f>'10'!D19</f>
        <v>0</v>
      </c>
      <c r="BR21" s="70">
        <f>DELIVERIES!BU21</f>
        <v>30.25</v>
      </c>
      <c r="BS21" s="77">
        <f t="shared" si="69"/>
        <v>0</v>
      </c>
      <c r="BT21" s="68">
        <f>'10'!D20</f>
        <v>0</v>
      </c>
      <c r="BU21" s="70">
        <f>DELIVERIES!BX21</f>
        <v>15.916666666659999</v>
      </c>
      <c r="BV21" s="77">
        <f t="shared" si="70"/>
        <v>0</v>
      </c>
      <c r="BW21" s="78"/>
      <c r="BX21" s="79"/>
      <c r="BY21" s="69">
        <f t="shared" si="71"/>
        <v>0</v>
      </c>
      <c r="BZ21" s="39"/>
      <c r="CA21" s="71">
        <f t="shared" si="72"/>
        <v>0</v>
      </c>
      <c r="CB21" s="90"/>
      <c r="CC21" s="39"/>
      <c r="CD21" s="39">
        <f t="shared" si="73"/>
        <v>0</v>
      </c>
    </row>
    <row r="22" spans="1:82" ht="15.75" customHeight="1">
      <c r="A22" s="56">
        <v>11</v>
      </c>
      <c r="B22" s="68">
        <f>'11'!D29</f>
        <v>0</v>
      </c>
      <c r="C22" s="68">
        <f>DELIVERIES!C22</f>
        <v>30</v>
      </c>
      <c r="D22" s="69">
        <f t="shared" si="48"/>
        <v>0</v>
      </c>
      <c r="E22" s="68">
        <f>'11'!D7</f>
        <v>0</v>
      </c>
      <c r="F22" s="70">
        <f>DELIVERIES!F22</f>
        <v>35</v>
      </c>
      <c r="G22" s="71">
        <f t="shared" si="49"/>
        <v>0</v>
      </c>
      <c r="H22" s="84">
        <f>'11'!D8</f>
        <v>0</v>
      </c>
      <c r="I22" s="70">
        <f>DELIVERIES!I22</f>
        <v>8.5</v>
      </c>
      <c r="J22" s="71">
        <f t="shared" si="50"/>
        <v>0</v>
      </c>
      <c r="K22" s="84">
        <f>'11'!D15</f>
        <v>0</v>
      </c>
      <c r="L22" s="70">
        <f>DELIVERIES!L22</f>
        <v>18</v>
      </c>
      <c r="M22" s="71">
        <f t="shared" si="51"/>
        <v>0</v>
      </c>
      <c r="N22" s="68">
        <f>'11'!D9</f>
        <v>0</v>
      </c>
      <c r="O22" s="70">
        <f>DELIVERIES!O22</f>
        <v>7</v>
      </c>
      <c r="P22" s="71">
        <f t="shared" si="52"/>
        <v>0</v>
      </c>
      <c r="Q22" s="68">
        <f>'11'!D10</f>
        <v>0</v>
      </c>
      <c r="R22" s="72">
        <f>DELIVERIES!R22</f>
        <v>5.5</v>
      </c>
      <c r="S22" s="71">
        <f t="shared" si="53"/>
        <v>0</v>
      </c>
      <c r="T22" s="68">
        <f>'11'!D11</f>
        <v>0</v>
      </c>
      <c r="U22" s="72">
        <f>DELIVERIES!U22</f>
        <v>8.5</v>
      </c>
      <c r="V22" s="71">
        <f t="shared" si="54"/>
        <v>0</v>
      </c>
      <c r="W22" s="68">
        <f>'11'!D12</f>
        <v>0</v>
      </c>
      <c r="X22" s="72">
        <f>DELIVERIES!X22</f>
        <v>6</v>
      </c>
      <c r="Y22" s="71">
        <f t="shared" si="55"/>
        <v>0</v>
      </c>
      <c r="Z22" s="68">
        <f>'11'!D13</f>
        <v>0</v>
      </c>
      <c r="AA22" s="72">
        <f>DELIVERIES!AA22</f>
        <v>6</v>
      </c>
      <c r="AB22" s="71">
        <f t="shared" si="56"/>
        <v>0</v>
      </c>
      <c r="AC22" s="68">
        <f>'11'!D14</f>
        <v>0</v>
      </c>
      <c r="AD22" s="72">
        <f>DELIVERIES!AD22</f>
        <v>8</v>
      </c>
      <c r="AE22" s="73">
        <f t="shared" si="57"/>
        <v>0</v>
      </c>
      <c r="AF22" s="72"/>
      <c r="AG22" s="72">
        <f>AG7</f>
        <v>0</v>
      </c>
      <c r="AH22" s="73">
        <f t="shared" si="58"/>
        <v>0</v>
      </c>
      <c r="AI22" s="74"/>
      <c r="AJ22" s="75"/>
      <c r="AK22" s="69">
        <f t="shared" si="74"/>
        <v>0</v>
      </c>
      <c r="AL22" s="76"/>
      <c r="AM22" s="68">
        <f>'11'!D17</f>
        <v>0</v>
      </c>
      <c r="AN22" s="72">
        <f>DELIVERIES!AQ22</f>
        <v>8.75</v>
      </c>
      <c r="AO22" s="71">
        <f t="shared" si="59"/>
        <v>0</v>
      </c>
      <c r="AP22" s="68">
        <f>'11'!D18</f>
        <v>0</v>
      </c>
      <c r="AQ22" s="72">
        <f>DELIVERIES!AT22</f>
        <v>12.25</v>
      </c>
      <c r="AR22" s="71">
        <f t="shared" si="60"/>
        <v>0</v>
      </c>
      <c r="AS22" s="68">
        <f>'11'!D21</f>
        <v>0</v>
      </c>
      <c r="AT22" s="70">
        <f>DELIVERIES!AZ22</f>
        <v>9.7916666666666661</v>
      </c>
      <c r="AU22" s="71">
        <f t="shared" si="61"/>
        <v>0</v>
      </c>
      <c r="AV22" s="68">
        <f>'11'!D22</f>
        <v>0</v>
      </c>
      <c r="AW22" s="70">
        <f>DELIVERIES!AZ22</f>
        <v>9.7916666666666661</v>
      </c>
      <c r="AX22" s="71">
        <f t="shared" si="62"/>
        <v>0</v>
      </c>
      <c r="AY22" s="68">
        <f>'11'!D26</f>
        <v>0</v>
      </c>
      <c r="AZ22" s="68">
        <f>DELIVERIES!BC22</f>
        <v>16.333333333333332</v>
      </c>
      <c r="BA22" s="69">
        <f t="shared" si="63"/>
        <v>0</v>
      </c>
      <c r="BB22" s="68">
        <f>'11'!D27</f>
        <v>0</v>
      </c>
      <c r="BC22" s="68">
        <f>DELIVERIES!BF22</f>
        <v>11.5</v>
      </c>
      <c r="BD22" s="69">
        <f t="shared" si="64"/>
        <v>0</v>
      </c>
      <c r="BE22" s="68">
        <f>'11'!D28</f>
        <v>0</v>
      </c>
      <c r="BF22" s="70">
        <f>DELIVERIES!BI46</f>
        <v>20</v>
      </c>
      <c r="BG22" s="71">
        <f t="shared" si="65"/>
        <v>0</v>
      </c>
      <c r="BH22" s="68">
        <f>'11'!D23</f>
        <v>0</v>
      </c>
      <c r="BI22" s="70">
        <f>DELIVERIES!BL22</f>
        <v>23</v>
      </c>
      <c r="BJ22" s="71">
        <f t="shared" si="66"/>
        <v>0</v>
      </c>
      <c r="BK22" s="68">
        <f>'11'!D25</f>
        <v>0</v>
      </c>
      <c r="BL22" s="72">
        <f>DELIVERIES!BO22</f>
        <v>12.5</v>
      </c>
      <c r="BM22" s="71">
        <f t="shared" si="67"/>
        <v>0</v>
      </c>
      <c r="BN22" s="68">
        <f>'11'!D24</f>
        <v>0</v>
      </c>
      <c r="BO22" s="68">
        <f>DELIVERIES!BR22</f>
        <v>12.75</v>
      </c>
      <c r="BP22" s="69">
        <f t="shared" si="68"/>
        <v>0</v>
      </c>
      <c r="BQ22" s="68">
        <f>'11'!D19</f>
        <v>0</v>
      </c>
      <c r="BR22" s="70">
        <f>DELIVERIES!BU22</f>
        <v>30.25</v>
      </c>
      <c r="BS22" s="77">
        <f t="shared" si="69"/>
        <v>0</v>
      </c>
      <c r="BT22" s="68">
        <f>'11'!D20</f>
        <v>0</v>
      </c>
      <c r="BU22" s="70">
        <f>DELIVERIES!BX22</f>
        <v>15.916666666659999</v>
      </c>
      <c r="BV22" s="77">
        <f t="shared" si="70"/>
        <v>0</v>
      </c>
      <c r="BW22" s="78"/>
      <c r="BX22" s="79"/>
      <c r="BY22" s="69">
        <f t="shared" si="71"/>
        <v>0</v>
      </c>
      <c r="BZ22" s="39"/>
      <c r="CA22" s="71">
        <f t="shared" si="72"/>
        <v>0</v>
      </c>
      <c r="CB22" s="90"/>
      <c r="CC22" s="39"/>
      <c r="CD22" s="39">
        <f t="shared" si="73"/>
        <v>0</v>
      </c>
    </row>
    <row r="23" spans="1:82" ht="15.75" customHeight="1">
      <c r="A23" s="56">
        <v>12</v>
      </c>
      <c r="B23" s="68">
        <f>'12'!D29</f>
        <v>0</v>
      </c>
      <c r="C23" s="68">
        <f>DELIVERIES!C23</f>
        <v>30</v>
      </c>
      <c r="D23" s="69">
        <f t="shared" si="48"/>
        <v>0</v>
      </c>
      <c r="E23" s="68">
        <f>'12'!D7</f>
        <v>0</v>
      </c>
      <c r="F23" s="70">
        <f>DELIVERIES!F23</f>
        <v>35</v>
      </c>
      <c r="G23" s="71">
        <f t="shared" si="49"/>
        <v>0</v>
      </c>
      <c r="H23" s="84">
        <f>'12'!D8</f>
        <v>0</v>
      </c>
      <c r="I23" s="70">
        <f>DELIVERIES!I23</f>
        <v>8.5</v>
      </c>
      <c r="J23" s="71">
        <f t="shared" si="50"/>
        <v>0</v>
      </c>
      <c r="K23" s="84">
        <f>'12'!D15</f>
        <v>0</v>
      </c>
      <c r="L23" s="70">
        <f>DELIVERIES!L23</f>
        <v>18</v>
      </c>
      <c r="M23" s="71">
        <f t="shared" si="51"/>
        <v>0</v>
      </c>
      <c r="N23" s="68">
        <f>'12'!D9</f>
        <v>0</v>
      </c>
      <c r="O23" s="70">
        <f>DELIVERIES!O23</f>
        <v>7</v>
      </c>
      <c r="P23" s="71">
        <f t="shared" si="52"/>
        <v>0</v>
      </c>
      <c r="Q23" s="68">
        <f>'12'!D10</f>
        <v>0</v>
      </c>
      <c r="R23" s="72">
        <f>DELIVERIES!R23</f>
        <v>5.5</v>
      </c>
      <c r="S23" s="71">
        <f t="shared" si="53"/>
        <v>0</v>
      </c>
      <c r="T23" s="68">
        <f>'12'!D11</f>
        <v>0</v>
      </c>
      <c r="U23" s="72">
        <f>DELIVERIES!U23</f>
        <v>8.5</v>
      </c>
      <c r="V23" s="71">
        <f t="shared" si="54"/>
        <v>0</v>
      </c>
      <c r="W23" s="68">
        <f>'12'!D12</f>
        <v>0</v>
      </c>
      <c r="X23" s="72">
        <f>DELIVERIES!X23</f>
        <v>6</v>
      </c>
      <c r="Y23" s="71">
        <f t="shared" si="55"/>
        <v>0</v>
      </c>
      <c r="Z23" s="68">
        <f>'12'!D13</f>
        <v>0</v>
      </c>
      <c r="AA23" s="72">
        <f>DELIVERIES!AA23</f>
        <v>6</v>
      </c>
      <c r="AB23" s="71">
        <f t="shared" si="56"/>
        <v>0</v>
      </c>
      <c r="AC23" s="68">
        <f>'12'!D14</f>
        <v>0</v>
      </c>
      <c r="AD23" s="72">
        <f>DELIVERIES!AD23</f>
        <v>8</v>
      </c>
      <c r="AE23" s="73">
        <f t="shared" si="57"/>
        <v>0</v>
      </c>
      <c r="AF23" s="72"/>
      <c r="AG23" s="72">
        <f>AG7</f>
        <v>0</v>
      </c>
      <c r="AH23" s="73">
        <f t="shared" si="58"/>
        <v>0</v>
      </c>
      <c r="AI23" s="74"/>
      <c r="AJ23" s="75"/>
      <c r="AK23" s="69">
        <f t="shared" si="74"/>
        <v>0</v>
      </c>
      <c r="AL23" s="76"/>
      <c r="AM23" s="68">
        <f>'12'!D17</f>
        <v>0</v>
      </c>
      <c r="AN23" s="72">
        <f>DELIVERIES!AQ23</f>
        <v>8.75</v>
      </c>
      <c r="AO23" s="71">
        <f t="shared" si="59"/>
        <v>0</v>
      </c>
      <c r="AP23" s="68">
        <f>'12'!D18</f>
        <v>0</v>
      </c>
      <c r="AQ23" s="72">
        <f>DELIVERIES!AT23</f>
        <v>12.25</v>
      </c>
      <c r="AR23" s="71">
        <f t="shared" si="60"/>
        <v>0</v>
      </c>
      <c r="AS23" s="68">
        <f>'12'!D21</f>
        <v>0</v>
      </c>
      <c r="AT23" s="70">
        <f>DELIVERIES!AZ23</f>
        <v>9.7916666666666661</v>
      </c>
      <c r="AU23" s="71">
        <f t="shared" si="61"/>
        <v>0</v>
      </c>
      <c r="AV23" s="68">
        <f>'12'!D22</f>
        <v>0</v>
      </c>
      <c r="AW23" s="70">
        <f>DELIVERIES!AZ23</f>
        <v>9.7916666666666661</v>
      </c>
      <c r="AX23" s="71">
        <f t="shared" si="62"/>
        <v>0</v>
      </c>
      <c r="AY23" s="68">
        <f>'12'!D26</f>
        <v>0</v>
      </c>
      <c r="AZ23" s="68">
        <f>DELIVERIES!BC23</f>
        <v>16.333333333333332</v>
      </c>
      <c r="BA23" s="69">
        <f t="shared" si="63"/>
        <v>0</v>
      </c>
      <c r="BB23" s="68">
        <f>'12'!D27</f>
        <v>0</v>
      </c>
      <c r="BC23" s="68">
        <f>DELIVERIES!BF23</f>
        <v>11.666666666666666</v>
      </c>
      <c r="BD23" s="69">
        <f t="shared" si="64"/>
        <v>0</v>
      </c>
      <c r="BE23" s="68">
        <f>'12'!D28</f>
        <v>0</v>
      </c>
      <c r="BF23" s="70">
        <f>DELIVERIES!BI47</f>
        <v>20</v>
      </c>
      <c r="BG23" s="71">
        <f t="shared" si="65"/>
        <v>0</v>
      </c>
      <c r="BH23" s="68">
        <f>'12'!D23</f>
        <v>0</v>
      </c>
      <c r="BI23" s="70">
        <f>DELIVERIES!BL23</f>
        <v>23</v>
      </c>
      <c r="BJ23" s="71">
        <f t="shared" si="66"/>
        <v>0</v>
      </c>
      <c r="BK23" s="68">
        <f>'12'!D25</f>
        <v>0</v>
      </c>
      <c r="BL23" s="72">
        <f>DELIVERIES!BO23</f>
        <v>12.5</v>
      </c>
      <c r="BM23" s="71">
        <f t="shared" si="67"/>
        <v>0</v>
      </c>
      <c r="BN23" s="68">
        <f>'12'!D24</f>
        <v>0</v>
      </c>
      <c r="BO23" s="68">
        <f>DELIVERIES!BR23</f>
        <v>12.75</v>
      </c>
      <c r="BP23" s="69">
        <f t="shared" si="68"/>
        <v>0</v>
      </c>
      <c r="BQ23" s="68">
        <f>'12'!D19</f>
        <v>0</v>
      </c>
      <c r="BR23" s="70">
        <f>DELIVERIES!BU23</f>
        <v>30.25</v>
      </c>
      <c r="BS23" s="77">
        <f t="shared" si="69"/>
        <v>0</v>
      </c>
      <c r="BT23" s="68">
        <f>'12'!D20</f>
        <v>0</v>
      </c>
      <c r="BU23" s="70">
        <f>DELIVERIES!BX23</f>
        <v>15.916666666659999</v>
      </c>
      <c r="BV23" s="77">
        <f t="shared" si="70"/>
        <v>0</v>
      </c>
      <c r="BW23" s="78"/>
      <c r="BX23" s="79"/>
      <c r="BY23" s="69">
        <f t="shared" si="71"/>
        <v>0</v>
      </c>
      <c r="BZ23" s="39"/>
      <c r="CA23" s="71">
        <f t="shared" si="72"/>
        <v>0</v>
      </c>
      <c r="CB23" s="90"/>
      <c r="CC23" s="39"/>
      <c r="CD23" s="39">
        <f t="shared" si="73"/>
        <v>0</v>
      </c>
    </row>
    <row r="24" spans="1:82" ht="15.75" customHeight="1">
      <c r="A24" s="56">
        <v>13</v>
      </c>
      <c r="B24" s="68">
        <f>'13'!D29</f>
        <v>0</v>
      </c>
      <c r="C24" s="68">
        <f>DELIVERIES!C24</f>
        <v>30</v>
      </c>
      <c r="D24" s="69">
        <f t="shared" si="48"/>
        <v>0</v>
      </c>
      <c r="E24" s="68">
        <f>'13'!D7</f>
        <v>0</v>
      </c>
      <c r="F24" s="70">
        <f>DELIVERIES!F24</f>
        <v>35</v>
      </c>
      <c r="G24" s="71">
        <f t="shared" si="49"/>
        <v>0</v>
      </c>
      <c r="H24" s="84">
        <f>'13'!D8</f>
        <v>0</v>
      </c>
      <c r="I24" s="70">
        <f>DELIVERIES!I24</f>
        <v>8.5</v>
      </c>
      <c r="J24" s="71">
        <f t="shared" si="50"/>
        <v>0</v>
      </c>
      <c r="K24" s="84">
        <f>'13'!D15</f>
        <v>0</v>
      </c>
      <c r="L24" s="70">
        <f>DELIVERIES!L24</f>
        <v>18</v>
      </c>
      <c r="M24" s="71">
        <f t="shared" si="51"/>
        <v>0</v>
      </c>
      <c r="N24" s="68">
        <f>'13'!D9</f>
        <v>0</v>
      </c>
      <c r="O24" s="70">
        <f>DELIVERIES!O24</f>
        <v>7</v>
      </c>
      <c r="P24" s="71">
        <f t="shared" si="52"/>
        <v>0</v>
      </c>
      <c r="Q24" s="68">
        <f>'13'!D10</f>
        <v>0</v>
      </c>
      <c r="R24" s="72">
        <f>DELIVERIES!R24</f>
        <v>5.5</v>
      </c>
      <c r="S24" s="71">
        <f t="shared" si="53"/>
        <v>0</v>
      </c>
      <c r="T24" s="68">
        <f>'13'!D11</f>
        <v>0</v>
      </c>
      <c r="U24" s="72">
        <f>DELIVERIES!U24</f>
        <v>8.5</v>
      </c>
      <c r="V24" s="71">
        <f t="shared" si="54"/>
        <v>0</v>
      </c>
      <c r="W24" s="68">
        <f>'13'!D12</f>
        <v>0</v>
      </c>
      <c r="X24" s="72">
        <f>DELIVERIES!X24</f>
        <v>6</v>
      </c>
      <c r="Y24" s="71">
        <f t="shared" si="55"/>
        <v>0</v>
      </c>
      <c r="Z24" s="68">
        <f>'13'!D13</f>
        <v>0</v>
      </c>
      <c r="AA24" s="72">
        <f>DELIVERIES!AA24</f>
        <v>6</v>
      </c>
      <c r="AB24" s="71">
        <f t="shared" si="56"/>
        <v>0</v>
      </c>
      <c r="AC24" s="68">
        <f>'13'!D14</f>
        <v>0</v>
      </c>
      <c r="AD24" s="72">
        <f>DELIVERIES!AD24</f>
        <v>8</v>
      </c>
      <c r="AE24" s="73">
        <f t="shared" si="57"/>
        <v>0</v>
      </c>
      <c r="AF24" s="72"/>
      <c r="AG24" s="72">
        <f>AG7</f>
        <v>0</v>
      </c>
      <c r="AH24" s="118">
        <f t="shared" si="58"/>
        <v>0</v>
      </c>
      <c r="AI24" s="119"/>
      <c r="AJ24" s="119"/>
      <c r="AK24" s="69">
        <f t="shared" si="74"/>
        <v>0</v>
      </c>
      <c r="AL24" s="76"/>
      <c r="AM24" s="68">
        <f>'13'!D17</f>
        <v>0</v>
      </c>
      <c r="AN24" s="72">
        <f>DELIVERIES!AQ24</f>
        <v>8.75</v>
      </c>
      <c r="AO24" s="71">
        <f t="shared" si="59"/>
        <v>0</v>
      </c>
      <c r="AP24" s="68">
        <f>'13'!D18</f>
        <v>0</v>
      </c>
      <c r="AQ24" s="72">
        <f>DELIVERIES!AT24</f>
        <v>12.25</v>
      </c>
      <c r="AR24" s="71">
        <f t="shared" si="60"/>
        <v>0</v>
      </c>
      <c r="AS24" s="68">
        <f>'13'!D21</f>
        <v>0</v>
      </c>
      <c r="AT24" s="70">
        <f>DELIVERIES!AZ24</f>
        <v>9.7916666666666661</v>
      </c>
      <c r="AU24" s="71">
        <f t="shared" si="61"/>
        <v>0</v>
      </c>
      <c r="AV24" s="68">
        <f>'13'!D22</f>
        <v>0</v>
      </c>
      <c r="AW24" s="70">
        <f>DELIVERIES!AZ24</f>
        <v>9.7916666666666661</v>
      </c>
      <c r="AX24" s="71">
        <f t="shared" si="62"/>
        <v>0</v>
      </c>
      <c r="AY24" s="68">
        <f>'13'!D26</f>
        <v>0</v>
      </c>
      <c r="AZ24" s="68">
        <f>DELIVERIES!BC24</f>
        <v>16.333333333333332</v>
      </c>
      <c r="BA24" s="69">
        <f t="shared" si="63"/>
        <v>0</v>
      </c>
      <c r="BB24" s="68">
        <f>'13'!D27</f>
        <v>0</v>
      </c>
      <c r="BC24" s="68">
        <f>DELIVERIES!BF24</f>
        <v>11.666666666666666</v>
      </c>
      <c r="BD24" s="69">
        <f t="shared" si="64"/>
        <v>0</v>
      </c>
      <c r="BE24" s="68">
        <f>'13'!D28</f>
        <v>0</v>
      </c>
      <c r="BF24" s="70">
        <f>DELIVERIES!BI48</f>
        <v>20</v>
      </c>
      <c r="BG24" s="71">
        <f t="shared" si="65"/>
        <v>0</v>
      </c>
      <c r="BH24" s="68">
        <f>'13'!D23</f>
        <v>0</v>
      </c>
      <c r="BI24" s="70">
        <f>DELIVERIES!BL24</f>
        <v>23</v>
      </c>
      <c r="BJ24" s="71">
        <f t="shared" si="66"/>
        <v>0</v>
      </c>
      <c r="BK24" s="68">
        <f>'13'!D25</f>
        <v>0</v>
      </c>
      <c r="BL24" s="72">
        <f>DELIVERIES!BO24</f>
        <v>12.5</v>
      </c>
      <c r="BM24" s="71">
        <f t="shared" si="67"/>
        <v>0</v>
      </c>
      <c r="BN24" s="68">
        <f>'13'!D24</f>
        <v>0</v>
      </c>
      <c r="BO24" s="68">
        <f>DELIVERIES!BR24</f>
        <v>12.75</v>
      </c>
      <c r="BP24" s="69">
        <f t="shared" si="68"/>
        <v>0</v>
      </c>
      <c r="BQ24" s="68">
        <f>'13'!D19</f>
        <v>0</v>
      </c>
      <c r="BR24" s="70">
        <f>DELIVERIES!BU24</f>
        <v>30.25</v>
      </c>
      <c r="BS24" s="77">
        <f t="shared" si="69"/>
        <v>0</v>
      </c>
      <c r="BT24" s="68">
        <f>'13'!D20</f>
        <v>0</v>
      </c>
      <c r="BU24" s="70">
        <f>DELIVERIES!BX24</f>
        <v>15.916666666659999</v>
      </c>
      <c r="BV24" s="77">
        <f t="shared" si="70"/>
        <v>0</v>
      </c>
      <c r="BW24" s="78"/>
      <c r="BX24" s="79"/>
      <c r="BY24" s="69">
        <f t="shared" si="71"/>
        <v>0</v>
      </c>
      <c r="BZ24" s="39"/>
      <c r="CA24" s="71">
        <f t="shared" si="72"/>
        <v>0</v>
      </c>
      <c r="CB24" s="90"/>
      <c r="CC24" s="39"/>
      <c r="CD24" s="39">
        <f t="shared" si="73"/>
        <v>0</v>
      </c>
    </row>
    <row r="25" spans="1:82" ht="15.75" customHeight="1">
      <c r="A25" s="56">
        <v>14</v>
      </c>
      <c r="B25" s="68">
        <f>'14'!D29</f>
        <v>0</v>
      </c>
      <c r="C25" s="68">
        <f>DELIVERIES!C25</f>
        <v>30</v>
      </c>
      <c r="D25" s="69">
        <f t="shared" si="48"/>
        <v>0</v>
      </c>
      <c r="E25" s="68">
        <f>'14'!D7</f>
        <v>0</v>
      </c>
      <c r="F25" s="70">
        <f>DELIVERIES!F25</f>
        <v>35</v>
      </c>
      <c r="G25" s="71">
        <f t="shared" si="49"/>
        <v>0</v>
      </c>
      <c r="H25" s="84">
        <f>'14'!D8</f>
        <v>0</v>
      </c>
      <c r="I25" s="70">
        <f>DELIVERIES!I25</f>
        <v>8.5</v>
      </c>
      <c r="J25" s="71">
        <f t="shared" si="50"/>
        <v>0</v>
      </c>
      <c r="K25" s="84">
        <f>'14'!D15</f>
        <v>0</v>
      </c>
      <c r="L25" s="70">
        <f>DELIVERIES!L25</f>
        <v>18</v>
      </c>
      <c r="M25" s="71">
        <f t="shared" si="51"/>
        <v>0</v>
      </c>
      <c r="N25" s="68">
        <f>'14'!D9</f>
        <v>0</v>
      </c>
      <c r="O25" s="70">
        <f>DELIVERIES!O25</f>
        <v>7</v>
      </c>
      <c r="P25" s="71">
        <f t="shared" si="52"/>
        <v>0</v>
      </c>
      <c r="Q25" s="68">
        <f>'14'!D10</f>
        <v>0</v>
      </c>
      <c r="R25" s="72">
        <f>DELIVERIES!R25</f>
        <v>5.5</v>
      </c>
      <c r="S25" s="71">
        <f t="shared" si="53"/>
        <v>0</v>
      </c>
      <c r="T25" s="68">
        <f>'14'!D11</f>
        <v>0</v>
      </c>
      <c r="U25" s="72">
        <f>DELIVERIES!U25</f>
        <v>8.5</v>
      </c>
      <c r="V25" s="71">
        <f t="shared" si="54"/>
        <v>0</v>
      </c>
      <c r="W25" s="68">
        <f>'14'!D12</f>
        <v>0</v>
      </c>
      <c r="X25" s="72">
        <f>DELIVERIES!X25</f>
        <v>6</v>
      </c>
      <c r="Y25" s="71">
        <f t="shared" si="55"/>
        <v>0</v>
      </c>
      <c r="Z25" s="68">
        <f>'14'!D13</f>
        <v>0</v>
      </c>
      <c r="AA25" s="72">
        <f>DELIVERIES!AA25</f>
        <v>6</v>
      </c>
      <c r="AB25" s="71">
        <f t="shared" si="56"/>
        <v>0</v>
      </c>
      <c r="AC25" s="68">
        <f>'14'!D14</f>
        <v>0</v>
      </c>
      <c r="AD25" s="72">
        <f>DELIVERIES!AD25</f>
        <v>8</v>
      </c>
      <c r="AE25" s="73">
        <f t="shared" si="57"/>
        <v>0</v>
      </c>
      <c r="AF25" s="72"/>
      <c r="AG25" s="72">
        <f>AG7</f>
        <v>0</v>
      </c>
      <c r="AH25" s="118">
        <f t="shared" si="58"/>
        <v>0</v>
      </c>
      <c r="AI25" s="119"/>
      <c r="AJ25" s="119"/>
      <c r="AK25" s="69">
        <f t="shared" si="74"/>
        <v>0</v>
      </c>
      <c r="AL25" s="76"/>
      <c r="AM25" s="68">
        <f>'14'!D17</f>
        <v>0</v>
      </c>
      <c r="AN25" s="72">
        <f>DELIVERIES!AQ25</f>
        <v>8.75</v>
      </c>
      <c r="AO25" s="71">
        <f t="shared" si="59"/>
        <v>0</v>
      </c>
      <c r="AP25" s="68">
        <f>'14'!D18</f>
        <v>0</v>
      </c>
      <c r="AQ25" s="72">
        <f>DELIVERIES!AT25</f>
        <v>12.25</v>
      </c>
      <c r="AR25" s="71">
        <f t="shared" si="60"/>
        <v>0</v>
      </c>
      <c r="AS25" s="68">
        <f>'14'!D21</f>
        <v>0</v>
      </c>
      <c r="AT25" s="70">
        <f>DELIVERIES!AZ25</f>
        <v>9.7916666666666661</v>
      </c>
      <c r="AU25" s="71">
        <f t="shared" si="61"/>
        <v>0</v>
      </c>
      <c r="AV25" s="68">
        <f>'14'!D22</f>
        <v>0</v>
      </c>
      <c r="AW25" s="70">
        <f>DELIVERIES!AZ25</f>
        <v>9.7916666666666661</v>
      </c>
      <c r="AX25" s="71">
        <f t="shared" si="62"/>
        <v>0</v>
      </c>
      <c r="AY25" s="68">
        <f>'14'!D26</f>
        <v>0</v>
      </c>
      <c r="AZ25" s="68">
        <f>DELIVERIES!BC25</f>
        <v>16.333333333333332</v>
      </c>
      <c r="BA25" s="69">
        <f t="shared" si="63"/>
        <v>0</v>
      </c>
      <c r="BB25" s="68">
        <f>'14'!D27</f>
        <v>0</v>
      </c>
      <c r="BC25" s="68">
        <f>DELIVERIES!BF25</f>
        <v>11.666666666666666</v>
      </c>
      <c r="BD25" s="69">
        <f t="shared" si="64"/>
        <v>0</v>
      </c>
      <c r="BE25" s="68">
        <f>'14'!D28</f>
        <v>0</v>
      </c>
      <c r="BF25" s="70">
        <f>DELIVERIES!BI49</f>
        <v>20</v>
      </c>
      <c r="BG25" s="71">
        <f t="shared" si="65"/>
        <v>0</v>
      </c>
      <c r="BH25" s="68">
        <f>'14'!D23</f>
        <v>0</v>
      </c>
      <c r="BI25" s="70">
        <f>DELIVERIES!BL25</f>
        <v>23</v>
      </c>
      <c r="BJ25" s="71">
        <f t="shared" si="66"/>
        <v>0</v>
      </c>
      <c r="BK25" s="68">
        <f>'14'!D25</f>
        <v>0</v>
      </c>
      <c r="BL25" s="72">
        <f>DELIVERIES!BO25</f>
        <v>12.5</v>
      </c>
      <c r="BM25" s="71">
        <f t="shared" si="67"/>
        <v>0</v>
      </c>
      <c r="BN25" s="68">
        <f>'14'!D24</f>
        <v>0</v>
      </c>
      <c r="BO25" s="68">
        <f>DELIVERIES!BR25</f>
        <v>12.75</v>
      </c>
      <c r="BP25" s="69">
        <f t="shared" si="68"/>
        <v>0</v>
      </c>
      <c r="BQ25" s="68">
        <f>'14'!D19</f>
        <v>0</v>
      </c>
      <c r="BR25" s="70">
        <f>DELIVERIES!BU25</f>
        <v>30.25</v>
      </c>
      <c r="BS25" s="77">
        <f t="shared" si="69"/>
        <v>0</v>
      </c>
      <c r="BT25" s="68">
        <f>'14'!D20</f>
        <v>0</v>
      </c>
      <c r="BU25" s="70">
        <f>DELIVERIES!BX25</f>
        <v>15.916666666666</v>
      </c>
      <c r="BV25" s="77">
        <f t="shared" si="70"/>
        <v>0</v>
      </c>
      <c r="BW25" s="78"/>
      <c r="BX25" s="79"/>
      <c r="BY25" s="69">
        <f t="shared" si="71"/>
        <v>0</v>
      </c>
      <c r="BZ25" s="39"/>
      <c r="CA25" s="71">
        <f t="shared" si="72"/>
        <v>0</v>
      </c>
      <c r="CB25" s="90"/>
      <c r="CC25" s="39"/>
      <c r="CD25" s="39">
        <f t="shared" si="73"/>
        <v>0</v>
      </c>
    </row>
    <row r="26" spans="1:82" ht="15.75" customHeight="1">
      <c r="A26" s="129" t="s">
        <v>23</v>
      </c>
      <c r="B26" s="68">
        <f>SUM(B19:B25)</f>
        <v>0</v>
      </c>
      <c r="C26" s="68"/>
      <c r="D26" s="130">
        <f t="shared" ref="D26:E26" si="75">SUM(D19:D25)</f>
        <v>0</v>
      </c>
      <c r="E26" s="70">
        <f t="shared" si="75"/>
        <v>0</v>
      </c>
      <c r="F26" s="70"/>
      <c r="G26" s="131">
        <f t="shared" ref="G26:H26" si="76">SUM(G19:G25)</f>
        <v>0</v>
      </c>
      <c r="H26" s="72">
        <f t="shared" si="76"/>
        <v>0</v>
      </c>
      <c r="I26" s="70"/>
      <c r="J26" s="131">
        <f t="shared" ref="J26:K26" si="77">SUM(J19:J25)</f>
        <v>0</v>
      </c>
      <c r="K26" s="70">
        <f t="shared" si="77"/>
        <v>0</v>
      </c>
      <c r="L26" s="70"/>
      <c r="M26" s="131">
        <f t="shared" ref="M26:N26" si="78">SUM(M19:M25)</f>
        <v>0</v>
      </c>
      <c r="N26" s="70">
        <f t="shared" si="78"/>
        <v>0</v>
      </c>
      <c r="O26" s="70"/>
      <c r="P26" s="131">
        <f t="shared" ref="P26:Q26" si="79">SUM(P19:P25)</f>
        <v>0</v>
      </c>
      <c r="Q26" s="70">
        <f t="shared" si="79"/>
        <v>0</v>
      </c>
      <c r="R26" s="70"/>
      <c r="S26" s="131">
        <f t="shared" ref="S26:T26" si="80">SUM(S19:S25)</f>
        <v>0</v>
      </c>
      <c r="T26" s="70">
        <f t="shared" si="80"/>
        <v>0</v>
      </c>
      <c r="U26" s="70"/>
      <c r="V26" s="131">
        <f t="shared" ref="V26:W26" si="81">SUM(V19:V25)</f>
        <v>0</v>
      </c>
      <c r="W26" s="70">
        <f t="shared" si="81"/>
        <v>0</v>
      </c>
      <c r="X26" s="70"/>
      <c r="Y26" s="131">
        <f t="shared" ref="Y26:Z26" si="82">SUM(Y19:Y25)</f>
        <v>0</v>
      </c>
      <c r="Z26" s="70">
        <f t="shared" si="82"/>
        <v>0</v>
      </c>
      <c r="AA26" s="70"/>
      <c r="AB26" s="132">
        <f t="shared" ref="AB26:AC26" si="83">SUM(AB19:AB25)</f>
        <v>0</v>
      </c>
      <c r="AC26" s="70">
        <f t="shared" si="83"/>
        <v>0</v>
      </c>
      <c r="AD26" s="70"/>
      <c r="AE26" s="132">
        <f t="shared" ref="AE26:AF26" si="84">SUM(AE19:AE25)</f>
        <v>0</v>
      </c>
      <c r="AF26" s="70">
        <f t="shared" si="84"/>
        <v>0</v>
      </c>
      <c r="AG26" s="70"/>
      <c r="AH26" s="131">
        <f>SUM(AH19:AH25)</f>
        <v>0</v>
      </c>
      <c r="AI26" s="39"/>
      <c r="AJ26" s="39"/>
      <c r="AK26" s="131">
        <f>SUM(AK19:AK25)</f>
        <v>0</v>
      </c>
      <c r="AL26" s="76"/>
      <c r="AM26" s="68">
        <f>SUM(AM19:AM25)</f>
        <v>0</v>
      </c>
      <c r="AN26" s="70"/>
      <c r="AO26" s="131">
        <f t="shared" ref="AO26:AP26" si="85">SUM(AO19:AO25)</f>
        <v>0</v>
      </c>
      <c r="AP26" s="70">
        <f t="shared" si="85"/>
        <v>0</v>
      </c>
      <c r="AQ26" s="70"/>
      <c r="AR26" s="131">
        <f t="shared" ref="AR26:AS26" si="86">SUM(AR19:AR25)</f>
        <v>0</v>
      </c>
      <c r="AS26" s="70">
        <f t="shared" si="86"/>
        <v>0</v>
      </c>
      <c r="AT26" s="70"/>
      <c r="AU26" s="131">
        <f t="shared" ref="AU26:AV26" si="87">SUM(AU19:AU25)</f>
        <v>0</v>
      </c>
      <c r="AV26" s="72">
        <f t="shared" si="87"/>
        <v>0</v>
      </c>
      <c r="AW26" s="70"/>
      <c r="AX26" s="131">
        <f t="shared" ref="AX26:AY26" si="88">SUM(AX19:AX25)</f>
        <v>0</v>
      </c>
      <c r="AY26" s="70">
        <f t="shared" si="88"/>
        <v>0</v>
      </c>
      <c r="AZ26" s="70"/>
      <c r="BA26" s="131">
        <f t="shared" ref="BA26:BB26" si="89">SUM(BA19:BA25)</f>
        <v>0</v>
      </c>
      <c r="BB26" s="70">
        <f t="shared" si="89"/>
        <v>0</v>
      </c>
      <c r="BC26" s="70"/>
      <c r="BD26" s="131">
        <f t="shared" ref="BD26:BE26" si="90">SUM(BD19:BD25)</f>
        <v>0</v>
      </c>
      <c r="BE26" s="70">
        <f t="shared" si="90"/>
        <v>0</v>
      </c>
      <c r="BF26" s="70"/>
      <c r="BG26" s="131">
        <f t="shared" ref="BG26:BH26" si="91">SUM(BG19:BG25)</f>
        <v>0</v>
      </c>
      <c r="BH26" s="70">
        <f t="shared" si="91"/>
        <v>0</v>
      </c>
      <c r="BI26" s="70"/>
      <c r="BJ26" s="131">
        <f t="shared" ref="BJ26:BK26" si="92">SUM(BJ19:BJ25)</f>
        <v>0</v>
      </c>
      <c r="BK26" s="72">
        <f t="shared" si="92"/>
        <v>0</v>
      </c>
      <c r="BL26" s="70"/>
      <c r="BM26" s="131">
        <f t="shared" ref="BM26:BN26" si="93">SUM(BM19:BM25)</f>
        <v>0</v>
      </c>
      <c r="BN26" s="70">
        <f t="shared" si="93"/>
        <v>0</v>
      </c>
      <c r="BO26" s="70"/>
      <c r="BP26" s="131">
        <f t="shared" ref="BP26:BQ26" si="94">SUM(BP19:BP25)</f>
        <v>0</v>
      </c>
      <c r="BQ26" s="70">
        <f t="shared" si="94"/>
        <v>0</v>
      </c>
      <c r="BR26" s="70"/>
      <c r="BS26" s="132">
        <f t="shared" ref="BS26:BT26" si="95">SUM(BS19:BS25)</f>
        <v>0</v>
      </c>
      <c r="BT26" s="70">
        <f t="shared" si="95"/>
        <v>0</v>
      </c>
      <c r="BU26" s="70"/>
      <c r="BV26" s="132">
        <f>SUM(BV19:BV25)</f>
        <v>0</v>
      </c>
      <c r="BY26" s="130">
        <f>SUM(BY19:BY25)</f>
        <v>0</v>
      </c>
      <c r="BZ26" s="39"/>
      <c r="CA26" s="131">
        <f>SUM(CA19:CA25)</f>
        <v>0</v>
      </c>
      <c r="CB26" s="133"/>
      <c r="CC26" s="39"/>
      <c r="CD26" s="134">
        <f>SUM(CD19:CD25)</f>
        <v>0</v>
      </c>
    </row>
    <row r="27" spans="1:82" ht="15.75" customHeight="1">
      <c r="A27" s="135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</row>
    <row r="28" spans="1:82" ht="15.75" customHeight="1">
      <c r="A28" s="135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</row>
    <row r="29" spans="1:82" ht="15.75" customHeight="1">
      <c r="A29" s="51" t="s">
        <v>110</v>
      </c>
      <c r="B29" s="460" t="str">
        <f>B5</f>
        <v>PREMIUM - CUT</v>
      </c>
      <c r="C29" s="445"/>
      <c r="D29" s="423"/>
      <c r="E29" s="460" t="s">
        <v>30</v>
      </c>
      <c r="F29" s="445"/>
      <c r="G29" s="423"/>
      <c r="H29" s="460" t="s">
        <v>102</v>
      </c>
      <c r="I29" s="445"/>
      <c r="J29" s="423"/>
      <c r="K29" s="460" t="str">
        <f>K17</f>
        <v>Chicken Fillet</v>
      </c>
      <c r="L29" s="445"/>
      <c r="M29" s="423"/>
      <c r="N29" s="460" t="s">
        <v>53</v>
      </c>
      <c r="O29" s="445"/>
      <c r="P29" s="445"/>
      <c r="Q29" s="459" t="s">
        <v>54</v>
      </c>
      <c r="R29" s="445"/>
      <c r="S29" s="423"/>
      <c r="T29" s="448" t="s">
        <v>55</v>
      </c>
      <c r="U29" s="445"/>
      <c r="V29" s="423"/>
      <c r="W29" s="448" t="s">
        <v>56</v>
      </c>
      <c r="X29" s="445"/>
      <c r="Y29" s="423"/>
      <c r="Z29" s="448" t="s">
        <v>57</v>
      </c>
      <c r="AA29" s="445"/>
      <c r="AB29" s="445"/>
      <c r="AC29" s="448" t="s">
        <v>58</v>
      </c>
      <c r="AD29" s="445"/>
      <c r="AE29" s="445"/>
      <c r="AF29" s="448">
        <f>AF5</f>
        <v>0</v>
      </c>
      <c r="AG29" s="445"/>
      <c r="AH29" s="423"/>
      <c r="AI29" s="448" t="str">
        <f>AI5</f>
        <v>SUBTOTAL</v>
      </c>
      <c r="AJ29" s="445"/>
      <c r="AK29" s="423"/>
      <c r="AL29" s="136"/>
      <c r="AM29" s="459" t="s">
        <v>103</v>
      </c>
      <c r="AN29" s="445"/>
      <c r="AO29" s="423"/>
      <c r="AP29" s="448" t="s">
        <v>60</v>
      </c>
      <c r="AQ29" s="445"/>
      <c r="AR29" s="423"/>
      <c r="AS29" s="448" t="s">
        <v>61</v>
      </c>
      <c r="AT29" s="445"/>
      <c r="AU29" s="423"/>
      <c r="AV29" s="448" t="s">
        <v>62</v>
      </c>
      <c r="AW29" s="445"/>
      <c r="AX29" s="423"/>
      <c r="AY29" s="448" t="s">
        <v>63</v>
      </c>
      <c r="AZ29" s="445"/>
      <c r="BA29" s="423"/>
      <c r="BB29" s="448" t="str">
        <f>BB17</f>
        <v>swakto</v>
      </c>
      <c r="BC29" s="445"/>
      <c r="BD29" s="423"/>
      <c r="BE29" s="448" t="s">
        <v>65</v>
      </c>
      <c r="BF29" s="445"/>
      <c r="BG29" s="423"/>
      <c r="BH29" s="448" t="str">
        <f>BH17</f>
        <v>GATORADE</v>
      </c>
      <c r="BI29" s="445"/>
      <c r="BJ29" s="423"/>
      <c r="BK29" s="448" t="s">
        <v>66</v>
      </c>
      <c r="BL29" s="445"/>
      <c r="BM29" s="423"/>
      <c r="BN29" s="448" t="s">
        <v>67</v>
      </c>
      <c r="BO29" s="445"/>
      <c r="BP29" s="423"/>
      <c r="BQ29" s="447" t="str">
        <f>BQ17</f>
        <v>1 LITER</v>
      </c>
      <c r="BR29" s="445"/>
      <c r="BS29" s="423"/>
      <c r="BT29" s="447" t="str">
        <f>BT17</f>
        <v>1.5 L</v>
      </c>
      <c r="BU29" s="445"/>
      <c r="BV29" s="423"/>
      <c r="BW29" s="444" t="s">
        <v>68</v>
      </c>
      <c r="BX29" s="445"/>
      <c r="BY29" s="423"/>
      <c r="BZ29" s="39"/>
      <c r="CA29" s="137" t="s">
        <v>23</v>
      </c>
      <c r="CB29" s="39"/>
      <c r="CC29" s="39"/>
      <c r="CD29" s="39"/>
    </row>
    <row r="30" spans="1:82" ht="15.75" customHeight="1">
      <c r="A30" s="56" t="s">
        <v>7</v>
      </c>
      <c r="B30" s="118" t="s">
        <v>71</v>
      </c>
      <c r="C30" s="118" t="s">
        <v>72</v>
      </c>
      <c r="D30" s="118" t="s">
        <v>26</v>
      </c>
      <c r="E30" s="118" t="s">
        <v>71</v>
      </c>
      <c r="F30" s="118" t="s">
        <v>72</v>
      </c>
      <c r="G30" s="118" t="s">
        <v>26</v>
      </c>
      <c r="H30" s="138" t="s">
        <v>71</v>
      </c>
      <c r="I30" s="139" t="s">
        <v>72</v>
      </c>
      <c r="J30" s="140" t="s">
        <v>73</v>
      </c>
      <c r="K30" s="138" t="s">
        <v>71</v>
      </c>
      <c r="L30" s="139" t="s">
        <v>72</v>
      </c>
      <c r="M30" s="140" t="s">
        <v>73</v>
      </c>
      <c r="N30" s="118" t="s">
        <v>71</v>
      </c>
      <c r="O30" s="118" t="s">
        <v>72</v>
      </c>
      <c r="P30" s="118" t="s">
        <v>26</v>
      </c>
      <c r="Q30" s="138" t="s">
        <v>71</v>
      </c>
      <c r="R30" s="139" t="s">
        <v>72</v>
      </c>
      <c r="S30" s="140" t="s">
        <v>73</v>
      </c>
      <c r="T30" s="138" t="s">
        <v>71</v>
      </c>
      <c r="U30" s="139" t="s">
        <v>72</v>
      </c>
      <c r="V30" s="141" t="s">
        <v>73</v>
      </c>
      <c r="W30" s="138" t="s">
        <v>71</v>
      </c>
      <c r="X30" s="139" t="s">
        <v>72</v>
      </c>
      <c r="Y30" s="141" t="s">
        <v>73</v>
      </c>
      <c r="Z30" s="138" t="s">
        <v>71</v>
      </c>
      <c r="AA30" s="139" t="s">
        <v>72</v>
      </c>
      <c r="AB30" s="141" t="s">
        <v>73</v>
      </c>
      <c r="AC30" s="138" t="s">
        <v>71</v>
      </c>
      <c r="AD30" s="139" t="s">
        <v>72</v>
      </c>
      <c r="AE30" s="141" t="s">
        <v>26</v>
      </c>
      <c r="AF30" s="118" t="s">
        <v>71</v>
      </c>
      <c r="AG30" s="118" t="s">
        <v>72</v>
      </c>
      <c r="AH30" s="118" t="s">
        <v>26</v>
      </c>
      <c r="AI30" s="142"/>
      <c r="AJ30" s="143"/>
      <c r="AK30" s="118" t="s">
        <v>73</v>
      </c>
      <c r="AL30" s="136"/>
      <c r="AM30" s="145" t="s">
        <v>71</v>
      </c>
      <c r="AN30" s="146" t="s">
        <v>72</v>
      </c>
      <c r="AO30" s="145" t="s">
        <v>73</v>
      </c>
      <c r="AP30" s="147" t="s">
        <v>71</v>
      </c>
      <c r="AQ30" s="146" t="s">
        <v>72</v>
      </c>
      <c r="AR30" s="145" t="s">
        <v>73</v>
      </c>
      <c r="AS30" s="147" t="s">
        <v>71</v>
      </c>
      <c r="AT30" s="146" t="s">
        <v>72</v>
      </c>
      <c r="AU30" s="145" t="s">
        <v>73</v>
      </c>
      <c r="AV30" s="146" t="s">
        <v>71</v>
      </c>
      <c r="AW30" s="146" t="s">
        <v>72</v>
      </c>
      <c r="AX30" s="146" t="s">
        <v>26</v>
      </c>
      <c r="AY30" s="146" t="s">
        <v>71</v>
      </c>
      <c r="AZ30" s="146" t="s">
        <v>72</v>
      </c>
      <c r="BA30" s="146" t="s">
        <v>26</v>
      </c>
      <c r="BB30" s="146" t="s">
        <v>71</v>
      </c>
      <c r="BC30" s="146" t="s">
        <v>72</v>
      </c>
      <c r="BD30" s="146" t="s">
        <v>26</v>
      </c>
      <c r="BE30" s="146" t="s">
        <v>71</v>
      </c>
      <c r="BF30" s="146" t="s">
        <v>72</v>
      </c>
      <c r="BG30" s="146" t="s">
        <v>26</v>
      </c>
      <c r="BH30" s="146" t="s">
        <v>71</v>
      </c>
      <c r="BI30" s="146" t="s">
        <v>72</v>
      </c>
      <c r="BJ30" s="146" t="s">
        <v>26</v>
      </c>
      <c r="BK30" s="146" t="s">
        <v>71</v>
      </c>
      <c r="BL30" s="146" t="s">
        <v>72</v>
      </c>
      <c r="BM30" s="146" t="s">
        <v>26</v>
      </c>
      <c r="BN30" s="146" t="s">
        <v>71</v>
      </c>
      <c r="BO30" s="146" t="s">
        <v>72</v>
      </c>
      <c r="BP30" s="146" t="s">
        <v>26</v>
      </c>
      <c r="BQ30" s="146" t="s">
        <v>71</v>
      </c>
      <c r="BR30" s="146" t="s">
        <v>72</v>
      </c>
      <c r="BS30" s="146" t="s">
        <v>26</v>
      </c>
      <c r="BT30" s="146" t="s">
        <v>71</v>
      </c>
      <c r="BU30" s="146" t="s">
        <v>72</v>
      </c>
      <c r="BV30" s="146" t="s">
        <v>26</v>
      </c>
      <c r="BW30" s="142"/>
      <c r="BX30" s="143"/>
      <c r="BY30" s="118" t="s">
        <v>26</v>
      </c>
      <c r="BZ30" s="39"/>
      <c r="CA30" s="118" t="s">
        <v>26</v>
      </c>
      <c r="CB30" s="39"/>
      <c r="CC30" s="39"/>
      <c r="CD30" s="39"/>
    </row>
    <row r="31" spans="1:82" ht="15.75" customHeight="1">
      <c r="A31" s="56">
        <v>15</v>
      </c>
      <c r="B31" s="70">
        <f>'15'!D29</f>
        <v>0</v>
      </c>
      <c r="C31" s="68">
        <f>DELIVERIES!C31</f>
        <v>30</v>
      </c>
      <c r="D31" s="69">
        <f t="shared" ref="D31:D37" si="96">B31*C31</f>
        <v>0</v>
      </c>
      <c r="E31" s="70">
        <f>'15'!D7</f>
        <v>0</v>
      </c>
      <c r="F31" s="70">
        <f>DELIVERIES!F31</f>
        <v>35</v>
      </c>
      <c r="G31" s="71">
        <f t="shared" ref="G31:G37" si="97">E31*F31</f>
        <v>0</v>
      </c>
      <c r="H31" s="72">
        <f>'15'!D8</f>
        <v>0</v>
      </c>
      <c r="I31" s="70">
        <f>DELIVERIES!I31</f>
        <v>8.5</v>
      </c>
      <c r="J31" s="71">
        <f t="shared" ref="J31:J37" si="98">H31*I31</f>
        <v>0</v>
      </c>
      <c r="K31" s="72">
        <f>'15'!D15</f>
        <v>0</v>
      </c>
      <c r="L31" s="70">
        <f>DELIVERIES!L31</f>
        <v>18</v>
      </c>
      <c r="M31" s="71">
        <f t="shared" ref="M31:M37" si="99">K31*L31</f>
        <v>0</v>
      </c>
      <c r="N31" s="70">
        <f>'15'!D9</f>
        <v>0</v>
      </c>
      <c r="O31" s="70">
        <f>DELIVERIES!O31</f>
        <v>7</v>
      </c>
      <c r="P31" s="71">
        <f t="shared" ref="P31:P37" si="100">N31*O31</f>
        <v>0</v>
      </c>
      <c r="Q31" s="68">
        <f>'15'!D10</f>
        <v>0</v>
      </c>
      <c r="R31" s="72">
        <f>DELIVERIES!R31</f>
        <v>5.5</v>
      </c>
      <c r="S31" s="71">
        <f t="shared" ref="S31:S37" si="101">Q31*R31</f>
        <v>0</v>
      </c>
      <c r="T31" s="68">
        <f>'15'!D11</f>
        <v>0</v>
      </c>
      <c r="U31" s="72">
        <f>DELIVERIES!U31</f>
        <v>8.5</v>
      </c>
      <c r="V31" s="71">
        <f t="shared" ref="V31:V37" si="102">T31*U31</f>
        <v>0</v>
      </c>
      <c r="W31" s="68">
        <f>'15'!D12</f>
        <v>0</v>
      </c>
      <c r="X31" s="68">
        <f>DELIVERIES!X31</f>
        <v>6</v>
      </c>
      <c r="Y31" s="71">
        <f t="shared" ref="Y31:Y37" si="103">W31*X31</f>
        <v>0</v>
      </c>
      <c r="Z31" s="68">
        <f>'15'!D13</f>
        <v>0</v>
      </c>
      <c r="AA31" s="72">
        <f>DELIVERIES!AA31</f>
        <v>6</v>
      </c>
      <c r="AB31" s="71">
        <f t="shared" ref="AB31:AB37" si="104">Z31*AA31</f>
        <v>0</v>
      </c>
      <c r="AC31" s="68">
        <f>'15'!D14</f>
        <v>0</v>
      </c>
      <c r="AD31" s="72">
        <f>DELIVERIES!AD31</f>
        <v>8</v>
      </c>
      <c r="AE31" s="73">
        <f t="shared" ref="AE31:AE37" si="105">AC31*AD31</f>
        <v>0</v>
      </c>
      <c r="AF31" s="72"/>
      <c r="AG31" s="72">
        <f>AG7</f>
        <v>0</v>
      </c>
      <c r="AH31" s="118">
        <f t="shared" ref="AH31:AH37" si="106">AF31*AG31</f>
        <v>0</v>
      </c>
      <c r="AI31" s="74"/>
      <c r="AJ31" s="75"/>
      <c r="AK31" s="71">
        <f t="shared" ref="AK31:AK37" si="107">D31+G31+J31+M31+P31+S31+V31+Y31+AB31+AE31+AH31</f>
        <v>0</v>
      </c>
      <c r="AL31" s="76"/>
      <c r="AM31" s="68">
        <f>'15'!D17</f>
        <v>0</v>
      </c>
      <c r="AN31" s="72">
        <f>DELIVERIES!AQ31</f>
        <v>8.75</v>
      </c>
      <c r="AO31" s="71">
        <f t="shared" ref="AO31:AO37" si="108">AM31*AN31</f>
        <v>0</v>
      </c>
      <c r="AP31" s="68">
        <f>'15'!D18</f>
        <v>0</v>
      </c>
      <c r="AQ31" s="72">
        <f>DELIVERIES!AT31</f>
        <v>12.25</v>
      </c>
      <c r="AR31" s="71">
        <f t="shared" ref="AR31:AR37" si="109">AP31*AQ31</f>
        <v>0</v>
      </c>
      <c r="AS31" s="68">
        <f>'15'!D21</f>
        <v>0</v>
      </c>
      <c r="AT31" s="70">
        <f>DELIVERIES!AW31</f>
        <v>7.9166666666600003</v>
      </c>
      <c r="AU31" s="71">
        <f t="shared" ref="AU31:AU37" si="110">AS31*AT31</f>
        <v>0</v>
      </c>
      <c r="AV31" s="68">
        <f>'15'!D22</f>
        <v>0</v>
      </c>
      <c r="AW31" s="70">
        <f>DELIVERIES!AZ31</f>
        <v>9.7916666666666661</v>
      </c>
      <c r="AX31" s="71">
        <f t="shared" ref="AX31:AX37" si="111">AV31*AW31</f>
        <v>0</v>
      </c>
      <c r="AY31" s="68">
        <f>'15'!D26</f>
        <v>0</v>
      </c>
      <c r="AZ31" s="68">
        <f>DELIVERIES!BC31</f>
        <v>16.333333333333332</v>
      </c>
      <c r="BA31" s="69">
        <f t="shared" ref="BA31:BA37" si="112">AY31*AZ31</f>
        <v>0</v>
      </c>
      <c r="BB31" s="68">
        <f>'15'!D27</f>
        <v>0</v>
      </c>
      <c r="BC31" s="68">
        <f>DELIVERIES!BF31</f>
        <v>11.666666666666666</v>
      </c>
      <c r="BD31" s="69">
        <f t="shared" ref="BD31:BD37" si="113">BB31*BC31</f>
        <v>0</v>
      </c>
      <c r="BE31" s="68">
        <f>'15'!D28</f>
        <v>0</v>
      </c>
      <c r="BF31" s="70">
        <f>DELIVERIES!BI31</f>
        <v>20</v>
      </c>
      <c r="BG31" s="71">
        <f t="shared" ref="BG31:BG37" si="114">BE31*BF31</f>
        <v>0</v>
      </c>
      <c r="BH31" s="68">
        <f>'15'!D23</f>
        <v>0</v>
      </c>
      <c r="BI31" s="70">
        <f>DELIVERIES!BL31</f>
        <v>23</v>
      </c>
      <c r="BJ31" s="71">
        <f t="shared" ref="BJ31:BJ37" si="115">BH31*BI31</f>
        <v>0</v>
      </c>
      <c r="BK31" s="68">
        <f>'15'!D25</f>
        <v>0</v>
      </c>
      <c r="BL31" s="72">
        <f>DELIVERIES!BO31</f>
        <v>12.5</v>
      </c>
      <c r="BM31" s="71">
        <f t="shared" ref="BM31:BM37" si="116">BK31*BL31</f>
        <v>0</v>
      </c>
      <c r="BN31" s="68">
        <f>'15'!D24</f>
        <v>0</v>
      </c>
      <c r="BO31" s="68">
        <f>DELIVERIES!BR31</f>
        <v>12.75</v>
      </c>
      <c r="BP31" s="69">
        <f t="shared" ref="BP31:BP37" si="117">BN31*BO31</f>
        <v>0</v>
      </c>
      <c r="BQ31" s="68">
        <f>'15'!D19</f>
        <v>0</v>
      </c>
      <c r="BR31" s="70">
        <f>DELIVERIES!BU31</f>
        <v>30.25</v>
      </c>
      <c r="BS31" s="71">
        <f t="shared" ref="BS31:BS37" si="118">BQ31*BR31</f>
        <v>0</v>
      </c>
      <c r="BT31" s="68">
        <f>'15'!D20</f>
        <v>0</v>
      </c>
      <c r="BU31" s="70">
        <f>DELIVERIES!BX31</f>
        <v>15.916666666659999</v>
      </c>
      <c r="BV31" s="71">
        <f t="shared" ref="BV31:BV37" si="119">BT31*BU31</f>
        <v>0</v>
      </c>
      <c r="BW31" s="78"/>
      <c r="BX31" s="79"/>
      <c r="BY31" s="69">
        <f t="shared" ref="BY31:BY37" si="120">AO31+AR31+AU31+AX31+BA31+BD31+BG31+BJ31+BM31+BP31+BS31+BV31</f>
        <v>0</v>
      </c>
      <c r="BZ31" s="39"/>
      <c r="CA31" s="71">
        <f t="shared" ref="CA31:CA37" si="121">AK31+BY31</f>
        <v>0</v>
      </c>
      <c r="CB31" s="39"/>
      <c r="CC31" s="39"/>
      <c r="CD31" s="39">
        <f t="shared" ref="CD31:CD37" si="122">CA31-CC31</f>
        <v>0</v>
      </c>
    </row>
    <row r="32" spans="1:82" ht="15.75" customHeight="1">
      <c r="A32" s="56">
        <v>16</v>
      </c>
      <c r="B32" s="68">
        <f>'16'!D29</f>
        <v>0</v>
      </c>
      <c r="C32" s="68">
        <f>DELIVERIES!C32</f>
        <v>30</v>
      </c>
      <c r="D32" s="69">
        <f t="shared" si="96"/>
        <v>0</v>
      </c>
      <c r="E32" s="68">
        <f>'16'!D7</f>
        <v>0</v>
      </c>
      <c r="F32" s="70">
        <f>DELIVERIES!F32</f>
        <v>35</v>
      </c>
      <c r="G32" s="71">
        <f t="shared" si="97"/>
        <v>0</v>
      </c>
      <c r="H32" s="84">
        <f>'16'!D8</f>
        <v>0</v>
      </c>
      <c r="I32" s="70">
        <f>DELIVERIES!I32</f>
        <v>8.5</v>
      </c>
      <c r="J32" s="71">
        <f t="shared" si="98"/>
        <v>0</v>
      </c>
      <c r="K32" s="84">
        <f>'16'!D15</f>
        <v>0</v>
      </c>
      <c r="L32" s="70">
        <f>DELIVERIES!L32</f>
        <v>18</v>
      </c>
      <c r="M32" s="71">
        <f t="shared" si="99"/>
        <v>0</v>
      </c>
      <c r="N32" s="68">
        <f>'16'!D9</f>
        <v>0</v>
      </c>
      <c r="O32" s="70">
        <f>DELIVERIES!O32</f>
        <v>7</v>
      </c>
      <c r="P32" s="71">
        <f t="shared" si="100"/>
        <v>0</v>
      </c>
      <c r="Q32" s="68">
        <f>'16'!D10</f>
        <v>0</v>
      </c>
      <c r="R32" s="72">
        <f>DELIVERIES!R32</f>
        <v>5.5</v>
      </c>
      <c r="S32" s="71">
        <f t="shared" si="101"/>
        <v>0</v>
      </c>
      <c r="T32" s="68">
        <f>'16'!D11</f>
        <v>0</v>
      </c>
      <c r="U32" s="72">
        <f>DELIVERIES!U32</f>
        <v>8.5</v>
      </c>
      <c r="V32" s="71">
        <f t="shared" si="102"/>
        <v>0</v>
      </c>
      <c r="W32" s="68">
        <f>'16'!D12</f>
        <v>0</v>
      </c>
      <c r="X32" s="68">
        <f>DELIVERIES!X32</f>
        <v>6</v>
      </c>
      <c r="Y32" s="71">
        <f t="shared" si="103"/>
        <v>0</v>
      </c>
      <c r="Z32" s="68">
        <f>'16'!D13</f>
        <v>0</v>
      </c>
      <c r="AA32" s="72">
        <f>DELIVERIES!AA32</f>
        <v>6</v>
      </c>
      <c r="AB32" s="71">
        <f t="shared" si="104"/>
        <v>0</v>
      </c>
      <c r="AC32" s="68">
        <f>'16'!D14</f>
        <v>0</v>
      </c>
      <c r="AD32" s="72">
        <f>DELIVERIES!AD32</f>
        <v>8</v>
      </c>
      <c r="AE32" s="73">
        <f t="shared" si="105"/>
        <v>0</v>
      </c>
      <c r="AF32" s="72"/>
      <c r="AG32" s="72">
        <f>AG7</f>
        <v>0</v>
      </c>
      <c r="AH32" s="118">
        <f t="shared" si="106"/>
        <v>0</v>
      </c>
      <c r="AI32" s="74"/>
      <c r="AJ32" s="75"/>
      <c r="AK32" s="71">
        <f t="shared" si="107"/>
        <v>0</v>
      </c>
      <c r="AL32" s="76"/>
      <c r="AM32" s="68">
        <f>'16'!D17</f>
        <v>0</v>
      </c>
      <c r="AN32" s="72">
        <f>DELIVERIES!AQ32</f>
        <v>8.75</v>
      </c>
      <c r="AO32" s="71">
        <f t="shared" si="108"/>
        <v>0</v>
      </c>
      <c r="AP32" s="68">
        <f>'16'!D18</f>
        <v>0</v>
      </c>
      <c r="AQ32" s="72">
        <f>DELIVERIES!AT32</f>
        <v>12.25</v>
      </c>
      <c r="AR32" s="71">
        <f t="shared" si="109"/>
        <v>0</v>
      </c>
      <c r="AS32" s="68">
        <f>'16'!D21</f>
        <v>0</v>
      </c>
      <c r="AT32" s="70">
        <f>DELIVERIES!AW32</f>
        <v>7.9166666666600003</v>
      </c>
      <c r="AU32" s="71">
        <f t="shared" si="110"/>
        <v>0</v>
      </c>
      <c r="AV32" s="68">
        <f>'16'!D22</f>
        <v>0</v>
      </c>
      <c r="AW32" s="70">
        <f>DELIVERIES!AZ32</f>
        <v>9.7916666666666661</v>
      </c>
      <c r="AX32" s="71">
        <f t="shared" si="111"/>
        <v>0</v>
      </c>
      <c r="AY32" s="68">
        <f>'16'!D26</f>
        <v>0</v>
      </c>
      <c r="AZ32" s="68">
        <f>DELIVERIES!BC32</f>
        <v>16.333333333333332</v>
      </c>
      <c r="BA32" s="69">
        <f t="shared" si="112"/>
        <v>0</v>
      </c>
      <c r="BB32" s="68">
        <f>'16'!D27</f>
        <v>0</v>
      </c>
      <c r="BC32" s="68">
        <f>DELIVERIES!BF32</f>
        <v>11.666666666666666</v>
      </c>
      <c r="BD32" s="69">
        <f t="shared" si="113"/>
        <v>0</v>
      </c>
      <c r="BE32" s="68">
        <f>'16'!D28</f>
        <v>0</v>
      </c>
      <c r="BF32" s="70">
        <f>DELIVERIES!BI32</f>
        <v>20</v>
      </c>
      <c r="BG32" s="71">
        <f t="shared" si="114"/>
        <v>0</v>
      </c>
      <c r="BH32" s="68">
        <f>'16'!D23</f>
        <v>0</v>
      </c>
      <c r="BI32" s="70">
        <f>DELIVERIES!BL32</f>
        <v>23</v>
      </c>
      <c r="BJ32" s="71">
        <f t="shared" si="115"/>
        <v>0</v>
      </c>
      <c r="BK32" s="68">
        <f>'16'!D25</f>
        <v>0</v>
      </c>
      <c r="BL32" s="72">
        <f>DELIVERIES!BO32</f>
        <v>12.5</v>
      </c>
      <c r="BM32" s="71">
        <f t="shared" si="116"/>
        <v>0</v>
      </c>
      <c r="BN32" s="68">
        <f>'16'!D24</f>
        <v>0</v>
      </c>
      <c r="BO32" s="68">
        <f>DELIVERIES!BR32</f>
        <v>12.75</v>
      </c>
      <c r="BP32" s="69">
        <f t="shared" si="117"/>
        <v>0</v>
      </c>
      <c r="BQ32" s="68">
        <f>'16'!D19</f>
        <v>0</v>
      </c>
      <c r="BR32" s="70">
        <f>DELIVERIES!BU32</f>
        <v>30.25</v>
      </c>
      <c r="BS32" s="71">
        <f t="shared" si="118"/>
        <v>0</v>
      </c>
      <c r="BT32" s="68">
        <f>'16'!D20</f>
        <v>0</v>
      </c>
      <c r="BU32" s="70">
        <f>DELIVERIES!BX32</f>
        <v>15.916666666659999</v>
      </c>
      <c r="BV32" s="71">
        <f t="shared" si="119"/>
        <v>0</v>
      </c>
      <c r="BW32" s="78"/>
      <c r="BX32" s="79"/>
      <c r="BY32" s="69">
        <f t="shared" si="120"/>
        <v>0</v>
      </c>
      <c r="BZ32" s="39"/>
      <c r="CA32" s="71">
        <f t="shared" si="121"/>
        <v>0</v>
      </c>
      <c r="CB32" s="90"/>
      <c r="CC32" s="39"/>
      <c r="CD32" s="39">
        <f t="shared" si="122"/>
        <v>0</v>
      </c>
    </row>
    <row r="33" spans="1:82" ht="15.75" customHeight="1">
      <c r="A33" s="56">
        <v>17</v>
      </c>
      <c r="B33" s="68">
        <f>'17'!D29</f>
        <v>0</v>
      </c>
      <c r="C33" s="68">
        <f>DELIVERIES!C33</f>
        <v>30</v>
      </c>
      <c r="D33" s="69">
        <f t="shared" si="96"/>
        <v>0</v>
      </c>
      <c r="E33" s="68">
        <f>'17'!D7</f>
        <v>0</v>
      </c>
      <c r="F33" s="70">
        <f>DELIVERIES!F33</f>
        <v>35</v>
      </c>
      <c r="G33" s="71">
        <f t="shared" si="97"/>
        <v>0</v>
      </c>
      <c r="H33" s="84">
        <f>'17'!D8</f>
        <v>0</v>
      </c>
      <c r="I33" s="70">
        <f>DELIVERIES!I33</f>
        <v>8.5</v>
      </c>
      <c r="J33" s="71">
        <f t="shared" si="98"/>
        <v>0</v>
      </c>
      <c r="K33" s="84">
        <f>'17'!D15</f>
        <v>0</v>
      </c>
      <c r="L33" s="70">
        <f>DELIVERIES!L33</f>
        <v>18</v>
      </c>
      <c r="M33" s="71">
        <f t="shared" si="99"/>
        <v>0</v>
      </c>
      <c r="N33" s="68">
        <f>'17'!D9</f>
        <v>0</v>
      </c>
      <c r="O33" s="70">
        <f>DELIVERIES!O33</f>
        <v>7</v>
      </c>
      <c r="P33" s="71">
        <f t="shared" si="100"/>
        <v>0</v>
      </c>
      <c r="Q33" s="68">
        <f>'17'!D10</f>
        <v>0</v>
      </c>
      <c r="R33" s="72">
        <f>DELIVERIES!R33</f>
        <v>5.5</v>
      </c>
      <c r="S33" s="71">
        <f t="shared" si="101"/>
        <v>0</v>
      </c>
      <c r="T33" s="68">
        <f>'17'!D11</f>
        <v>0</v>
      </c>
      <c r="U33" s="72">
        <f>DELIVERIES!U33</f>
        <v>8.5</v>
      </c>
      <c r="V33" s="71">
        <f t="shared" si="102"/>
        <v>0</v>
      </c>
      <c r="W33" s="68">
        <f>'17'!D12</f>
        <v>0</v>
      </c>
      <c r="X33" s="68">
        <f>DELIVERIES!X33</f>
        <v>6</v>
      </c>
      <c r="Y33" s="71">
        <f t="shared" si="103"/>
        <v>0</v>
      </c>
      <c r="Z33" s="68">
        <f>'17'!D13</f>
        <v>0</v>
      </c>
      <c r="AA33" s="72">
        <f>DELIVERIES!AA33</f>
        <v>6</v>
      </c>
      <c r="AB33" s="71">
        <f t="shared" si="104"/>
        <v>0</v>
      </c>
      <c r="AC33" s="68">
        <f>'17'!D14</f>
        <v>0</v>
      </c>
      <c r="AD33" s="72">
        <f>DELIVERIES!AD33</f>
        <v>8</v>
      </c>
      <c r="AE33" s="73">
        <f t="shared" si="105"/>
        <v>0</v>
      </c>
      <c r="AF33" s="72"/>
      <c r="AG33" s="72">
        <f>AG7</f>
        <v>0</v>
      </c>
      <c r="AH33" s="118">
        <f t="shared" si="106"/>
        <v>0</v>
      </c>
      <c r="AI33" s="74"/>
      <c r="AJ33" s="75"/>
      <c r="AK33" s="71">
        <f t="shared" si="107"/>
        <v>0</v>
      </c>
      <c r="AL33" s="76"/>
      <c r="AM33" s="68">
        <f>'17'!D17</f>
        <v>0</v>
      </c>
      <c r="AN33" s="72">
        <f>DELIVERIES!AQ33</f>
        <v>8.75</v>
      </c>
      <c r="AO33" s="71">
        <f t="shared" si="108"/>
        <v>0</v>
      </c>
      <c r="AP33" s="68">
        <f>'17'!D18</f>
        <v>0</v>
      </c>
      <c r="AQ33" s="72">
        <f>DELIVERIES!AT33</f>
        <v>12.25</v>
      </c>
      <c r="AR33" s="71">
        <f t="shared" si="109"/>
        <v>0</v>
      </c>
      <c r="AS33" s="68">
        <f>'17'!D21</f>
        <v>0</v>
      </c>
      <c r="AT33" s="70">
        <f>DELIVERIES!AW33</f>
        <v>7.9166666666600003</v>
      </c>
      <c r="AU33" s="71">
        <f t="shared" si="110"/>
        <v>0</v>
      </c>
      <c r="AV33" s="68">
        <f>'17'!D22</f>
        <v>0</v>
      </c>
      <c r="AW33" s="70">
        <f>DELIVERIES!AZ33</f>
        <v>9.7916666666666661</v>
      </c>
      <c r="AX33" s="71">
        <f t="shared" si="111"/>
        <v>0</v>
      </c>
      <c r="AY33" s="68">
        <f>'17'!D26</f>
        <v>0</v>
      </c>
      <c r="AZ33" s="68">
        <f>DELIVERIES!BC33</f>
        <v>16.333333333333332</v>
      </c>
      <c r="BA33" s="69">
        <f t="shared" si="112"/>
        <v>0</v>
      </c>
      <c r="BB33" s="68">
        <f>'17'!D27</f>
        <v>0</v>
      </c>
      <c r="BC33" s="68">
        <f>DELIVERIES!BF33</f>
        <v>11.666666666666666</v>
      </c>
      <c r="BD33" s="69">
        <f t="shared" si="113"/>
        <v>0</v>
      </c>
      <c r="BE33" s="68">
        <f>'17'!D28</f>
        <v>0</v>
      </c>
      <c r="BF33" s="70">
        <f>DELIVERIES!BI33</f>
        <v>20</v>
      </c>
      <c r="BG33" s="71">
        <f t="shared" si="114"/>
        <v>0</v>
      </c>
      <c r="BH33" s="68">
        <f>'17'!D23</f>
        <v>0</v>
      </c>
      <c r="BI33" s="70">
        <f>DELIVERIES!BL33</f>
        <v>23</v>
      </c>
      <c r="BJ33" s="71">
        <f t="shared" si="115"/>
        <v>0</v>
      </c>
      <c r="BK33" s="68">
        <f>'17'!D25</f>
        <v>0</v>
      </c>
      <c r="BL33" s="72">
        <f>DELIVERIES!BO33</f>
        <v>12.5</v>
      </c>
      <c r="BM33" s="71">
        <f t="shared" si="116"/>
        <v>0</v>
      </c>
      <c r="BN33" s="68">
        <f>'17'!D24</f>
        <v>0</v>
      </c>
      <c r="BO33" s="68">
        <f>DELIVERIES!BR33</f>
        <v>12.75</v>
      </c>
      <c r="BP33" s="69">
        <f t="shared" si="117"/>
        <v>0</v>
      </c>
      <c r="BQ33" s="68">
        <f>'17'!D19</f>
        <v>0</v>
      </c>
      <c r="BR33" s="70">
        <f>DELIVERIES!BU33</f>
        <v>30.25</v>
      </c>
      <c r="BS33" s="71">
        <f t="shared" si="118"/>
        <v>0</v>
      </c>
      <c r="BT33" s="68">
        <f>'17'!D20</f>
        <v>0</v>
      </c>
      <c r="BU33" s="70">
        <f>DELIVERIES!BX33</f>
        <v>15.916666666659999</v>
      </c>
      <c r="BV33" s="71">
        <f t="shared" si="119"/>
        <v>0</v>
      </c>
      <c r="BW33" s="78"/>
      <c r="BX33" s="79"/>
      <c r="BY33" s="69">
        <f t="shared" si="120"/>
        <v>0</v>
      </c>
      <c r="BZ33" s="39"/>
      <c r="CA33" s="71">
        <f t="shared" si="121"/>
        <v>0</v>
      </c>
      <c r="CB33" s="90"/>
      <c r="CC33" s="39"/>
      <c r="CD33" s="39">
        <f t="shared" si="122"/>
        <v>0</v>
      </c>
    </row>
    <row r="34" spans="1:82" ht="15.75" customHeight="1">
      <c r="A34" s="56">
        <v>18</v>
      </c>
      <c r="B34" s="68">
        <f>'18'!D29</f>
        <v>0</v>
      </c>
      <c r="C34" s="68">
        <f>DELIVERIES!C34</f>
        <v>30</v>
      </c>
      <c r="D34" s="69">
        <f t="shared" si="96"/>
        <v>0</v>
      </c>
      <c r="E34" s="68">
        <f>'18'!D7</f>
        <v>0</v>
      </c>
      <c r="F34" s="70">
        <f>DELIVERIES!F34</f>
        <v>35</v>
      </c>
      <c r="G34" s="71">
        <f t="shared" si="97"/>
        <v>0</v>
      </c>
      <c r="H34" s="84">
        <f>'18'!D8</f>
        <v>0</v>
      </c>
      <c r="I34" s="70">
        <f>DELIVERIES!I34</f>
        <v>8.5</v>
      </c>
      <c r="J34" s="71">
        <f t="shared" si="98"/>
        <v>0</v>
      </c>
      <c r="K34" s="84">
        <f>'18'!D15</f>
        <v>0</v>
      </c>
      <c r="L34" s="70">
        <f>DELIVERIES!L34</f>
        <v>18</v>
      </c>
      <c r="M34" s="71">
        <f t="shared" si="99"/>
        <v>0</v>
      </c>
      <c r="N34" s="68">
        <f>'18'!D9</f>
        <v>0</v>
      </c>
      <c r="O34" s="70">
        <f>DELIVERIES!O34</f>
        <v>7</v>
      </c>
      <c r="P34" s="71">
        <f t="shared" si="100"/>
        <v>0</v>
      </c>
      <c r="Q34" s="68">
        <f>'18'!D10</f>
        <v>0</v>
      </c>
      <c r="R34" s="72">
        <f>DELIVERIES!R34</f>
        <v>5.5</v>
      </c>
      <c r="S34" s="71">
        <f t="shared" si="101"/>
        <v>0</v>
      </c>
      <c r="T34" s="68">
        <f>'18'!D11</f>
        <v>0</v>
      </c>
      <c r="U34" s="72">
        <f>DELIVERIES!U34</f>
        <v>8.5</v>
      </c>
      <c r="V34" s="71">
        <f t="shared" si="102"/>
        <v>0</v>
      </c>
      <c r="W34" s="68">
        <f>'18'!D12</f>
        <v>0</v>
      </c>
      <c r="X34" s="68">
        <f>DELIVERIES!X34</f>
        <v>6</v>
      </c>
      <c r="Y34" s="71">
        <f t="shared" si="103"/>
        <v>0</v>
      </c>
      <c r="Z34" s="68">
        <f>'18'!D13</f>
        <v>0</v>
      </c>
      <c r="AA34" s="72">
        <f>DELIVERIES!AA34</f>
        <v>6</v>
      </c>
      <c r="AB34" s="71">
        <f t="shared" si="104"/>
        <v>0</v>
      </c>
      <c r="AC34" s="68">
        <f>'18'!D14</f>
        <v>0</v>
      </c>
      <c r="AD34" s="72">
        <f>DELIVERIES!AD34</f>
        <v>8</v>
      </c>
      <c r="AE34" s="73">
        <f t="shared" si="105"/>
        <v>0</v>
      </c>
      <c r="AF34" s="72"/>
      <c r="AG34" s="72">
        <f>AG7</f>
        <v>0</v>
      </c>
      <c r="AH34" s="118">
        <f t="shared" si="106"/>
        <v>0</v>
      </c>
      <c r="AI34" s="74"/>
      <c r="AJ34" s="75"/>
      <c r="AK34" s="71">
        <f t="shared" si="107"/>
        <v>0</v>
      </c>
      <c r="AL34" s="76"/>
      <c r="AM34" s="68">
        <f>'18'!D17</f>
        <v>0</v>
      </c>
      <c r="AN34" s="72">
        <f>DELIVERIES!AQ34</f>
        <v>8.75</v>
      </c>
      <c r="AO34" s="71">
        <f t="shared" si="108"/>
        <v>0</v>
      </c>
      <c r="AP34" s="68">
        <f>'18'!D18</f>
        <v>0</v>
      </c>
      <c r="AQ34" s="72">
        <f>DELIVERIES!AT34</f>
        <v>12.25</v>
      </c>
      <c r="AR34" s="71">
        <f t="shared" si="109"/>
        <v>0</v>
      </c>
      <c r="AS34" s="68">
        <f>'18'!D21</f>
        <v>0</v>
      </c>
      <c r="AT34" s="70">
        <f>DELIVERIES!AW34</f>
        <v>7.9166666666600003</v>
      </c>
      <c r="AU34" s="71">
        <f t="shared" si="110"/>
        <v>0</v>
      </c>
      <c r="AV34" s="68">
        <f>'18'!D22</f>
        <v>0</v>
      </c>
      <c r="AW34" s="70">
        <f>DELIVERIES!AZ34</f>
        <v>9.7916666666666661</v>
      </c>
      <c r="AX34" s="71">
        <f t="shared" si="111"/>
        <v>0</v>
      </c>
      <c r="AY34" s="68">
        <f>'18'!D26</f>
        <v>0</v>
      </c>
      <c r="AZ34" s="68">
        <f>DELIVERIES!BC34</f>
        <v>16.333333333333332</v>
      </c>
      <c r="BA34" s="69">
        <f t="shared" si="112"/>
        <v>0</v>
      </c>
      <c r="BB34" s="68">
        <f>'18'!D27</f>
        <v>0</v>
      </c>
      <c r="BC34" s="68">
        <f>DELIVERIES!BF34</f>
        <v>11.666666666666666</v>
      </c>
      <c r="BD34" s="69">
        <f t="shared" si="113"/>
        <v>0</v>
      </c>
      <c r="BE34" s="68">
        <f>'18'!D28</f>
        <v>0</v>
      </c>
      <c r="BF34" s="70">
        <f>DELIVERIES!BI34</f>
        <v>20</v>
      </c>
      <c r="BG34" s="71">
        <f t="shared" si="114"/>
        <v>0</v>
      </c>
      <c r="BH34" s="68">
        <f>'18'!D23</f>
        <v>0</v>
      </c>
      <c r="BI34" s="70">
        <f>DELIVERIES!BL34</f>
        <v>23</v>
      </c>
      <c r="BJ34" s="71">
        <f t="shared" si="115"/>
        <v>0</v>
      </c>
      <c r="BK34" s="68">
        <f>'18'!D25</f>
        <v>0</v>
      </c>
      <c r="BL34" s="72">
        <f>DELIVERIES!BO34</f>
        <v>12.5</v>
      </c>
      <c r="BM34" s="71">
        <f t="shared" si="116"/>
        <v>0</v>
      </c>
      <c r="BN34" s="68">
        <f>'18'!D24</f>
        <v>0</v>
      </c>
      <c r="BO34" s="68">
        <f>DELIVERIES!BR34</f>
        <v>12.75</v>
      </c>
      <c r="BP34" s="69">
        <f t="shared" si="117"/>
        <v>0</v>
      </c>
      <c r="BQ34" s="68">
        <f>'18'!D19</f>
        <v>0</v>
      </c>
      <c r="BR34" s="70">
        <f>DELIVERIES!BU34</f>
        <v>30.416666666666668</v>
      </c>
      <c r="BS34" s="71">
        <f t="shared" si="118"/>
        <v>0</v>
      </c>
      <c r="BT34" s="68">
        <f>'18'!D20</f>
        <v>0</v>
      </c>
      <c r="BU34" s="70">
        <f>DELIVERIES!BX34</f>
        <v>15.916666666659999</v>
      </c>
      <c r="BV34" s="71">
        <f t="shared" si="119"/>
        <v>0</v>
      </c>
      <c r="BW34" s="78"/>
      <c r="BX34" s="79"/>
      <c r="BY34" s="69">
        <f t="shared" si="120"/>
        <v>0</v>
      </c>
      <c r="BZ34" s="39"/>
      <c r="CA34" s="71">
        <f t="shared" si="121"/>
        <v>0</v>
      </c>
      <c r="CB34" s="90"/>
      <c r="CC34" s="39"/>
      <c r="CD34" s="39">
        <f t="shared" si="122"/>
        <v>0</v>
      </c>
    </row>
    <row r="35" spans="1:82" ht="15.75" customHeight="1">
      <c r="A35" s="56">
        <v>19</v>
      </c>
      <c r="B35" s="68">
        <f>'19'!D29</f>
        <v>0</v>
      </c>
      <c r="C35" s="68">
        <f>DELIVERIES!C35</f>
        <v>30</v>
      </c>
      <c r="D35" s="69">
        <f t="shared" si="96"/>
        <v>0</v>
      </c>
      <c r="E35" s="68">
        <f>'19'!D7</f>
        <v>0</v>
      </c>
      <c r="F35" s="70">
        <f>DELIVERIES!F35</f>
        <v>35</v>
      </c>
      <c r="G35" s="71">
        <f t="shared" si="97"/>
        <v>0</v>
      </c>
      <c r="H35" s="84">
        <f>'19'!D8</f>
        <v>0</v>
      </c>
      <c r="I35" s="70">
        <f>DELIVERIES!I35</f>
        <v>8.5</v>
      </c>
      <c r="J35" s="71">
        <f t="shared" si="98"/>
        <v>0</v>
      </c>
      <c r="K35" s="84">
        <f>'19'!D15</f>
        <v>0</v>
      </c>
      <c r="L35" s="70">
        <f>DELIVERIES!L35</f>
        <v>18</v>
      </c>
      <c r="M35" s="71">
        <f t="shared" si="99"/>
        <v>0</v>
      </c>
      <c r="N35" s="68">
        <f>'19'!D9</f>
        <v>0</v>
      </c>
      <c r="O35" s="70">
        <f>DELIVERIES!O35</f>
        <v>7</v>
      </c>
      <c r="P35" s="71">
        <f t="shared" si="100"/>
        <v>0</v>
      </c>
      <c r="Q35" s="68">
        <f>'19'!D10</f>
        <v>0</v>
      </c>
      <c r="R35" s="72">
        <f>DELIVERIES!R35</f>
        <v>5.5</v>
      </c>
      <c r="S35" s="71">
        <f t="shared" si="101"/>
        <v>0</v>
      </c>
      <c r="T35" s="68">
        <f>'19'!D11</f>
        <v>0</v>
      </c>
      <c r="U35" s="72">
        <f>DELIVERIES!U35</f>
        <v>8.5</v>
      </c>
      <c r="V35" s="71">
        <f t="shared" si="102"/>
        <v>0</v>
      </c>
      <c r="W35" s="68">
        <f>'19'!D12</f>
        <v>0</v>
      </c>
      <c r="X35" s="68">
        <f>DELIVERIES!X35</f>
        <v>6</v>
      </c>
      <c r="Y35" s="71">
        <f t="shared" si="103"/>
        <v>0</v>
      </c>
      <c r="Z35" s="68">
        <f>'19'!D13</f>
        <v>0</v>
      </c>
      <c r="AA35" s="72">
        <f>DELIVERIES!AA35</f>
        <v>6</v>
      </c>
      <c r="AB35" s="71">
        <f t="shared" si="104"/>
        <v>0</v>
      </c>
      <c r="AC35" s="68">
        <f>'19'!D14</f>
        <v>0</v>
      </c>
      <c r="AD35" s="72">
        <f>DELIVERIES!AD35</f>
        <v>8</v>
      </c>
      <c r="AE35" s="73">
        <f t="shared" si="105"/>
        <v>0</v>
      </c>
      <c r="AF35" s="72"/>
      <c r="AG35" s="72">
        <f>AG7</f>
        <v>0</v>
      </c>
      <c r="AH35" s="118">
        <f t="shared" si="106"/>
        <v>0</v>
      </c>
      <c r="AI35" s="74"/>
      <c r="AJ35" s="75"/>
      <c r="AK35" s="71">
        <f t="shared" si="107"/>
        <v>0</v>
      </c>
      <c r="AL35" s="76"/>
      <c r="AM35" s="68">
        <f>'19'!D17</f>
        <v>0</v>
      </c>
      <c r="AN35" s="72">
        <f>DELIVERIES!AQ35</f>
        <v>8.75</v>
      </c>
      <c r="AO35" s="71">
        <f t="shared" si="108"/>
        <v>0</v>
      </c>
      <c r="AP35" s="68">
        <f>'19'!D18</f>
        <v>0</v>
      </c>
      <c r="AQ35" s="72">
        <f>DELIVERIES!AT35</f>
        <v>12.25</v>
      </c>
      <c r="AR35" s="71">
        <f t="shared" si="109"/>
        <v>0</v>
      </c>
      <c r="AS35" s="68">
        <f>'19'!D21</f>
        <v>0</v>
      </c>
      <c r="AT35" s="70">
        <f>DELIVERIES!AW35</f>
        <v>7.9166666666600003</v>
      </c>
      <c r="AU35" s="71">
        <f t="shared" si="110"/>
        <v>0</v>
      </c>
      <c r="AV35" s="68">
        <f>'19'!D22</f>
        <v>0</v>
      </c>
      <c r="AW35" s="70">
        <f>DELIVERIES!AZ35</f>
        <v>9.7916666666666661</v>
      </c>
      <c r="AX35" s="71">
        <f t="shared" si="111"/>
        <v>0</v>
      </c>
      <c r="AY35" s="68">
        <f>'19'!D26</f>
        <v>0</v>
      </c>
      <c r="AZ35" s="68">
        <f>DELIVERIES!BC35</f>
        <v>16.333333333333332</v>
      </c>
      <c r="BA35" s="69">
        <f t="shared" si="112"/>
        <v>0</v>
      </c>
      <c r="BB35" s="68">
        <f>'19'!D27</f>
        <v>0</v>
      </c>
      <c r="BC35" s="68">
        <f>DELIVERIES!BF35</f>
        <v>11.666666666666666</v>
      </c>
      <c r="BD35" s="69">
        <f t="shared" si="113"/>
        <v>0</v>
      </c>
      <c r="BE35" s="68">
        <f>'19'!D28</f>
        <v>0</v>
      </c>
      <c r="BF35" s="70">
        <f>DELIVERIES!BI35</f>
        <v>20</v>
      </c>
      <c r="BG35" s="71">
        <f t="shared" si="114"/>
        <v>0</v>
      </c>
      <c r="BH35" s="68">
        <f>'19'!D23</f>
        <v>0</v>
      </c>
      <c r="BI35" s="70">
        <f>DELIVERIES!BL35</f>
        <v>23</v>
      </c>
      <c r="BJ35" s="71">
        <f t="shared" si="115"/>
        <v>0</v>
      </c>
      <c r="BK35" s="68">
        <f>'19'!D25</f>
        <v>0</v>
      </c>
      <c r="BL35" s="72">
        <f>DELIVERIES!BO35</f>
        <v>12.5</v>
      </c>
      <c r="BM35" s="71">
        <f t="shared" si="116"/>
        <v>0</v>
      </c>
      <c r="BN35" s="68">
        <f>'19'!D24</f>
        <v>0</v>
      </c>
      <c r="BO35" s="68">
        <f>DELIVERIES!BR35</f>
        <v>12.75</v>
      </c>
      <c r="BP35" s="69">
        <f t="shared" si="117"/>
        <v>0</v>
      </c>
      <c r="BQ35" s="68">
        <f>'19'!D19</f>
        <v>0</v>
      </c>
      <c r="BR35" s="70">
        <f>DELIVERIES!BU35</f>
        <v>30.416666666666668</v>
      </c>
      <c r="BS35" s="71">
        <f t="shared" si="118"/>
        <v>0</v>
      </c>
      <c r="BT35" s="68">
        <f>'19'!D20</f>
        <v>0</v>
      </c>
      <c r="BU35" s="70">
        <f>DELIVERIES!BX35</f>
        <v>15.916666666659999</v>
      </c>
      <c r="BV35" s="71">
        <f t="shared" si="119"/>
        <v>0</v>
      </c>
      <c r="BW35" s="78"/>
      <c r="BX35" s="79"/>
      <c r="BY35" s="69">
        <f t="shared" si="120"/>
        <v>0</v>
      </c>
      <c r="BZ35" s="39"/>
      <c r="CA35" s="71">
        <f t="shared" si="121"/>
        <v>0</v>
      </c>
      <c r="CB35" s="90"/>
      <c r="CC35" s="39"/>
      <c r="CD35" s="39">
        <f t="shared" si="122"/>
        <v>0</v>
      </c>
    </row>
    <row r="36" spans="1:82" ht="15.75" customHeight="1">
      <c r="A36" s="56">
        <v>20</v>
      </c>
      <c r="B36" s="68">
        <f>'20'!D29</f>
        <v>0</v>
      </c>
      <c r="C36" s="68">
        <f>DELIVERIES!C36</f>
        <v>30</v>
      </c>
      <c r="D36" s="69">
        <f t="shared" si="96"/>
        <v>0</v>
      </c>
      <c r="E36" s="68">
        <f>'20'!D7</f>
        <v>0</v>
      </c>
      <c r="F36" s="70">
        <f>DELIVERIES!F36</f>
        <v>35</v>
      </c>
      <c r="G36" s="71">
        <f t="shared" si="97"/>
        <v>0</v>
      </c>
      <c r="H36" s="84">
        <f>'20'!D8</f>
        <v>0</v>
      </c>
      <c r="I36" s="70">
        <f>DELIVERIES!I36</f>
        <v>8.5</v>
      </c>
      <c r="J36" s="71">
        <f t="shared" si="98"/>
        <v>0</v>
      </c>
      <c r="K36" s="84">
        <f>'20'!D15</f>
        <v>0</v>
      </c>
      <c r="L36" s="70">
        <f>DELIVERIES!L36</f>
        <v>18</v>
      </c>
      <c r="M36" s="71">
        <f t="shared" si="99"/>
        <v>0</v>
      </c>
      <c r="N36" s="68">
        <f>'20'!D9</f>
        <v>0</v>
      </c>
      <c r="O36" s="70">
        <f>DELIVERIES!O36</f>
        <v>7</v>
      </c>
      <c r="P36" s="71">
        <f t="shared" si="100"/>
        <v>0</v>
      </c>
      <c r="Q36" s="68">
        <f>'20'!D10</f>
        <v>0</v>
      </c>
      <c r="R36" s="72">
        <f>DELIVERIES!R36</f>
        <v>5.5</v>
      </c>
      <c r="S36" s="71">
        <f t="shared" si="101"/>
        <v>0</v>
      </c>
      <c r="T36" s="68">
        <f>'20'!D11</f>
        <v>0</v>
      </c>
      <c r="U36" s="72">
        <f>DELIVERIES!U36</f>
        <v>8.5</v>
      </c>
      <c r="V36" s="71">
        <f t="shared" si="102"/>
        <v>0</v>
      </c>
      <c r="W36" s="68">
        <f>'20'!D12</f>
        <v>0</v>
      </c>
      <c r="X36" s="68">
        <f>DELIVERIES!X36</f>
        <v>6</v>
      </c>
      <c r="Y36" s="71">
        <f t="shared" si="103"/>
        <v>0</v>
      </c>
      <c r="Z36" s="68">
        <f>'20'!D13</f>
        <v>0</v>
      </c>
      <c r="AA36" s="72">
        <f>DELIVERIES!AA36</f>
        <v>6</v>
      </c>
      <c r="AB36" s="71">
        <f t="shared" si="104"/>
        <v>0</v>
      </c>
      <c r="AC36" s="68">
        <f>'20'!D14</f>
        <v>0</v>
      </c>
      <c r="AD36" s="72">
        <f>DELIVERIES!AD36</f>
        <v>8</v>
      </c>
      <c r="AE36" s="73">
        <f t="shared" si="105"/>
        <v>0</v>
      </c>
      <c r="AF36" s="72"/>
      <c r="AG36" s="72">
        <f>AG7</f>
        <v>0</v>
      </c>
      <c r="AH36" s="118">
        <f t="shared" si="106"/>
        <v>0</v>
      </c>
      <c r="AI36" s="119"/>
      <c r="AJ36" s="119"/>
      <c r="AK36" s="71">
        <f t="shared" si="107"/>
        <v>0</v>
      </c>
      <c r="AL36" s="76"/>
      <c r="AM36" s="68">
        <f>'20'!D17</f>
        <v>0</v>
      </c>
      <c r="AN36" s="72">
        <f>DELIVERIES!AQ36</f>
        <v>8.75</v>
      </c>
      <c r="AO36" s="71">
        <f t="shared" si="108"/>
        <v>0</v>
      </c>
      <c r="AP36" s="68">
        <f>'20'!D18</f>
        <v>0</v>
      </c>
      <c r="AQ36" s="72">
        <f>DELIVERIES!AT36</f>
        <v>12.25</v>
      </c>
      <c r="AR36" s="71">
        <f t="shared" si="109"/>
        <v>0</v>
      </c>
      <c r="AS36" s="68">
        <f>'20'!D21</f>
        <v>0</v>
      </c>
      <c r="AT36" s="70">
        <f>DELIVERIES!AW36</f>
        <v>7.9166666666600003</v>
      </c>
      <c r="AU36" s="71">
        <f t="shared" si="110"/>
        <v>0</v>
      </c>
      <c r="AV36" s="68">
        <f>'20'!D22</f>
        <v>0</v>
      </c>
      <c r="AW36" s="70">
        <f>DELIVERIES!AZ36</f>
        <v>9.7916666666666661</v>
      </c>
      <c r="AX36" s="71">
        <f t="shared" si="111"/>
        <v>0</v>
      </c>
      <c r="AY36" s="68">
        <f>'20'!D26</f>
        <v>0</v>
      </c>
      <c r="AZ36" s="68">
        <f>DELIVERIES!BC36</f>
        <v>16.333333333333332</v>
      </c>
      <c r="BA36" s="69">
        <f t="shared" si="112"/>
        <v>0</v>
      </c>
      <c r="BB36" s="68">
        <f>'20'!D27</f>
        <v>0</v>
      </c>
      <c r="BC36" s="68">
        <f>DELIVERIES!BF36</f>
        <v>11.666666666666666</v>
      </c>
      <c r="BD36" s="69">
        <f t="shared" si="113"/>
        <v>0</v>
      </c>
      <c r="BE36" s="68">
        <f>'20'!D28</f>
        <v>0</v>
      </c>
      <c r="BF36" s="70">
        <f>DELIVERIES!BI36</f>
        <v>20</v>
      </c>
      <c r="BG36" s="71">
        <f t="shared" si="114"/>
        <v>0</v>
      </c>
      <c r="BH36" s="68">
        <f>'20'!D23</f>
        <v>0</v>
      </c>
      <c r="BI36" s="70">
        <f>DELIVERIES!BL36</f>
        <v>23</v>
      </c>
      <c r="BJ36" s="71">
        <f t="shared" si="115"/>
        <v>0</v>
      </c>
      <c r="BK36" s="68">
        <f>'20'!D25</f>
        <v>0</v>
      </c>
      <c r="BL36" s="72">
        <f>DELIVERIES!BO36</f>
        <v>12.5</v>
      </c>
      <c r="BM36" s="71">
        <f t="shared" si="116"/>
        <v>0</v>
      </c>
      <c r="BN36" s="68">
        <f>'20'!D24</f>
        <v>0</v>
      </c>
      <c r="BO36" s="68">
        <f>DELIVERIES!BR36</f>
        <v>12.75</v>
      </c>
      <c r="BP36" s="69">
        <f t="shared" si="117"/>
        <v>0</v>
      </c>
      <c r="BQ36" s="68">
        <f>'20'!D19</f>
        <v>0</v>
      </c>
      <c r="BR36" s="70">
        <f>DELIVERIES!BU36</f>
        <v>30.416666666666668</v>
      </c>
      <c r="BS36" s="71">
        <f t="shared" si="118"/>
        <v>0</v>
      </c>
      <c r="BT36" s="68">
        <f>'20'!D20</f>
        <v>0</v>
      </c>
      <c r="BU36" s="70">
        <f>DELIVERIES!BX36</f>
        <v>15.916666666659999</v>
      </c>
      <c r="BV36" s="71">
        <f t="shared" si="119"/>
        <v>0</v>
      </c>
      <c r="BW36" s="78"/>
      <c r="BX36" s="79"/>
      <c r="BY36" s="69">
        <f t="shared" si="120"/>
        <v>0</v>
      </c>
      <c r="BZ36" s="39"/>
      <c r="CA36" s="71">
        <f t="shared" si="121"/>
        <v>0</v>
      </c>
      <c r="CB36" s="90"/>
      <c r="CC36" s="39"/>
      <c r="CD36" s="39">
        <f t="shared" si="122"/>
        <v>0</v>
      </c>
    </row>
    <row r="37" spans="1:82" ht="15.75" customHeight="1">
      <c r="A37" s="56">
        <v>21</v>
      </c>
      <c r="B37" s="68">
        <f>'21'!D29</f>
        <v>0</v>
      </c>
      <c r="C37" s="68">
        <f>DELIVERIES!C37</f>
        <v>30</v>
      </c>
      <c r="D37" s="69">
        <f t="shared" si="96"/>
        <v>0</v>
      </c>
      <c r="E37" s="68">
        <f>'21'!D7</f>
        <v>0</v>
      </c>
      <c r="F37" s="70">
        <f>DELIVERIES!F37</f>
        <v>35</v>
      </c>
      <c r="G37" s="71">
        <f t="shared" si="97"/>
        <v>0</v>
      </c>
      <c r="H37" s="84">
        <f>'21'!D8</f>
        <v>0</v>
      </c>
      <c r="I37" s="70">
        <f>DELIVERIES!I37</f>
        <v>8.5</v>
      </c>
      <c r="J37" s="71">
        <f t="shared" si="98"/>
        <v>0</v>
      </c>
      <c r="K37" s="84">
        <f>'21'!D15</f>
        <v>0</v>
      </c>
      <c r="L37" s="70">
        <f>DELIVERIES!L37</f>
        <v>18</v>
      </c>
      <c r="M37" s="71">
        <f t="shared" si="99"/>
        <v>0</v>
      </c>
      <c r="N37" s="68">
        <f>'21'!D9</f>
        <v>0</v>
      </c>
      <c r="O37" s="70">
        <f>DELIVERIES!O37</f>
        <v>7</v>
      </c>
      <c r="P37" s="71">
        <f t="shared" si="100"/>
        <v>0</v>
      </c>
      <c r="Q37" s="68">
        <f>'21'!D10</f>
        <v>0</v>
      </c>
      <c r="R37" s="72">
        <f>DELIVERIES!R37</f>
        <v>5.5</v>
      </c>
      <c r="S37" s="71">
        <f t="shared" si="101"/>
        <v>0</v>
      </c>
      <c r="T37" s="68">
        <f>'21'!D11</f>
        <v>0</v>
      </c>
      <c r="U37" s="72">
        <f>DELIVERIES!U37</f>
        <v>8.5</v>
      </c>
      <c r="V37" s="71">
        <f t="shared" si="102"/>
        <v>0</v>
      </c>
      <c r="W37" s="68">
        <f>'21'!D12</f>
        <v>0</v>
      </c>
      <c r="X37" s="68">
        <f>DELIVERIES!X37</f>
        <v>6</v>
      </c>
      <c r="Y37" s="71">
        <f t="shared" si="103"/>
        <v>0</v>
      </c>
      <c r="Z37" s="68">
        <f>'21'!D13</f>
        <v>0</v>
      </c>
      <c r="AA37" s="72">
        <f>DELIVERIES!AA37</f>
        <v>6</v>
      </c>
      <c r="AB37" s="71">
        <f t="shared" si="104"/>
        <v>0</v>
      </c>
      <c r="AC37" s="68">
        <f>'21'!D14</f>
        <v>0</v>
      </c>
      <c r="AD37" s="72">
        <f>DELIVERIES!AD37</f>
        <v>8</v>
      </c>
      <c r="AE37" s="73">
        <f t="shared" si="105"/>
        <v>0</v>
      </c>
      <c r="AF37" s="72"/>
      <c r="AG37" s="72">
        <f>AG7</f>
        <v>0</v>
      </c>
      <c r="AH37" s="118">
        <f t="shared" si="106"/>
        <v>0</v>
      </c>
      <c r="AI37" s="119"/>
      <c r="AJ37" s="119"/>
      <c r="AK37" s="71">
        <f t="shared" si="107"/>
        <v>0</v>
      </c>
      <c r="AL37" s="76"/>
      <c r="AM37" s="68">
        <f>'21'!D17</f>
        <v>0</v>
      </c>
      <c r="AN37" s="72">
        <f>DELIVERIES!AQ37</f>
        <v>8.75</v>
      </c>
      <c r="AO37" s="71">
        <f t="shared" si="108"/>
        <v>0</v>
      </c>
      <c r="AP37" s="68">
        <f>'21'!D18</f>
        <v>0</v>
      </c>
      <c r="AQ37" s="72">
        <f>DELIVERIES!AT37</f>
        <v>12.25</v>
      </c>
      <c r="AR37" s="71">
        <f t="shared" si="109"/>
        <v>0</v>
      </c>
      <c r="AS37" s="68">
        <f>'21'!D21</f>
        <v>0</v>
      </c>
      <c r="AT37" s="70">
        <f>DELIVERIES!AW37</f>
        <v>7.9166666666600003</v>
      </c>
      <c r="AU37" s="71">
        <f t="shared" si="110"/>
        <v>0</v>
      </c>
      <c r="AV37" s="68">
        <f>'21'!D22</f>
        <v>0</v>
      </c>
      <c r="AW37" s="70">
        <f>DELIVERIES!AZ37</f>
        <v>9.7916666666666661</v>
      </c>
      <c r="AX37" s="71">
        <f t="shared" si="111"/>
        <v>0</v>
      </c>
      <c r="AY37" s="68">
        <f>'21'!D26</f>
        <v>0</v>
      </c>
      <c r="AZ37" s="68">
        <f>DELIVERIES!BC37</f>
        <v>16.333333333333332</v>
      </c>
      <c r="BA37" s="69">
        <f t="shared" si="112"/>
        <v>0</v>
      </c>
      <c r="BB37" s="68">
        <f>'21'!D27</f>
        <v>0</v>
      </c>
      <c r="BC37" s="68">
        <f>DELIVERIES!BF37</f>
        <v>11.666666666666666</v>
      </c>
      <c r="BD37" s="69">
        <f t="shared" si="113"/>
        <v>0</v>
      </c>
      <c r="BE37" s="68">
        <f>'21'!D28</f>
        <v>0</v>
      </c>
      <c r="BF37" s="70">
        <f>DELIVERIES!BI37</f>
        <v>20</v>
      </c>
      <c r="BG37" s="71">
        <f t="shared" si="114"/>
        <v>0</v>
      </c>
      <c r="BH37" s="68">
        <f>'21'!D23</f>
        <v>0</v>
      </c>
      <c r="BI37" s="70">
        <f>DELIVERIES!BL37</f>
        <v>23</v>
      </c>
      <c r="BJ37" s="71">
        <f t="shared" si="115"/>
        <v>0</v>
      </c>
      <c r="BK37" s="68">
        <f>'21'!D25</f>
        <v>0</v>
      </c>
      <c r="BL37" s="72">
        <f>DELIVERIES!BO37</f>
        <v>12.5</v>
      </c>
      <c r="BM37" s="71">
        <f t="shared" si="116"/>
        <v>0</v>
      </c>
      <c r="BN37" s="68">
        <f>'21'!D24</f>
        <v>0</v>
      </c>
      <c r="BO37" s="68">
        <f>DELIVERIES!BR37</f>
        <v>12.75</v>
      </c>
      <c r="BP37" s="69">
        <f t="shared" si="117"/>
        <v>0</v>
      </c>
      <c r="BQ37" s="68">
        <f>'21'!D19</f>
        <v>0</v>
      </c>
      <c r="BR37" s="70">
        <f>DELIVERIES!BU37</f>
        <v>30.416666666666668</v>
      </c>
      <c r="BS37" s="71">
        <f t="shared" si="118"/>
        <v>0</v>
      </c>
      <c r="BT37" s="68">
        <f>'21'!D20</f>
        <v>0</v>
      </c>
      <c r="BU37" s="70">
        <f>DELIVERIES!BX37</f>
        <v>15.916666666659999</v>
      </c>
      <c r="BV37" s="71">
        <f t="shared" si="119"/>
        <v>0</v>
      </c>
      <c r="BW37" s="78"/>
      <c r="BX37" s="79"/>
      <c r="BY37" s="69">
        <f t="shared" si="120"/>
        <v>0</v>
      </c>
      <c r="BZ37" s="39"/>
      <c r="CA37" s="71">
        <f t="shared" si="121"/>
        <v>0</v>
      </c>
      <c r="CB37" s="90"/>
      <c r="CC37" s="39"/>
      <c r="CD37" s="39">
        <f t="shared" si="122"/>
        <v>0</v>
      </c>
    </row>
    <row r="38" spans="1:82" ht="15.75" customHeight="1">
      <c r="A38" s="129" t="s">
        <v>23</v>
      </c>
      <c r="B38" s="68">
        <f>SUM(B31:B37)</f>
        <v>0</v>
      </c>
      <c r="C38" s="68"/>
      <c r="D38" s="130">
        <f t="shared" ref="D38:E38" si="123">SUM(D31:D37)</f>
        <v>0</v>
      </c>
      <c r="E38" s="70">
        <f t="shared" si="123"/>
        <v>0</v>
      </c>
      <c r="F38" s="70"/>
      <c r="G38" s="131">
        <f t="shared" ref="G38:H38" si="124">SUM(G31:G37)</f>
        <v>0</v>
      </c>
      <c r="H38" s="72">
        <f t="shared" si="124"/>
        <v>0</v>
      </c>
      <c r="I38" s="70"/>
      <c r="J38" s="131">
        <f t="shared" ref="J38:K38" si="125">SUM(J31:J37)</f>
        <v>0</v>
      </c>
      <c r="K38" s="70">
        <f t="shared" si="125"/>
        <v>0</v>
      </c>
      <c r="L38" s="70"/>
      <c r="M38" s="131">
        <f t="shared" ref="M38:N38" si="126">SUM(M31:M37)</f>
        <v>0</v>
      </c>
      <c r="N38" s="70">
        <f t="shared" si="126"/>
        <v>0</v>
      </c>
      <c r="O38" s="70"/>
      <c r="P38" s="131">
        <f t="shared" ref="P38:Q38" si="127">SUM(P31:P37)</f>
        <v>0</v>
      </c>
      <c r="Q38" s="70">
        <f t="shared" si="127"/>
        <v>0</v>
      </c>
      <c r="R38" s="70"/>
      <c r="S38" s="131">
        <f t="shared" ref="S38:T38" si="128">SUM(S31:S37)</f>
        <v>0</v>
      </c>
      <c r="T38" s="70">
        <f t="shared" si="128"/>
        <v>0</v>
      </c>
      <c r="U38" s="70"/>
      <c r="V38" s="131">
        <f t="shared" ref="V38:W38" si="129">SUM(V31:V37)</f>
        <v>0</v>
      </c>
      <c r="W38" s="70">
        <f t="shared" si="129"/>
        <v>0</v>
      </c>
      <c r="X38" s="70"/>
      <c r="Y38" s="131">
        <f t="shared" ref="Y38:Z38" si="130">SUM(Y31:Y37)</f>
        <v>0</v>
      </c>
      <c r="Z38" s="70">
        <f t="shared" si="130"/>
        <v>0</v>
      </c>
      <c r="AA38" s="70"/>
      <c r="AB38" s="132">
        <f t="shared" ref="AB38:AC38" si="131">SUM(AB31:AB37)</f>
        <v>0</v>
      </c>
      <c r="AC38" s="70">
        <f t="shared" si="131"/>
        <v>0</v>
      </c>
      <c r="AD38" s="70"/>
      <c r="AE38" s="132">
        <f t="shared" ref="AE38:AF38" si="132">SUM(AE31:AE37)</f>
        <v>0</v>
      </c>
      <c r="AF38" s="70">
        <f t="shared" si="132"/>
        <v>0</v>
      </c>
      <c r="AG38" s="70"/>
      <c r="AH38" s="131">
        <f>SUM(AH31:AH37)</f>
        <v>0</v>
      </c>
      <c r="AI38" s="39"/>
      <c r="AJ38" s="39"/>
      <c r="AK38" s="131">
        <f>SUM(AK31:AK37)</f>
        <v>0</v>
      </c>
      <c r="AL38" s="76"/>
      <c r="AM38" s="68">
        <f>SUM(AM31:AM37)</f>
        <v>0</v>
      </c>
      <c r="AN38" s="70"/>
      <c r="AO38" s="131">
        <f t="shared" ref="AO38:AP38" si="133">SUM(AO31:AO37)</f>
        <v>0</v>
      </c>
      <c r="AP38" s="70">
        <f t="shared" si="133"/>
        <v>0</v>
      </c>
      <c r="AQ38" s="70"/>
      <c r="AR38" s="131">
        <f t="shared" ref="AR38:AS38" si="134">SUM(AR31:AR37)</f>
        <v>0</v>
      </c>
      <c r="AS38" s="70">
        <f t="shared" si="134"/>
        <v>0</v>
      </c>
      <c r="AT38" s="70"/>
      <c r="AU38" s="131">
        <f t="shared" ref="AU38:AV38" si="135">SUM(AU31:AU37)</f>
        <v>0</v>
      </c>
      <c r="AV38" s="72">
        <f t="shared" si="135"/>
        <v>0</v>
      </c>
      <c r="AW38" s="70"/>
      <c r="AX38" s="131">
        <f t="shared" ref="AX38:AY38" si="136">SUM(AX31:AX37)</f>
        <v>0</v>
      </c>
      <c r="AY38" s="70">
        <f t="shared" si="136"/>
        <v>0</v>
      </c>
      <c r="AZ38" s="70"/>
      <c r="BA38" s="131">
        <f t="shared" ref="BA38:BB38" si="137">SUM(BA31:BA37)</f>
        <v>0</v>
      </c>
      <c r="BB38" s="70">
        <f t="shared" si="137"/>
        <v>0</v>
      </c>
      <c r="BC38" s="70"/>
      <c r="BD38" s="131">
        <f t="shared" ref="BD38:BE38" si="138">SUM(BD31:BD37)</f>
        <v>0</v>
      </c>
      <c r="BE38" s="70">
        <f t="shared" si="138"/>
        <v>0</v>
      </c>
      <c r="BF38" s="70"/>
      <c r="BG38" s="131">
        <f t="shared" ref="BG38:BH38" si="139">SUM(BG31:BG37)</f>
        <v>0</v>
      </c>
      <c r="BH38" s="70">
        <f t="shared" si="139"/>
        <v>0</v>
      </c>
      <c r="BI38" s="70"/>
      <c r="BJ38" s="131">
        <f t="shared" ref="BJ38:BK38" si="140">SUM(BJ31:BJ37)</f>
        <v>0</v>
      </c>
      <c r="BK38" s="72">
        <f t="shared" si="140"/>
        <v>0</v>
      </c>
      <c r="BL38" s="70"/>
      <c r="BM38" s="131">
        <f t="shared" ref="BM38:BN38" si="141">SUM(BM31:BM37)</f>
        <v>0</v>
      </c>
      <c r="BN38" s="70">
        <f t="shared" si="141"/>
        <v>0</v>
      </c>
      <c r="BO38" s="70"/>
      <c r="BP38" s="131">
        <f t="shared" ref="BP38:BQ38" si="142">SUM(BP31:BP37)</f>
        <v>0</v>
      </c>
      <c r="BQ38" s="70">
        <f t="shared" si="142"/>
        <v>0</v>
      </c>
      <c r="BR38" s="70"/>
      <c r="BS38" s="131">
        <f t="shared" ref="BS38:BT38" si="143">SUM(BS31:BS37)</f>
        <v>0</v>
      </c>
      <c r="BT38" s="70">
        <f t="shared" si="143"/>
        <v>0</v>
      </c>
      <c r="BU38" s="70"/>
      <c r="BV38" s="131">
        <f>SUM(BV31:BV37)</f>
        <v>0</v>
      </c>
      <c r="BW38" s="78"/>
      <c r="BX38" s="79"/>
      <c r="BY38" s="131">
        <f>SUM(BY31:BY37)</f>
        <v>0</v>
      </c>
      <c r="BZ38" s="39"/>
      <c r="CA38" s="131">
        <f>SUM(CA31:CA37)</f>
        <v>0</v>
      </c>
      <c r="CB38" s="133"/>
      <c r="CC38" s="39"/>
      <c r="CD38" s="134">
        <f>SUM(CD31:CD37)</f>
        <v>0</v>
      </c>
    </row>
    <row r="39" spans="1:82" ht="15.75" customHeight="1">
      <c r="A39" s="135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</row>
    <row r="40" spans="1:82" ht="15.75" customHeight="1">
      <c r="A40" s="135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</row>
    <row r="41" spans="1:82" ht="15.75" customHeight="1">
      <c r="A41" s="51" t="s">
        <v>112</v>
      </c>
      <c r="B41" s="460" t="str">
        <f>B5</f>
        <v>PREMIUM - CUT</v>
      </c>
      <c r="C41" s="445"/>
      <c r="D41" s="423"/>
      <c r="E41" s="460" t="s">
        <v>30</v>
      </c>
      <c r="F41" s="445"/>
      <c r="G41" s="423"/>
      <c r="H41" s="460" t="s">
        <v>102</v>
      </c>
      <c r="I41" s="445"/>
      <c r="J41" s="423"/>
      <c r="K41" s="460" t="str">
        <f>K29</f>
        <v>Chicken Fillet</v>
      </c>
      <c r="L41" s="445"/>
      <c r="M41" s="423"/>
      <c r="N41" s="460" t="s">
        <v>53</v>
      </c>
      <c r="O41" s="445"/>
      <c r="P41" s="445"/>
      <c r="Q41" s="459" t="s">
        <v>54</v>
      </c>
      <c r="R41" s="445"/>
      <c r="S41" s="423"/>
      <c r="T41" s="448" t="s">
        <v>55</v>
      </c>
      <c r="U41" s="445"/>
      <c r="V41" s="423"/>
      <c r="W41" s="448" t="s">
        <v>56</v>
      </c>
      <c r="X41" s="445"/>
      <c r="Y41" s="423"/>
      <c r="Z41" s="448" t="s">
        <v>57</v>
      </c>
      <c r="AA41" s="445"/>
      <c r="AB41" s="445"/>
      <c r="AC41" s="448" t="s">
        <v>58</v>
      </c>
      <c r="AD41" s="445"/>
      <c r="AE41" s="445"/>
      <c r="AF41" s="448">
        <f>AF5</f>
        <v>0</v>
      </c>
      <c r="AG41" s="445"/>
      <c r="AH41" s="423"/>
      <c r="AI41" s="448" t="str">
        <f>AI5</f>
        <v>SUBTOTAL</v>
      </c>
      <c r="AJ41" s="445"/>
      <c r="AK41" s="423"/>
      <c r="AL41" s="136"/>
      <c r="AM41" s="459" t="s">
        <v>103</v>
      </c>
      <c r="AN41" s="445"/>
      <c r="AO41" s="423"/>
      <c r="AP41" s="448" t="s">
        <v>60</v>
      </c>
      <c r="AQ41" s="445"/>
      <c r="AR41" s="423"/>
      <c r="AS41" s="448" t="s">
        <v>61</v>
      </c>
      <c r="AT41" s="445"/>
      <c r="AU41" s="423"/>
      <c r="AV41" s="448" t="s">
        <v>62</v>
      </c>
      <c r="AW41" s="445"/>
      <c r="AX41" s="423"/>
      <c r="AY41" s="448" t="s">
        <v>63</v>
      </c>
      <c r="AZ41" s="445"/>
      <c r="BA41" s="423"/>
      <c r="BB41" s="448" t="str">
        <f>BB29</f>
        <v>swakto</v>
      </c>
      <c r="BC41" s="445"/>
      <c r="BD41" s="423"/>
      <c r="BE41" s="448" t="s">
        <v>65</v>
      </c>
      <c r="BF41" s="445"/>
      <c r="BG41" s="423"/>
      <c r="BH41" s="448" t="str">
        <f>BH29</f>
        <v>GATORADE</v>
      </c>
      <c r="BI41" s="445"/>
      <c r="BJ41" s="423"/>
      <c r="BK41" s="448" t="s">
        <v>66</v>
      </c>
      <c r="BL41" s="445"/>
      <c r="BM41" s="423"/>
      <c r="BN41" s="448" t="s">
        <v>67</v>
      </c>
      <c r="BO41" s="445"/>
      <c r="BP41" s="423"/>
      <c r="BQ41" s="447" t="str">
        <f>BQ29</f>
        <v>1 LITER</v>
      </c>
      <c r="BR41" s="445"/>
      <c r="BS41" s="423"/>
      <c r="BT41" s="447" t="str">
        <f>BT29</f>
        <v>1.5 L</v>
      </c>
      <c r="BU41" s="445"/>
      <c r="BV41" s="423"/>
      <c r="BW41" s="444" t="s">
        <v>68</v>
      </c>
      <c r="BX41" s="445"/>
      <c r="BY41" s="423"/>
      <c r="BZ41" s="39"/>
      <c r="CA41" s="137" t="s">
        <v>23</v>
      </c>
      <c r="CB41" s="39"/>
      <c r="CC41" s="39"/>
      <c r="CD41" s="39"/>
    </row>
    <row r="42" spans="1:82" ht="15.75" customHeight="1">
      <c r="A42" s="56" t="s">
        <v>7</v>
      </c>
      <c r="B42" s="118" t="s">
        <v>71</v>
      </c>
      <c r="C42" s="118" t="s">
        <v>72</v>
      </c>
      <c r="D42" s="118" t="s">
        <v>26</v>
      </c>
      <c r="E42" s="118" t="s">
        <v>71</v>
      </c>
      <c r="F42" s="118" t="s">
        <v>72</v>
      </c>
      <c r="G42" s="118" t="s">
        <v>26</v>
      </c>
      <c r="H42" s="138" t="s">
        <v>71</v>
      </c>
      <c r="I42" s="139" t="s">
        <v>72</v>
      </c>
      <c r="J42" s="140" t="s">
        <v>73</v>
      </c>
      <c r="K42" s="138" t="s">
        <v>71</v>
      </c>
      <c r="L42" s="139" t="s">
        <v>72</v>
      </c>
      <c r="M42" s="140" t="s">
        <v>73</v>
      </c>
      <c r="N42" s="118" t="s">
        <v>71</v>
      </c>
      <c r="O42" s="118" t="s">
        <v>72</v>
      </c>
      <c r="P42" s="118" t="s">
        <v>26</v>
      </c>
      <c r="Q42" s="138" t="s">
        <v>71</v>
      </c>
      <c r="R42" s="139" t="s">
        <v>72</v>
      </c>
      <c r="S42" s="140" t="s">
        <v>73</v>
      </c>
      <c r="T42" s="138" t="s">
        <v>71</v>
      </c>
      <c r="U42" s="139" t="s">
        <v>72</v>
      </c>
      <c r="V42" s="141" t="s">
        <v>73</v>
      </c>
      <c r="W42" s="138" t="s">
        <v>71</v>
      </c>
      <c r="X42" s="139" t="s">
        <v>72</v>
      </c>
      <c r="Y42" s="141" t="s">
        <v>73</v>
      </c>
      <c r="Z42" s="138" t="s">
        <v>71</v>
      </c>
      <c r="AA42" s="139" t="s">
        <v>72</v>
      </c>
      <c r="AB42" s="141" t="s">
        <v>73</v>
      </c>
      <c r="AC42" s="138" t="s">
        <v>71</v>
      </c>
      <c r="AD42" s="139" t="s">
        <v>72</v>
      </c>
      <c r="AE42" s="141" t="s">
        <v>26</v>
      </c>
      <c r="AF42" s="118" t="s">
        <v>71</v>
      </c>
      <c r="AG42" s="118" t="s">
        <v>72</v>
      </c>
      <c r="AH42" s="118" t="s">
        <v>26</v>
      </c>
      <c r="AI42" s="142"/>
      <c r="AJ42" s="143"/>
      <c r="AK42" s="118" t="s">
        <v>73</v>
      </c>
      <c r="AL42" s="136"/>
      <c r="AM42" s="145" t="s">
        <v>71</v>
      </c>
      <c r="AN42" s="146" t="s">
        <v>72</v>
      </c>
      <c r="AO42" s="145" t="s">
        <v>73</v>
      </c>
      <c r="AP42" s="147" t="s">
        <v>71</v>
      </c>
      <c r="AQ42" s="146" t="s">
        <v>72</v>
      </c>
      <c r="AR42" s="145" t="s">
        <v>73</v>
      </c>
      <c r="AS42" s="147" t="s">
        <v>71</v>
      </c>
      <c r="AT42" s="146" t="s">
        <v>72</v>
      </c>
      <c r="AU42" s="145" t="s">
        <v>73</v>
      </c>
      <c r="AV42" s="146" t="s">
        <v>71</v>
      </c>
      <c r="AW42" s="146" t="s">
        <v>72</v>
      </c>
      <c r="AX42" s="146" t="s">
        <v>26</v>
      </c>
      <c r="AY42" s="146" t="s">
        <v>71</v>
      </c>
      <c r="AZ42" s="146" t="s">
        <v>72</v>
      </c>
      <c r="BA42" s="146" t="s">
        <v>26</v>
      </c>
      <c r="BB42" s="146" t="s">
        <v>71</v>
      </c>
      <c r="BC42" s="146" t="s">
        <v>72</v>
      </c>
      <c r="BD42" s="146" t="s">
        <v>26</v>
      </c>
      <c r="BE42" s="146" t="s">
        <v>71</v>
      </c>
      <c r="BF42" s="146" t="s">
        <v>72</v>
      </c>
      <c r="BG42" s="146" t="s">
        <v>26</v>
      </c>
      <c r="BH42" s="146" t="s">
        <v>71</v>
      </c>
      <c r="BI42" s="146" t="s">
        <v>72</v>
      </c>
      <c r="BJ42" s="146" t="s">
        <v>26</v>
      </c>
      <c r="BK42" s="146" t="s">
        <v>71</v>
      </c>
      <c r="BL42" s="146" t="s">
        <v>72</v>
      </c>
      <c r="BM42" s="146" t="s">
        <v>26</v>
      </c>
      <c r="BN42" s="146" t="s">
        <v>71</v>
      </c>
      <c r="BO42" s="146" t="s">
        <v>72</v>
      </c>
      <c r="BP42" s="146" t="s">
        <v>26</v>
      </c>
      <c r="BQ42" s="146" t="s">
        <v>71</v>
      </c>
      <c r="BR42" s="146" t="s">
        <v>72</v>
      </c>
      <c r="BS42" s="147" t="s">
        <v>26</v>
      </c>
      <c r="BT42" s="146" t="s">
        <v>71</v>
      </c>
      <c r="BU42" s="146" t="s">
        <v>72</v>
      </c>
      <c r="BV42" s="147" t="s">
        <v>26</v>
      </c>
      <c r="BW42" s="142"/>
      <c r="BX42" s="143"/>
      <c r="BY42" s="144" t="s">
        <v>26</v>
      </c>
      <c r="BZ42" s="39"/>
      <c r="CA42" s="118" t="s">
        <v>26</v>
      </c>
      <c r="CB42" s="39"/>
      <c r="CC42" s="39"/>
      <c r="CD42" s="39"/>
    </row>
    <row r="43" spans="1:82" ht="15.75" customHeight="1">
      <c r="A43" s="56">
        <v>22</v>
      </c>
      <c r="B43" s="70">
        <f>'22'!D29</f>
        <v>0</v>
      </c>
      <c r="C43" s="68">
        <f>DELIVERIES!C43</f>
        <v>30</v>
      </c>
      <c r="D43" s="69">
        <f t="shared" ref="D43:D52" si="144">B43*C43</f>
        <v>0</v>
      </c>
      <c r="E43" s="70">
        <f>'22'!D7</f>
        <v>0</v>
      </c>
      <c r="F43" s="70">
        <f>DELIVERIES!F43</f>
        <v>35</v>
      </c>
      <c r="G43" s="71">
        <f t="shared" ref="G43:G52" si="145">E43*F43</f>
        <v>0</v>
      </c>
      <c r="H43" s="72">
        <f>'22'!D8</f>
        <v>0</v>
      </c>
      <c r="I43" s="70">
        <f>DELIVERIES!I43</f>
        <v>8.5</v>
      </c>
      <c r="J43" s="71">
        <f t="shared" ref="J43:J52" si="146">H43*I43</f>
        <v>0</v>
      </c>
      <c r="K43" s="72">
        <f>'22'!D15</f>
        <v>0</v>
      </c>
      <c r="L43" s="70">
        <f>DELIVERIES!L43</f>
        <v>18</v>
      </c>
      <c r="M43" s="71">
        <f t="shared" ref="M43:M52" si="147">K43*L43</f>
        <v>0</v>
      </c>
      <c r="N43" s="70">
        <f>'22'!D9</f>
        <v>0</v>
      </c>
      <c r="O43" s="70">
        <f>DELIVERIES!O43</f>
        <v>7</v>
      </c>
      <c r="P43" s="71">
        <f t="shared" ref="P43:P52" si="148">N43*O43</f>
        <v>0</v>
      </c>
      <c r="Q43" s="68">
        <f>'22'!D10</f>
        <v>0</v>
      </c>
      <c r="R43" s="72">
        <f>DELIVERIES!R43</f>
        <v>5.5</v>
      </c>
      <c r="S43" s="71">
        <f t="shared" ref="S43:S52" si="149">Q43*R43</f>
        <v>0</v>
      </c>
      <c r="T43" s="68">
        <f>'22'!D11</f>
        <v>0</v>
      </c>
      <c r="U43" s="72">
        <f>DELIVERIES!U43</f>
        <v>8.5</v>
      </c>
      <c r="V43" s="71">
        <f t="shared" ref="V43:V52" si="150">T43*U43</f>
        <v>0</v>
      </c>
      <c r="W43" s="68">
        <f>'22'!D12</f>
        <v>0</v>
      </c>
      <c r="X43" s="68">
        <f>DELIVERIES!X43</f>
        <v>6</v>
      </c>
      <c r="Y43" s="71">
        <f t="shared" ref="Y43:Y52" si="151">W43*X43</f>
        <v>0</v>
      </c>
      <c r="Z43" s="68">
        <f>'22'!D13</f>
        <v>0</v>
      </c>
      <c r="AA43" s="72">
        <f>DELIVERIES!AA43</f>
        <v>6</v>
      </c>
      <c r="AB43" s="71">
        <f t="shared" ref="AB43:AB52" si="152">Z43*AA43</f>
        <v>0</v>
      </c>
      <c r="AC43" s="68">
        <f>'22'!D14</f>
        <v>0</v>
      </c>
      <c r="AD43" s="72">
        <f>DELIVERIES!AD43</f>
        <v>8</v>
      </c>
      <c r="AE43" s="73">
        <f t="shared" ref="AE43:AE52" si="153">AC43*AD43</f>
        <v>0</v>
      </c>
      <c r="AF43" s="72"/>
      <c r="AG43" s="72">
        <f>AG7</f>
        <v>0</v>
      </c>
      <c r="AH43" s="118">
        <f t="shared" ref="AH43:AH52" si="154">AF43*AG43</f>
        <v>0</v>
      </c>
      <c r="AI43" s="74"/>
      <c r="AJ43" s="75"/>
      <c r="AK43" s="71">
        <f t="shared" ref="AK43:AK52" si="155">D43+G43+J43+M43+P43+S43+V43+Y43+AB43+AE43+AH43</f>
        <v>0</v>
      </c>
      <c r="AL43" s="76"/>
      <c r="AM43" s="68">
        <f>'22'!D17</f>
        <v>0</v>
      </c>
      <c r="AN43" s="72">
        <f>DELIVERIES!AQ43</f>
        <v>8.75</v>
      </c>
      <c r="AO43" s="71">
        <f t="shared" ref="AO43:AO52" si="156">AM43*AN43</f>
        <v>0</v>
      </c>
      <c r="AP43" s="68">
        <f>'22'!D18</f>
        <v>0</v>
      </c>
      <c r="AQ43" s="72">
        <f>DELIVERIES!AT43</f>
        <v>12.25</v>
      </c>
      <c r="AR43" s="71">
        <f t="shared" ref="AR43:AR52" si="157">AP43*AQ43</f>
        <v>0</v>
      </c>
      <c r="AS43" s="68">
        <f>'22'!D21</f>
        <v>0</v>
      </c>
      <c r="AT43" s="70">
        <f>DELIVERIES!AW43</f>
        <v>7.791666666666667</v>
      </c>
      <c r="AU43" s="71">
        <f t="shared" ref="AU43:AU52" si="158">AS43*AT43</f>
        <v>0</v>
      </c>
      <c r="AV43" s="68">
        <f>'22'!D22</f>
        <v>0</v>
      </c>
      <c r="AW43" s="70">
        <f>DELIVERIES!AZ43</f>
        <v>9.7916666666666661</v>
      </c>
      <c r="AX43" s="71">
        <f t="shared" ref="AX43:AX52" si="159">AV43*AW43</f>
        <v>0</v>
      </c>
      <c r="AY43" s="68">
        <f>'22'!D26</f>
        <v>0</v>
      </c>
      <c r="AZ43" s="68">
        <f>DELIVERIES!BC43</f>
        <v>16.333333333333332</v>
      </c>
      <c r="BA43" s="69">
        <f t="shared" ref="BA43:BA52" si="160">AY43*AZ43</f>
        <v>0</v>
      </c>
      <c r="BB43" s="68">
        <f>'22'!D27</f>
        <v>0</v>
      </c>
      <c r="BC43" s="68">
        <f>DELIVERIES!BF43</f>
        <v>11.833333333333334</v>
      </c>
      <c r="BD43" s="69">
        <f t="shared" ref="BD43:BD52" si="161">BB43*BC43</f>
        <v>0</v>
      </c>
      <c r="BE43" s="68">
        <f>'22'!D28</f>
        <v>0</v>
      </c>
      <c r="BF43" s="70">
        <f>DELIVERIES!BI43</f>
        <v>20</v>
      </c>
      <c r="BG43" s="71">
        <f t="shared" ref="BG43:BG52" si="162">BE43*BF43</f>
        <v>0</v>
      </c>
      <c r="BH43" s="68">
        <f>'22'!D23</f>
        <v>0</v>
      </c>
      <c r="BI43" s="70">
        <f>DELIVERIES!BL43</f>
        <v>23</v>
      </c>
      <c r="BJ43" s="71">
        <f t="shared" ref="BJ43:BJ52" si="163">BH43*BI43</f>
        <v>0</v>
      </c>
      <c r="BK43" s="68">
        <f>'22'!D25</f>
        <v>0</v>
      </c>
      <c r="BL43" s="72">
        <f>DELIVERIES!BO43</f>
        <v>12.5</v>
      </c>
      <c r="BM43" s="71">
        <f t="shared" ref="BM43:BM52" si="164">BK43*BL43</f>
        <v>0</v>
      </c>
      <c r="BN43" s="68">
        <f>'22'!D24</f>
        <v>0</v>
      </c>
      <c r="BO43" s="68">
        <f>DELIVERIES!BR43</f>
        <v>12.75</v>
      </c>
      <c r="BP43" s="69">
        <f t="shared" ref="BP43:BP52" si="165">BN43*BO43</f>
        <v>0</v>
      </c>
      <c r="BQ43" s="68">
        <f>'22'!D19</f>
        <v>0</v>
      </c>
      <c r="BR43" s="70">
        <f>DELIVERIES!BU43</f>
        <v>30.416666666666668</v>
      </c>
      <c r="BS43" s="77">
        <f t="shared" ref="BS43:BS52" si="166">BQ43*BR43</f>
        <v>0</v>
      </c>
      <c r="BT43" s="68">
        <f>'22'!D20</f>
        <v>0</v>
      </c>
      <c r="BU43" s="70">
        <f>DELIVERIES!BX43</f>
        <v>15.916666666659999</v>
      </c>
      <c r="BV43" s="77">
        <f t="shared" ref="BV43:BV52" si="167">BT43*BU43</f>
        <v>0</v>
      </c>
      <c r="BW43" s="78"/>
      <c r="BX43" s="79"/>
      <c r="BY43" s="69">
        <f t="shared" ref="BY43:BY52" si="168">AO43+AR43+AU43+AX43+BA43+BD43+BG43+BJ43+BM43+BP43+BS43+BV43</f>
        <v>0</v>
      </c>
      <c r="BZ43" s="39"/>
      <c r="CA43" s="71">
        <f t="shared" ref="CA43:CA52" si="169">AK43+BY43</f>
        <v>0</v>
      </c>
      <c r="CB43" s="39"/>
      <c r="CC43" s="39"/>
      <c r="CD43" s="39">
        <f t="shared" ref="CD43:CD52" si="170">CA43-CC43</f>
        <v>0</v>
      </c>
    </row>
    <row r="44" spans="1:82" ht="15.75" customHeight="1">
      <c r="A44" s="56">
        <v>23</v>
      </c>
      <c r="B44" s="68">
        <f>'23'!D29</f>
        <v>0</v>
      </c>
      <c r="C44" s="68">
        <f>DELIVERIES!C44</f>
        <v>30</v>
      </c>
      <c r="D44" s="69">
        <f t="shared" si="144"/>
        <v>0</v>
      </c>
      <c r="E44" s="68">
        <f>'23'!D7</f>
        <v>0</v>
      </c>
      <c r="F44" s="70">
        <f>DELIVERIES!F44</f>
        <v>35</v>
      </c>
      <c r="G44" s="71">
        <f t="shared" si="145"/>
        <v>0</v>
      </c>
      <c r="H44" s="84">
        <f>'23'!D8</f>
        <v>0</v>
      </c>
      <c r="I44" s="70">
        <f>DELIVERIES!I44</f>
        <v>8.5</v>
      </c>
      <c r="J44" s="71">
        <f t="shared" si="146"/>
        <v>0</v>
      </c>
      <c r="K44" s="84">
        <f>'23'!D15</f>
        <v>0</v>
      </c>
      <c r="L44" s="70">
        <f>DELIVERIES!L44</f>
        <v>18</v>
      </c>
      <c r="M44" s="71">
        <f t="shared" si="147"/>
        <v>0</v>
      </c>
      <c r="N44" s="68">
        <f>'23'!D9</f>
        <v>0</v>
      </c>
      <c r="O44" s="70">
        <f>DELIVERIES!O44</f>
        <v>7</v>
      </c>
      <c r="P44" s="71">
        <f t="shared" si="148"/>
        <v>0</v>
      </c>
      <c r="Q44" s="68">
        <f>'23'!D10</f>
        <v>0</v>
      </c>
      <c r="R44" s="72">
        <f>DELIVERIES!R44</f>
        <v>5.5</v>
      </c>
      <c r="S44" s="71">
        <f t="shared" si="149"/>
        <v>0</v>
      </c>
      <c r="T44" s="68">
        <f>'23'!D11</f>
        <v>0</v>
      </c>
      <c r="U44" s="72">
        <f>DELIVERIES!U44</f>
        <v>8.5</v>
      </c>
      <c r="V44" s="71">
        <f t="shared" si="150"/>
        <v>0</v>
      </c>
      <c r="W44" s="68">
        <f>'23'!D12</f>
        <v>0</v>
      </c>
      <c r="X44" s="68">
        <f>DELIVERIES!X44</f>
        <v>6</v>
      </c>
      <c r="Y44" s="71">
        <f t="shared" si="151"/>
        <v>0</v>
      </c>
      <c r="Z44" s="68">
        <f>'23'!D13</f>
        <v>0</v>
      </c>
      <c r="AA44" s="72">
        <f>DELIVERIES!AA44</f>
        <v>6</v>
      </c>
      <c r="AB44" s="71">
        <f t="shared" si="152"/>
        <v>0</v>
      </c>
      <c r="AC44" s="68">
        <f>'23'!D14</f>
        <v>0</v>
      </c>
      <c r="AD44" s="72">
        <f>DELIVERIES!AD44</f>
        <v>8</v>
      </c>
      <c r="AE44" s="73">
        <f t="shared" si="153"/>
        <v>0</v>
      </c>
      <c r="AF44" s="72"/>
      <c r="AG44" s="72">
        <f>AG7</f>
        <v>0</v>
      </c>
      <c r="AH44" s="118">
        <f t="shared" si="154"/>
        <v>0</v>
      </c>
      <c r="AI44" s="74"/>
      <c r="AJ44" s="75"/>
      <c r="AK44" s="71">
        <f t="shared" si="155"/>
        <v>0</v>
      </c>
      <c r="AL44" s="76"/>
      <c r="AM44" s="68">
        <f>'23'!D17</f>
        <v>0</v>
      </c>
      <c r="AN44" s="72">
        <f>DELIVERIES!AQ44</f>
        <v>8.75</v>
      </c>
      <c r="AO44" s="71">
        <f t="shared" si="156"/>
        <v>0</v>
      </c>
      <c r="AP44" s="68">
        <f>'23'!D18</f>
        <v>0</v>
      </c>
      <c r="AQ44" s="72">
        <f>DELIVERIES!AT44</f>
        <v>12.25</v>
      </c>
      <c r="AR44" s="71">
        <f t="shared" si="157"/>
        <v>0</v>
      </c>
      <c r="AS44" s="68">
        <f>'23'!D21</f>
        <v>0</v>
      </c>
      <c r="AT44" s="70">
        <f>DELIVERIES!AW44</f>
        <v>7.791666666666667</v>
      </c>
      <c r="AU44" s="71">
        <f t="shared" si="158"/>
        <v>0</v>
      </c>
      <c r="AV44" s="68">
        <f>'23'!D22</f>
        <v>0</v>
      </c>
      <c r="AW44" s="70">
        <f>DELIVERIES!AZ44</f>
        <v>9.7916666666666661</v>
      </c>
      <c r="AX44" s="71">
        <f t="shared" si="159"/>
        <v>0</v>
      </c>
      <c r="AY44" s="68">
        <f>'23'!D26</f>
        <v>0</v>
      </c>
      <c r="AZ44" s="68">
        <f>DELIVERIES!BC44</f>
        <v>16.333333333333332</v>
      </c>
      <c r="BA44" s="69">
        <f t="shared" si="160"/>
        <v>0</v>
      </c>
      <c r="BB44" s="68">
        <f>'23'!D27</f>
        <v>0</v>
      </c>
      <c r="BC44" s="68">
        <f>DELIVERIES!BF44</f>
        <v>11.833333333333334</v>
      </c>
      <c r="BD44" s="69">
        <f t="shared" si="161"/>
        <v>0</v>
      </c>
      <c r="BE44" s="68">
        <f>'23'!D28</f>
        <v>0</v>
      </c>
      <c r="BF44" s="70">
        <f>DELIVERIES!BI44</f>
        <v>20</v>
      </c>
      <c r="BG44" s="71">
        <f t="shared" si="162"/>
        <v>0</v>
      </c>
      <c r="BH44" s="68">
        <f>'23'!D23</f>
        <v>0</v>
      </c>
      <c r="BI44" s="70">
        <f>DELIVERIES!BL44</f>
        <v>23</v>
      </c>
      <c r="BJ44" s="71">
        <f t="shared" si="163"/>
        <v>0</v>
      </c>
      <c r="BK44" s="68">
        <f>'23'!D25</f>
        <v>0</v>
      </c>
      <c r="BL44" s="72">
        <f>DELIVERIES!BO44</f>
        <v>12.5</v>
      </c>
      <c r="BM44" s="71">
        <f t="shared" si="164"/>
        <v>0</v>
      </c>
      <c r="BN44" s="68">
        <f>'23'!D24</f>
        <v>0</v>
      </c>
      <c r="BO44" s="68">
        <f>DELIVERIES!BR44</f>
        <v>12.75</v>
      </c>
      <c r="BP44" s="69">
        <f t="shared" si="165"/>
        <v>0</v>
      </c>
      <c r="BQ44" s="68">
        <f>'23'!D19</f>
        <v>0</v>
      </c>
      <c r="BR44" s="70">
        <f>DELIVERIES!BU44</f>
        <v>30.416666666666668</v>
      </c>
      <c r="BS44" s="77">
        <f t="shared" si="166"/>
        <v>0</v>
      </c>
      <c r="BT44" s="68">
        <f>'23'!D20</f>
        <v>0</v>
      </c>
      <c r="BU44" s="70">
        <f>DELIVERIES!BX44</f>
        <v>15.916666666659999</v>
      </c>
      <c r="BV44" s="77">
        <f t="shared" si="167"/>
        <v>0</v>
      </c>
      <c r="BW44" s="78"/>
      <c r="BX44" s="79"/>
      <c r="BY44" s="69">
        <f t="shared" si="168"/>
        <v>0</v>
      </c>
      <c r="BZ44" s="39"/>
      <c r="CA44" s="71">
        <f t="shared" si="169"/>
        <v>0</v>
      </c>
      <c r="CB44" s="90"/>
      <c r="CC44" s="39"/>
      <c r="CD44" s="39">
        <f t="shared" si="170"/>
        <v>0</v>
      </c>
    </row>
    <row r="45" spans="1:82" ht="15.75" customHeight="1">
      <c r="A45" s="56">
        <v>24</v>
      </c>
      <c r="B45" s="68">
        <f>'24'!D29</f>
        <v>0</v>
      </c>
      <c r="C45" s="68">
        <f>DELIVERIES!C45</f>
        <v>30</v>
      </c>
      <c r="D45" s="69">
        <f t="shared" si="144"/>
        <v>0</v>
      </c>
      <c r="E45" s="68">
        <f>'24'!D7</f>
        <v>0</v>
      </c>
      <c r="F45" s="70">
        <f>DELIVERIES!F45</f>
        <v>35</v>
      </c>
      <c r="G45" s="71">
        <f t="shared" si="145"/>
        <v>0</v>
      </c>
      <c r="H45" s="84">
        <f>'24'!D8</f>
        <v>0</v>
      </c>
      <c r="I45" s="70">
        <f>DELIVERIES!I45</f>
        <v>8.5</v>
      </c>
      <c r="J45" s="71">
        <f t="shared" si="146"/>
        <v>0</v>
      </c>
      <c r="K45" s="84">
        <f>'24'!D15</f>
        <v>0</v>
      </c>
      <c r="L45" s="70">
        <f>DELIVERIES!L45</f>
        <v>18</v>
      </c>
      <c r="M45" s="71">
        <f t="shared" si="147"/>
        <v>0</v>
      </c>
      <c r="N45" s="68">
        <f>'24'!D9</f>
        <v>0</v>
      </c>
      <c r="O45" s="70">
        <f>DELIVERIES!O45</f>
        <v>7</v>
      </c>
      <c r="P45" s="71">
        <f t="shared" si="148"/>
        <v>0</v>
      </c>
      <c r="Q45" s="68">
        <f>'24'!D10</f>
        <v>0</v>
      </c>
      <c r="R45" s="72">
        <f>DELIVERIES!R45</f>
        <v>5.5</v>
      </c>
      <c r="S45" s="71">
        <f t="shared" si="149"/>
        <v>0</v>
      </c>
      <c r="T45" s="68">
        <f>'24'!D11</f>
        <v>0</v>
      </c>
      <c r="U45" s="72">
        <f>DELIVERIES!U45</f>
        <v>8.5</v>
      </c>
      <c r="V45" s="71">
        <f t="shared" si="150"/>
        <v>0</v>
      </c>
      <c r="W45" s="68">
        <f>'24'!D12</f>
        <v>0</v>
      </c>
      <c r="X45" s="68">
        <f>DELIVERIES!X45</f>
        <v>6</v>
      </c>
      <c r="Y45" s="71">
        <f t="shared" si="151"/>
        <v>0</v>
      </c>
      <c r="Z45" s="68">
        <f>'24'!D13</f>
        <v>0</v>
      </c>
      <c r="AA45" s="72">
        <f>DELIVERIES!AA45</f>
        <v>6</v>
      </c>
      <c r="AB45" s="71">
        <f t="shared" si="152"/>
        <v>0</v>
      </c>
      <c r="AC45" s="68">
        <f>'24'!D14</f>
        <v>0</v>
      </c>
      <c r="AD45" s="72">
        <f>DELIVERIES!AD45</f>
        <v>8</v>
      </c>
      <c r="AE45" s="73">
        <f t="shared" si="153"/>
        <v>0</v>
      </c>
      <c r="AF45" s="72"/>
      <c r="AG45" s="72">
        <f>AG7</f>
        <v>0</v>
      </c>
      <c r="AH45" s="118">
        <f t="shared" si="154"/>
        <v>0</v>
      </c>
      <c r="AI45" s="74"/>
      <c r="AJ45" s="75"/>
      <c r="AK45" s="71">
        <f t="shared" si="155"/>
        <v>0</v>
      </c>
      <c r="AL45" s="76"/>
      <c r="AM45" s="68">
        <f>'24'!D17</f>
        <v>0</v>
      </c>
      <c r="AN45" s="72">
        <f>DELIVERIES!AQ45</f>
        <v>8.75</v>
      </c>
      <c r="AO45" s="71">
        <f t="shared" si="156"/>
        <v>0</v>
      </c>
      <c r="AP45" s="68">
        <f>'24'!D18</f>
        <v>0</v>
      </c>
      <c r="AQ45" s="72">
        <f>DELIVERIES!AT45</f>
        <v>12.25</v>
      </c>
      <c r="AR45" s="71">
        <f t="shared" si="157"/>
        <v>0</v>
      </c>
      <c r="AS45" s="68">
        <f>'24'!D21</f>
        <v>0</v>
      </c>
      <c r="AT45" s="70">
        <f>DELIVERIES!AW45</f>
        <v>7.791666666666667</v>
      </c>
      <c r="AU45" s="71">
        <f t="shared" si="158"/>
        <v>0</v>
      </c>
      <c r="AV45" s="68">
        <f>'24'!D22</f>
        <v>0</v>
      </c>
      <c r="AW45" s="70">
        <f>DELIVERIES!AZ45</f>
        <v>9.7916666666666661</v>
      </c>
      <c r="AX45" s="71">
        <f t="shared" si="159"/>
        <v>0</v>
      </c>
      <c r="AY45" s="68">
        <f>'24'!D26</f>
        <v>0</v>
      </c>
      <c r="AZ45" s="68">
        <f>DELIVERIES!BC45</f>
        <v>16.333333333333332</v>
      </c>
      <c r="BA45" s="69">
        <f t="shared" si="160"/>
        <v>0</v>
      </c>
      <c r="BB45" s="68">
        <f>'24'!D27</f>
        <v>0</v>
      </c>
      <c r="BC45" s="68">
        <f>DELIVERIES!BF45</f>
        <v>11.833333333333334</v>
      </c>
      <c r="BD45" s="69">
        <f t="shared" si="161"/>
        <v>0</v>
      </c>
      <c r="BE45" s="68">
        <f>'24'!D28</f>
        <v>0</v>
      </c>
      <c r="BF45" s="70">
        <f>DELIVERIES!BI45</f>
        <v>20</v>
      </c>
      <c r="BG45" s="71">
        <f t="shared" si="162"/>
        <v>0</v>
      </c>
      <c r="BH45" s="68">
        <f>'24'!D23</f>
        <v>0</v>
      </c>
      <c r="BI45" s="70">
        <f>DELIVERIES!BL45</f>
        <v>23</v>
      </c>
      <c r="BJ45" s="71">
        <f t="shared" si="163"/>
        <v>0</v>
      </c>
      <c r="BK45" s="68">
        <f>'24'!D25</f>
        <v>0</v>
      </c>
      <c r="BL45" s="72">
        <f>DELIVERIES!BO45</f>
        <v>12.5</v>
      </c>
      <c r="BM45" s="71">
        <f t="shared" si="164"/>
        <v>0</v>
      </c>
      <c r="BN45" s="68">
        <f>'24'!D24</f>
        <v>0</v>
      </c>
      <c r="BO45" s="68">
        <f>DELIVERIES!BR45</f>
        <v>12.75</v>
      </c>
      <c r="BP45" s="69">
        <f t="shared" si="165"/>
        <v>0</v>
      </c>
      <c r="BQ45" s="68">
        <f>'24'!D19</f>
        <v>0</v>
      </c>
      <c r="BR45" s="70">
        <f>DELIVERIES!BU45</f>
        <v>30.416666666666668</v>
      </c>
      <c r="BS45" s="77">
        <f t="shared" si="166"/>
        <v>0</v>
      </c>
      <c r="BT45" s="68">
        <f>'24'!D20</f>
        <v>0</v>
      </c>
      <c r="BU45" s="70">
        <f>DELIVERIES!BX45</f>
        <v>15.916666666659999</v>
      </c>
      <c r="BV45" s="77">
        <f t="shared" si="167"/>
        <v>0</v>
      </c>
      <c r="BW45" s="78"/>
      <c r="BX45" s="79"/>
      <c r="BY45" s="69">
        <f t="shared" si="168"/>
        <v>0</v>
      </c>
      <c r="BZ45" s="39"/>
      <c r="CA45" s="71">
        <f t="shared" si="169"/>
        <v>0</v>
      </c>
      <c r="CB45" s="90"/>
      <c r="CC45" s="39"/>
      <c r="CD45" s="39">
        <f t="shared" si="170"/>
        <v>0</v>
      </c>
    </row>
    <row r="46" spans="1:82" ht="15.75" customHeight="1">
      <c r="A46" s="56">
        <v>25</v>
      </c>
      <c r="B46" s="68">
        <f>'25'!D29</f>
        <v>0</v>
      </c>
      <c r="C46" s="68">
        <f>DELIVERIES!C46</f>
        <v>30</v>
      </c>
      <c r="D46" s="69">
        <f t="shared" si="144"/>
        <v>0</v>
      </c>
      <c r="E46" s="68">
        <f>'25'!D7</f>
        <v>0</v>
      </c>
      <c r="F46" s="70">
        <f>DELIVERIES!F46</f>
        <v>35</v>
      </c>
      <c r="G46" s="71">
        <f t="shared" si="145"/>
        <v>0</v>
      </c>
      <c r="H46" s="84">
        <f>'25'!D8</f>
        <v>0</v>
      </c>
      <c r="I46" s="70">
        <f>DELIVERIES!I46</f>
        <v>8.5</v>
      </c>
      <c r="J46" s="71">
        <f t="shared" si="146"/>
        <v>0</v>
      </c>
      <c r="K46" s="84">
        <f>'25'!D15</f>
        <v>0</v>
      </c>
      <c r="L46" s="70">
        <f>DELIVERIES!L46</f>
        <v>18</v>
      </c>
      <c r="M46" s="71">
        <f t="shared" si="147"/>
        <v>0</v>
      </c>
      <c r="N46" s="68">
        <f>'25'!D9</f>
        <v>0</v>
      </c>
      <c r="O46" s="70">
        <f>DELIVERIES!O46</f>
        <v>7</v>
      </c>
      <c r="P46" s="71">
        <f t="shared" si="148"/>
        <v>0</v>
      </c>
      <c r="Q46" s="68">
        <f>'25'!D10</f>
        <v>0</v>
      </c>
      <c r="R46" s="72">
        <f>DELIVERIES!R46</f>
        <v>5.5</v>
      </c>
      <c r="S46" s="71">
        <f t="shared" si="149"/>
        <v>0</v>
      </c>
      <c r="T46" s="68">
        <f>'25'!D11</f>
        <v>0</v>
      </c>
      <c r="U46" s="72">
        <f>DELIVERIES!U46</f>
        <v>8.5</v>
      </c>
      <c r="V46" s="71">
        <f t="shared" si="150"/>
        <v>0</v>
      </c>
      <c r="W46" s="68">
        <f>'25'!D12</f>
        <v>0</v>
      </c>
      <c r="X46" s="68">
        <f>DELIVERIES!X46</f>
        <v>6</v>
      </c>
      <c r="Y46" s="71">
        <f t="shared" si="151"/>
        <v>0</v>
      </c>
      <c r="Z46" s="68">
        <f>'25'!D13</f>
        <v>0</v>
      </c>
      <c r="AA46" s="72">
        <f>DELIVERIES!AA46</f>
        <v>6</v>
      </c>
      <c r="AB46" s="71">
        <f t="shared" si="152"/>
        <v>0</v>
      </c>
      <c r="AC46" s="68">
        <f>'25'!D14</f>
        <v>0</v>
      </c>
      <c r="AD46" s="72">
        <f>DELIVERIES!AD46</f>
        <v>8</v>
      </c>
      <c r="AE46" s="73">
        <f t="shared" si="153"/>
        <v>0</v>
      </c>
      <c r="AF46" s="72"/>
      <c r="AG46" s="72">
        <f>AG7</f>
        <v>0</v>
      </c>
      <c r="AH46" s="118">
        <f t="shared" si="154"/>
        <v>0</v>
      </c>
      <c r="AI46" s="74"/>
      <c r="AJ46" s="75"/>
      <c r="AK46" s="71">
        <f t="shared" si="155"/>
        <v>0</v>
      </c>
      <c r="AL46" s="76"/>
      <c r="AM46" s="68">
        <f>'25'!D17</f>
        <v>0</v>
      </c>
      <c r="AN46" s="72">
        <f>DELIVERIES!AQ46</f>
        <v>8.75</v>
      </c>
      <c r="AO46" s="71">
        <f t="shared" si="156"/>
        <v>0</v>
      </c>
      <c r="AP46" s="68">
        <f>'25'!D18</f>
        <v>0</v>
      </c>
      <c r="AQ46" s="72">
        <f>DELIVERIES!AT46</f>
        <v>12.25</v>
      </c>
      <c r="AR46" s="71">
        <f t="shared" si="157"/>
        <v>0</v>
      </c>
      <c r="AS46" s="68">
        <f>'25'!D21</f>
        <v>0</v>
      </c>
      <c r="AT46" s="70">
        <f>DELIVERIES!AW46</f>
        <v>7.791666666666667</v>
      </c>
      <c r="AU46" s="71">
        <f t="shared" si="158"/>
        <v>0</v>
      </c>
      <c r="AV46" s="68">
        <f>'25'!D22</f>
        <v>0</v>
      </c>
      <c r="AW46" s="70">
        <f>DELIVERIES!AZ46</f>
        <v>9.7916666666666661</v>
      </c>
      <c r="AX46" s="71">
        <f t="shared" si="159"/>
        <v>0</v>
      </c>
      <c r="AY46" s="68">
        <f>'25'!D26</f>
        <v>0</v>
      </c>
      <c r="AZ46" s="68">
        <f>DELIVERIES!BC46</f>
        <v>16.333333333333332</v>
      </c>
      <c r="BA46" s="69">
        <f t="shared" si="160"/>
        <v>0</v>
      </c>
      <c r="BB46" s="68">
        <f>'25'!D27</f>
        <v>0</v>
      </c>
      <c r="BC46" s="68">
        <f>DELIVERIES!BF46</f>
        <v>11.833333333333334</v>
      </c>
      <c r="BD46" s="69">
        <f t="shared" si="161"/>
        <v>0</v>
      </c>
      <c r="BE46" s="68">
        <f>'25'!D28</f>
        <v>0</v>
      </c>
      <c r="BF46" s="70">
        <f>DELIVERIES!BI46</f>
        <v>20</v>
      </c>
      <c r="BG46" s="71">
        <f t="shared" si="162"/>
        <v>0</v>
      </c>
      <c r="BH46" s="68">
        <f>'25'!D23</f>
        <v>0</v>
      </c>
      <c r="BI46" s="70">
        <f>DELIVERIES!BL46</f>
        <v>23</v>
      </c>
      <c r="BJ46" s="71">
        <f t="shared" si="163"/>
        <v>0</v>
      </c>
      <c r="BK46" s="68">
        <f>'25'!D25</f>
        <v>0</v>
      </c>
      <c r="BL46" s="72">
        <f>DELIVERIES!BO46</f>
        <v>12.5</v>
      </c>
      <c r="BM46" s="71">
        <f t="shared" si="164"/>
        <v>0</v>
      </c>
      <c r="BN46" s="68">
        <f>'25'!D24</f>
        <v>0</v>
      </c>
      <c r="BO46" s="68">
        <f>DELIVERIES!BR46</f>
        <v>12.75</v>
      </c>
      <c r="BP46" s="69">
        <f t="shared" si="165"/>
        <v>0</v>
      </c>
      <c r="BQ46" s="68">
        <f>'25'!D19</f>
        <v>0</v>
      </c>
      <c r="BR46" s="70">
        <f>DELIVERIES!BU46</f>
        <v>30.25</v>
      </c>
      <c r="BS46" s="77">
        <f t="shared" si="166"/>
        <v>0</v>
      </c>
      <c r="BT46" s="68">
        <f>'25'!D20</f>
        <v>0</v>
      </c>
      <c r="BU46" s="70">
        <f>DELIVERIES!BX46</f>
        <v>15.916666666659999</v>
      </c>
      <c r="BV46" s="77">
        <f t="shared" si="167"/>
        <v>0</v>
      </c>
      <c r="BW46" s="78"/>
      <c r="BX46" s="79"/>
      <c r="BY46" s="69">
        <f t="shared" si="168"/>
        <v>0</v>
      </c>
      <c r="BZ46" s="39"/>
      <c r="CA46" s="71">
        <f t="shared" si="169"/>
        <v>0</v>
      </c>
      <c r="CB46" s="90"/>
      <c r="CC46" s="39"/>
      <c r="CD46" s="39">
        <f t="shared" si="170"/>
        <v>0</v>
      </c>
    </row>
    <row r="47" spans="1:82" ht="15.75" customHeight="1">
      <c r="A47" s="56">
        <v>26</v>
      </c>
      <c r="B47" s="68">
        <f>'26'!D29</f>
        <v>0</v>
      </c>
      <c r="C47" s="68">
        <f>DELIVERIES!C47</f>
        <v>30</v>
      </c>
      <c r="D47" s="69">
        <f t="shared" si="144"/>
        <v>0</v>
      </c>
      <c r="E47" s="68">
        <f>'26'!D7</f>
        <v>0</v>
      </c>
      <c r="F47" s="70">
        <f>DELIVERIES!F47</f>
        <v>35</v>
      </c>
      <c r="G47" s="71">
        <f t="shared" si="145"/>
        <v>0</v>
      </c>
      <c r="H47" s="84">
        <f>'26'!D8</f>
        <v>0</v>
      </c>
      <c r="I47" s="70">
        <f>DELIVERIES!I47</f>
        <v>8.5</v>
      </c>
      <c r="J47" s="71">
        <f t="shared" si="146"/>
        <v>0</v>
      </c>
      <c r="K47" s="84">
        <f>'26'!D15</f>
        <v>0</v>
      </c>
      <c r="L47" s="70">
        <f>DELIVERIES!L47</f>
        <v>18</v>
      </c>
      <c r="M47" s="71">
        <f t="shared" si="147"/>
        <v>0</v>
      </c>
      <c r="N47" s="68">
        <f>'26'!D9</f>
        <v>0</v>
      </c>
      <c r="O47" s="70">
        <f>DELIVERIES!O47</f>
        <v>7</v>
      </c>
      <c r="P47" s="71">
        <f t="shared" si="148"/>
        <v>0</v>
      </c>
      <c r="Q47" s="68">
        <f>'26'!D10</f>
        <v>0</v>
      </c>
      <c r="R47" s="72">
        <f>DELIVERIES!R47</f>
        <v>5.5</v>
      </c>
      <c r="S47" s="71">
        <f t="shared" si="149"/>
        <v>0</v>
      </c>
      <c r="T47" s="68">
        <f>'26'!D11</f>
        <v>0</v>
      </c>
      <c r="U47" s="72">
        <f>DELIVERIES!U47</f>
        <v>8.5</v>
      </c>
      <c r="V47" s="71">
        <f t="shared" si="150"/>
        <v>0</v>
      </c>
      <c r="W47" s="68">
        <f>'26'!D12</f>
        <v>0</v>
      </c>
      <c r="X47" s="68">
        <f>DELIVERIES!X47</f>
        <v>6</v>
      </c>
      <c r="Y47" s="71">
        <f t="shared" si="151"/>
        <v>0</v>
      </c>
      <c r="Z47" s="68">
        <f>'26'!D13</f>
        <v>0</v>
      </c>
      <c r="AA47" s="72">
        <f>DELIVERIES!AA47</f>
        <v>6</v>
      </c>
      <c r="AB47" s="71">
        <f t="shared" si="152"/>
        <v>0</v>
      </c>
      <c r="AC47" s="68">
        <f>'26'!D14</f>
        <v>0</v>
      </c>
      <c r="AD47" s="72">
        <f>DELIVERIES!AD47</f>
        <v>8</v>
      </c>
      <c r="AE47" s="73">
        <f t="shared" si="153"/>
        <v>0</v>
      </c>
      <c r="AF47" s="72"/>
      <c r="AG47" s="72">
        <f>AG7</f>
        <v>0</v>
      </c>
      <c r="AH47" s="118">
        <f t="shared" si="154"/>
        <v>0</v>
      </c>
      <c r="AI47" s="74"/>
      <c r="AJ47" s="75"/>
      <c r="AK47" s="71">
        <f t="shared" si="155"/>
        <v>0</v>
      </c>
      <c r="AL47" s="76"/>
      <c r="AM47" s="68">
        <f>'26'!D17</f>
        <v>0</v>
      </c>
      <c r="AN47" s="72">
        <f>DELIVERIES!AQ47</f>
        <v>8.75</v>
      </c>
      <c r="AO47" s="71">
        <f t="shared" si="156"/>
        <v>0</v>
      </c>
      <c r="AP47" s="68">
        <f>'26'!D18</f>
        <v>0</v>
      </c>
      <c r="AQ47" s="72">
        <f>DELIVERIES!AT47</f>
        <v>12.25</v>
      </c>
      <c r="AR47" s="71">
        <f t="shared" si="157"/>
        <v>0</v>
      </c>
      <c r="AS47" s="68">
        <f>'26'!D21</f>
        <v>0</v>
      </c>
      <c r="AT47" s="70">
        <f>DELIVERIES!AW47</f>
        <v>7.791666666666667</v>
      </c>
      <c r="AU47" s="71">
        <f t="shared" si="158"/>
        <v>0</v>
      </c>
      <c r="AV47" s="68">
        <f>'26'!D22</f>
        <v>0</v>
      </c>
      <c r="AW47" s="70">
        <f>DELIVERIES!AZ47</f>
        <v>9.7916666666666661</v>
      </c>
      <c r="AX47" s="71">
        <f t="shared" si="159"/>
        <v>0</v>
      </c>
      <c r="AY47" s="68">
        <f>'26'!D26</f>
        <v>0</v>
      </c>
      <c r="AZ47" s="68">
        <f>DELIVERIES!BC47</f>
        <v>16.333333333333332</v>
      </c>
      <c r="BA47" s="69">
        <f t="shared" si="160"/>
        <v>0</v>
      </c>
      <c r="BB47" s="68">
        <f>'26'!D27</f>
        <v>0</v>
      </c>
      <c r="BC47" s="68">
        <f>DELIVERIES!BF47</f>
        <v>11.833333333333334</v>
      </c>
      <c r="BD47" s="69">
        <f t="shared" si="161"/>
        <v>0</v>
      </c>
      <c r="BE47" s="68">
        <f>'26'!D28</f>
        <v>0</v>
      </c>
      <c r="BF47" s="70">
        <f>DELIVERIES!BI47</f>
        <v>20</v>
      </c>
      <c r="BG47" s="71">
        <f t="shared" si="162"/>
        <v>0</v>
      </c>
      <c r="BH47" s="68">
        <f>'26'!D23</f>
        <v>0</v>
      </c>
      <c r="BI47" s="70">
        <f>DELIVERIES!BL47</f>
        <v>23</v>
      </c>
      <c r="BJ47" s="71">
        <f t="shared" si="163"/>
        <v>0</v>
      </c>
      <c r="BK47" s="68">
        <f>'26'!D25</f>
        <v>0</v>
      </c>
      <c r="BL47" s="72">
        <f>DELIVERIES!BO47</f>
        <v>12.5</v>
      </c>
      <c r="BM47" s="71">
        <f t="shared" si="164"/>
        <v>0</v>
      </c>
      <c r="BN47" s="68">
        <f>'26'!D24</f>
        <v>0</v>
      </c>
      <c r="BO47" s="68">
        <f>DELIVERIES!BR47</f>
        <v>12.75</v>
      </c>
      <c r="BP47" s="69">
        <f t="shared" si="165"/>
        <v>0</v>
      </c>
      <c r="BQ47" s="68">
        <f>'26'!D19</f>
        <v>0</v>
      </c>
      <c r="BR47" s="70">
        <f>DELIVERIES!BU47</f>
        <v>30.25</v>
      </c>
      <c r="BS47" s="77">
        <f t="shared" si="166"/>
        <v>0</v>
      </c>
      <c r="BT47" s="68">
        <f>'26'!D20</f>
        <v>0</v>
      </c>
      <c r="BU47" s="70">
        <f>DELIVERIES!BX47</f>
        <v>15.916666666659999</v>
      </c>
      <c r="BV47" s="77">
        <f t="shared" si="167"/>
        <v>0</v>
      </c>
      <c r="BW47" s="78"/>
      <c r="BX47" s="79"/>
      <c r="BY47" s="69">
        <f t="shared" si="168"/>
        <v>0</v>
      </c>
      <c r="BZ47" s="39"/>
      <c r="CA47" s="71">
        <f t="shared" si="169"/>
        <v>0</v>
      </c>
      <c r="CB47" s="90"/>
      <c r="CC47" s="39"/>
      <c r="CD47" s="39">
        <f t="shared" si="170"/>
        <v>0</v>
      </c>
    </row>
    <row r="48" spans="1:82" ht="15.75" customHeight="1">
      <c r="A48" s="56">
        <v>27</v>
      </c>
      <c r="B48" s="68">
        <f>'27'!D29</f>
        <v>0</v>
      </c>
      <c r="C48" s="68">
        <f>DELIVERIES!C48</f>
        <v>30</v>
      </c>
      <c r="D48" s="69">
        <f t="shared" si="144"/>
        <v>0</v>
      </c>
      <c r="E48" s="68">
        <f>'27'!D7</f>
        <v>0</v>
      </c>
      <c r="F48" s="70">
        <f>DELIVERIES!F48</f>
        <v>35</v>
      </c>
      <c r="G48" s="71">
        <f t="shared" si="145"/>
        <v>0</v>
      </c>
      <c r="H48" s="84">
        <f>'27'!D8</f>
        <v>0</v>
      </c>
      <c r="I48" s="70">
        <f>DELIVERIES!I48</f>
        <v>8.5</v>
      </c>
      <c r="J48" s="71">
        <f t="shared" si="146"/>
        <v>0</v>
      </c>
      <c r="K48" s="84">
        <f>'27'!D15</f>
        <v>0</v>
      </c>
      <c r="L48" s="70">
        <f>DELIVERIES!L48</f>
        <v>18</v>
      </c>
      <c r="M48" s="71">
        <f t="shared" si="147"/>
        <v>0</v>
      </c>
      <c r="N48" s="68">
        <f>'27'!D9</f>
        <v>0</v>
      </c>
      <c r="O48" s="70">
        <f>DELIVERIES!O48</f>
        <v>7</v>
      </c>
      <c r="P48" s="71">
        <f t="shared" si="148"/>
        <v>0</v>
      </c>
      <c r="Q48" s="68">
        <f>'27'!D10</f>
        <v>0</v>
      </c>
      <c r="R48" s="72">
        <f>DELIVERIES!R48</f>
        <v>5.5</v>
      </c>
      <c r="S48" s="71">
        <f t="shared" si="149"/>
        <v>0</v>
      </c>
      <c r="T48" s="68">
        <f>'27'!D11</f>
        <v>0</v>
      </c>
      <c r="U48" s="72">
        <f>DELIVERIES!U48</f>
        <v>8.5</v>
      </c>
      <c r="V48" s="71">
        <f t="shared" si="150"/>
        <v>0</v>
      </c>
      <c r="W48" s="68">
        <f>'27'!D12</f>
        <v>0</v>
      </c>
      <c r="X48" s="68">
        <f>DELIVERIES!X48</f>
        <v>6</v>
      </c>
      <c r="Y48" s="71">
        <f t="shared" si="151"/>
        <v>0</v>
      </c>
      <c r="Z48" s="68">
        <f>'27'!D13</f>
        <v>0</v>
      </c>
      <c r="AA48" s="72">
        <f>DELIVERIES!AA48</f>
        <v>6</v>
      </c>
      <c r="AB48" s="71">
        <f t="shared" si="152"/>
        <v>0</v>
      </c>
      <c r="AC48" s="68">
        <f>'27'!D14</f>
        <v>0</v>
      </c>
      <c r="AD48" s="72">
        <f>DELIVERIES!AD48</f>
        <v>8</v>
      </c>
      <c r="AE48" s="73">
        <f t="shared" si="153"/>
        <v>0</v>
      </c>
      <c r="AF48" s="72"/>
      <c r="AG48" s="72">
        <f>AG7</f>
        <v>0</v>
      </c>
      <c r="AH48" s="118">
        <f t="shared" si="154"/>
        <v>0</v>
      </c>
      <c r="AI48" s="119"/>
      <c r="AJ48" s="119"/>
      <c r="AK48" s="71">
        <f t="shared" si="155"/>
        <v>0</v>
      </c>
      <c r="AL48" s="76"/>
      <c r="AM48" s="68">
        <f>'27'!D17</f>
        <v>0</v>
      </c>
      <c r="AN48" s="72">
        <f>DELIVERIES!AQ48</f>
        <v>8.75</v>
      </c>
      <c r="AO48" s="71">
        <f t="shared" si="156"/>
        <v>0</v>
      </c>
      <c r="AP48" s="68">
        <f>'27'!D18</f>
        <v>0</v>
      </c>
      <c r="AQ48" s="72">
        <f>DELIVERIES!AT48</f>
        <v>12.25</v>
      </c>
      <c r="AR48" s="71">
        <f t="shared" si="157"/>
        <v>0</v>
      </c>
      <c r="AS48" s="68">
        <f>'27'!D21</f>
        <v>0</v>
      </c>
      <c r="AT48" s="70">
        <f>DELIVERIES!AW48</f>
        <v>7.791666666666667</v>
      </c>
      <c r="AU48" s="71">
        <f t="shared" si="158"/>
        <v>0</v>
      </c>
      <c r="AV48" s="68">
        <f>'27'!D22</f>
        <v>0</v>
      </c>
      <c r="AW48" s="70">
        <f>DELIVERIES!AZ48</f>
        <v>9.7916666666666661</v>
      </c>
      <c r="AX48" s="71">
        <f t="shared" si="159"/>
        <v>0</v>
      </c>
      <c r="AY48" s="68">
        <f>'27'!D26</f>
        <v>0</v>
      </c>
      <c r="AZ48" s="68">
        <f>DELIVERIES!BC48</f>
        <v>16.333333333333332</v>
      </c>
      <c r="BA48" s="69">
        <f t="shared" si="160"/>
        <v>0</v>
      </c>
      <c r="BB48" s="68">
        <f>'27'!D27</f>
        <v>0</v>
      </c>
      <c r="BC48" s="68">
        <f>DELIVERIES!BF48</f>
        <v>11.833333333333334</v>
      </c>
      <c r="BD48" s="69">
        <f t="shared" si="161"/>
        <v>0</v>
      </c>
      <c r="BE48" s="68">
        <f>'27'!D28</f>
        <v>0</v>
      </c>
      <c r="BF48" s="70">
        <f>DELIVERIES!BI48</f>
        <v>20</v>
      </c>
      <c r="BG48" s="71">
        <f t="shared" si="162"/>
        <v>0</v>
      </c>
      <c r="BH48" s="68">
        <f>'27'!D23</f>
        <v>0</v>
      </c>
      <c r="BI48" s="70">
        <f>DELIVERIES!BL48</f>
        <v>23</v>
      </c>
      <c r="BJ48" s="71">
        <f t="shared" si="163"/>
        <v>0</v>
      </c>
      <c r="BK48" s="68">
        <f>'27'!D25</f>
        <v>0</v>
      </c>
      <c r="BL48" s="72">
        <f>DELIVERIES!BO48</f>
        <v>12.5</v>
      </c>
      <c r="BM48" s="71">
        <f t="shared" si="164"/>
        <v>0</v>
      </c>
      <c r="BN48" s="68">
        <f>'27'!D24</f>
        <v>0</v>
      </c>
      <c r="BO48" s="68">
        <f>DELIVERIES!BR48</f>
        <v>12.75</v>
      </c>
      <c r="BP48" s="69">
        <f t="shared" si="165"/>
        <v>0</v>
      </c>
      <c r="BQ48" s="68">
        <f>'27'!D19</f>
        <v>0</v>
      </c>
      <c r="BR48" s="70">
        <f>DELIVERIES!BU48</f>
        <v>30.25</v>
      </c>
      <c r="BS48" s="77">
        <f t="shared" si="166"/>
        <v>0</v>
      </c>
      <c r="BT48" s="68">
        <f>'27'!D20</f>
        <v>0</v>
      </c>
      <c r="BU48" s="70">
        <f>DELIVERIES!BX48</f>
        <v>15.916666666659999</v>
      </c>
      <c r="BV48" s="77">
        <f t="shared" si="167"/>
        <v>0</v>
      </c>
      <c r="BW48" s="78"/>
      <c r="BX48" s="79"/>
      <c r="BY48" s="69">
        <f t="shared" si="168"/>
        <v>0</v>
      </c>
      <c r="BZ48" s="39"/>
      <c r="CA48" s="71">
        <f t="shared" si="169"/>
        <v>0</v>
      </c>
      <c r="CB48" s="90"/>
      <c r="CC48" s="39"/>
      <c r="CD48" s="39">
        <f t="shared" si="170"/>
        <v>0</v>
      </c>
    </row>
    <row r="49" spans="1:82" ht="15.75" customHeight="1">
      <c r="A49" s="56">
        <v>28</v>
      </c>
      <c r="B49" s="68">
        <f>'28'!D29</f>
        <v>0</v>
      </c>
      <c r="C49" s="68">
        <f>DELIVERIES!C49</f>
        <v>30</v>
      </c>
      <c r="D49" s="69">
        <f t="shared" si="144"/>
        <v>0</v>
      </c>
      <c r="E49" s="68">
        <f>'28'!D7</f>
        <v>0</v>
      </c>
      <c r="F49" s="70">
        <f>DELIVERIES!F49</f>
        <v>35</v>
      </c>
      <c r="G49" s="71">
        <f t="shared" si="145"/>
        <v>0</v>
      </c>
      <c r="H49" s="84">
        <f>'28'!D8</f>
        <v>0</v>
      </c>
      <c r="I49" s="70">
        <f>DELIVERIES!I49</f>
        <v>8.5</v>
      </c>
      <c r="J49" s="71">
        <f t="shared" si="146"/>
        <v>0</v>
      </c>
      <c r="K49" s="84">
        <f>'28'!D15</f>
        <v>0</v>
      </c>
      <c r="L49" s="70">
        <f>DELIVERIES!L49</f>
        <v>18</v>
      </c>
      <c r="M49" s="71">
        <f t="shared" si="147"/>
        <v>0</v>
      </c>
      <c r="N49" s="68">
        <f>'28'!D9</f>
        <v>0</v>
      </c>
      <c r="O49" s="70">
        <f>DELIVERIES!O49</f>
        <v>7</v>
      </c>
      <c r="P49" s="71">
        <f t="shared" si="148"/>
        <v>0</v>
      </c>
      <c r="Q49" s="68">
        <f>'28'!D10</f>
        <v>0</v>
      </c>
      <c r="R49" s="72">
        <f>DELIVERIES!R49</f>
        <v>5.5</v>
      </c>
      <c r="S49" s="71">
        <f t="shared" si="149"/>
        <v>0</v>
      </c>
      <c r="T49" s="68">
        <f>'28'!D11</f>
        <v>0</v>
      </c>
      <c r="U49" s="72">
        <f>DELIVERIES!U49</f>
        <v>8.5</v>
      </c>
      <c r="V49" s="71">
        <f t="shared" si="150"/>
        <v>0</v>
      </c>
      <c r="W49" s="68">
        <f>'28'!D12</f>
        <v>0</v>
      </c>
      <c r="X49" s="68">
        <f>DELIVERIES!X49</f>
        <v>6</v>
      </c>
      <c r="Y49" s="71">
        <f t="shared" si="151"/>
        <v>0</v>
      </c>
      <c r="Z49" s="68">
        <f>'28'!D13</f>
        <v>0</v>
      </c>
      <c r="AA49" s="72">
        <f>DELIVERIES!AA49</f>
        <v>6</v>
      </c>
      <c r="AB49" s="71">
        <f t="shared" si="152"/>
        <v>0</v>
      </c>
      <c r="AC49" s="68">
        <f>'28'!D14</f>
        <v>0</v>
      </c>
      <c r="AD49" s="72">
        <f>DELIVERIES!AD49</f>
        <v>8</v>
      </c>
      <c r="AE49" s="73">
        <f t="shared" si="153"/>
        <v>0</v>
      </c>
      <c r="AF49" s="72"/>
      <c r="AG49" s="72">
        <f>AG7</f>
        <v>0</v>
      </c>
      <c r="AH49" s="118">
        <f t="shared" si="154"/>
        <v>0</v>
      </c>
      <c r="AI49" s="119"/>
      <c r="AJ49" s="119"/>
      <c r="AK49" s="71">
        <f t="shared" si="155"/>
        <v>0</v>
      </c>
      <c r="AL49" s="76"/>
      <c r="AM49" s="68">
        <f>'28'!D17</f>
        <v>0</v>
      </c>
      <c r="AN49" s="72">
        <f>DELIVERIES!AQ49</f>
        <v>8.75</v>
      </c>
      <c r="AO49" s="71">
        <f t="shared" si="156"/>
        <v>0</v>
      </c>
      <c r="AP49" s="68">
        <f>'28'!D18</f>
        <v>0</v>
      </c>
      <c r="AQ49" s="72">
        <f>DELIVERIES!AT49</f>
        <v>12.25</v>
      </c>
      <c r="AR49" s="71">
        <f t="shared" si="157"/>
        <v>0</v>
      </c>
      <c r="AS49" s="68">
        <f>'28'!D21</f>
        <v>0</v>
      </c>
      <c r="AT49" s="70">
        <f>DELIVERIES!AW49</f>
        <v>7.791666666666667</v>
      </c>
      <c r="AU49" s="71">
        <f t="shared" si="158"/>
        <v>0</v>
      </c>
      <c r="AV49" s="68">
        <f>'28'!D22</f>
        <v>0</v>
      </c>
      <c r="AW49" s="70">
        <f>DELIVERIES!AZ49</f>
        <v>9.7916666666666661</v>
      </c>
      <c r="AX49" s="71">
        <f t="shared" si="159"/>
        <v>0</v>
      </c>
      <c r="AY49" s="68">
        <f>'28'!D26</f>
        <v>0</v>
      </c>
      <c r="AZ49" s="68">
        <f>DELIVERIES!BC49</f>
        <v>16.333333333333332</v>
      </c>
      <c r="BA49" s="69">
        <f t="shared" si="160"/>
        <v>0</v>
      </c>
      <c r="BB49" s="68">
        <f>'28'!D27</f>
        <v>0</v>
      </c>
      <c r="BC49" s="68">
        <f>DELIVERIES!BF49</f>
        <v>11.833333333333334</v>
      </c>
      <c r="BD49" s="69">
        <f t="shared" si="161"/>
        <v>0</v>
      </c>
      <c r="BE49" s="68">
        <f>'28'!D28</f>
        <v>0</v>
      </c>
      <c r="BF49" s="70">
        <f>DELIVERIES!BI49</f>
        <v>20</v>
      </c>
      <c r="BG49" s="71">
        <f t="shared" si="162"/>
        <v>0</v>
      </c>
      <c r="BH49" s="68">
        <f>'28'!D23</f>
        <v>0</v>
      </c>
      <c r="BI49" s="70">
        <f>DELIVERIES!BL49</f>
        <v>23</v>
      </c>
      <c r="BJ49" s="71">
        <f t="shared" si="163"/>
        <v>0</v>
      </c>
      <c r="BK49" s="68">
        <f>'28'!D25</f>
        <v>0</v>
      </c>
      <c r="BL49" s="72">
        <f>DELIVERIES!BO49</f>
        <v>12.5</v>
      </c>
      <c r="BM49" s="71">
        <f t="shared" si="164"/>
        <v>0</v>
      </c>
      <c r="BN49" s="68">
        <f>'28'!D24</f>
        <v>0</v>
      </c>
      <c r="BO49" s="68">
        <f>DELIVERIES!BR49</f>
        <v>12.75</v>
      </c>
      <c r="BP49" s="69">
        <f t="shared" si="165"/>
        <v>0</v>
      </c>
      <c r="BQ49" s="68">
        <f>'28'!D19</f>
        <v>0</v>
      </c>
      <c r="BR49" s="70">
        <f>DELIVERIES!BU49</f>
        <v>30.25</v>
      </c>
      <c r="BS49" s="77">
        <f t="shared" si="166"/>
        <v>0</v>
      </c>
      <c r="BT49" s="68">
        <f>'28'!D20</f>
        <v>0</v>
      </c>
      <c r="BU49" s="70">
        <f>DELIVERIES!BX49</f>
        <v>15.916666666659999</v>
      </c>
      <c r="BV49" s="77">
        <f t="shared" si="167"/>
        <v>0</v>
      </c>
      <c r="BW49" s="78"/>
      <c r="BX49" s="79"/>
      <c r="BY49" s="69">
        <f t="shared" si="168"/>
        <v>0</v>
      </c>
      <c r="BZ49" s="39"/>
      <c r="CA49" s="71">
        <f t="shared" si="169"/>
        <v>0</v>
      </c>
      <c r="CB49" s="90"/>
      <c r="CC49" s="39"/>
      <c r="CD49" s="39">
        <f t="shared" si="170"/>
        <v>0</v>
      </c>
    </row>
    <row r="50" spans="1:82" ht="15.75" customHeight="1">
      <c r="A50" s="56">
        <v>29</v>
      </c>
      <c r="B50" s="68">
        <f>'29'!D29</f>
        <v>0</v>
      </c>
      <c r="C50" s="68">
        <f>DELIVERIES!C50</f>
        <v>30</v>
      </c>
      <c r="D50" s="69">
        <f t="shared" si="144"/>
        <v>0</v>
      </c>
      <c r="E50" s="68">
        <f>'29'!D7</f>
        <v>0</v>
      </c>
      <c r="F50" s="70">
        <f>DELIVERIES!F50</f>
        <v>35</v>
      </c>
      <c r="G50" s="71">
        <f t="shared" si="145"/>
        <v>0</v>
      </c>
      <c r="H50" s="84">
        <f>'29'!D8</f>
        <v>0</v>
      </c>
      <c r="I50" s="70">
        <f>DELIVERIES!I50</f>
        <v>8.5</v>
      </c>
      <c r="J50" s="71">
        <f t="shared" si="146"/>
        <v>0</v>
      </c>
      <c r="K50" s="84">
        <f>'29'!D15</f>
        <v>0</v>
      </c>
      <c r="L50" s="70">
        <f>DELIVERIES!L50</f>
        <v>18</v>
      </c>
      <c r="M50" s="71">
        <f t="shared" si="147"/>
        <v>0</v>
      </c>
      <c r="N50" s="68">
        <f>'29'!D9</f>
        <v>0</v>
      </c>
      <c r="O50" s="70">
        <f>DELIVERIES!O50</f>
        <v>7</v>
      </c>
      <c r="P50" s="71">
        <f t="shared" si="148"/>
        <v>0</v>
      </c>
      <c r="Q50" s="68">
        <f>'29'!D10</f>
        <v>0</v>
      </c>
      <c r="R50" s="72">
        <f>DELIVERIES!R50</f>
        <v>5.5</v>
      </c>
      <c r="S50" s="71">
        <f t="shared" si="149"/>
        <v>0</v>
      </c>
      <c r="T50" s="68">
        <f>'29'!D11</f>
        <v>0</v>
      </c>
      <c r="U50" s="72">
        <f>DELIVERIES!U50</f>
        <v>8.5</v>
      </c>
      <c r="V50" s="71">
        <f t="shared" si="150"/>
        <v>0</v>
      </c>
      <c r="W50" s="68">
        <f>'29'!D12</f>
        <v>0</v>
      </c>
      <c r="X50" s="68">
        <f>DELIVERIES!X50</f>
        <v>6</v>
      </c>
      <c r="Y50" s="71">
        <f t="shared" si="151"/>
        <v>0</v>
      </c>
      <c r="Z50" s="68">
        <f>'29'!D13</f>
        <v>0</v>
      </c>
      <c r="AA50" s="72">
        <f>DELIVERIES!AA50</f>
        <v>6</v>
      </c>
      <c r="AB50" s="71">
        <f t="shared" si="152"/>
        <v>0</v>
      </c>
      <c r="AC50" s="68">
        <f>'29'!D14</f>
        <v>0</v>
      </c>
      <c r="AD50" s="72">
        <f>DELIVERIES!AD50</f>
        <v>8</v>
      </c>
      <c r="AE50" s="73">
        <f t="shared" si="153"/>
        <v>0</v>
      </c>
      <c r="AF50" s="72"/>
      <c r="AG50" s="72">
        <f>AG7</f>
        <v>0</v>
      </c>
      <c r="AH50" s="118">
        <f t="shared" si="154"/>
        <v>0</v>
      </c>
      <c r="AI50" s="39"/>
      <c r="AJ50" s="39"/>
      <c r="AK50" s="71">
        <f t="shared" si="155"/>
        <v>0</v>
      </c>
      <c r="AL50" s="76"/>
      <c r="AM50" s="68">
        <f>'29'!D17</f>
        <v>0</v>
      </c>
      <c r="AN50" s="72">
        <f>DELIVERIES!AQ50</f>
        <v>8.75</v>
      </c>
      <c r="AO50" s="71">
        <f t="shared" si="156"/>
        <v>0</v>
      </c>
      <c r="AP50" s="68">
        <f>'29'!D18</f>
        <v>0</v>
      </c>
      <c r="AQ50" s="72">
        <f>DELIVERIES!AT50</f>
        <v>12.25</v>
      </c>
      <c r="AR50" s="71">
        <f t="shared" si="157"/>
        <v>0</v>
      </c>
      <c r="AS50" s="68">
        <f>'29'!D21</f>
        <v>0</v>
      </c>
      <c r="AT50" s="70">
        <f>DELIVERIES!AW50</f>
        <v>7.791666666666667</v>
      </c>
      <c r="AU50" s="71">
        <f t="shared" si="158"/>
        <v>0</v>
      </c>
      <c r="AV50" s="68">
        <f>'29'!D22</f>
        <v>0</v>
      </c>
      <c r="AW50" s="70">
        <f>DELIVERIES!AZ50</f>
        <v>9.7916666666666661</v>
      </c>
      <c r="AX50" s="71">
        <f t="shared" si="159"/>
        <v>0</v>
      </c>
      <c r="AY50" s="68">
        <f>'29'!D26</f>
        <v>0</v>
      </c>
      <c r="AZ50" s="68">
        <f>DELIVERIES!BC50</f>
        <v>16.333333333333332</v>
      </c>
      <c r="BA50" s="69">
        <f t="shared" si="160"/>
        <v>0</v>
      </c>
      <c r="BB50" s="68">
        <f>'29'!D27</f>
        <v>0</v>
      </c>
      <c r="BC50" s="68">
        <f>DELIVERIES!BF50</f>
        <v>11.833333333333334</v>
      </c>
      <c r="BD50" s="69">
        <f t="shared" si="161"/>
        <v>0</v>
      </c>
      <c r="BE50" s="68">
        <f>'29'!D28</f>
        <v>0</v>
      </c>
      <c r="BF50" s="70">
        <f>DELIVERIES!BI50</f>
        <v>20</v>
      </c>
      <c r="BG50" s="71">
        <f t="shared" si="162"/>
        <v>0</v>
      </c>
      <c r="BH50" s="68">
        <f>'29'!D23</f>
        <v>0</v>
      </c>
      <c r="BI50" s="70">
        <f>DELIVERIES!BL50</f>
        <v>23</v>
      </c>
      <c r="BJ50" s="71">
        <f t="shared" si="163"/>
        <v>0</v>
      </c>
      <c r="BK50" s="68">
        <f>'29'!D25</f>
        <v>0</v>
      </c>
      <c r="BL50" s="72">
        <f>DELIVERIES!BO50</f>
        <v>12.5</v>
      </c>
      <c r="BM50" s="71">
        <f t="shared" si="164"/>
        <v>0</v>
      </c>
      <c r="BN50" s="68">
        <f>'29'!D24</f>
        <v>0</v>
      </c>
      <c r="BO50" s="68">
        <f>DELIVERIES!BR50</f>
        <v>12.75</v>
      </c>
      <c r="BP50" s="69">
        <f t="shared" si="165"/>
        <v>0</v>
      </c>
      <c r="BQ50" s="68">
        <f>'29'!D19</f>
        <v>0</v>
      </c>
      <c r="BR50" s="70">
        <f>DELIVERIES!BU50</f>
        <v>30.25</v>
      </c>
      <c r="BS50" s="77">
        <f t="shared" si="166"/>
        <v>0</v>
      </c>
      <c r="BT50" s="68">
        <f>'29'!D20</f>
        <v>0</v>
      </c>
      <c r="BU50" s="70">
        <f>DELIVERIES!BX50</f>
        <v>15.916666666659999</v>
      </c>
      <c r="BV50" s="77">
        <f t="shared" si="167"/>
        <v>0</v>
      </c>
      <c r="BW50" s="78"/>
      <c r="BX50" s="79"/>
      <c r="BY50" s="69">
        <f t="shared" si="168"/>
        <v>0</v>
      </c>
      <c r="BZ50" s="39"/>
      <c r="CA50" s="71">
        <f t="shared" si="169"/>
        <v>0</v>
      </c>
      <c r="CB50" s="90"/>
      <c r="CC50" s="39"/>
      <c r="CD50" s="39">
        <f t="shared" si="170"/>
        <v>0</v>
      </c>
    </row>
    <row r="51" spans="1:82" ht="15.75" customHeight="1">
      <c r="A51" s="56">
        <v>30</v>
      </c>
      <c r="B51" s="68">
        <f>'30'!D29</f>
        <v>0</v>
      </c>
      <c r="C51" s="68">
        <f>DELIVERIES!C51</f>
        <v>30</v>
      </c>
      <c r="D51" s="69">
        <f t="shared" si="144"/>
        <v>0</v>
      </c>
      <c r="E51" s="68">
        <f>'30'!D7</f>
        <v>0</v>
      </c>
      <c r="F51" s="70">
        <f>DELIVERIES!F51</f>
        <v>35</v>
      </c>
      <c r="G51" s="71">
        <f t="shared" si="145"/>
        <v>0</v>
      </c>
      <c r="H51" s="84">
        <f>'30'!D8</f>
        <v>0</v>
      </c>
      <c r="I51" s="70">
        <f>DELIVERIES!I51</f>
        <v>8.5</v>
      </c>
      <c r="J51" s="71">
        <f t="shared" si="146"/>
        <v>0</v>
      </c>
      <c r="K51" s="84">
        <f>'30'!D15</f>
        <v>0</v>
      </c>
      <c r="L51" s="70">
        <f>DELIVERIES!L51</f>
        <v>18</v>
      </c>
      <c r="M51" s="71">
        <f t="shared" si="147"/>
        <v>0</v>
      </c>
      <c r="N51" s="68">
        <f>'30'!D9</f>
        <v>0</v>
      </c>
      <c r="O51" s="70">
        <f>DELIVERIES!O51</f>
        <v>7</v>
      </c>
      <c r="P51" s="71">
        <f t="shared" si="148"/>
        <v>0</v>
      </c>
      <c r="Q51" s="68">
        <f>'30'!D10</f>
        <v>0</v>
      </c>
      <c r="R51" s="72">
        <f>DELIVERIES!R51</f>
        <v>5.5</v>
      </c>
      <c r="S51" s="71">
        <f t="shared" si="149"/>
        <v>0</v>
      </c>
      <c r="T51" s="68">
        <f>'30'!D11</f>
        <v>0</v>
      </c>
      <c r="U51" s="72">
        <f>DELIVERIES!U51</f>
        <v>8.5</v>
      </c>
      <c r="V51" s="71">
        <f t="shared" si="150"/>
        <v>0</v>
      </c>
      <c r="W51" s="68">
        <f>'30'!D12</f>
        <v>0</v>
      </c>
      <c r="X51" s="68">
        <f>DELIVERIES!X51</f>
        <v>6</v>
      </c>
      <c r="Y51" s="71">
        <f t="shared" si="151"/>
        <v>0</v>
      </c>
      <c r="Z51" s="68">
        <f>'30'!D13</f>
        <v>0</v>
      </c>
      <c r="AA51" s="72">
        <f>DELIVERIES!AA51</f>
        <v>6</v>
      </c>
      <c r="AB51" s="71">
        <f t="shared" si="152"/>
        <v>0</v>
      </c>
      <c r="AC51" s="68">
        <f>'30'!D14</f>
        <v>0</v>
      </c>
      <c r="AD51" s="72">
        <f>DELIVERIES!AD51</f>
        <v>8</v>
      </c>
      <c r="AE51" s="73">
        <f t="shared" si="153"/>
        <v>0</v>
      </c>
      <c r="AF51" s="72"/>
      <c r="AG51" s="72">
        <f>AG7</f>
        <v>0</v>
      </c>
      <c r="AH51" s="118">
        <f t="shared" si="154"/>
        <v>0</v>
      </c>
      <c r="AI51" s="119"/>
      <c r="AJ51" s="119"/>
      <c r="AK51" s="71">
        <f t="shared" si="155"/>
        <v>0</v>
      </c>
      <c r="AL51" s="76"/>
      <c r="AM51" s="68">
        <f>'30'!D17</f>
        <v>0</v>
      </c>
      <c r="AN51" s="72">
        <f>DELIVERIES!AQ51</f>
        <v>8.75</v>
      </c>
      <c r="AO51" s="71">
        <f t="shared" si="156"/>
        <v>0</v>
      </c>
      <c r="AP51" s="68">
        <f>'30'!D18</f>
        <v>0</v>
      </c>
      <c r="AQ51" s="72">
        <f>DELIVERIES!AT51</f>
        <v>12.25</v>
      </c>
      <c r="AR51" s="71">
        <f t="shared" si="157"/>
        <v>0</v>
      </c>
      <c r="AS51" s="68">
        <f>'30'!D21</f>
        <v>0</v>
      </c>
      <c r="AT51" s="70">
        <f>DELIVERIES!AW51</f>
        <v>7.791666666666667</v>
      </c>
      <c r="AU51" s="71">
        <f t="shared" si="158"/>
        <v>0</v>
      </c>
      <c r="AV51" s="68">
        <f>'30'!D22</f>
        <v>0</v>
      </c>
      <c r="AW51" s="70">
        <f>DELIVERIES!AZ51</f>
        <v>9.7916666666666661</v>
      </c>
      <c r="AX51" s="71">
        <f t="shared" si="159"/>
        <v>0</v>
      </c>
      <c r="AY51" s="68">
        <f>'30'!D26</f>
        <v>0</v>
      </c>
      <c r="AZ51" s="68">
        <f>DELIVERIES!BC51</f>
        <v>16.333333333333332</v>
      </c>
      <c r="BA51" s="69">
        <f t="shared" si="160"/>
        <v>0</v>
      </c>
      <c r="BB51" s="68">
        <f>'30'!D27</f>
        <v>0</v>
      </c>
      <c r="BC51" s="68">
        <f>DELIVERIES!BF51</f>
        <v>11.833333333333334</v>
      </c>
      <c r="BD51" s="69">
        <f t="shared" si="161"/>
        <v>0</v>
      </c>
      <c r="BE51" s="68">
        <f>'30'!D28</f>
        <v>0</v>
      </c>
      <c r="BF51" s="70">
        <f>DELIVERIES!BI51</f>
        <v>20</v>
      </c>
      <c r="BG51" s="71">
        <f t="shared" si="162"/>
        <v>0</v>
      </c>
      <c r="BH51" s="68">
        <f>'30'!D23</f>
        <v>0</v>
      </c>
      <c r="BI51" s="70">
        <f>DELIVERIES!BL51</f>
        <v>23</v>
      </c>
      <c r="BJ51" s="71">
        <f t="shared" si="163"/>
        <v>0</v>
      </c>
      <c r="BK51" s="68">
        <f>'30'!D25</f>
        <v>0</v>
      </c>
      <c r="BL51" s="72">
        <f>DELIVERIES!BO51</f>
        <v>12.5</v>
      </c>
      <c r="BM51" s="71">
        <f t="shared" si="164"/>
        <v>0</v>
      </c>
      <c r="BN51" s="68">
        <f>'30'!D24</f>
        <v>0</v>
      </c>
      <c r="BO51" s="68">
        <f>DELIVERIES!BR51</f>
        <v>12.75</v>
      </c>
      <c r="BP51" s="69">
        <f t="shared" si="165"/>
        <v>0</v>
      </c>
      <c r="BQ51" s="68">
        <f>'30'!D19</f>
        <v>0</v>
      </c>
      <c r="BR51" s="70">
        <f>DELIVERIES!BU51</f>
        <v>30.25</v>
      </c>
      <c r="BS51" s="77">
        <f t="shared" si="166"/>
        <v>0</v>
      </c>
      <c r="BT51" s="68">
        <f>'30'!D20</f>
        <v>0</v>
      </c>
      <c r="BU51" s="70">
        <f>DELIVERIES!BX51</f>
        <v>15.916666666659999</v>
      </c>
      <c r="BV51" s="77">
        <f t="shared" si="167"/>
        <v>0</v>
      </c>
      <c r="BW51" s="78"/>
      <c r="BX51" s="79"/>
      <c r="BY51" s="69">
        <f t="shared" si="168"/>
        <v>0</v>
      </c>
      <c r="BZ51" s="39"/>
      <c r="CA51" s="71">
        <f t="shared" si="169"/>
        <v>0</v>
      </c>
      <c r="CB51" s="90"/>
      <c r="CC51" s="39"/>
      <c r="CD51" s="39">
        <f t="shared" si="170"/>
        <v>0</v>
      </c>
    </row>
    <row r="52" spans="1:82" ht="15.75" customHeight="1">
      <c r="A52" s="56">
        <v>31</v>
      </c>
      <c r="B52" s="68">
        <f>'31'!D29</f>
        <v>0</v>
      </c>
      <c r="C52" s="68">
        <f>DELIVERIES!C52</f>
        <v>30</v>
      </c>
      <c r="D52" s="69">
        <f t="shared" si="144"/>
        <v>0</v>
      </c>
      <c r="E52" s="68">
        <f>'31'!D7</f>
        <v>0</v>
      </c>
      <c r="F52" s="70">
        <f>DELIVERIES!F52</f>
        <v>35</v>
      </c>
      <c r="G52" s="71">
        <f t="shared" si="145"/>
        <v>0</v>
      </c>
      <c r="H52" s="84">
        <f>'31'!D8</f>
        <v>0</v>
      </c>
      <c r="I52" s="70">
        <f>DELIVERIES!I52</f>
        <v>8.5</v>
      </c>
      <c r="J52" s="71">
        <f t="shared" si="146"/>
        <v>0</v>
      </c>
      <c r="K52" s="84">
        <f>'31'!D15</f>
        <v>0</v>
      </c>
      <c r="L52" s="70">
        <f>DELIVERIES!L52</f>
        <v>18</v>
      </c>
      <c r="M52" s="71">
        <f t="shared" si="147"/>
        <v>0</v>
      </c>
      <c r="N52" s="68">
        <f>'31'!D9</f>
        <v>0</v>
      </c>
      <c r="O52" s="70">
        <f>DELIVERIES!O52</f>
        <v>7</v>
      </c>
      <c r="P52" s="71">
        <f t="shared" si="148"/>
        <v>0</v>
      </c>
      <c r="Q52" s="68">
        <f>'31'!D10</f>
        <v>0</v>
      </c>
      <c r="R52" s="72">
        <f>DELIVERIES!R52</f>
        <v>5.5</v>
      </c>
      <c r="S52" s="71">
        <f t="shared" si="149"/>
        <v>0</v>
      </c>
      <c r="T52" s="68">
        <f>'31'!D11</f>
        <v>0</v>
      </c>
      <c r="U52" s="72">
        <f>DELIVERIES!U52</f>
        <v>8.5</v>
      </c>
      <c r="V52" s="71">
        <f t="shared" si="150"/>
        <v>0</v>
      </c>
      <c r="W52" s="68">
        <f>'31'!D12</f>
        <v>0</v>
      </c>
      <c r="X52" s="68">
        <f>DELIVERIES!X52</f>
        <v>6</v>
      </c>
      <c r="Y52" s="71">
        <f t="shared" si="151"/>
        <v>0</v>
      </c>
      <c r="Z52" s="68">
        <f>'31'!D13</f>
        <v>0</v>
      </c>
      <c r="AA52" s="72">
        <f>DELIVERIES!AA52</f>
        <v>6</v>
      </c>
      <c r="AB52" s="71">
        <f t="shared" si="152"/>
        <v>0</v>
      </c>
      <c r="AC52" s="68">
        <f>'31'!D14</f>
        <v>0</v>
      </c>
      <c r="AD52" s="72">
        <f>DELIVERIES!AD52</f>
        <v>8</v>
      </c>
      <c r="AE52" s="73">
        <f t="shared" si="153"/>
        <v>0</v>
      </c>
      <c r="AF52" s="72"/>
      <c r="AG52" s="72">
        <f>AG7</f>
        <v>0</v>
      </c>
      <c r="AH52" s="118">
        <f t="shared" si="154"/>
        <v>0</v>
      </c>
      <c r="AI52" s="119"/>
      <c r="AJ52" s="119"/>
      <c r="AK52" s="71">
        <f t="shared" si="155"/>
        <v>0</v>
      </c>
      <c r="AL52" s="76"/>
      <c r="AM52" s="68">
        <f>'31'!D17</f>
        <v>0</v>
      </c>
      <c r="AN52" s="72">
        <f>DELIVERIES!AQ52</f>
        <v>8.75</v>
      </c>
      <c r="AO52" s="71">
        <f t="shared" si="156"/>
        <v>0</v>
      </c>
      <c r="AP52" s="68">
        <f>'31'!D18</f>
        <v>0</v>
      </c>
      <c r="AQ52" s="72">
        <f>DELIVERIES!AT52</f>
        <v>12.25</v>
      </c>
      <c r="AR52" s="71">
        <f t="shared" si="157"/>
        <v>0</v>
      </c>
      <c r="AS52" s="68">
        <f>'31'!D21</f>
        <v>0</v>
      </c>
      <c r="AT52" s="70">
        <f>DELIVERIES!AW52</f>
        <v>7.791666666666667</v>
      </c>
      <c r="AU52" s="71">
        <f t="shared" si="158"/>
        <v>0</v>
      </c>
      <c r="AV52" s="68">
        <f>'31'!D22</f>
        <v>0</v>
      </c>
      <c r="AW52" s="70">
        <f>DELIVERIES!AZ52</f>
        <v>9.7916666666666661</v>
      </c>
      <c r="AX52" s="71">
        <f t="shared" si="159"/>
        <v>0</v>
      </c>
      <c r="AY52" s="68">
        <f>'31'!D26</f>
        <v>0</v>
      </c>
      <c r="AZ52" s="68">
        <f>DELIVERIES!BC52</f>
        <v>16.333333333333332</v>
      </c>
      <c r="BA52" s="69">
        <f t="shared" si="160"/>
        <v>0</v>
      </c>
      <c r="BB52" s="68">
        <f>'31'!D27</f>
        <v>0</v>
      </c>
      <c r="BC52" s="68">
        <f>DELIVERIES!BF52</f>
        <v>11.833333333333334</v>
      </c>
      <c r="BD52" s="69">
        <f t="shared" si="161"/>
        <v>0</v>
      </c>
      <c r="BE52" s="68">
        <f>'31'!D28</f>
        <v>0</v>
      </c>
      <c r="BF52" s="70">
        <f>DELIVERIES!BI52</f>
        <v>20</v>
      </c>
      <c r="BG52" s="71">
        <f t="shared" si="162"/>
        <v>0</v>
      </c>
      <c r="BH52" s="68">
        <f>'31'!D23</f>
        <v>0</v>
      </c>
      <c r="BI52" s="70">
        <f>DELIVERIES!BL52</f>
        <v>23</v>
      </c>
      <c r="BJ52" s="71">
        <f t="shared" si="163"/>
        <v>0</v>
      </c>
      <c r="BK52" s="68">
        <f>'31'!D25</f>
        <v>0</v>
      </c>
      <c r="BL52" s="72">
        <f>DELIVERIES!BO52</f>
        <v>12.5</v>
      </c>
      <c r="BM52" s="71">
        <f t="shared" si="164"/>
        <v>0</v>
      </c>
      <c r="BN52" s="68">
        <f>'31'!D24</f>
        <v>0</v>
      </c>
      <c r="BO52" s="68">
        <f>DELIVERIES!BR52</f>
        <v>12.75</v>
      </c>
      <c r="BP52" s="69">
        <f t="shared" si="165"/>
        <v>0</v>
      </c>
      <c r="BQ52" s="68">
        <f>'31'!D19</f>
        <v>0</v>
      </c>
      <c r="BR52" s="70">
        <f>DELIVERIES!BU52</f>
        <v>30.25</v>
      </c>
      <c r="BS52" s="77">
        <f t="shared" si="166"/>
        <v>0</v>
      </c>
      <c r="BT52" s="68">
        <f>'31'!D20</f>
        <v>0</v>
      </c>
      <c r="BU52" s="70">
        <f>DELIVERIES!BX52</f>
        <v>15.916666666659999</v>
      </c>
      <c r="BV52" s="77">
        <f t="shared" si="167"/>
        <v>0</v>
      </c>
      <c r="BW52" s="39"/>
      <c r="BX52" s="39"/>
      <c r="BY52" s="69">
        <f t="shared" si="168"/>
        <v>0</v>
      </c>
      <c r="BZ52" s="39"/>
      <c r="CA52" s="71">
        <f t="shared" si="169"/>
        <v>0</v>
      </c>
      <c r="CB52" s="90"/>
      <c r="CC52" s="39"/>
      <c r="CD52" s="39">
        <f t="shared" si="170"/>
        <v>0</v>
      </c>
    </row>
    <row r="53" spans="1:82" ht="15.75" customHeight="1">
      <c r="A53" s="129" t="s">
        <v>23</v>
      </c>
      <c r="B53" s="68">
        <f>SUM(B43:B52)</f>
        <v>0</v>
      </c>
      <c r="C53" s="68"/>
      <c r="D53" s="130">
        <f t="shared" ref="D53:E53" si="171">SUM(D43:D52)</f>
        <v>0</v>
      </c>
      <c r="E53" s="70">
        <f t="shared" si="171"/>
        <v>0</v>
      </c>
      <c r="F53" s="70"/>
      <c r="G53" s="131">
        <f t="shared" ref="G53:H53" si="172">SUM(G43:G52)</f>
        <v>0</v>
      </c>
      <c r="H53" s="72">
        <f t="shared" si="172"/>
        <v>0</v>
      </c>
      <c r="I53" s="70"/>
      <c r="J53" s="131">
        <f t="shared" ref="J53:K53" si="173">SUM(J43:J52)</f>
        <v>0</v>
      </c>
      <c r="K53" s="70">
        <f t="shared" si="173"/>
        <v>0</v>
      </c>
      <c r="L53" s="70"/>
      <c r="M53" s="131">
        <f t="shared" ref="M53:N53" si="174">SUM(M43:M52)</f>
        <v>0</v>
      </c>
      <c r="N53" s="70">
        <f t="shared" si="174"/>
        <v>0</v>
      </c>
      <c r="O53" s="70"/>
      <c r="P53" s="131">
        <f t="shared" ref="P53:Q53" si="175">SUM(P43:P52)</f>
        <v>0</v>
      </c>
      <c r="Q53" s="70">
        <f t="shared" si="175"/>
        <v>0</v>
      </c>
      <c r="R53" s="70"/>
      <c r="S53" s="131">
        <f t="shared" ref="S53:T53" si="176">SUM(S43:S52)</f>
        <v>0</v>
      </c>
      <c r="T53" s="70">
        <f t="shared" si="176"/>
        <v>0</v>
      </c>
      <c r="U53" s="70"/>
      <c r="V53" s="131">
        <f t="shared" ref="V53:W53" si="177">SUM(V43:V52)</f>
        <v>0</v>
      </c>
      <c r="W53" s="70">
        <f t="shared" si="177"/>
        <v>0</v>
      </c>
      <c r="X53" s="70"/>
      <c r="Y53" s="131">
        <f t="shared" ref="Y53:Z53" si="178">SUM(Y43:Y52)</f>
        <v>0</v>
      </c>
      <c r="Z53" s="70">
        <f t="shared" si="178"/>
        <v>0</v>
      </c>
      <c r="AA53" s="70"/>
      <c r="AB53" s="132">
        <f t="shared" ref="AB53:AC53" si="179">SUM(AB43:AB52)</f>
        <v>0</v>
      </c>
      <c r="AC53" s="70">
        <f t="shared" si="179"/>
        <v>0</v>
      </c>
      <c r="AD53" s="70"/>
      <c r="AE53" s="132">
        <f t="shared" ref="AE53:AF53" si="180">SUM(AE43:AE52)</f>
        <v>0</v>
      </c>
      <c r="AF53" s="70">
        <f t="shared" si="180"/>
        <v>0</v>
      </c>
      <c r="AG53" s="70"/>
      <c r="AH53" s="131">
        <f>SUM(AH43:AH52)</f>
        <v>0</v>
      </c>
      <c r="AI53" s="39"/>
      <c r="AJ53" s="39"/>
      <c r="AK53" s="131">
        <f>SUM(AK43:AK52)</f>
        <v>0</v>
      </c>
      <c r="AL53" s="76"/>
      <c r="AM53" s="68">
        <f>SUM(AM43:AM52)</f>
        <v>0</v>
      </c>
      <c r="AN53" s="70"/>
      <c r="AO53" s="131">
        <f t="shared" ref="AO53:AP53" si="181">SUM(AO43:AO52)</f>
        <v>0</v>
      </c>
      <c r="AP53" s="70">
        <f t="shared" si="181"/>
        <v>0</v>
      </c>
      <c r="AQ53" s="70"/>
      <c r="AR53" s="131">
        <f t="shared" ref="AR53:AS53" si="182">SUM(AR43:AR52)</f>
        <v>0</v>
      </c>
      <c r="AS53" s="70">
        <f t="shared" si="182"/>
        <v>0</v>
      </c>
      <c r="AT53" s="70"/>
      <c r="AU53" s="131">
        <f t="shared" ref="AU53:AV53" si="183">SUM(AU43:AU52)</f>
        <v>0</v>
      </c>
      <c r="AV53" s="72">
        <f t="shared" si="183"/>
        <v>0</v>
      </c>
      <c r="AW53" s="70"/>
      <c r="AX53" s="131">
        <f t="shared" ref="AX53:AY53" si="184">SUM(AX43:AX52)</f>
        <v>0</v>
      </c>
      <c r="AY53" s="70">
        <f t="shared" si="184"/>
        <v>0</v>
      </c>
      <c r="AZ53" s="70"/>
      <c r="BA53" s="131">
        <f t="shared" ref="BA53:BB53" si="185">SUM(BA43:BA52)</f>
        <v>0</v>
      </c>
      <c r="BB53" s="70">
        <f t="shared" si="185"/>
        <v>0</v>
      </c>
      <c r="BC53" s="70"/>
      <c r="BD53" s="131">
        <f t="shared" ref="BD53:BE53" si="186">SUM(BD43:BD52)</f>
        <v>0</v>
      </c>
      <c r="BE53" s="70">
        <f t="shared" si="186"/>
        <v>0</v>
      </c>
      <c r="BF53" s="70"/>
      <c r="BG53" s="131">
        <f t="shared" ref="BG53:BH53" si="187">SUM(BG43:BG52)</f>
        <v>0</v>
      </c>
      <c r="BH53" s="70">
        <f t="shared" si="187"/>
        <v>0</v>
      </c>
      <c r="BI53" s="70"/>
      <c r="BJ53" s="131">
        <f t="shared" ref="BJ53:BK53" si="188">SUM(BJ43:BJ52)</f>
        <v>0</v>
      </c>
      <c r="BK53" s="72">
        <f t="shared" si="188"/>
        <v>0</v>
      </c>
      <c r="BL53" s="70"/>
      <c r="BM53" s="131">
        <f t="shared" ref="BM53:BN53" si="189">SUM(BM43:BM52)</f>
        <v>0</v>
      </c>
      <c r="BN53" s="70">
        <f t="shared" si="189"/>
        <v>0</v>
      </c>
      <c r="BO53" s="68"/>
      <c r="BP53" s="131">
        <f t="shared" ref="BP53:BQ53" si="190">SUM(BP43:BP52)</f>
        <v>0</v>
      </c>
      <c r="BQ53" s="70">
        <f t="shared" si="190"/>
        <v>0</v>
      </c>
      <c r="BR53" s="70"/>
      <c r="BS53" s="132">
        <f t="shared" ref="BS53:BT53" si="191">SUM(BS43:BS52)</f>
        <v>0</v>
      </c>
      <c r="BT53" s="70">
        <f t="shared" si="191"/>
        <v>0</v>
      </c>
      <c r="BU53" s="70"/>
      <c r="BV53" s="132">
        <f>SUM(BV43:BV52)</f>
        <v>0</v>
      </c>
      <c r="BW53" s="39"/>
      <c r="BX53" s="39"/>
      <c r="BY53" s="130">
        <f>SUM(BY43:BY52)</f>
        <v>0</v>
      </c>
      <c r="BZ53" s="39"/>
      <c r="CA53" s="131">
        <f>SUM(CA43:CA52)</f>
        <v>0</v>
      </c>
      <c r="CB53" s="78"/>
      <c r="CC53" s="39"/>
      <c r="CD53" s="134">
        <f>SUM(CD43:CD52)</f>
        <v>0</v>
      </c>
    </row>
    <row r="54" spans="1:82" ht="3.75" customHeight="1">
      <c r="A54" s="135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</row>
    <row r="55" spans="1:82" ht="15.75" customHeight="1">
      <c r="A55" s="183" t="s">
        <v>23</v>
      </c>
      <c r="B55" s="184">
        <f>B14+B26+B38+B53</f>
        <v>0</v>
      </c>
      <c r="C55" s="185"/>
      <c r="D55" s="186">
        <f t="shared" ref="D55:E55" si="192">D14+D26+D38+D53</f>
        <v>0</v>
      </c>
      <c r="E55" s="187">
        <f t="shared" si="192"/>
        <v>0</v>
      </c>
      <c r="F55" s="6"/>
      <c r="G55" s="188">
        <f t="shared" ref="G55:H55" si="193">G14+G26+G38+G53</f>
        <v>0</v>
      </c>
      <c r="H55" s="187">
        <f t="shared" si="193"/>
        <v>0</v>
      </c>
      <c r="I55" s="6"/>
      <c r="J55" s="188">
        <f t="shared" ref="J55:K55" si="194">J14+J26+J38+J53</f>
        <v>0</v>
      </c>
      <c r="K55" s="187">
        <f t="shared" si="194"/>
        <v>0</v>
      </c>
      <c r="L55" s="6"/>
      <c r="M55" s="188">
        <f t="shared" ref="M55:N55" si="195">M14+M26+M38+M53</f>
        <v>0</v>
      </c>
      <c r="N55" s="187">
        <f t="shared" si="195"/>
        <v>0</v>
      </c>
      <c r="O55" s="6"/>
      <c r="P55" s="188">
        <f t="shared" ref="P55:Q55" si="196">P14+P26+P38+P53</f>
        <v>0</v>
      </c>
      <c r="Q55" s="187">
        <f t="shared" si="196"/>
        <v>0</v>
      </c>
      <c r="R55" s="6"/>
      <c r="S55" s="188">
        <f t="shared" ref="S55:T55" si="197">S14+S26+S38+S53</f>
        <v>0</v>
      </c>
      <c r="T55" s="187">
        <f t="shared" si="197"/>
        <v>0</v>
      </c>
      <c r="U55" s="6"/>
      <c r="V55" s="188">
        <f t="shared" ref="V55:W55" si="198">V14+V26+V38+V53</f>
        <v>0</v>
      </c>
      <c r="W55" s="187">
        <f t="shared" si="198"/>
        <v>0</v>
      </c>
      <c r="X55" s="6"/>
      <c r="Y55" s="188">
        <f t="shared" ref="Y55:Z55" si="199">Y14+Y26+Y38+Y53</f>
        <v>0</v>
      </c>
      <c r="Z55" s="187">
        <f t="shared" si="199"/>
        <v>0</v>
      </c>
      <c r="AA55" s="6"/>
      <c r="AB55" s="188">
        <f t="shared" ref="AB55:AC55" si="200">AB14+AB26+AB38+AB53</f>
        <v>0</v>
      </c>
      <c r="AC55" s="187">
        <f t="shared" si="200"/>
        <v>0</v>
      </c>
      <c r="AD55" s="6"/>
      <c r="AE55" s="188">
        <f t="shared" ref="AE55:AF55" si="201">AE14+AE26+AE38+AE53</f>
        <v>0</v>
      </c>
      <c r="AF55" s="187">
        <f t="shared" si="201"/>
        <v>0</v>
      </c>
      <c r="AG55" s="6"/>
      <c r="AH55" s="188">
        <f>AH14+AH26+AH38+AH53</f>
        <v>0</v>
      </c>
      <c r="AI55" s="6"/>
      <c r="AJ55" s="6"/>
      <c r="AK55" s="188">
        <f>AK14+AK26+AK38+AK53</f>
        <v>0</v>
      </c>
      <c r="AL55" s="6"/>
      <c r="AM55" s="6">
        <f>AM14+AM26+AM38+AM53</f>
        <v>0</v>
      </c>
      <c r="AN55" s="6"/>
      <c r="AO55" s="187">
        <f t="shared" ref="AO55:AP55" si="202">AO14+AO26+AO38+AO53</f>
        <v>0</v>
      </c>
      <c r="AP55" s="6">
        <f t="shared" si="202"/>
        <v>0</v>
      </c>
      <c r="AQ55" s="6"/>
      <c r="AR55" s="189">
        <f t="shared" ref="AR55:AS55" si="203">AR14+AR26+AR38+AR53</f>
        <v>0</v>
      </c>
      <c r="AS55" s="187">
        <f t="shared" si="203"/>
        <v>0</v>
      </c>
      <c r="AT55" s="6"/>
      <c r="AU55" s="188">
        <f t="shared" ref="AU55:AV55" si="204">AU14+AU26+AU38+AU53</f>
        <v>0</v>
      </c>
      <c r="AV55" s="187">
        <f t="shared" si="204"/>
        <v>0</v>
      </c>
      <c r="AW55" s="6"/>
      <c r="AX55" s="188">
        <f t="shared" ref="AX55:AY55" si="205">AX14+AX26+AX38+AX53</f>
        <v>0</v>
      </c>
      <c r="AY55" s="187">
        <f t="shared" si="205"/>
        <v>0</v>
      </c>
      <c r="AZ55" s="6"/>
      <c r="BA55" s="188">
        <f t="shared" ref="BA55:BB55" si="206">BA14+BA26+BA38+BA53</f>
        <v>0</v>
      </c>
      <c r="BB55" s="187">
        <f t="shared" si="206"/>
        <v>0</v>
      </c>
      <c r="BC55" s="6"/>
      <c r="BD55" s="188">
        <f t="shared" ref="BD55:BE55" si="207">BD14+BD26+BD38+BD53</f>
        <v>0</v>
      </c>
      <c r="BE55" s="187">
        <f t="shared" si="207"/>
        <v>0</v>
      </c>
      <c r="BF55" s="6"/>
      <c r="BG55" s="188">
        <f t="shared" ref="BG55:BH55" si="208">BG14+BG26+BG38+BG53</f>
        <v>0</v>
      </c>
      <c r="BH55" s="187">
        <f t="shared" si="208"/>
        <v>0</v>
      </c>
      <c r="BI55" s="6"/>
      <c r="BJ55" s="188">
        <f t="shared" ref="BJ55:BK55" si="209">BJ14+BJ26+BJ38+BJ53</f>
        <v>0</v>
      </c>
      <c r="BK55" s="187">
        <f t="shared" si="209"/>
        <v>0</v>
      </c>
      <c r="BL55" s="6"/>
      <c r="BM55" s="188">
        <f t="shared" ref="BM55:BN55" si="210">BM14+BM26+BM38+BM53</f>
        <v>0</v>
      </c>
      <c r="BN55" s="187">
        <f t="shared" si="210"/>
        <v>0</v>
      </c>
      <c r="BO55" s="6"/>
      <c r="BP55" s="188">
        <f t="shared" ref="BP55:BQ55" si="211">BP14+BP26+BP38+BP53</f>
        <v>0</v>
      </c>
      <c r="BQ55" s="187">
        <f t="shared" si="211"/>
        <v>0</v>
      </c>
      <c r="BR55" s="6"/>
      <c r="BS55" s="188">
        <f t="shared" ref="BS55:BT55" si="212">BS14+BS26+BS38+BS53</f>
        <v>0</v>
      </c>
      <c r="BT55" s="187">
        <f t="shared" si="212"/>
        <v>0</v>
      </c>
      <c r="BU55" s="6"/>
      <c r="BV55" s="188">
        <f>BV14+BV26+BV38+BV53</f>
        <v>0</v>
      </c>
      <c r="BW55" s="6"/>
      <c r="BX55" s="6"/>
      <c r="BY55" s="188">
        <f>BY14+BY26+BY38+BY53</f>
        <v>0</v>
      </c>
      <c r="BZ55" s="6"/>
      <c r="CA55" s="190">
        <f>CA14+CA26+CA38+CA53</f>
        <v>0</v>
      </c>
      <c r="CB55" s="6">
        <f>CA55/30</f>
        <v>0</v>
      </c>
      <c r="CC55" s="6"/>
      <c r="CD55" s="6"/>
    </row>
    <row r="56" spans="1:82" ht="15.75" customHeight="1">
      <c r="A56" s="135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</row>
    <row r="57" spans="1:82" ht="15.75" customHeight="1">
      <c r="A57" s="135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</row>
    <row r="58" spans="1:82" ht="15.75" customHeight="1">
      <c r="A58" s="135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</row>
    <row r="59" spans="1:82" ht="15.75" customHeight="1">
      <c r="A59" s="135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</row>
    <row r="60" spans="1:82" ht="15.75" customHeight="1">
      <c r="A60" s="135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</row>
    <row r="61" spans="1:82" ht="15.75" customHeight="1">
      <c r="A61" s="135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</row>
    <row r="62" spans="1:82" ht="15.75" customHeight="1">
      <c r="A62" s="135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</row>
    <row r="63" spans="1:82" ht="15.75" customHeight="1">
      <c r="A63" s="135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</row>
    <row r="64" spans="1:82" ht="15.75" customHeight="1">
      <c r="A64" s="135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</row>
    <row r="65" spans="1:82" ht="15.75" customHeight="1">
      <c r="A65" s="135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</row>
    <row r="66" spans="1:82" ht="15.75" customHeight="1">
      <c r="A66" s="135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</row>
    <row r="67" spans="1:82" ht="15.75" customHeight="1">
      <c r="A67" s="135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</row>
    <row r="68" spans="1:82" ht="15.75" customHeight="1">
      <c r="A68" s="135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</row>
    <row r="69" spans="1:82" ht="15.75" customHeight="1">
      <c r="A69" s="135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</row>
    <row r="70" spans="1:82" ht="15.75" customHeight="1">
      <c r="A70" s="135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</row>
    <row r="71" spans="1:82" ht="15.75" customHeight="1">
      <c r="A71" s="135"/>
      <c r="BQ71" s="3"/>
    </row>
    <row r="72" spans="1:82" ht="15.75" customHeight="1">
      <c r="A72" s="135"/>
      <c r="BQ72" s="3"/>
    </row>
    <row r="73" spans="1:82" ht="15.75" customHeight="1">
      <c r="A73" s="135"/>
      <c r="BQ73" s="3"/>
    </row>
    <row r="74" spans="1:82" ht="15.75" customHeight="1">
      <c r="A74" s="135"/>
      <c r="BQ74" s="3"/>
    </row>
    <row r="75" spans="1:82" ht="15.75" customHeight="1">
      <c r="A75" s="135"/>
      <c r="BQ75" s="3"/>
    </row>
    <row r="76" spans="1:82" ht="15.75" customHeight="1">
      <c r="A76" s="135"/>
      <c r="BQ76" s="3"/>
    </row>
    <row r="77" spans="1:82" ht="15.75" customHeight="1">
      <c r="A77" s="135"/>
      <c r="BQ77" s="3"/>
    </row>
    <row r="78" spans="1:82" ht="15.75" customHeight="1">
      <c r="A78" s="135"/>
      <c r="BQ78" s="3"/>
    </row>
    <row r="79" spans="1:82" ht="15.75" customHeight="1">
      <c r="A79" s="135"/>
      <c r="BQ79" s="3"/>
    </row>
    <row r="80" spans="1:82" ht="15.75" customHeight="1">
      <c r="A80" s="135"/>
      <c r="BQ80" s="3"/>
    </row>
    <row r="81" spans="1:69" ht="15.75" customHeight="1">
      <c r="A81" s="135"/>
      <c r="BQ81" s="3"/>
    </row>
    <row r="82" spans="1:69" ht="15.75" customHeight="1">
      <c r="A82" s="135"/>
      <c r="BQ82" s="3"/>
    </row>
    <row r="83" spans="1:69" ht="15.75" customHeight="1">
      <c r="A83" s="135"/>
      <c r="BQ83" s="3"/>
    </row>
    <row r="84" spans="1:69" ht="15.75" customHeight="1">
      <c r="A84" s="135"/>
      <c r="BQ84" s="3"/>
    </row>
    <row r="85" spans="1:69" ht="15.75" customHeight="1">
      <c r="A85" s="135"/>
      <c r="BQ85" s="3"/>
    </row>
    <row r="86" spans="1:69" ht="15.75" customHeight="1">
      <c r="A86" s="135"/>
      <c r="BQ86" s="3"/>
    </row>
    <row r="87" spans="1:69" ht="15.75" customHeight="1">
      <c r="A87" s="135"/>
      <c r="BQ87" s="3"/>
    </row>
    <row r="88" spans="1:69" ht="15.75" customHeight="1">
      <c r="A88" s="135"/>
      <c r="BQ88" s="3"/>
    </row>
    <row r="89" spans="1:69" ht="15.75" customHeight="1">
      <c r="A89" s="135"/>
      <c r="BQ89" s="3"/>
    </row>
    <row r="90" spans="1:69" ht="15.75" customHeight="1">
      <c r="A90" s="135"/>
      <c r="BQ90" s="3"/>
    </row>
    <row r="91" spans="1:69" ht="15.75" customHeight="1">
      <c r="A91" s="135"/>
      <c r="BQ91" s="3"/>
    </row>
    <row r="92" spans="1:69" ht="15.75" customHeight="1">
      <c r="A92" s="135"/>
      <c r="BQ92" s="3"/>
    </row>
    <row r="93" spans="1:69" ht="15.75" customHeight="1">
      <c r="A93" s="135"/>
      <c r="BQ93" s="3"/>
    </row>
    <row r="94" spans="1:69" ht="15.75" customHeight="1">
      <c r="A94" s="135"/>
      <c r="BQ94" s="3"/>
    </row>
    <row r="95" spans="1:69" ht="15.75" customHeight="1">
      <c r="A95" s="135"/>
      <c r="BQ95" s="3"/>
    </row>
    <row r="96" spans="1:69" ht="15.75" customHeight="1">
      <c r="A96" s="135"/>
      <c r="BQ96" s="3"/>
    </row>
    <row r="97" spans="1:69" ht="15.75" customHeight="1">
      <c r="A97" s="135"/>
      <c r="BQ97" s="3"/>
    </row>
    <row r="98" spans="1:69" ht="15.75" customHeight="1">
      <c r="A98" s="135"/>
      <c r="BQ98" s="3"/>
    </row>
    <row r="99" spans="1:69" ht="15.75" customHeight="1">
      <c r="A99" s="135"/>
      <c r="BQ99" s="3"/>
    </row>
    <row r="100" spans="1:69" ht="15.75" customHeight="1">
      <c r="A100" s="135"/>
      <c r="BQ100" s="3"/>
    </row>
    <row r="101" spans="1:69" ht="15.75" customHeight="1">
      <c r="A101" s="135"/>
      <c r="BQ101" s="3"/>
    </row>
    <row r="102" spans="1:69" ht="15.75" customHeight="1">
      <c r="A102" s="135"/>
      <c r="BQ102" s="3"/>
    </row>
    <row r="103" spans="1:69" ht="15.75" customHeight="1">
      <c r="A103" s="135"/>
      <c r="BQ103" s="3"/>
    </row>
    <row r="104" spans="1:69" ht="15.75" customHeight="1">
      <c r="A104" s="135"/>
      <c r="BQ104" s="3"/>
    </row>
    <row r="105" spans="1:69" ht="15.75" customHeight="1">
      <c r="A105" s="135"/>
      <c r="BQ105" s="3"/>
    </row>
    <row r="106" spans="1:69" ht="15.75" customHeight="1">
      <c r="A106" s="135"/>
      <c r="BQ106" s="3"/>
    </row>
    <row r="107" spans="1:69" ht="15.75" customHeight="1">
      <c r="A107" s="135"/>
      <c r="BQ107" s="3"/>
    </row>
    <row r="108" spans="1:69" ht="15.75" customHeight="1">
      <c r="A108" s="135"/>
      <c r="BQ108" s="3"/>
    </row>
    <row r="109" spans="1:69" ht="15.75" customHeight="1">
      <c r="A109" s="135"/>
      <c r="BQ109" s="3"/>
    </row>
    <row r="110" spans="1:69" ht="15.75" customHeight="1">
      <c r="A110" s="135"/>
      <c r="BQ110" s="3"/>
    </row>
    <row r="111" spans="1:69" ht="15.75" customHeight="1">
      <c r="A111" s="135"/>
      <c r="BQ111" s="3"/>
    </row>
    <row r="112" spans="1:69" ht="15.75" customHeight="1">
      <c r="A112" s="135"/>
      <c r="BQ112" s="3"/>
    </row>
    <row r="113" spans="1:69" ht="15.75" customHeight="1">
      <c r="A113" s="135"/>
      <c r="BQ113" s="3"/>
    </row>
    <row r="114" spans="1:69" ht="15.75" customHeight="1">
      <c r="A114" s="135"/>
      <c r="BQ114" s="3"/>
    </row>
    <row r="115" spans="1:69" ht="15.75" customHeight="1">
      <c r="A115" s="135"/>
      <c r="BQ115" s="3"/>
    </row>
    <row r="116" spans="1:69" ht="15.75" customHeight="1">
      <c r="A116" s="135"/>
      <c r="BQ116" s="3"/>
    </row>
    <row r="117" spans="1:69" ht="15.75" customHeight="1">
      <c r="A117" s="135"/>
      <c r="BQ117" s="3"/>
    </row>
    <row r="118" spans="1:69" ht="15.75" customHeight="1">
      <c r="A118" s="135"/>
      <c r="BQ118" s="3"/>
    </row>
    <row r="119" spans="1:69" ht="15.75" customHeight="1">
      <c r="A119" s="135"/>
      <c r="BQ119" s="3"/>
    </row>
    <row r="120" spans="1:69" ht="15.75" customHeight="1">
      <c r="A120" s="135"/>
      <c r="BQ120" s="3"/>
    </row>
    <row r="121" spans="1:69" ht="15.75" customHeight="1">
      <c r="A121" s="135"/>
      <c r="BQ121" s="3"/>
    </row>
    <row r="122" spans="1:69" ht="15.75" customHeight="1">
      <c r="A122" s="135"/>
      <c r="BQ122" s="3"/>
    </row>
    <row r="123" spans="1:69" ht="15.75" customHeight="1">
      <c r="A123" s="135"/>
      <c r="BQ123" s="3"/>
    </row>
    <row r="124" spans="1:69" ht="15.75" customHeight="1">
      <c r="A124" s="135"/>
      <c r="BQ124" s="3"/>
    </row>
    <row r="125" spans="1:69" ht="15.75" customHeight="1">
      <c r="A125" s="135"/>
      <c r="BQ125" s="3"/>
    </row>
    <row r="126" spans="1:69" ht="15.75" customHeight="1">
      <c r="A126" s="135"/>
      <c r="BQ126" s="3"/>
    </row>
    <row r="127" spans="1:69" ht="15.75" customHeight="1">
      <c r="A127" s="135"/>
      <c r="BQ127" s="3"/>
    </row>
    <row r="128" spans="1:69" ht="15.75" customHeight="1">
      <c r="A128" s="135"/>
      <c r="BQ128" s="3"/>
    </row>
    <row r="129" spans="1:69" ht="15.75" customHeight="1">
      <c r="A129" s="135"/>
      <c r="BQ129" s="3"/>
    </row>
    <row r="130" spans="1:69" ht="15.75" customHeight="1">
      <c r="A130" s="135"/>
      <c r="BQ130" s="3"/>
    </row>
    <row r="131" spans="1:69" ht="15.75" customHeight="1">
      <c r="A131" s="135"/>
      <c r="BQ131" s="3"/>
    </row>
    <row r="132" spans="1:69" ht="15.75" customHeight="1">
      <c r="A132" s="135"/>
      <c r="BQ132" s="3"/>
    </row>
    <row r="133" spans="1:69" ht="15.75" customHeight="1">
      <c r="A133" s="135"/>
      <c r="BQ133" s="3"/>
    </row>
    <row r="134" spans="1:69" ht="15.75" customHeight="1">
      <c r="A134" s="135"/>
      <c r="BQ134" s="3"/>
    </row>
    <row r="135" spans="1:69" ht="15.75" customHeight="1">
      <c r="A135" s="135"/>
      <c r="BQ135" s="3"/>
    </row>
    <row r="136" spans="1:69" ht="15.75" customHeight="1">
      <c r="A136" s="135"/>
      <c r="BQ136" s="3"/>
    </row>
    <row r="137" spans="1:69" ht="15.75" customHeight="1">
      <c r="A137" s="135"/>
      <c r="BQ137" s="3"/>
    </row>
    <row r="138" spans="1:69" ht="15.75" customHeight="1">
      <c r="A138" s="135"/>
      <c r="BQ138" s="3"/>
    </row>
    <row r="139" spans="1:69" ht="15.75" customHeight="1">
      <c r="A139" s="135"/>
      <c r="BQ139" s="3"/>
    </row>
    <row r="140" spans="1:69" ht="15.75" customHeight="1">
      <c r="A140" s="135"/>
      <c r="BQ140" s="3"/>
    </row>
    <row r="141" spans="1:69" ht="15.75" customHeight="1">
      <c r="A141" s="135"/>
      <c r="BQ141" s="3"/>
    </row>
    <row r="142" spans="1:69" ht="15.75" customHeight="1">
      <c r="A142" s="135"/>
      <c r="BQ142" s="3"/>
    </row>
    <row r="143" spans="1:69" ht="15.75" customHeight="1">
      <c r="A143" s="135"/>
      <c r="BQ143" s="3"/>
    </row>
    <row r="144" spans="1:69" ht="15.75" customHeight="1">
      <c r="A144" s="135"/>
      <c r="BQ144" s="3"/>
    </row>
    <row r="145" spans="1:69" ht="15.75" customHeight="1">
      <c r="A145" s="135"/>
      <c r="BQ145" s="3"/>
    </row>
    <row r="146" spans="1:69" ht="15.75" customHeight="1">
      <c r="A146" s="135"/>
      <c r="BQ146" s="3"/>
    </row>
    <row r="147" spans="1:69" ht="15.75" customHeight="1">
      <c r="A147" s="135"/>
      <c r="BQ147" s="3"/>
    </row>
    <row r="148" spans="1:69" ht="15.75" customHeight="1">
      <c r="A148" s="135"/>
      <c r="BQ148" s="3"/>
    </row>
    <row r="149" spans="1:69" ht="15.75" customHeight="1">
      <c r="A149" s="135"/>
      <c r="BQ149" s="3"/>
    </row>
    <row r="150" spans="1:69" ht="15.75" customHeight="1">
      <c r="A150" s="135"/>
      <c r="BQ150" s="3"/>
    </row>
    <row r="151" spans="1:69" ht="15.75" customHeight="1">
      <c r="A151" s="135"/>
      <c r="BQ151" s="3"/>
    </row>
    <row r="152" spans="1:69" ht="15.75" customHeight="1">
      <c r="A152" s="135"/>
      <c r="BQ152" s="3"/>
    </row>
    <row r="153" spans="1:69" ht="15.75" customHeight="1">
      <c r="A153" s="135"/>
      <c r="BQ153" s="3"/>
    </row>
    <row r="154" spans="1:69" ht="15.75" customHeight="1">
      <c r="A154" s="135"/>
      <c r="BQ154" s="3"/>
    </row>
    <row r="155" spans="1:69" ht="15.75" customHeight="1">
      <c r="A155" s="135"/>
      <c r="BQ155" s="3"/>
    </row>
    <row r="156" spans="1:69" ht="15.75" customHeight="1">
      <c r="A156" s="135"/>
      <c r="BQ156" s="3"/>
    </row>
    <row r="157" spans="1:69" ht="15.75" customHeight="1">
      <c r="A157" s="135"/>
      <c r="BQ157" s="3"/>
    </row>
    <row r="158" spans="1:69" ht="15.75" customHeight="1">
      <c r="A158" s="135"/>
      <c r="BQ158" s="3"/>
    </row>
    <row r="159" spans="1:69" ht="15.75" customHeight="1">
      <c r="A159" s="135"/>
      <c r="BQ159" s="3"/>
    </row>
    <row r="160" spans="1:69" ht="15.75" customHeight="1">
      <c r="A160" s="135"/>
      <c r="BQ160" s="3"/>
    </row>
    <row r="161" spans="1:69" ht="15.75" customHeight="1">
      <c r="A161" s="135"/>
      <c r="BQ161" s="3"/>
    </row>
    <row r="162" spans="1:69" ht="15.75" customHeight="1">
      <c r="A162" s="135"/>
      <c r="BQ162" s="3"/>
    </row>
    <row r="163" spans="1:69" ht="15.75" customHeight="1">
      <c r="A163" s="135"/>
      <c r="BQ163" s="3"/>
    </row>
    <row r="164" spans="1:69" ht="15.75" customHeight="1">
      <c r="A164" s="135"/>
      <c r="BQ164" s="3"/>
    </row>
    <row r="165" spans="1:69" ht="15.75" customHeight="1">
      <c r="A165" s="135"/>
      <c r="BQ165" s="3"/>
    </row>
    <row r="166" spans="1:69" ht="15.75" customHeight="1">
      <c r="A166" s="135"/>
      <c r="BQ166" s="3"/>
    </row>
    <row r="167" spans="1:69" ht="15.75" customHeight="1">
      <c r="A167" s="135"/>
      <c r="BQ167" s="3"/>
    </row>
    <row r="168" spans="1:69" ht="15.75" customHeight="1">
      <c r="A168" s="135"/>
      <c r="BQ168" s="3"/>
    </row>
    <row r="169" spans="1:69" ht="15.75" customHeight="1">
      <c r="A169" s="135"/>
      <c r="BQ169" s="3"/>
    </row>
    <row r="170" spans="1:69" ht="15.75" customHeight="1">
      <c r="A170" s="135"/>
      <c r="BQ170" s="3"/>
    </row>
    <row r="171" spans="1:69" ht="15.75" customHeight="1">
      <c r="A171" s="135"/>
      <c r="BQ171" s="3"/>
    </row>
    <row r="172" spans="1:69" ht="15.75" customHeight="1">
      <c r="A172" s="135"/>
      <c r="BQ172" s="3"/>
    </row>
    <row r="173" spans="1:69" ht="15.75" customHeight="1">
      <c r="A173" s="135"/>
      <c r="BQ173" s="3"/>
    </row>
    <row r="174" spans="1:69" ht="15.75" customHeight="1">
      <c r="A174" s="135"/>
      <c r="BQ174" s="3"/>
    </row>
    <row r="175" spans="1:69" ht="15.75" customHeight="1">
      <c r="A175" s="135"/>
      <c r="BQ175" s="3"/>
    </row>
    <row r="176" spans="1:69" ht="15.75" customHeight="1">
      <c r="A176" s="135"/>
      <c r="BQ176" s="3"/>
    </row>
    <row r="177" spans="1:69" ht="15.75" customHeight="1">
      <c r="A177" s="135"/>
      <c r="BQ177" s="3"/>
    </row>
    <row r="178" spans="1:69" ht="15.75" customHeight="1">
      <c r="A178" s="135"/>
      <c r="BQ178" s="3"/>
    </row>
    <row r="179" spans="1:69" ht="15.75" customHeight="1">
      <c r="A179" s="135"/>
      <c r="BQ179" s="3"/>
    </row>
    <row r="180" spans="1:69" ht="15.75" customHeight="1">
      <c r="A180" s="135"/>
      <c r="BQ180" s="3"/>
    </row>
    <row r="181" spans="1:69" ht="15.75" customHeight="1">
      <c r="A181" s="135"/>
      <c r="BQ181" s="3"/>
    </row>
    <row r="182" spans="1:69" ht="15.75" customHeight="1">
      <c r="A182" s="135"/>
      <c r="BQ182" s="3"/>
    </row>
    <row r="183" spans="1:69" ht="15.75" customHeight="1">
      <c r="A183" s="135"/>
      <c r="BQ183" s="3"/>
    </row>
    <row r="184" spans="1:69" ht="15.75" customHeight="1">
      <c r="A184" s="135"/>
      <c r="BQ184" s="3"/>
    </row>
    <row r="185" spans="1:69" ht="15.75" customHeight="1">
      <c r="A185" s="135"/>
      <c r="BQ185" s="3"/>
    </row>
    <row r="186" spans="1:69" ht="15.75" customHeight="1">
      <c r="A186" s="135"/>
      <c r="BQ186" s="3"/>
    </row>
    <row r="187" spans="1:69" ht="15.75" customHeight="1">
      <c r="A187" s="135"/>
      <c r="BQ187" s="3"/>
    </row>
    <row r="188" spans="1:69" ht="15.75" customHeight="1">
      <c r="A188" s="135"/>
      <c r="BQ188" s="3"/>
    </row>
    <row r="189" spans="1:69" ht="15.75" customHeight="1">
      <c r="A189" s="135"/>
      <c r="BQ189" s="3"/>
    </row>
    <row r="190" spans="1:69" ht="15.75" customHeight="1">
      <c r="A190" s="135"/>
      <c r="BQ190" s="3"/>
    </row>
    <row r="191" spans="1:69" ht="15.75" customHeight="1">
      <c r="A191" s="135"/>
      <c r="BQ191" s="3"/>
    </row>
    <row r="192" spans="1:69" ht="15.75" customHeight="1">
      <c r="A192" s="135"/>
      <c r="BQ192" s="3"/>
    </row>
    <row r="193" spans="1:69" ht="15.75" customHeight="1">
      <c r="A193" s="135"/>
      <c r="BQ193" s="3"/>
    </row>
    <row r="194" spans="1:69" ht="15.75" customHeight="1">
      <c r="A194" s="135"/>
      <c r="BQ194" s="3"/>
    </row>
    <row r="195" spans="1:69" ht="15.75" customHeight="1">
      <c r="A195" s="135"/>
      <c r="BQ195" s="3"/>
    </row>
    <row r="196" spans="1:69" ht="15.75" customHeight="1">
      <c r="A196" s="135"/>
      <c r="BQ196" s="3"/>
    </row>
    <row r="197" spans="1:69" ht="15.75" customHeight="1">
      <c r="A197" s="135"/>
      <c r="BQ197" s="3"/>
    </row>
    <row r="198" spans="1:69" ht="15.75" customHeight="1">
      <c r="A198" s="135"/>
      <c r="BQ198" s="3"/>
    </row>
    <row r="199" spans="1:69" ht="15.75" customHeight="1">
      <c r="A199" s="135"/>
      <c r="BQ199" s="3"/>
    </row>
    <row r="200" spans="1:69" ht="15.75" customHeight="1">
      <c r="A200" s="135"/>
      <c r="BQ200" s="3"/>
    </row>
    <row r="201" spans="1:69" ht="15.75" customHeight="1">
      <c r="A201" s="135"/>
      <c r="BQ201" s="3"/>
    </row>
    <row r="202" spans="1:69" ht="15.75" customHeight="1">
      <c r="A202" s="135"/>
      <c r="BQ202" s="3"/>
    </row>
    <row r="203" spans="1:69" ht="15.75" customHeight="1">
      <c r="A203" s="135"/>
      <c r="BQ203" s="3"/>
    </row>
    <row r="204" spans="1:69" ht="15.75" customHeight="1">
      <c r="A204" s="135"/>
      <c r="BQ204" s="3"/>
    </row>
    <row r="205" spans="1:69" ht="15.75" customHeight="1">
      <c r="A205" s="135"/>
      <c r="BQ205" s="3"/>
    </row>
    <row r="206" spans="1:69" ht="15.75" customHeight="1">
      <c r="A206" s="135"/>
      <c r="BQ206" s="3"/>
    </row>
    <row r="207" spans="1:69" ht="15.75" customHeight="1">
      <c r="A207" s="135"/>
      <c r="BQ207" s="3"/>
    </row>
    <row r="208" spans="1:69" ht="15.75" customHeight="1">
      <c r="A208" s="135"/>
      <c r="BQ208" s="3"/>
    </row>
    <row r="209" spans="1:69" ht="15.75" customHeight="1">
      <c r="A209" s="135"/>
      <c r="BQ209" s="3"/>
    </row>
    <row r="210" spans="1:69" ht="15.75" customHeight="1">
      <c r="A210" s="135"/>
      <c r="BQ210" s="3"/>
    </row>
    <row r="211" spans="1:69" ht="15.75" customHeight="1">
      <c r="A211" s="135"/>
      <c r="BQ211" s="3"/>
    </row>
    <row r="212" spans="1:69" ht="15.75" customHeight="1">
      <c r="A212" s="135"/>
      <c r="BQ212" s="3"/>
    </row>
    <row r="213" spans="1:69" ht="15.75" customHeight="1">
      <c r="A213" s="135"/>
      <c r="BQ213" s="3"/>
    </row>
    <row r="214" spans="1:69" ht="15.75" customHeight="1">
      <c r="A214" s="135"/>
      <c r="BQ214" s="3"/>
    </row>
    <row r="215" spans="1:69" ht="15.75" customHeight="1">
      <c r="A215" s="135"/>
      <c r="BQ215" s="3"/>
    </row>
    <row r="216" spans="1:69" ht="15.75" customHeight="1">
      <c r="A216" s="135"/>
      <c r="BQ216" s="3"/>
    </row>
    <row r="217" spans="1:69" ht="15.75" customHeight="1">
      <c r="A217" s="135"/>
      <c r="BQ217" s="3"/>
    </row>
    <row r="218" spans="1:69" ht="15.75" customHeight="1">
      <c r="A218" s="135"/>
      <c r="BQ218" s="3"/>
    </row>
    <row r="219" spans="1:69" ht="15.75" customHeight="1">
      <c r="A219" s="135"/>
      <c r="BQ219" s="3"/>
    </row>
    <row r="220" spans="1:69" ht="15.75" customHeight="1">
      <c r="A220" s="135"/>
      <c r="BQ220" s="3"/>
    </row>
    <row r="221" spans="1:69" ht="15.75" customHeight="1">
      <c r="A221" s="135"/>
      <c r="BQ221" s="3"/>
    </row>
    <row r="222" spans="1:69" ht="15.75" customHeight="1">
      <c r="A222" s="135"/>
      <c r="BQ222" s="3"/>
    </row>
    <row r="223" spans="1:69" ht="15.75" customHeight="1">
      <c r="A223" s="135"/>
      <c r="BQ223" s="3"/>
    </row>
    <row r="224" spans="1:69" ht="15.75" customHeight="1">
      <c r="A224" s="135"/>
      <c r="BQ224" s="3"/>
    </row>
    <row r="225" spans="1:69" ht="15.75" customHeight="1">
      <c r="A225" s="135"/>
      <c r="BQ225" s="3"/>
    </row>
    <row r="226" spans="1:69" ht="15.75" customHeight="1">
      <c r="A226" s="135"/>
      <c r="BQ226" s="3"/>
    </row>
    <row r="227" spans="1:69" ht="15.75" customHeight="1">
      <c r="A227" s="135"/>
      <c r="BQ227" s="3"/>
    </row>
    <row r="228" spans="1:69" ht="15.75" customHeight="1">
      <c r="A228" s="135"/>
      <c r="BQ228" s="3"/>
    </row>
    <row r="229" spans="1:69" ht="15.75" customHeight="1">
      <c r="A229" s="135"/>
      <c r="BQ229" s="3"/>
    </row>
    <row r="230" spans="1:69" ht="15.75" customHeight="1">
      <c r="A230" s="135"/>
      <c r="BQ230" s="3"/>
    </row>
    <row r="231" spans="1:69" ht="15.75" customHeight="1">
      <c r="A231" s="135"/>
      <c r="BQ231" s="3"/>
    </row>
    <row r="232" spans="1:69" ht="15.75" customHeight="1">
      <c r="A232" s="135"/>
      <c r="BQ232" s="3"/>
    </row>
    <row r="233" spans="1:69" ht="15.75" customHeight="1">
      <c r="A233" s="135"/>
      <c r="BQ233" s="3"/>
    </row>
    <row r="234" spans="1:69" ht="15.75" customHeight="1">
      <c r="A234" s="135"/>
      <c r="BQ234" s="3"/>
    </row>
    <row r="235" spans="1:69" ht="15.75" customHeight="1">
      <c r="A235" s="135"/>
      <c r="BQ235" s="3"/>
    </row>
    <row r="236" spans="1:69" ht="15.75" customHeight="1">
      <c r="A236" s="135"/>
      <c r="BQ236" s="3"/>
    </row>
    <row r="237" spans="1:69" ht="15.75" customHeight="1">
      <c r="A237" s="135"/>
      <c r="BQ237" s="3"/>
    </row>
    <row r="238" spans="1:69" ht="15.75" customHeight="1">
      <c r="A238" s="135"/>
      <c r="BQ238" s="3"/>
    </row>
    <row r="239" spans="1:69" ht="15.75" customHeight="1">
      <c r="A239" s="135"/>
      <c r="BQ239" s="3"/>
    </row>
    <row r="240" spans="1:69" ht="15.75" customHeight="1">
      <c r="A240" s="135"/>
      <c r="BQ240" s="3"/>
    </row>
    <row r="241" spans="1:69" ht="15.75" customHeight="1">
      <c r="A241" s="135"/>
      <c r="BQ241" s="3"/>
    </row>
    <row r="242" spans="1:69" ht="15.75" customHeight="1">
      <c r="A242" s="135"/>
      <c r="BQ242" s="3"/>
    </row>
    <row r="243" spans="1:69" ht="15.75" customHeight="1">
      <c r="A243" s="135"/>
      <c r="BQ243" s="3"/>
    </row>
    <row r="244" spans="1:69" ht="15.75" customHeight="1">
      <c r="A244" s="135"/>
      <c r="BQ244" s="3"/>
    </row>
    <row r="245" spans="1:69" ht="15.75" customHeight="1">
      <c r="A245" s="135"/>
      <c r="BQ245" s="3"/>
    </row>
    <row r="246" spans="1:69" ht="15.75" customHeight="1">
      <c r="A246" s="135"/>
      <c r="BQ246" s="3"/>
    </row>
    <row r="247" spans="1:69" ht="15.75" customHeight="1">
      <c r="A247" s="135"/>
      <c r="BQ247" s="3"/>
    </row>
    <row r="248" spans="1:69" ht="15.75" customHeight="1">
      <c r="A248" s="135"/>
      <c r="BQ248" s="3"/>
    </row>
    <row r="249" spans="1:69" ht="15.75" customHeight="1">
      <c r="A249" s="135"/>
      <c r="BQ249" s="3"/>
    </row>
    <row r="250" spans="1:69" ht="15.75" customHeight="1">
      <c r="A250" s="135"/>
      <c r="BQ250" s="3"/>
    </row>
    <row r="251" spans="1:69" ht="15.75" customHeight="1">
      <c r="A251" s="135"/>
      <c r="BQ251" s="3"/>
    </row>
    <row r="252" spans="1:69" ht="15.75" customHeight="1">
      <c r="A252" s="135"/>
      <c r="BQ252" s="3"/>
    </row>
    <row r="253" spans="1:69" ht="15.75" customHeight="1">
      <c r="A253" s="135"/>
      <c r="BQ253" s="3"/>
    </row>
    <row r="254" spans="1:69" ht="15.75" customHeight="1">
      <c r="A254" s="135"/>
      <c r="BQ254" s="3"/>
    </row>
    <row r="255" spans="1:69" ht="15.75" customHeight="1">
      <c r="A255" s="135"/>
      <c r="BQ255" s="3"/>
    </row>
    <row r="256" spans="1:6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B29:D29"/>
    <mergeCell ref="E29:G29"/>
    <mergeCell ref="H29:J29"/>
    <mergeCell ref="K29:M29"/>
    <mergeCell ref="N29:P29"/>
    <mergeCell ref="Q29:S29"/>
    <mergeCell ref="T29:V29"/>
    <mergeCell ref="B41:D41"/>
    <mergeCell ref="E41:G41"/>
    <mergeCell ref="H41:J41"/>
    <mergeCell ref="K41:M41"/>
    <mergeCell ref="N41:P41"/>
    <mergeCell ref="Q41:S41"/>
    <mergeCell ref="T41:V41"/>
    <mergeCell ref="BT29:BV29"/>
    <mergeCell ref="BW29:BY29"/>
    <mergeCell ref="AS29:AU29"/>
    <mergeCell ref="AV29:AX29"/>
    <mergeCell ref="AY29:BA29"/>
    <mergeCell ref="BB29:BD29"/>
    <mergeCell ref="BE29:BG29"/>
    <mergeCell ref="BH29:BJ29"/>
    <mergeCell ref="BK29:BM29"/>
    <mergeCell ref="W29:Y29"/>
    <mergeCell ref="Z29:AB29"/>
    <mergeCell ref="AC29:AE29"/>
    <mergeCell ref="AF29:AH29"/>
    <mergeCell ref="AI29:AK29"/>
    <mergeCell ref="AM29:AO29"/>
    <mergeCell ref="AP29:AR29"/>
    <mergeCell ref="BN29:BP29"/>
    <mergeCell ref="BQ29:BS29"/>
    <mergeCell ref="BT41:BV41"/>
    <mergeCell ref="BW41:BY41"/>
    <mergeCell ref="AY41:BA41"/>
    <mergeCell ref="BB41:BD41"/>
    <mergeCell ref="BE41:BG41"/>
    <mergeCell ref="BH41:BJ41"/>
    <mergeCell ref="BK41:BM41"/>
    <mergeCell ref="BN41:BP41"/>
    <mergeCell ref="BQ41:BS41"/>
    <mergeCell ref="AS41:AU41"/>
    <mergeCell ref="AV41:AX41"/>
    <mergeCell ref="W41:Y41"/>
    <mergeCell ref="Z41:AB41"/>
    <mergeCell ref="AC41:AE41"/>
    <mergeCell ref="AF41:AH41"/>
    <mergeCell ref="AI41:AK41"/>
    <mergeCell ref="AM41:AO41"/>
    <mergeCell ref="AP41:AR41"/>
    <mergeCell ref="K17:M17"/>
    <mergeCell ref="N17:P17"/>
    <mergeCell ref="Q17:S17"/>
    <mergeCell ref="T17:V17"/>
    <mergeCell ref="BT17:BV17"/>
    <mergeCell ref="BW17:BY17"/>
    <mergeCell ref="W17:Y17"/>
    <mergeCell ref="Z17:AB17"/>
    <mergeCell ref="AC17:AE17"/>
    <mergeCell ref="AF17:AH17"/>
    <mergeCell ref="AI17:AK17"/>
    <mergeCell ref="AM17:AO17"/>
    <mergeCell ref="AP17:AR17"/>
    <mergeCell ref="BN17:BP17"/>
    <mergeCell ref="BQ17:BS17"/>
    <mergeCell ref="AS17:AU17"/>
    <mergeCell ref="AV17:AX17"/>
    <mergeCell ref="AY17:BA17"/>
    <mergeCell ref="BB17:BD17"/>
    <mergeCell ref="BE17:BG17"/>
    <mergeCell ref="BH17:BJ17"/>
    <mergeCell ref="BK17:BM17"/>
    <mergeCell ref="A1:D1"/>
    <mergeCell ref="E1:I1"/>
    <mergeCell ref="A2:G2"/>
    <mergeCell ref="A3:B3"/>
    <mergeCell ref="C3:H3"/>
    <mergeCell ref="B5:D5"/>
    <mergeCell ref="E5:G5"/>
    <mergeCell ref="B17:D17"/>
    <mergeCell ref="E17:G17"/>
    <mergeCell ref="H17:J17"/>
    <mergeCell ref="AI5:AK5"/>
    <mergeCell ref="AM5:AO5"/>
    <mergeCell ref="AP5:AR5"/>
    <mergeCell ref="AS5:AU5"/>
    <mergeCell ref="AV5:AX5"/>
    <mergeCell ref="BT5:BV5"/>
    <mergeCell ref="BW5:BY5"/>
    <mergeCell ref="CC5:CC6"/>
    <mergeCell ref="CD5:CD6"/>
    <mergeCell ref="AY5:BA5"/>
    <mergeCell ref="BB5:BD5"/>
    <mergeCell ref="BE5:BG5"/>
    <mergeCell ref="BH5:BJ5"/>
    <mergeCell ref="BK5:BM5"/>
    <mergeCell ref="BN5:BP5"/>
    <mergeCell ref="BQ5:BS5"/>
    <mergeCell ref="H5:J5"/>
    <mergeCell ref="K5:M5"/>
    <mergeCell ref="N5:P5"/>
    <mergeCell ref="Q5:S5"/>
    <mergeCell ref="T5:V5"/>
    <mergeCell ref="W5:Y5"/>
    <mergeCell ref="Z5:AB5"/>
    <mergeCell ref="AC5:AE5"/>
    <mergeCell ref="AF5:AH5"/>
  </mergeCells>
  <pageMargins left="0.69930555555555596" right="0.69930555555555596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defaultColWidth="14.453125" defaultRowHeight="15" customHeight="1"/>
  <cols>
    <col min="1" max="1" width="21.81640625" customWidth="1"/>
    <col min="2" max="2" width="13.81640625" customWidth="1"/>
    <col min="3" max="3" width="6.08984375" customWidth="1"/>
    <col min="4" max="4" width="14.7265625" customWidth="1"/>
    <col min="5" max="6" width="14.54296875" customWidth="1"/>
    <col min="7" max="7" width="14" customWidth="1"/>
    <col min="8" max="8" width="13.81640625" customWidth="1"/>
    <col min="9" max="9" width="14" customWidth="1"/>
    <col min="10" max="10" width="6.54296875" customWidth="1"/>
    <col min="11" max="11" width="13.7265625" customWidth="1"/>
    <col min="12" max="12" width="0.7265625" customWidth="1"/>
    <col min="13" max="13" width="22.7265625" customWidth="1"/>
    <col min="14" max="14" width="14.7265625" customWidth="1"/>
    <col min="15" max="15" width="6.54296875" customWidth="1"/>
    <col min="16" max="16" width="14" customWidth="1"/>
    <col min="17" max="17" width="1.7265625" customWidth="1"/>
    <col min="18" max="18" width="13.26953125" customWidth="1"/>
    <col min="19" max="19" width="7.08984375" customWidth="1"/>
    <col min="20" max="20" width="13.08984375" customWidth="1"/>
    <col min="21" max="21" width="9" customWidth="1"/>
    <col min="22" max="22" width="11.08984375" customWidth="1"/>
  </cols>
  <sheetData>
    <row r="1" spans="1:22" ht="22.5">
      <c r="A1" s="456" t="s">
        <v>89</v>
      </c>
      <c r="B1" s="438"/>
      <c r="C1" s="456" t="str">
        <f>GROSS!E1</f>
        <v>BRANCH</v>
      </c>
      <c r="D1" s="43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V1" s="39"/>
    </row>
    <row r="2" spans="1:22" ht="22.5">
      <c r="A2" s="456" t="s">
        <v>38</v>
      </c>
      <c r="B2" s="438"/>
      <c r="C2" s="467"/>
      <c r="D2" s="438"/>
      <c r="E2" s="43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V2" s="39"/>
    </row>
    <row r="3" spans="1:22" ht="14.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V3" s="39"/>
    </row>
    <row r="4" spans="1:22" ht="14.5">
      <c r="A4" s="463" t="s">
        <v>90</v>
      </c>
      <c r="B4" s="462" t="s">
        <v>91</v>
      </c>
      <c r="C4" s="445"/>
      <c r="D4" s="423"/>
      <c r="E4" s="462" t="s">
        <v>92</v>
      </c>
      <c r="F4" s="445"/>
      <c r="G4" s="462" t="s">
        <v>93</v>
      </c>
      <c r="H4" s="423"/>
      <c r="I4" s="462" t="s">
        <v>94</v>
      </c>
      <c r="J4" s="445"/>
      <c r="K4" s="423"/>
      <c r="L4" s="96"/>
      <c r="M4" s="463" t="s">
        <v>90</v>
      </c>
      <c r="N4" s="462" t="s">
        <v>95</v>
      </c>
      <c r="O4" s="445"/>
      <c r="P4" s="423"/>
      <c r="Q4" s="97"/>
      <c r="R4" s="462" t="s">
        <v>96</v>
      </c>
      <c r="S4" s="445"/>
      <c r="T4" s="423"/>
      <c r="V4" s="39"/>
    </row>
    <row r="5" spans="1:22" ht="25">
      <c r="A5" s="436"/>
      <c r="B5" s="98" t="s">
        <v>97</v>
      </c>
      <c r="C5" s="99" t="s">
        <v>98</v>
      </c>
      <c r="D5" s="98" t="s">
        <v>99</v>
      </c>
      <c r="E5" s="98" t="s">
        <v>97</v>
      </c>
      <c r="F5" s="98" t="s">
        <v>99</v>
      </c>
      <c r="G5" s="98" t="s">
        <v>97</v>
      </c>
      <c r="H5" s="98" t="s">
        <v>99</v>
      </c>
      <c r="I5" s="98" t="s">
        <v>97</v>
      </c>
      <c r="J5" s="99" t="s">
        <v>98</v>
      </c>
      <c r="K5" s="100" t="s">
        <v>99</v>
      </c>
      <c r="L5" s="96"/>
      <c r="M5" s="436"/>
      <c r="N5" s="98" t="s">
        <v>97</v>
      </c>
      <c r="O5" s="99" t="s">
        <v>98</v>
      </c>
      <c r="P5" s="98" t="s">
        <v>99</v>
      </c>
      <c r="Q5" s="97"/>
      <c r="R5" s="98" t="s">
        <v>97</v>
      </c>
      <c r="S5" s="98" t="s">
        <v>100</v>
      </c>
      <c r="T5" s="98" t="s">
        <v>99</v>
      </c>
      <c r="V5" s="39"/>
    </row>
    <row r="6" spans="1:22" ht="14.5">
      <c r="A6" s="101" t="str">
        <f>'WEEKLY INV.'!A8</f>
        <v>SPECIAL CUT</v>
      </c>
      <c r="B6" s="102">
        <f>'WEEKLY INV.'!B8</f>
        <v>175</v>
      </c>
      <c r="C6" s="103">
        <f>'WEEKLY INV.'!C8</f>
        <v>35</v>
      </c>
      <c r="D6" s="104">
        <f t="shared" ref="D6:D14" si="0">B6*C6</f>
        <v>6125</v>
      </c>
      <c r="E6" s="105">
        <f>DELIVERIES!E55</f>
        <v>6150</v>
      </c>
      <c r="F6" s="104">
        <f>DELIVERIES!G55</f>
        <v>215250</v>
      </c>
      <c r="G6" s="106">
        <f>B.O!E55</f>
        <v>0</v>
      </c>
      <c r="H6" s="104">
        <f>B.O!G55</f>
        <v>0</v>
      </c>
      <c r="I6" s="105">
        <f t="shared" ref="I6:I14" si="1">B6+E6-G6-N6</f>
        <v>313</v>
      </c>
      <c r="J6" s="103">
        <f>'WEEKLY INV.'!J95</f>
        <v>35</v>
      </c>
      <c r="K6" s="107">
        <f t="shared" ref="K6:K14" si="2">I6*J6</f>
        <v>10955</v>
      </c>
      <c r="L6" s="108"/>
      <c r="M6" s="101" t="str">
        <f t="shared" ref="M6:M30" si="3">A6</f>
        <v>SPECIAL CUT</v>
      </c>
      <c r="N6" s="109">
        <f t="shared" ref="N6:N14" si="4">R6</f>
        <v>6012</v>
      </c>
      <c r="O6" s="110">
        <f t="shared" ref="O6:O29" si="5">C6</f>
        <v>35</v>
      </c>
      <c r="P6" s="111">
        <f>'DAILY COGS'!G55</f>
        <v>210420</v>
      </c>
      <c r="Q6" s="112"/>
      <c r="R6" s="109">
        <f>GROSS!E55</f>
        <v>6012</v>
      </c>
      <c r="S6" s="109">
        <f>'WEEKLY INV.'!S8</f>
        <v>50</v>
      </c>
      <c r="T6" s="104">
        <f>GROSS!G55</f>
        <v>300600</v>
      </c>
      <c r="V6" s="39"/>
    </row>
    <row r="7" spans="1:22" ht="14.5">
      <c r="A7" s="101" t="str">
        <f>'WEEKLY INV.'!A9</f>
        <v>NGOHIONG</v>
      </c>
      <c r="B7" s="102">
        <f>'WEEKLY INV.'!B9</f>
        <v>23</v>
      </c>
      <c r="C7" s="103">
        <f>'WEEKLY INV.'!C9</f>
        <v>8.5</v>
      </c>
      <c r="D7" s="104">
        <f t="shared" si="0"/>
        <v>195.5</v>
      </c>
      <c r="E7" s="113">
        <f>DELIVERIES!H55</f>
        <v>340</v>
      </c>
      <c r="F7" s="104">
        <f>DELIVERIES!J55</f>
        <v>2890</v>
      </c>
      <c r="G7" s="106">
        <f>B.O!H55</f>
        <v>0</v>
      </c>
      <c r="H7" s="104">
        <f>B.O!J55</f>
        <v>0</v>
      </c>
      <c r="I7" s="105">
        <f t="shared" si="1"/>
        <v>25</v>
      </c>
      <c r="J7" s="103">
        <f>'WEEKLY INV.'!J96</f>
        <v>8.5</v>
      </c>
      <c r="K7" s="107">
        <f t="shared" si="2"/>
        <v>212.5</v>
      </c>
      <c r="L7" s="114"/>
      <c r="M7" s="101" t="str">
        <f t="shared" si="3"/>
        <v>NGOHIONG</v>
      </c>
      <c r="N7" s="109">
        <f t="shared" si="4"/>
        <v>338</v>
      </c>
      <c r="O7" s="110">
        <f t="shared" si="5"/>
        <v>8.5</v>
      </c>
      <c r="P7" s="111">
        <f>'DAILY COGS'!J55</f>
        <v>2873</v>
      </c>
      <c r="Q7" s="115"/>
      <c r="R7" s="113">
        <f>GROSS!H55</f>
        <v>338</v>
      </c>
      <c r="S7" s="109">
        <f>'WEEKLY INV.'!S9</f>
        <v>12</v>
      </c>
      <c r="T7" s="104">
        <f>GROSS!J55</f>
        <v>4056</v>
      </c>
      <c r="V7" s="39"/>
    </row>
    <row r="8" spans="1:22" ht="14.5">
      <c r="A8" s="101" t="str">
        <f>'WEEKLY INV.'!A10</f>
        <v>NECK</v>
      </c>
      <c r="B8" s="102">
        <f>'WEEKLY INV.'!B10</f>
        <v>16</v>
      </c>
      <c r="C8" s="103">
        <f>'WEEKLY INV.'!C10</f>
        <v>7</v>
      </c>
      <c r="D8" s="104">
        <f t="shared" si="0"/>
        <v>112</v>
      </c>
      <c r="E8" s="113">
        <f>DELIVERIES!N55</f>
        <v>2800</v>
      </c>
      <c r="F8" s="104">
        <f>DELIVERIES!P55</f>
        <v>19600</v>
      </c>
      <c r="G8" s="116">
        <f>B.O!N55</f>
        <v>0</v>
      </c>
      <c r="H8" s="104">
        <f>B.O!P55</f>
        <v>0</v>
      </c>
      <c r="I8" s="105">
        <f t="shared" si="1"/>
        <v>34</v>
      </c>
      <c r="J8" s="103">
        <f>'WEEKLY INV.'!J97</f>
        <v>7</v>
      </c>
      <c r="K8" s="107">
        <f t="shared" si="2"/>
        <v>238</v>
      </c>
      <c r="L8" s="114"/>
      <c r="M8" s="101" t="str">
        <f t="shared" si="3"/>
        <v>NECK</v>
      </c>
      <c r="N8" s="109">
        <f t="shared" si="4"/>
        <v>2782</v>
      </c>
      <c r="O8" s="110">
        <f t="shared" si="5"/>
        <v>7</v>
      </c>
      <c r="P8" s="111">
        <f>'DAILY COGS'!P55</f>
        <v>19474</v>
      </c>
      <c r="Q8" s="115"/>
      <c r="R8" s="113">
        <f>GROSS!N55</f>
        <v>2782</v>
      </c>
      <c r="S8" s="109">
        <f>'WEEKLY INV.'!S10</f>
        <v>12</v>
      </c>
      <c r="T8" s="104">
        <f>GROSS!P55</f>
        <v>33384</v>
      </c>
      <c r="V8" s="39"/>
    </row>
    <row r="9" spans="1:22" ht="14.5">
      <c r="A9" s="101" t="str">
        <f>'WEEKLY INV.'!A11</f>
        <v>SIOMAI</v>
      </c>
      <c r="B9" s="102">
        <f>'WEEKLY INV.'!B11</f>
        <v>39</v>
      </c>
      <c r="C9" s="103">
        <f>'WEEKLY INV.'!C11</f>
        <v>5.5</v>
      </c>
      <c r="D9" s="104">
        <f t="shared" si="0"/>
        <v>214.5</v>
      </c>
      <c r="E9" s="113">
        <f>DELIVERIES!Q55</f>
        <v>0</v>
      </c>
      <c r="F9" s="104">
        <f>DELIVERIES!S55</f>
        <v>0</v>
      </c>
      <c r="G9" s="117">
        <f>B.O!Q55</f>
        <v>0</v>
      </c>
      <c r="H9" s="104">
        <f>B.O!S55</f>
        <v>0</v>
      </c>
      <c r="I9" s="105">
        <f t="shared" si="1"/>
        <v>39</v>
      </c>
      <c r="J9" s="103">
        <f>'WEEKLY INV.'!J98</f>
        <v>5.5</v>
      </c>
      <c r="K9" s="107">
        <f t="shared" si="2"/>
        <v>214.5</v>
      </c>
      <c r="L9" s="114"/>
      <c r="M9" s="101" t="str">
        <f t="shared" si="3"/>
        <v>SIOMAI</v>
      </c>
      <c r="N9" s="109">
        <f t="shared" si="4"/>
        <v>0</v>
      </c>
      <c r="O9" s="110">
        <f t="shared" si="5"/>
        <v>5.5</v>
      </c>
      <c r="P9" s="111">
        <f>'DAILY COGS'!S55</f>
        <v>0</v>
      </c>
      <c r="Q9" s="115"/>
      <c r="R9" s="113">
        <f>GROSS!Q55</f>
        <v>0</v>
      </c>
      <c r="S9" s="109">
        <f>'WEEKLY INV.'!S11</f>
        <v>7.5</v>
      </c>
      <c r="T9" s="104">
        <f>GROSS!S55</f>
        <v>0</v>
      </c>
      <c r="V9" s="39"/>
    </row>
    <row r="10" spans="1:22" ht="14.5">
      <c r="A10" s="101" t="str">
        <f>'WEEKLY INV.'!A12</f>
        <v>RICE</v>
      </c>
      <c r="B10" s="102">
        <f>'WEEKLY INV.'!B12</f>
        <v>15</v>
      </c>
      <c r="C10" s="72">
        <f>2500/528</f>
        <v>4.7348484848484844</v>
      </c>
      <c r="D10" s="104">
        <f t="shared" si="0"/>
        <v>71.022727272727266</v>
      </c>
      <c r="E10" s="113">
        <f>DELIVERIES!T55</f>
        <v>5905</v>
      </c>
      <c r="F10" s="104">
        <f>DELIVERIES!V55</f>
        <v>50192.5</v>
      </c>
      <c r="G10" s="117">
        <f>B.O!T55</f>
        <v>0</v>
      </c>
      <c r="H10" s="104">
        <f>B.O!V55</f>
        <v>0</v>
      </c>
      <c r="I10" s="105">
        <f t="shared" si="1"/>
        <v>46</v>
      </c>
      <c r="J10" s="103">
        <f>'WEEKLY INV.'!J99</f>
        <v>8.5</v>
      </c>
      <c r="K10" s="107">
        <f t="shared" si="2"/>
        <v>391</v>
      </c>
      <c r="L10" s="114"/>
      <c r="M10" s="101" t="str">
        <f t="shared" si="3"/>
        <v>RICE</v>
      </c>
      <c r="N10" s="109">
        <f t="shared" si="4"/>
        <v>5874</v>
      </c>
      <c r="O10" s="110">
        <f t="shared" si="5"/>
        <v>4.7348484848484844</v>
      </c>
      <c r="P10" s="111">
        <f>'DAILY COGS'!V55</f>
        <v>49929</v>
      </c>
      <c r="Q10" s="115"/>
      <c r="R10" s="113">
        <f>GROSS!T55</f>
        <v>5874</v>
      </c>
      <c r="S10" s="109">
        <f>'WEEKLY INV.'!S12</f>
        <v>15</v>
      </c>
      <c r="T10" s="104">
        <f>GROSS!V55</f>
        <v>88110</v>
      </c>
      <c r="V10" s="39"/>
    </row>
    <row r="11" spans="1:22" ht="14.5">
      <c r="A11" s="101" t="str">
        <f>'WEEKLY INV.'!A13</f>
        <v>BOLA BOLA</v>
      </c>
      <c r="B11" s="102">
        <f>'WEEKLY INV.'!B13</f>
        <v>70</v>
      </c>
      <c r="C11" s="103">
        <f>'WEEKLY INV.'!C13</f>
        <v>6</v>
      </c>
      <c r="D11" s="104">
        <f t="shared" si="0"/>
        <v>420</v>
      </c>
      <c r="E11" s="113">
        <f>DELIVERIES!W55</f>
        <v>1180</v>
      </c>
      <c r="F11" s="104">
        <f>DELIVERIES!Y55</f>
        <v>7080</v>
      </c>
      <c r="G11" s="117">
        <f>B.O!Q55</f>
        <v>0</v>
      </c>
      <c r="H11" s="104">
        <f>B.O!Y55</f>
        <v>0</v>
      </c>
      <c r="I11" s="105">
        <f t="shared" si="1"/>
        <v>70</v>
      </c>
      <c r="J11" s="103">
        <f>'WEEKLY INV.'!J100</f>
        <v>6</v>
      </c>
      <c r="K11" s="107">
        <f t="shared" si="2"/>
        <v>420</v>
      </c>
      <c r="L11" s="114"/>
      <c r="M11" s="101" t="str">
        <f t="shared" si="3"/>
        <v>BOLA BOLA</v>
      </c>
      <c r="N11" s="109">
        <f t="shared" si="4"/>
        <v>1180</v>
      </c>
      <c r="O11" s="110">
        <f t="shared" si="5"/>
        <v>6</v>
      </c>
      <c r="P11" s="111">
        <f>'DAILY COGS'!Y55</f>
        <v>7080</v>
      </c>
      <c r="Q11" s="115"/>
      <c r="R11" s="113">
        <f>GROSS!W55</f>
        <v>1180</v>
      </c>
      <c r="S11" s="109">
        <f>'WEEKLY INV.'!S13</f>
        <v>10</v>
      </c>
      <c r="T11" s="104">
        <f>GROSS!Y55</f>
        <v>11800</v>
      </c>
      <c r="V11" s="39"/>
    </row>
    <row r="12" spans="1:22" ht="14.5">
      <c r="A12" s="101" t="str">
        <f>'WEEKLY INV.'!A14</f>
        <v>LUMPIA</v>
      </c>
      <c r="B12" s="102">
        <f>'WEEKLY INV.'!B14</f>
        <v>32</v>
      </c>
      <c r="C12" s="103">
        <f>'WEEKLY INV.'!C14</f>
        <v>6</v>
      </c>
      <c r="D12" s="104">
        <f t="shared" si="0"/>
        <v>192</v>
      </c>
      <c r="E12" s="113">
        <f>DELIVERIES!Z55</f>
        <v>1180</v>
      </c>
      <c r="F12" s="104">
        <f>DELIVERIES!AB55</f>
        <v>7080</v>
      </c>
      <c r="G12" s="117">
        <f>B.O!Z55</f>
        <v>0</v>
      </c>
      <c r="H12" s="104">
        <f>B.O!AB55</f>
        <v>0</v>
      </c>
      <c r="I12" s="105">
        <f t="shared" si="1"/>
        <v>59</v>
      </c>
      <c r="J12" s="103">
        <f>'WEEKLY INV.'!J101</f>
        <v>6</v>
      </c>
      <c r="K12" s="107">
        <f t="shared" si="2"/>
        <v>354</v>
      </c>
      <c r="L12" s="114"/>
      <c r="M12" s="101" t="str">
        <f t="shared" si="3"/>
        <v>LUMPIA</v>
      </c>
      <c r="N12" s="109">
        <f t="shared" si="4"/>
        <v>1153</v>
      </c>
      <c r="O12" s="110">
        <f t="shared" si="5"/>
        <v>6</v>
      </c>
      <c r="P12" s="111">
        <f>'DAILY COGS'!AB55</f>
        <v>6918</v>
      </c>
      <c r="Q12" s="115"/>
      <c r="R12" s="113">
        <f>GROSS!Z55</f>
        <v>1153</v>
      </c>
      <c r="S12" s="109">
        <f>'WEEKLY INV.'!S14</f>
        <v>8</v>
      </c>
      <c r="T12" s="104">
        <f>GROSS!AB55</f>
        <v>9224</v>
      </c>
      <c r="V12" s="39"/>
    </row>
    <row r="13" spans="1:22" ht="14.5">
      <c r="A13" s="101" t="str">
        <f>'WEEKLY INV.'!A15</f>
        <v>ATSARA</v>
      </c>
      <c r="B13" s="102">
        <f>'WEEKLY INV.'!B15</f>
        <v>34</v>
      </c>
      <c r="C13" s="103">
        <f>'WEEKLY INV.'!C15</f>
        <v>8</v>
      </c>
      <c r="D13" s="104">
        <f t="shared" si="0"/>
        <v>272</v>
      </c>
      <c r="E13" s="113">
        <f>DELIVERIES!AC55</f>
        <v>226</v>
      </c>
      <c r="F13" s="104">
        <f>DELIVERIES!AE55</f>
        <v>1808</v>
      </c>
      <c r="G13" s="117">
        <f>B.O!AC55</f>
        <v>0</v>
      </c>
      <c r="H13" s="104">
        <f>B.O!AE55</f>
        <v>0</v>
      </c>
      <c r="I13" s="105">
        <f t="shared" si="1"/>
        <v>3</v>
      </c>
      <c r="J13" s="103">
        <f>'WEEKLY INV.'!J102</f>
        <v>8</v>
      </c>
      <c r="K13" s="107">
        <f t="shared" si="2"/>
        <v>24</v>
      </c>
      <c r="L13" s="114"/>
      <c r="M13" s="101" t="str">
        <f t="shared" si="3"/>
        <v>ATSARA</v>
      </c>
      <c r="N13" s="109">
        <f t="shared" si="4"/>
        <v>257</v>
      </c>
      <c r="O13" s="110">
        <f t="shared" si="5"/>
        <v>8</v>
      </c>
      <c r="P13" s="111">
        <f>'DAILY COGS'!AE55</f>
        <v>2056</v>
      </c>
      <c r="Q13" s="115"/>
      <c r="R13" s="113">
        <f>GROSS!AC55</f>
        <v>257</v>
      </c>
      <c r="S13" s="109">
        <f>'WEEKLY INV.'!S15</f>
        <v>10</v>
      </c>
      <c r="T13" s="104">
        <f>GROSS!AE55</f>
        <v>2570</v>
      </c>
      <c r="V13" s="39"/>
    </row>
    <row r="14" spans="1:22" ht="14.5">
      <c r="A14" s="101" t="str">
        <f>'WEEKLY INV.'!A16</f>
        <v>Chicken Fillet</v>
      </c>
      <c r="B14" s="102">
        <f>'WEEKLY INV.'!B16</f>
        <v>40</v>
      </c>
      <c r="C14" s="103">
        <f>'WEEKLY INV.'!C16</f>
        <v>18</v>
      </c>
      <c r="D14" s="104">
        <f t="shared" si="0"/>
        <v>720</v>
      </c>
      <c r="E14" s="113">
        <f>DELIVERIES!K55</f>
        <v>450</v>
      </c>
      <c r="F14" s="104">
        <f>DELIVERIES!M55</f>
        <v>8100</v>
      </c>
      <c r="G14" s="117">
        <f>B.O!Z55</f>
        <v>0</v>
      </c>
      <c r="H14" s="104">
        <f>B.O!M55</f>
        <v>0</v>
      </c>
      <c r="I14" s="105">
        <f t="shared" si="1"/>
        <v>12</v>
      </c>
      <c r="J14" s="103">
        <f>'WEEKLY INV.'!J103</f>
        <v>18</v>
      </c>
      <c r="K14" s="107">
        <f t="shared" si="2"/>
        <v>216</v>
      </c>
      <c r="L14" s="114"/>
      <c r="M14" s="101" t="str">
        <f t="shared" si="3"/>
        <v>Chicken Fillet</v>
      </c>
      <c r="N14" s="109">
        <f t="shared" si="4"/>
        <v>478</v>
      </c>
      <c r="O14" s="110">
        <f t="shared" si="5"/>
        <v>18</v>
      </c>
      <c r="P14" s="111">
        <f>'DAILY COGS'!M55</f>
        <v>8604</v>
      </c>
      <c r="Q14" s="115"/>
      <c r="R14" s="113">
        <f>GROSS!K55</f>
        <v>478</v>
      </c>
      <c r="S14" s="109">
        <f>'WEEKLY INV.'!S16</f>
        <v>25</v>
      </c>
      <c r="T14" s="104">
        <f>GROSS!M55</f>
        <v>11950</v>
      </c>
      <c r="V14" s="39"/>
    </row>
    <row r="15" spans="1:22" ht="14.5">
      <c r="A15" s="464" t="str">
        <f>'WEEKLY INV.'!A17</f>
        <v>SUB TOTAL</v>
      </c>
      <c r="B15" s="465"/>
      <c r="C15" s="120">
        <f>'WEEKLY INV.'!C17</f>
        <v>0</v>
      </c>
      <c r="D15" s="121">
        <f>SUM(D6:D14)</f>
        <v>8322.0227272727279</v>
      </c>
      <c r="E15" s="122"/>
      <c r="F15" s="121">
        <f>SUM(F6:F14)</f>
        <v>312000.5</v>
      </c>
      <c r="G15" s="123"/>
      <c r="H15" s="121">
        <f>SUM(H6:H14)</f>
        <v>0</v>
      </c>
      <c r="I15" s="121"/>
      <c r="J15" s="120"/>
      <c r="K15" s="121">
        <f>SUM(K6:K14)</f>
        <v>13025</v>
      </c>
      <c r="L15" s="124"/>
      <c r="M15" s="464" t="str">
        <f t="shared" si="3"/>
        <v>SUB TOTAL</v>
      </c>
      <c r="N15" s="465"/>
      <c r="O15" s="125">
        <f t="shared" si="5"/>
        <v>0</v>
      </c>
      <c r="P15" s="121">
        <f>SUM(P6:P14)</f>
        <v>307354</v>
      </c>
      <c r="Q15" s="126"/>
      <c r="R15" s="122"/>
      <c r="S15" s="127"/>
      <c r="T15" s="121">
        <f>SUM(T6:T14)</f>
        <v>461694</v>
      </c>
      <c r="U15" s="128"/>
      <c r="V15" s="39"/>
    </row>
    <row r="16" spans="1:22" ht="14.5">
      <c r="A16" s="101" t="str">
        <f>'WEEKLY INV.'!A18</f>
        <v>8 oz</v>
      </c>
      <c r="B16" s="102">
        <f>'WEEKLY INV.'!B18</f>
        <v>70</v>
      </c>
      <c r="C16" s="103">
        <f>'WEEKLY INV.'!C18</f>
        <v>8.75</v>
      </c>
      <c r="D16" s="104">
        <f t="shared" ref="D16:D28" si="6">B16*C16</f>
        <v>612.5</v>
      </c>
      <c r="E16" s="113">
        <f>DELIVERIES!AP55</f>
        <v>432</v>
      </c>
      <c r="F16" s="104">
        <f>DELIVERIES!AR55</f>
        <v>3780</v>
      </c>
      <c r="G16" s="117">
        <f>B.O!AM55</f>
        <v>0</v>
      </c>
      <c r="H16" s="104">
        <f>B.O!AO55</f>
        <v>0</v>
      </c>
      <c r="I16" s="105">
        <f t="shared" ref="I16:I28" si="7">B16+E16-G16-N16</f>
        <v>95</v>
      </c>
      <c r="J16" s="103">
        <f>'WEEKLY INV.'!J105</f>
        <v>8.75</v>
      </c>
      <c r="K16" s="107">
        <f t="shared" ref="K16:K28" si="8">I16*J16</f>
        <v>831.25</v>
      </c>
      <c r="L16" s="114"/>
      <c r="M16" s="101" t="str">
        <f t="shared" si="3"/>
        <v>8 oz</v>
      </c>
      <c r="N16" s="109">
        <f t="shared" ref="N16:N28" si="9">R16</f>
        <v>407</v>
      </c>
      <c r="O16" s="110">
        <f t="shared" si="5"/>
        <v>8.75</v>
      </c>
      <c r="P16" s="111">
        <f>'DAILY COGS'!AO55</f>
        <v>3561.25</v>
      </c>
      <c r="Q16" s="115"/>
      <c r="R16" s="113">
        <f>GROSS!AM55</f>
        <v>407</v>
      </c>
      <c r="S16" s="109">
        <f>'WEEKLY INV.'!S18</f>
        <v>20</v>
      </c>
      <c r="T16" s="104">
        <f>GROSS!AO55</f>
        <v>8140</v>
      </c>
      <c r="V16" s="39"/>
    </row>
    <row r="17" spans="1:22" ht="14.5">
      <c r="A17" s="101" t="str">
        <f>'WEEKLY INV.'!A19</f>
        <v>12 oz</v>
      </c>
      <c r="B17" s="102">
        <f>'WEEKLY INV.'!B19</f>
        <v>227</v>
      </c>
      <c r="C17" s="103">
        <f>'WEEKLY INV.'!C19</f>
        <v>12.25</v>
      </c>
      <c r="D17" s="104">
        <f t="shared" si="6"/>
        <v>2780.75</v>
      </c>
      <c r="E17" s="113">
        <f>DELIVERIES!AS55</f>
        <v>1248</v>
      </c>
      <c r="F17" s="104">
        <f>DELIVERIES!AU55</f>
        <v>15288</v>
      </c>
      <c r="G17" s="117">
        <f>B.O!AP55</f>
        <v>0</v>
      </c>
      <c r="H17" s="104">
        <f>B.O!AR55</f>
        <v>0</v>
      </c>
      <c r="I17" s="105">
        <f t="shared" si="7"/>
        <v>218</v>
      </c>
      <c r="J17" s="103">
        <f>'WEEKLY INV.'!J106</f>
        <v>12.25</v>
      </c>
      <c r="K17" s="107">
        <f t="shared" si="8"/>
        <v>2670.5</v>
      </c>
      <c r="L17" s="114"/>
      <c r="M17" s="101" t="str">
        <f t="shared" si="3"/>
        <v>12 oz</v>
      </c>
      <c r="N17" s="109">
        <f t="shared" si="9"/>
        <v>1257</v>
      </c>
      <c r="O17" s="110">
        <f t="shared" si="5"/>
        <v>12.25</v>
      </c>
      <c r="P17" s="111">
        <f>'DAILY COGS'!AR55</f>
        <v>15398.25</v>
      </c>
      <c r="Q17" s="115"/>
      <c r="R17" s="113">
        <f>GROSS!AP55</f>
        <v>1257</v>
      </c>
      <c r="S17" s="109">
        <f>'WEEKLY INV.'!S19</f>
        <v>25</v>
      </c>
      <c r="T17" s="104">
        <f>GROSS!AR55</f>
        <v>31425</v>
      </c>
      <c r="V17" s="39"/>
    </row>
    <row r="18" spans="1:22" ht="14.5">
      <c r="A18" s="101" t="str">
        <f>'WEEKLY INV.'!A20</f>
        <v>1 LITER</v>
      </c>
      <c r="B18" s="102">
        <f>'WEEKLY INV.'!B20</f>
        <v>0</v>
      </c>
      <c r="C18" s="103">
        <f>'WEEKLY INV.'!C20</f>
        <v>30.25</v>
      </c>
      <c r="D18" s="104">
        <f t="shared" si="6"/>
        <v>0</v>
      </c>
      <c r="E18" s="113">
        <f>DELIVERIES!BT55</f>
        <v>0</v>
      </c>
      <c r="F18" s="104">
        <f>DELIVERIES!BV55</f>
        <v>0</v>
      </c>
      <c r="G18" s="117">
        <f>B.O!AM55</f>
        <v>0</v>
      </c>
      <c r="H18" s="104">
        <f>B.O!BS55</f>
        <v>0</v>
      </c>
      <c r="I18" s="105">
        <f t="shared" si="7"/>
        <v>0</v>
      </c>
      <c r="J18" s="103">
        <f>'WEEKLY INV.'!J107</f>
        <v>30.25</v>
      </c>
      <c r="K18" s="107">
        <f t="shared" si="8"/>
        <v>0</v>
      </c>
      <c r="L18" s="114"/>
      <c r="M18" s="101" t="str">
        <f t="shared" si="3"/>
        <v>1 LITER</v>
      </c>
      <c r="N18" s="109">
        <f t="shared" si="9"/>
        <v>0</v>
      </c>
      <c r="O18" s="110">
        <f t="shared" si="5"/>
        <v>30.25</v>
      </c>
      <c r="P18" s="111">
        <f>'DAILY COGS'!BS55</f>
        <v>0</v>
      </c>
      <c r="Q18" s="115"/>
      <c r="R18" s="113">
        <f>GROSS!BQ55</f>
        <v>0</v>
      </c>
      <c r="S18" s="109">
        <f>'WEEKLY INV.'!S20</f>
        <v>40</v>
      </c>
      <c r="T18" s="104">
        <f>GROSS!BS55</f>
        <v>0</v>
      </c>
      <c r="V18" s="39">
        <v>10905</v>
      </c>
    </row>
    <row r="19" spans="1:22" ht="14.5">
      <c r="A19" s="101" t="str">
        <f>'WEEKLY INV.'!A21</f>
        <v>1.5 L</v>
      </c>
      <c r="B19" s="102">
        <f>'WEEKLY INV.'!B21</f>
        <v>0</v>
      </c>
      <c r="C19" s="103">
        <f>'WEEKLY INV.'!C21</f>
        <v>15.916666666659999</v>
      </c>
      <c r="D19" s="104">
        <f t="shared" si="6"/>
        <v>0</v>
      </c>
      <c r="E19" s="113">
        <f>DELIVERIES!BW55</f>
        <v>0</v>
      </c>
      <c r="F19" s="104">
        <f>DELIVERIES!BY55</f>
        <v>0</v>
      </c>
      <c r="G19" s="117">
        <f>B.O!AP55</f>
        <v>0</v>
      </c>
      <c r="H19" s="104">
        <f>B.O!BV55</f>
        <v>0</v>
      </c>
      <c r="I19" s="105">
        <f t="shared" si="7"/>
        <v>0</v>
      </c>
      <c r="J19" s="103">
        <f>'WEEKLY INV.'!J108</f>
        <v>15.916666666659999</v>
      </c>
      <c r="K19" s="107">
        <f t="shared" si="8"/>
        <v>0</v>
      </c>
      <c r="L19" s="114"/>
      <c r="M19" s="101" t="str">
        <f t="shared" si="3"/>
        <v>1.5 L</v>
      </c>
      <c r="N19" s="109">
        <f t="shared" si="9"/>
        <v>0</v>
      </c>
      <c r="O19" s="110">
        <f t="shared" si="5"/>
        <v>15.916666666659999</v>
      </c>
      <c r="P19" s="111">
        <f>'DAILY COGS'!BV55</f>
        <v>0</v>
      </c>
      <c r="Q19" s="115"/>
      <c r="R19" s="113">
        <f>GROSS!BT55</f>
        <v>0</v>
      </c>
      <c r="S19" s="109">
        <f>'WEEKLY INV.'!S21</f>
        <v>80</v>
      </c>
      <c r="T19" s="104">
        <f>GROSS!BV55</f>
        <v>0</v>
      </c>
      <c r="V19" s="39">
        <v>11271</v>
      </c>
    </row>
    <row r="20" spans="1:22" ht="14.5">
      <c r="A20" s="101" t="str">
        <f>'WEEKLY INV.'!A22</f>
        <v>Water 350ml</v>
      </c>
      <c r="B20" s="102">
        <f>'WEEKLY INV.'!B22</f>
        <v>0</v>
      </c>
      <c r="C20" s="103">
        <f>'WEEKLY INV.'!C22</f>
        <v>7.9166666666600003</v>
      </c>
      <c r="D20" s="104">
        <f t="shared" si="6"/>
        <v>0</v>
      </c>
      <c r="E20" s="113">
        <f>DELIVERIES!AV55</f>
        <v>0</v>
      </c>
      <c r="F20" s="104">
        <f>DELIVERIES!AX55</f>
        <v>0</v>
      </c>
      <c r="G20" s="117">
        <f>B.O!AS55</f>
        <v>0</v>
      </c>
      <c r="H20" s="104">
        <f>B.O!AU55</f>
        <v>0</v>
      </c>
      <c r="I20" s="105">
        <f t="shared" si="7"/>
        <v>0</v>
      </c>
      <c r="J20" s="103">
        <f>'WEEKLY INV.'!J109</f>
        <v>7.791666666666667</v>
      </c>
      <c r="K20" s="107">
        <f t="shared" si="8"/>
        <v>0</v>
      </c>
      <c r="L20" s="114"/>
      <c r="M20" s="101" t="str">
        <f t="shared" si="3"/>
        <v>Water 350ml</v>
      </c>
      <c r="N20" s="109">
        <f t="shared" si="9"/>
        <v>0</v>
      </c>
      <c r="O20" s="110">
        <f t="shared" si="5"/>
        <v>7.9166666666600003</v>
      </c>
      <c r="P20" s="111">
        <f>'DAILY COGS'!AU55</f>
        <v>0</v>
      </c>
      <c r="Q20" s="115"/>
      <c r="R20" s="113">
        <f>GROSS!AS55</f>
        <v>0</v>
      </c>
      <c r="S20" s="109">
        <f>'WEEKLY INV.'!S22</f>
        <v>15</v>
      </c>
      <c r="T20" s="104">
        <f>GROSS!AU55</f>
        <v>0</v>
      </c>
      <c r="V20" s="39"/>
    </row>
    <row r="21" spans="1:22" ht="15.75" customHeight="1">
      <c r="A21" s="101" t="str">
        <f>'WEEKLY INV.'!A23</f>
        <v>Water 500ml</v>
      </c>
      <c r="B21" s="102">
        <f>'WEEKLY INV.'!B23</f>
        <v>85</v>
      </c>
      <c r="C21" s="70">
        <f>232/24</f>
        <v>9.6666666666666661</v>
      </c>
      <c r="D21" s="104">
        <f t="shared" si="6"/>
        <v>821.66666666666663</v>
      </c>
      <c r="E21" s="113">
        <f>DELIVERIES!AY55</f>
        <v>192</v>
      </c>
      <c r="F21" s="104">
        <f>DELIVERIES!BA55</f>
        <v>1880</v>
      </c>
      <c r="G21" s="117">
        <f>B.O!AV55</f>
        <v>0</v>
      </c>
      <c r="H21" s="104">
        <f>B.O!AX55</f>
        <v>0</v>
      </c>
      <c r="I21" s="105">
        <f t="shared" si="7"/>
        <v>48</v>
      </c>
      <c r="J21" s="103">
        <f>'WEEKLY INV.'!J110</f>
        <v>9.7916666666666661</v>
      </c>
      <c r="K21" s="107">
        <f t="shared" si="8"/>
        <v>470</v>
      </c>
      <c r="L21" s="114"/>
      <c r="M21" s="101" t="str">
        <f t="shared" si="3"/>
        <v>Water 500ml</v>
      </c>
      <c r="N21" s="109">
        <f t="shared" si="9"/>
        <v>229</v>
      </c>
      <c r="O21" s="110">
        <f t="shared" si="5"/>
        <v>9.6666666666666661</v>
      </c>
      <c r="P21" s="111">
        <f>'DAILY COGS'!AX55</f>
        <v>2242.2916666666665</v>
      </c>
      <c r="Q21" s="115"/>
      <c r="R21" s="113">
        <f>GROSS!AV55</f>
        <v>229</v>
      </c>
      <c r="S21" s="109">
        <f>'WEEKLY INV.'!S23</f>
        <v>20</v>
      </c>
      <c r="T21" s="104">
        <f>GROSS!AX55</f>
        <v>4580</v>
      </c>
      <c r="V21" s="39"/>
    </row>
    <row r="22" spans="1:22" ht="15.75" customHeight="1">
      <c r="A22" s="101" t="str">
        <f>'WEEKLY INV.'!A24</f>
        <v>GATORADE</v>
      </c>
      <c r="B22" s="102">
        <f>'WEEKLY INV.'!B24</f>
        <v>0</v>
      </c>
      <c r="C22" s="103">
        <f>'WEEKLY INV.'!C24</f>
        <v>23</v>
      </c>
      <c r="D22" s="104">
        <f t="shared" si="6"/>
        <v>0</v>
      </c>
      <c r="E22" s="113">
        <f>DELIVERIES!BK55</f>
        <v>0</v>
      </c>
      <c r="F22" s="104">
        <f>DELIVERIES!BM55</f>
        <v>0</v>
      </c>
      <c r="G22" s="117">
        <f>B.O!AY55</f>
        <v>0</v>
      </c>
      <c r="H22" s="104">
        <f>B.O!BJ55</f>
        <v>0</v>
      </c>
      <c r="I22" s="105">
        <f t="shared" si="7"/>
        <v>0</v>
      </c>
      <c r="J22" s="103">
        <f>'WEEKLY INV.'!J111</f>
        <v>23</v>
      </c>
      <c r="K22" s="107">
        <f t="shared" si="8"/>
        <v>0</v>
      </c>
      <c r="L22" s="114"/>
      <c r="M22" s="101" t="str">
        <f t="shared" si="3"/>
        <v>GATORADE</v>
      </c>
      <c r="N22" s="109">
        <f t="shared" si="9"/>
        <v>0</v>
      </c>
      <c r="O22" s="110">
        <f t="shared" si="5"/>
        <v>23</v>
      </c>
      <c r="P22" s="111">
        <f>'DAILY COGS'!BJ55</f>
        <v>0</v>
      </c>
      <c r="Q22" s="115"/>
      <c r="R22" s="113">
        <f>GROSS!BH55</f>
        <v>0</v>
      </c>
      <c r="S22" s="109">
        <f>'WEEKLY INV.'!S24</f>
        <v>35</v>
      </c>
      <c r="T22" s="104">
        <f>GROSS!BJ55</f>
        <v>0</v>
      </c>
      <c r="V22" s="39">
        <v>4500</v>
      </c>
    </row>
    <row r="23" spans="1:22" ht="15.75" customHeight="1">
      <c r="A23" s="101" t="str">
        <f>'WEEKLY INV.'!A25</f>
        <v>STING</v>
      </c>
      <c r="B23" s="102">
        <f>'WEEKLY INV.'!B25</f>
        <v>26</v>
      </c>
      <c r="C23" s="103">
        <f>'WEEKLY INV.'!C25</f>
        <v>12.75</v>
      </c>
      <c r="D23" s="104">
        <f t="shared" si="6"/>
        <v>331.5</v>
      </c>
      <c r="E23" s="113">
        <f>DELIVERIES!BQ55</f>
        <v>96</v>
      </c>
      <c r="F23" s="104">
        <f>DELIVERIES!BS55</f>
        <v>1224</v>
      </c>
      <c r="G23" s="117">
        <f>B.O!BB55</f>
        <v>0</v>
      </c>
      <c r="H23" s="104">
        <f>B.O!BP55</f>
        <v>0</v>
      </c>
      <c r="I23" s="105">
        <f t="shared" si="7"/>
        <v>29</v>
      </c>
      <c r="J23" s="103">
        <f>'WEEKLY INV.'!J112</f>
        <v>12.75</v>
      </c>
      <c r="K23" s="107">
        <f t="shared" si="8"/>
        <v>369.75</v>
      </c>
      <c r="L23" s="114"/>
      <c r="M23" s="101" t="str">
        <f t="shared" si="3"/>
        <v>STING</v>
      </c>
      <c r="N23" s="109">
        <f t="shared" si="9"/>
        <v>93</v>
      </c>
      <c r="O23" s="110">
        <f t="shared" si="5"/>
        <v>12.75</v>
      </c>
      <c r="P23" s="111">
        <f>'DAILY COGS'!BP55</f>
        <v>1185.75</v>
      </c>
      <c r="Q23" s="115"/>
      <c r="R23" s="113">
        <f>GROSS!BN55</f>
        <v>93</v>
      </c>
      <c r="S23" s="109">
        <f>'WEEKLY INV.'!S25</f>
        <v>25</v>
      </c>
      <c r="T23" s="104">
        <f>GROSS!BP55</f>
        <v>2325</v>
      </c>
      <c r="V23" s="39"/>
    </row>
    <row r="24" spans="1:22" ht="15.75" customHeight="1">
      <c r="A24" s="101" t="str">
        <f>'WEEKLY INV.'!A26</f>
        <v>TROPICANA</v>
      </c>
      <c r="B24" s="102">
        <f>'WEEKLY INV.'!B26</f>
        <v>0</v>
      </c>
      <c r="C24" s="103">
        <f>'WEEKLY INV.'!C26</f>
        <v>12.5</v>
      </c>
      <c r="D24" s="104">
        <f t="shared" si="6"/>
        <v>0</v>
      </c>
      <c r="E24" s="113">
        <f>DELIVERIES!BN55</f>
        <v>0</v>
      </c>
      <c r="F24" s="104">
        <f>DELIVERIES!BP55</f>
        <v>0</v>
      </c>
      <c r="G24" s="117">
        <f>B.O!BE55</f>
        <v>0</v>
      </c>
      <c r="H24" s="104">
        <f>B.O!BM55</f>
        <v>0</v>
      </c>
      <c r="I24" s="105">
        <f t="shared" si="7"/>
        <v>0</v>
      </c>
      <c r="J24" s="103">
        <f>'WEEKLY INV.'!J113</f>
        <v>12.5</v>
      </c>
      <c r="K24" s="107">
        <f t="shared" si="8"/>
        <v>0</v>
      </c>
      <c r="L24" s="114"/>
      <c r="M24" s="101" t="str">
        <f t="shared" si="3"/>
        <v>TROPICANA</v>
      </c>
      <c r="N24" s="109">
        <f t="shared" si="9"/>
        <v>0</v>
      </c>
      <c r="O24" s="110">
        <f t="shared" si="5"/>
        <v>12.5</v>
      </c>
      <c r="P24" s="111">
        <f>'DAILY COGS'!BM55</f>
        <v>0</v>
      </c>
      <c r="Q24" s="115"/>
      <c r="R24" s="113">
        <f>GROSS!BK55</f>
        <v>0</v>
      </c>
      <c r="S24" s="109">
        <f>'WEEKLY INV.'!S26</f>
        <v>22</v>
      </c>
      <c r="T24" s="104">
        <f>GROSS!BM55</f>
        <v>0</v>
      </c>
      <c r="V24" s="39"/>
    </row>
    <row r="25" spans="1:22" ht="15.75" customHeight="1">
      <c r="A25" s="101" t="str">
        <f>'WEEKLY INV.'!A27</f>
        <v>PANALO</v>
      </c>
      <c r="B25" s="102">
        <f>'WEEKLY INV.'!B27</f>
        <v>0</v>
      </c>
      <c r="C25" s="103">
        <f>'WEEKLY INV.'!C27</f>
        <v>16.333333333333332</v>
      </c>
      <c r="D25" s="104">
        <f t="shared" si="6"/>
        <v>0</v>
      </c>
      <c r="E25" s="113">
        <f>DELIVERIES!BB55</f>
        <v>0</v>
      </c>
      <c r="F25" s="104">
        <f>DELIVERIES!BD55</f>
        <v>0</v>
      </c>
      <c r="G25" s="117">
        <f>B.O!BH55</f>
        <v>0</v>
      </c>
      <c r="H25" s="104">
        <f>B.O!BA55</f>
        <v>0</v>
      </c>
      <c r="I25" s="105">
        <f t="shared" si="7"/>
        <v>0</v>
      </c>
      <c r="J25" s="103">
        <f>'WEEKLY INV.'!J114</f>
        <v>16.333333333333332</v>
      </c>
      <c r="K25" s="107">
        <f t="shared" si="8"/>
        <v>0</v>
      </c>
      <c r="L25" s="114"/>
      <c r="M25" s="101" t="str">
        <f t="shared" si="3"/>
        <v>PANALO</v>
      </c>
      <c r="N25" s="109">
        <f t="shared" si="9"/>
        <v>0</v>
      </c>
      <c r="O25" s="110">
        <f t="shared" si="5"/>
        <v>16.333333333333332</v>
      </c>
      <c r="P25" s="111">
        <f>'DAILY COGS'!BA55</f>
        <v>0</v>
      </c>
      <c r="Q25" s="115"/>
      <c r="R25" s="113">
        <f>GROSS!AY55</f>
        <v>0</v>
      </c>
      <c r="S25" s="109">
        <f>'WEEKLY INV.'!S27</f>
        <v>25</v>
      </c>
      <c r="T25" s="104">
        <f>GROSS!BA55</f>
        <v>0</v>
      </c>
      <c r="V25" s="39"/>
    </row>
    <row r="26" spans="1:22" ht="15.75" customHeight="1">
      <c r="A26" s="101" t="str">
        <f>'WEEKLY INV.'!A28</f>
        <v>SWAKTO</v>
      </c>
      <c r="B26" s="102">
        <f>'WEEKLY INV.'!B28</f>
        <v>107</v>
      </c>
      <c r="C26" s="103">
        <f>'WEEKLY INV.'!C28</f>
        <v>11.5</v>
      </c>
      <c r="D26" s="104">
        <f t="shared" si="6"/>
        <v>1230.5</v>
      </c>
      <c r="E26" s="113">
        <f>DELIVERIES!BE55</f>
        <v>0</v>
      </c>
      <c r="F26" s="104">
        <f>DELIVERIES!BG55</f>
        <v>0</v>
      </c>
      <c r="G26" s="117">
        <f>B.O!BK55</f>
        <v>0</v>
      </c>
      <c r="H26" s="104">
        <f>B.O!BD55</f>
        <v>0</v>
      </c>
      <c r="I26" s="105">
        <f t="shared" si="7"/>
        <v>0</v>
      </c>
      <c r="J26" s="103">
        <f>'WEEKLY INV.'!J115</f>
        <v>11.833333333333334</v>
      </c>
      <c r="K26" s="107">
        <f t="shared" si="8"/>
        <v>0</v>
      </c>
      <c r="L26" s="114"/>
      <c r="M26" s="101" t="str">
        <f t="shared" si="3"/>
        <v>SWAKTO</v>
      </c>
      <c r="N26" s="109">
        <f t="shared" si="9"/>
        <v>107</v>
      </c>
      <c r="O26" s="110">
        <f t="shared" si="5"/>
        <v>11.5</v>
      </c>
      <c r="P26" s="111">
        <f>'DAILY COGS'!BD55</f>
        <v>1232.3333333333333</v>
      </c>
      <c r="Q26" s="115"/>
      <c r="R26" s="113">
        <f>GROSS!BB55</f>
        <v>107</v>
      </c>
      <c r="S26" s="109">
        <f>'WEEKLY INV.'!S28</f>
        <v>17</v>
      </c>
      <c r="T26" s="104">
        <f>GROSS!BD55</f>
        <v>1819</v>
      </c>
      <c r="V26" s="39"/>
    </row>
    <row r="27" spans="1:22" ht="15.75" customHeight="1">
      <c r="A27" s="101" t="str">
        <f>'WEEKLY INV.'!A29</f>
        <v>CALAMANSI JUICE</v>
      </c>
      <c r="B27" s="102">
        <f>'WEEKLY INV.'!B29</f>
        <v>88</v>
      </c>
      <c r="C27" s="103">
        <f>'WEEKLY INV.'!C29</f>
        <v>20</v>
      </c>
      <c r="D27" s="104">
        <f t="shared" si="6"/>
        <v>1760</v>
      </c>
      <c r="E27" s="113">
        <f>DELIVERIES!BH55</f>
        <v>50</v>
      </c>
      <c r="F27" s="104">
        <f>DELIVERIES!BJ55</f>
        <v>1000</v>
      </c>
      <c r="G27" s="117">
        <f>B.O!BN55</f>
        <v>0</v>
      </c>
      <c r="H27" s="104">
        <f t="shared" ref="H27:H28" si="10">G27*C27</f>
        <v>0</v>
      </c>
      <c r="I27" s="105">
        <f t="shared" si="7"/>
        <v>42</v>
      </c>
      <c r="J27" s="103">
        <f>'WEEKLY INV.'!J116</f>
        <v>20</v>
      </c>
      <c r="K27" s="107">
        <f t="shared" si="8"/>
        <v>840</v>
      </c>
      <c r="L27" s="114"/>
      <c r="M27" s="101" t="str">
        <f t="shared" si="3"/>
        <v>CALAMANSI JUICE</v>
      </c>
      <c r="N27" s="109">
        <f t="shared" si="9"/>
        <v>96</v>
      </c>
      <c r="O27" s="110">
        <f t="shared" si="5"/>
        <v>20</v>
      </c>
      <c r="P27" s="111">
        <f>'DAILY COGS'!BG55</f>
        <v>1920</v>
      </c>
      <c r="Q27" s="115"/>
      <c r="R27" s="113">
        <f>GROSS!BE55</f>
        <v>96</v>
      </c>
      <c r="S27" s="109">
        <f>'WEEKLY INV.'!S29</f>
        <v>25</v>
      </c>
      <c r="T27" s="104">
        <f>GROSS!BG55</f>
        <v>2400</v>
      </c>
      <c r="V27" s="39">
        <v>620</v>
      </c>
    </row>
    <row r="28" spans="1:22" ht="15.75" customHeight="1">
      <c r="A28" s="101" t="str">
        <f>'WEEKLY INV.'!A30</f>
        <v>PREMIUM CUT</v>
      </c>
      <c r="B28" s="102">
        <f>'WEEKLY INV.'!B30</f>
        <v>0</v>
      </c>
      <c r="C28" s="103">
        <f>'WEEKLY INV.'!C30</f>
        <v>30</v>
      </c>
      <c r="D28" s="104">
        <f t="shared" si="6"/>
        <v>0</v>
      </c>
      <c r="E28" s="113">
        <f>DELIVERIES!B55</f>
        <v>0</v>
      </c>
      <c r="F28" s="104">
        <f>DELIVERIES!D55</f>
        <v>0</v>
      </c>
      <c r="G28" s="117">
        <f>B.O!B55</f>
        <v>0</v>
      </c>
      <c r="H28" s="104">
        <f t="shared" si="10"/>
        <v>0</v>
      </c>
      <c r="I28" s="105">
        <f t="shared" si="7"/>
        <v>0</v>
      </c>
      <c r="J28" s="103">
        <f>'WEEKLY INV.'!J117</f>
        <v>30</v>
      </c>
      <c r="K28" s="107">
        <f t="shared" si="8"/>
        <v>0</v>
      </c>
      <c r="L28" s="114"/>
      <c r="M28" s="101" t="str">
        <f t="shared" si="3"/>
        <v>PREMIUM CUT</v>
      </c>
      <c r="N28" s="109">
        <f t="shared" si="9"/>
        <v>0</v>
      </c>
      <c r="O28" s="110">
        <f t="shared" si="5"/>
        <v>30</v>
      </c>
      <c r="P28" s="148">
        <f>'DAILY COGS'!D55</f>
        <v>0</v>
      </c>
      <c r="Q28" s="115"/>
      <c r="R28" s="113">
        <f>GROSS!B55</f>
        <v>0</v>
      </c>
      <c r="S28" s="109">
        <f>'WEEKLY INV.'!S30</f>
        <v>40</v>
      </c>
      <c r="T28" s="104">
        <f>GROSS!D55</f>
        <v>0</v>
      </c>
      <c r="V28" s="39"/>
    </row>
    <row r="29" spans="1:22" ht="15.75" customHeight="1">
      <c r="A29" s="464" t="str">
        <f>'WEEKLY INV.'!A31</f>
        <v>SUB TOTAL</v>
      </c>
      <c r="B29" s="465"/>
      <c r="C29" s="120">
        <f>'WEEKLY INV.'!C31</f>
        <v>0</v>
      </c>
      <c r="D29" s="121">
        <f>SUM(D16:D28)</f>
        <v>7536.916666666667</v>
      </c>
      <c r="E29" s="122"/>
      <c r="F29" s="121">
        <f>SUM(F16:F28)</f>
        <v>23172</v>
      </c>
      <c r="G29" s="123"/>
      <c r="H29" s="121">
        <f>SUM(H16:H28)</f>
        <v>0</v>
      </c>
      <c r="I29" s="121"/>
      <c r="J29" s="120">
        <f>'WEEKLY INV.'!J118</f>
        <v>0</v>
      </c>
      <c r="K29" s="121">
        <f>SUM(K16:K28)</f>
        <v>5181.5</v>
      </c>
      <c r="L29" s="124"/>
      <c r="M29" s="466" t="str">
        <f t="shared" si="3"/>
        <v>SUB TOTAL</v>
      </c>
      <c r="N29" s="423"/>
      <c r="O29" s="125">
        <f t="shared" si="5"/>
        <v>0</v>
      </c>
      <c r="P29" s="121">
        <f>SUM(P16:P28)</f>
        <v>25539.875</v>
      </c>
      <c r="Q29" s="126"/>
      <c r="R29" s="122">
        <f>GROSS!CC55</f>
        <v>0</v>
      </c>
      <c r="S29" s="127">
        <f>'WEEKLY INV.'!S31</f>
        <v>0</v>
      </c>
      <c r="T29" s="121">
        <f>SUM(T16:T28)</f>
        <v>50689</v>
      </c>
      <c r="V29" s="39"/>
    </row>
    <row r="30" spans="1:22" ht="15.75" customHeight="1">
      <c r="A30" s="149" t="s">
        <v>23</v>
      </c>
      <c r="B30" s="150"/>
      <c r="C30" s="150"/>
      <c r="D30" s="151">
        <f>D29+D15</f>
        <v>15858.939393939396</v>
      </c>
      <c r="E30" s="151"/>
      <c r="F30" s="151">
        <f>F29+F15</f>
        <v>335172.5</v>
      </c>
      <c r="G30" s="151"/>
      <c r="H30" s="151">
        <f>H29+H15</f>
        <v>0</v>
      </c>
      <c r="I30" s="151"/>
      <c r="J30" s="150"/>
      <c r="K30" s="151">
        <f>K29+K15</f>
        <v>18206.5</v>
      </c>
      <c r="L30" s="152"/>
      <c r="M30" s="153" t="str">
        <f t="shared" si="3"/>
        <v>TOTAL</v>
      </c>
      <c r="N30" s="150"/>
      <c r="O30" s="154"/>
      <c r="P30" s="151">
        <f>P29+P15</f>
        <v>332893.875</v>
      </c>
      <c r="Q30" s="155"/>
      <c r="R30" s="150"/>
      <c r="S30" s="150"/>
      <c r="T30" s="151">
        <f>T29+T15</f>
        <v>512383</v>
      </c>
      <c r="V30" s="39"/>
    </row>
    <row r="31" spans="1:22" ht="15.75" customHeight="1">
      <c r="V31" s="39"/>
    </row>
    <row r="32" spans="1:22" ht="15.75" customHeight="1">
      <c r="F32" s="39"/>
      <c r="V32" s="39"/>
    </row>
    <row r="33" spans="5:22" ht="15.75" customHeight="1">
      <c r="E33" s="36">
        <f>D30+F30-K30</f>
        <v>332824.93939393939</v>
      </c>
      <c r="F33" s="156">
        <f>P30</f>
        <v>332893.875</v>
      </c>
      <c r="V33" s="39"/>
    </row>
    <row r="34" spans="5:22" ht="15.75" customHeight="1">
      <c r="V34" s="39"/>
    </row>
    <row r="35" spans="5:22" ht="15.75" customHeight="1">
      <c r="V35" s="39"/>
    </row>
    <row r="36" spans="5:22" ht="15.75" customHeight="1">
      <c r="K36" s="38">
        <f>D30+F30-P30</f>
        <v>18137.564393939392</v>
      </c>
      <c r="V36" s="39"/>
    </row>
    <row r="37" spans="5:22" ht="15.75" customHeight="1">
      <c r="V37" s="39"/>
    </row>
    <row r="38" spans="5:22" ht="15.75" customHeight="1">
      <c r="V38" s="39"/>
    </row>
    <row r="39" spans="5:22" ht="15.75" customHeight="1">
      <c r="V39" s="39"/>
    </row>
    <row r="40" spans="5:22" ht="15.75" customHeight="1">
      <c r="V40" s="39"/>
    </row>
    <row r="41" spans="5:22" ht="15.75" customHeight="1">
      <c r="V41" s="39"/>
    </row>
    <row r="42" spans="5:22" ht="15.75" customHeight="1">
      <c r="V42" s="39"/>
    </row>
    <row r="43" spans="5:22" ht="15.75" customHeight="1">
      <c r="V43" s="39"/>
    </row>
    <row r="44" spans="5:22" ht="15.75" customHeight="1">
      <c r="V44" s="39"/>
    </row>
    <row r="45" spans="5:22" ht="15.75" customHeight="1">
      <c r="V45" s="39"/>
    </row>
    <row r="46" spans="5:22" ht="15.75" customHeight="1">
      <c r="V46" s="39"/>
    </row>
    <row r="47" spans="5:22" ht="15.75" customHeight="1">
      <c r="V47" s="39"/>
    </row>
    <row r="48" spans="5:22" ht="15.75" customHeight="1">
      <c r="V48" s="39"/>
    </row>
    <row r="49" spans="22:22" ht="15.75" customHeight="1">
      <c r="V49" s="39"/>
    </row>
    <row r="50" spans="22:22" ht="15.75" customHeight="1">
      <c r="V50" s="39"/>
    </row>
    <row r="51" spans="22:22" ht="15.75" customHeight="1">
      <c r="V51" s="39"/>
    </row>
    <row r="52" spans="22:22" ht="15.75" customHeight="1">
      <c r="V52" s="39"/>
    </row>
    <row r="53" spans="22:22" ht="15.75" customHeight="1">
      <c r="V53" s="39"/>
    </row>
    <row r="54" spans="22:22" ht="15.75" customHeight="1">
      <c r="V54" s="39"/>
    </row>
    <row r="55" spans="22:22" ht="15.75" customHeight="1">
      <c r="V55" s="39"/>
    </row>
    <row r="56" spans="22:22" ht="15.75" customHeight="1">
      <c r="V56" s="39"/>
    </row>
    <row r="57" spans="22:22" ht="15.75" customHeight="1">
      <c r="V57" s="39"/>
    </row>
    <row r="58" spans="22:22" ht="15.75" customHeight="1">
      <c r="V58" s="39"/>
    </row>
    <row r="59" spans="22:22" ht="15.75" customHeight="1">
      <c r="V59" s="39"/>
    </row>
    <row r="60" spans="22:22" ht="15.75" customHeight="1">
      <c r="V60" s="39"/>
    </row>
    <row r="61" spans="22:22" ht="15.75" customHeight="1">
      <c r="V61" s="39"/>
    </row>
    <row r="62" spans="22:22" ht="15.75" customHeight="1">
      <c r="V62" s="39"/>
    </row>
    <row r="63" spans="22:22" ht="15.75" customHeight="1">
      <c r="V63" s="39"/>
    </row>
    <row r="64" spans="22:22" ht="15.75" customHeight="1">
      <c r="V64" s="39"/>
    </row>
    <row r="65" spans="22:22" ht="15.75" customHeight="1">
      <c r="V65" s="39"/>
    </row>
    <row r="66" spans="22:22" ht="15.75" customHeight="1">
      <c r="V66" s="39"/>
    </row>
    <row r="67" spans="22:22" ht="15.75" customHeight="1">
      <c r="V67" s="39"/>
    </row>
    <row r="68" spans="22:22" ht="15.75" customHeight="1">
      <c r="V68" s="39"/>
    </row>
    <row r="69" spans="22:22" ht="15.75" customHeight="1">
      <c r="V69" s="39"/>
    </row>
    <row r="70" spans="22:22" ht="15.75" customHeight="1">
      <c r="V70" s="39"/>
    </row>
    <row r="71" spans="22:22" ht="15.75" customHeight="1">
      <c r="V71" s="39"/>
    </row>
    <row r="72" spans="22:22" ht="15.75" customHeight="1">
      <c r="V72" s="39"/>
    </row>
    <row r="73" spans="22:22" ht="15.75" customHeight="1">
      <c r="V73" s="39"/>
    </row>
    <row r="74" spans="22:22" ht="15.75" customHeight="1">
      <c r="V74" s="39"/>
    </row>
    <row r="75" spans="22:22" ht="15.75" customHeight="1">
      <c r="V75" s="39"/>
    </row>
    <row r="76" spans="22:22" ht="15.75" customHeight="1">
      <c r="V76" s="39"/>
    </row>
    <row r="77" spans="22:22" ht="15.75" customHeight="1">
      <c r="V77" s="39"/>
    </row>
    <row r="78" spans="22:22" ht="15.75" customHeight="1">
      <c r="V78" s="39"/>
    </row>
    <row r="79" spans="22:22" ht="15.75" customHeight="1">
      <c r="V79" s="39"/>
    </row>
    <row r="80" spans="22:22" ht="15.75" customHeight="1">
      <c r="V80" s="39"/>
    </row>
    <row r="81" spans="22:22" ht="15.75" customHeight="1">
      <c r="V81" s="39"/>
    </row>
    <row r="82" spans="22:22" ht="15.75" customHeight="1">
      <c r="V82" s="39"/>
    </row>
    <row r="83" spans="22:22" ht="15.75" customHeight="1">
      <c r="V83" s="39"/>
    </row>
    <row r="84" spans="22:22" ht="15.75" customHeight="1">
      <c r="V84" s="39"/>
    </row>
    <row r="85" spans="22:22" ht="15.75" customHeight="1">
      <c r="V85" s="39"/>
    </row>
    <row r="86" spans="22:22" ht="15.75" customHeight="1">
      <c r="V86" s="39"/>
    </row>
    <row r="87" spans="22:22" ht="15.75" customHeight="1">
      <c r="V87" s="39"/>
    </row>
    <row r="88" spans="22:22" ht="15.75" customHeight="1">
      <c r="V88" s="39"/>
    </row>
    <row r="89" spans="22:22" ht="15.75" customHeight="1">
      <c r="V89" s="39"/>
    </row>
    <row r="90" spans="22:22" ht="15.75" customHeight="1">
      <c r="V90" s="39"/>
    </row>
    <row r="91" spans="22:22" ht="15.75" customHeight="1">
      <c r="V91" s="39"/>
    </row>
    <row r="92" spans="22:22" ht="15.75" customHeight="1">
      <c r="V92" s="39"/>
    </row>
    <row r="93" spans="22:22" ht="15.75" customHeight="1">
      <c r="V93" s="39"/>
    </row>
    <row r="94" spans="22:22" ht="15.75" customHeight="1">
      <c r="V94" s="39"/>
    </row>
    <row r="95" spans="22:22" ht="15.75" customHeight="1">
      <c r="V95" s="39"/>
    </row>
    <row r="96" spans="22:22" ht="15.75" customHeight="1">
      <c r="V96" s="39"/>
    </row>
    <row r="97" spans="22:22" ht="15.75" customHeight="1">
      <c r="V97" s="39"/>
    </row>
    <row r="98" spans="22:22" ht="15.75" customHeight="1">
      <c r="V98" s="39"/>
    </row>
    <row r="99" spans="22:22" ht="15.75" customHeight="1">
      <c r="V99" s="39"/>
    </row>
    <row r="100" spans="22:22" ht="15.75" customHeight="1">
      <c r="V100" s="39"/>
    </row>
    <row r="101" spans="22:22" ht="15.75" customHeight="1">
      <c r="V101" s="39"/>
    </row>
    <row r="102" spans="22:22" ht="15.75" customHeight="1">
      <c r="V102" s="39"/>
    </row>
    <row r="103" spans="22:22" ht="15.75" customHeight="1">
      <c r="V103" s="39"/>
    </row>
    <row r="104" spans="22:22" ht="15.75" customHeight="1">
      <c r="V104" s="39"/>
    </row>
    <row r="105" spans="22:22" ht="15.75" customHeight="1">
      <c r="V105" s="39"/>
    </row>
    <row r="106" spans="22:22" ht="15.75" customHeight="1">
      <c r="V106" s="39"/>
    </row>
    <row r="107" spans="22:22" ht="15.75" customHeight="1">
      <c r="V107" s="39"/>
    </row>
    <row r="108" spans="22:22" ht="15.75" customHeight="1">
      <c r="V108" s="39"/>
    </row>
    <row r="109" spans="22:22" ht="15.75" customHeight="1">
      <c r="V109" s="39"/>
    </row>
    <row r="110" spans="22:22" ht="15.75" customHeight="1">
      <c r="V110" s="39"/>
    </row>
    <row r="111" spans="22:22" ht="15.75" customHeight="1">
      <c r="V111" s="39"/>
    </row>
    <row r="112" spans="22:22" ht="15.75" customHeight="1">
      <c r="V112" s="39"/>
    </row>
    <row r="113" spans="22:22" ht="15.75" customHeight="1">
      <c r="V113" s="39"/>
    </row>
    <row r="114" spans="22:22" ht="15.75" customHeight="1">
      <c r="V114" s="39"/>
    </row>
    <row r="115" spans="22:22" ht="15.75" customHeight="1">
      <c r="V115" s="39"/>
    </row>
    <row r="116" spans="22:22" ht="15.75" customHeight="1">
      <c r="V116" s="39"/>
    </row>
    <row r="117" spans="22:22" ht="15.75" customHeight="1">
      <c r="V117" s="39"/>
    </row>
    <row r="118" spans="22:22" ht="15.75" customHeight="1">
      <c r="V118" s="39"/>
    </row>
    <row r="119" spans="22:22" ht="15.75" customHeight="1">
      <c r="V119" s="39"/>
    </row>
    <row r="120" spans="22:22" ht="15.75" customHeight="1">
      <c r="V120" s="39"/>
    </row>
    <row r="121" spans="22:22" ht="15.75" customHeight="1">
      <c r="V121" s="39"/>
    </row>
    <row r="122" spans="22:22" ht="15.75" customHeight="1">
      <c r="V122" s="39"/>
    </row>
    <row r="123" spans="22:22" ht="15.75" customHeight="1">
      <c r="V123" s="39"/>
    </row>
    <row r="124" spans="22:22" ht="15.75" customHeight="1">
      <c r="V124" s="39"/>
    </row>
    <row r="125" spans="22:22" ht="15.75" customHeight="1">
      <c r="V125" s="39"/>
    </row>
    <row r="126" spans="22:22" ht="15.75" customHeight="1">
      <c r="V126" s="39"/>
    </row>
    <row r="127" spans="22:22" ht="15.75" customHeight="1">
      <c r="V127" s="39"/>
    </row>
    <row r="128" spans="22:22" ht="15.75" customHeight="1">
      <c r="V128" s="39"/>
    </row>
    <row r="129" spans="22:22" ht="15.75" customHeight="1">
      <c r="V129" s="39"/>
    </row>
    <row r="130" spans="22:22" ht="15.75" customHeight="1">
      <c r="V130" s="39"/>
    </row>
    <row r="131" spans="22:22" ht="15.75" customHeight="1">
      <c r="V131" s="39"/>
    </row>
    <row r="132" spans="22:22" ht="15.75" customHeight="1">
      <c r="V132" s="39"/>
    </row>
    <row r="133" spans="22:22" ht="15.75" customHeight="1">
      <c r="V133" s="39"/>
    </row>
    <row r="134" spans="22:22" ht="15.75" customHeight="1">
      <c r="V134" s="39"/>
    </row>
    <row r="135" spans="22:22" ht="15.75" customHeight="1">
      <c r="V135" s="39"/>
    </row>
    <row r="136" spans="22:22" ht="15.75" customHeight="1">
      <c r="V136" s="39"/>
    </row>
    <row r="137" spans="22:22" ht="15.75" customHeight="1">
      <c r="V137" s="39"/>
    </row>
    <row r="138" spans="22:22" ht="15.75" customHeight="1">
      <c r="V138" s="39"/>
    </row>
    <row r="139" spans="22:22" ht="15.75" customHeight="1">
      <c r="V139" s="39"/>
    </row>
    <row r="140" spans="22:22" ht="15.75" customHeight="1">
      <c r="V140" s="39"/>
    </row>
    <row r="141" spans="22:22" ht="15.75" customHeight="1">
      <c r="V141" s="39"/>
    </row>
    <row r="142" spans="22:22" ht="15.75" customHeight="1">
      <c r="V142" s="39"/>
    </row>
    <row r="143" spans="22:22" ht="15.75" customHeight="1">
      <c r="V143" s="39"/>
    </row>
    <row r="144" spans="22:22" ht="15.75" customHeight="1">
      <c r="V144" s="39"/>
    </row>
    <row r="145" spans="22:22" ht="15.75" customHeight="1">
      <c r="V145" s="39"/>
    </row>
    <row r="146" spans="22:22" ht="15.75" customHeight="1">
      <c r="V146" s="39"/>
    </row>
    <row r="147" spans="22:22" ht="15.75" customHeight="1">
      <c r="V147" s="39"/>
    </row>
    <row r="148" spans="22:22" ht="15.75" customHeight="1">
      <c r="V148" s="39"/>
    </row>
    <row r="149" spans="22:22" ht="15.75" customHeight="1">
      <c r="V149" s="39"/>
    </row>
    <row r="150" spans="22:22" ht="15.75" customHeight="1">
      <c r="V150" s="39"/>
    </row>
    <row r="151" spans="22:22" ht="15.75" customHeight="1">
      <c r="V151" s="39"/>
    </row>
    <row r="152" spans="22:22" ht="15.75" customHeight="1">
      <c r="V152" s="39"/>
    </row>
    <row r="153" spans="22:22" ht="15.75" customHeight="1">
      <c r="V153" s="39"/>
    </row>
    <row r="154" spans="22:22" ht="15.75" customHeight="1">
      <c r="V154" s="39"/>
    </row>
    <row r="155" spans="22:22" ht="15.75" customHeight="1">
      <c r="V155" s="39"/>
    </row>
    <row r="156" spans="22:22" ht="15.75" customHeight="1">
      <c r="V156" s="39"/>
    </row>
    <row r="157" spans="22:22" ht="15.75" customHeight="1">
      <c r="V157" s="39"/>
    </row>
    <row r="158" spans="22:22" ht="15.75" customHeight="1">
      <c r="V158" s="39"/>
    </row>
    <row r="159" spans="22:22" ht="15.75" customHeight="1">
      <c r="V159" s="39"/>
    </row>
    <row r="160" spans="22:22" ht="15.75" customHeight="1">
      <c r="V160" s="39"/>
    </row>
    <row r="161" spans="22:22" ht="15.75" customHeight="1">
      <c r="V161" s="39"/>
    </row>
    <row r="162" spans="22:22" ht="15.75" customHeight="1">
      <c r="V162" s="39"/>
    </row>
    <row r="163" spans="22:22" ht="15.75" customHeight="1">
      <c r="V163" s="39"/>
    </row>
    <row r="164" spans="22:22" ht="15.75" customHeight="1">
      <c r="V164" s="39"/>
    </row>
    <row r="165" spans="22:22" ht="15.75" customHeight="1">
      <c r="V165" s="39"/>
    </row>
    <row r="166" spans="22:22" ht="15.75" customHeight="1">
      <c r="V166" s="39"/>
    </row>
    <row r="167" spans="22:22" ht="15.75" customHeight="1">
      <c r="V167" s="39"/>
    </row>
    <row r="168" spans="22:22" ht="15.75" customHeight="1">
      <c r="V168" s="39"/>
    </row>
    <row r="169" spans="22:22" ht="15.75" customHeight="1">
      <c r="V169" s="39"/>
    </row>
    <row r="170" spans="22:22" ht="15.75" customHeight="1">
      <c r="V170" s="39"/>
    </row>
    <row r="171" spans="22:22" ht="15.75" customHeight="1">
      <c r="V171" s="39"/>
    </row>
    <row r="172" spans="22:22" ht="15.75" customHeight="1">
      <c r="V172" s="39"/>
    </row>
    <row r="173" spans="22:22" ht="15.75" customHeight="1">
      <c r="V173" s="39"/>
    </row>
    <row r="174" spans="22:22" ht="15.75" customHeight="1">
      <c r="V174" s="39"/>
    </row>
    <row r="175" spans="22:22" ht="15.75" customHeight="1">
      <c r="V175" s="39"/>
    </row>
    <row r="176" spans="22:22" ht="15.75" customHeight="1">
      <c r="V176" s="39"/>
    </row>
    <row r="177" spans="22:22" ht="15.75" customHeight="1">
      <c r="V177" s="39"/>
    </row>
    <row r="178" spans="22:22" ht="15.75" customHeight="1">
      <c r="V178" s="39"/>
    </row>
    <row r="179" spans="22:22" ht="15.75" customHeight="1">
      <c r="V179" s="39"/>
    </row>
    <row r="180" spans="22:22" ht="15.75" customHeight="1">
      <c r="V180" s="39"/>
    </row>
    <row r="181" spans="22:22" ht="15.75" customHeight="1">
      <c r="V181" s="39"/>
    </row>
    <row r="182" spans="22:22" ht="15.75" customHeight="1">
      <c r="V182" s="39"/>
    </row>
    <row r="183" spans="22:22" ht="15.75" customHeight="1">
      <c r="V183" s="39"/>
    </row>
    <row r="184" spans="22:22" ht="15.75" customHeight="1">
      <c r="V184" s="39"/>
    </row>
    <row r="185" spans="22:22" ht="15.75" customHeight="1">
      <c r="V185" s="39"/>
    </row>
    <row r="186" spans="22:22" ht="15.75" customHeight="1">
      <c r="V186" s="39"/>
    </row>
    <row r="187" spans="22:22" ht="15.75" customHeight="1">
      <c r="V187" s="39"/>
    </row>
    <row r="188" spans="22:22" ht="15.75" customHeight="1">
      <c r="V188" s="39"/>
    </row>
    <row r="189" spans="22:22" ht="15.75" customHeight="1">
      <c r="V189" s="39"/>
    </row>
    <row r="190" spans="22:22" ht="15.75" customHeight="1">
      <c r="V190" s="39"/>
    </row>
    <row r="191" spans="22:22" ht="15.75" customHeight="1">
      <c r="V191" s="39"/>
    </row>
    <row r="192" spans="22:22" ht="15.75" customHeight="1">
      <c r="V192" s="39"/>
    </row>
    <row r="193" spans="22:22" ht="15.75" customHeight="1">
      <c r="V193" s="39"/>
    </row>
    <row r="194" spans="22:22" ht="15.75" customHeight="1">
      <c r="V194" s="39"/>
    </row>
    <row r="195" spans="22:22" ht="15.75" customHeight="1">
      <c r="V195" s="39"/>
    </row>
    <row r="196" spans="22:22" ht="15.75" customHeight="1">
      <c r="V196" s="39"/>
    </row>
    <row r="197" spans="22:22" ht="15.75" customHeight="1">
      <c r="V197" s="39"/>
    </row>
    <row r="198" spans="22:22" ht="15.75" customHeight="1">
      <c r="V198" s="39"/>
    </row>
    <row r="199" spans="22:22" ht="15.75" customHeight="1">
      <c r="V199" s="39"/>
    </row>
    <row r="200" spans="22:22" ht="15.75" customHeight="1">
      <c r="V200" s="39"/>
    </row>
    <row r="201" spans="22:22" ht="15.75" customHeight="1">
      <c r="V201" s="39"/>
    </row>
    <row r="202" spans="22:22" ht="15.75" customHeight="1">
      <c r="V202" s="39"/>
    </row>
    <row r="203" spans="22:22" ht="15.75" customHeight="1">
      <c r="V203" s="39"/>
    </row>
    <row r="204" spans="22:22" ht="15.75" customHeight="1">
      <c r="V204" s="39"/>
    </row>
    <row r="205" spans="22:22" ht="15.75" customHeight="1">
      <c r="V205" s="39"/>
    </row>
    <row r="206" spans="22:22" ht="15.75" customHeight="1">
      <c r="V206" s="39"/>
    </row>
    <row r="207" spans="22:22" ht="15.75" customHeight="1">
      <c r="V207" s="39"/>
    </row>
    <row r="208" spans="22:22" ht="15.75" customHeight="1">
      <c r="V208" s="39"/>
    </row>
    <row r="209" spans="22:22" ht="15.75" customHeight="1">
      <c r="V209" s="39"/>
    </row>
    <row r="210" spans="22:22" ht="15.75" customHeight="1">
      <c r="V210" s="39"/>
    </row>
    <row r="211" spans="22:22" ht="15.75" customHeight="1">
      <c r="V211" s="39"/>
    </row>
    <row r="212" spans="22:22" ht="15.75" customHeight="1">
      <c r="V212" s="39"/>
    </row>
    <row r="213" spans="22:22" ht="15.75" customHeight="1">
      <c r="V213" s="39"/>
    </row>
    <row r="214" spans="22:22" ht="15.75" customHeight="1">
      <c r="V214" s="39"/>
    </row>
    <row r="215" spans="22:22" ht="15.75" customHeight="1">
      <c r="V215" s="39"/>
    </row>
    <row r="216" spans="22:22" ht="15.75" customHeight="1">
      <c r="V216" s="39"/>
    </row>
    <row r="217" spans="22:22" ht="15.75" customHeight="1">
      <c r="V217" s="39"/>
    </row>
    <row r="218" spans="22:22" ht="15.75" customHeight="1">
      <c r="V218" s="39"/>
    </row>
    <row r="219" spans="22:22" ht="15.75" customHeight="1">
      <c r="V219" s="39"/>
    </row>
    <row r="220" spans="22:22" ht="15.75" customHeight="1">
      <c r="V220" s="39"/>
    </row>
    <row r="221" spans="22:22" ht="15.75" customHeight="1">
      <c r="V221" s="39"/>
    </row>
    <row r="222" spans="22:22" ht="15.75" customHeight="1">
      <c r="V222" s="39"/>
    </row>
    <row r="223" spans="22:22" ht="15.75" customHeight="1">
      <c r="V223" s="39"/>
    </row>
    <row r="224" spans="22:22" ht="15.75" customHeight="1">
      <c r="V224" s="39"/>
    </row>
    <row r="225" spans="22:22" ht="15.75" customHeight="1">
      <c r="V225" s="39"/>
    </row>
    <row r="226" spans="22:22" ht="15.75" customHeight="1">
      <c r="V226" s="39"/>
    </row>
    <row r="227" spans="22:22" ht="15.75" customHeight="1">
      <c r="V227" s="39"/>
    </row>
    <row r="228" spans="22:22" ht="15.75" customHeight="1">
      <c r="V228" s="39"/>
    </row>
    <row r="229" spans="22:22" ht="15.75" customHeight="1">
      <c r="V229" s="39"/>
    </row>
    <row r="230" spans="22:22" ht="15.75" customHeight="1">
      <c r="V230" s="39"/>
    </row>
    <row r="231" spans="22:22" ht="15.75" customHeight="1"/>
    <row r="232" spans="22:22" ht="15.75" customHeight="1"/>
    <row r="233" spans="22:22" ht="15.75" customHeight="1"/>
    <row r="234" spans="22:22" ht="15.75" customHeight="1"/>
    <row r="235" spans="22:22" ht="15.75" customHeight="1"/>
    <row r="236" spans="22:22" ht="15.75" customHeight="1"/>
    <row r="237" spans="22:22" ht="15.75" customHeight="1"/>
    <row r="238" spans="22:22" ht="15.75" customHeight="1"/>
    <row r="239" spans="22:22" ht="15.75" customHeight="1"/>
    <row r="240" spans="22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5:B15"/>
    <mergeCell ref="M15:N15"/>
    <mergeCell ref="M29:N29"/>
    <mergeCell ref="A1:B1"/>
    <mergeCell ref="C1:D1"/>
    <mergeCell ref="A2:B2"/>
    <mergeCell ref="C2:E2"/>
    <mergeCell ref="A4:A5"/>
    <mergeCell ref="B4:D4"/>
    <mergeCell ref="E4:F4"/>
    <mergeCell ref="A29:B29"/>
    <mergeCell ref="G4:H4"/>
    <mergeCell ref="I4:K4"/>
    <mergeCell ref="M4:M5"/>
    <mergeCell ref="N4:P4"/>
    <mergeCell ref="R4:T4"/>
  </mergeCells>
  <pageMargins left="0.69930555555555596" right="0.69930555555555596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B257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11.81640625" customWidth="1"/>
    <col min="2" max="2" width="16.7265625" customWidth="1"/>
    <col min="3" max="3" width="8.26953125" customWidth="1"/>
    <col min="4" max="4" width="16.7265625" customWidth="1"/>
    <col min="5" max="5" width="17.81640625" customWidth="1"/>
    <col min="6" max="6" width="7.08984375" customWidth="1"/>
    <col min="7" max="7" width="14" customWidth="1"/>
    <col min="8" max="8" width="17.7265625" customWidth="1"/>
    <col min="9" max="9" width="7.54296875" customWidth="1"/>
    <col min="10" max="10" width="18.08984375" customWidth="1"/>
    <col min="11" max="11" width="17.81640625" customWidth="1"/>
    <col min="12" max="12" width="7.26953125" customWidth="1"/>
    <col min="13" max="13" width="21.08984375" customWidth="1"/>
    <col min="14" max="14" width="18.26953125" customWidth="1"/>
    <col min="15" max="15" width="7.08984375" customWidth="1"/>
    <col min="16" max="16" width="18.08984375" customWidth="1"/>
    <col min="17" max="17" width="19.08984375" customWidth="1"/>
    <col min="18" max="18" width="7.7265625" customWidth="1"/>
    <col min="19" max="19" width="17.54296875" customWidth="1"/>
    <col min="20" max="20" width="17.7265625" customWidth="1"/>
    <col min="21" max="21" width="7.26953125" customWidth="1"/>
    <col min="22" max="22" width="17.7265625" customWidth="1"/>
    <col min="23" max="23" width="17.54296875" customWidth="1"/>
    <col min="24" max="24" width="7.26953125" customWidth="1"/>
    <col min="25" max="26" width="17.54296875" customWidth="1"/>
    <col min="27" max="27" width="7.26953125" customWidth="1"/>
    <col min="28" max="29" width="17.54296875" customWidth="1"/>
    <col min="30" max="30" width="6.453125" customWidth="1"/>
    <col min="31" max="31" width="18.08984375" customWidth="1"/>
    <col min="32" max="32" width="14.7265625" customWidth="1"/>
    <col min="33" max="33" width="9.54296875" customWidth="1"/>
    <col min="34" max="34" width="17.453125" customWidth="1"/>
    <col min="35" max="35" width="17.453125" hidden="1" customWidth="1"/>
    <col min="36" max="36" width="7.7265625" hidden="1" customWidth="1"/>
    <col min="37" max="37" width="17.81640625" hidden="1" customWidth="1"/>
    <col min="38" max="38" width="17.08984375" customWidth="1"/>
    <col min="39" max="39" width="7.7265625" customWidth="1"/>
    <col min="40" max="40" width="17.453125" customWidth="1"/>
    <col min="41" max="41" width="17.54296875" customWidth="1"/>
    <col min="42" max="42" width="9.81640625" customWidth="1"/>
    <col min="43" max="43" width="9.7265625" customWidth="1"/>
    <col min="44" max="44" width="17.7265625" customWidth="1"/>
    <col min="45" max="45" width="8.453125" customWidth="1"/>
    <col min="46" max="46" width="17.7265625" customWidth="1"/>
    <col min="47" max="47" width="17" customWidth="1"/>
    <col min="48" max="48" width="8.81640625" customWidth="1"/>
    <col min="49" max="49" width="17.81640625" customWidth="1"/>
    <col min="50" max="50" width="17.7265625" customWidth="1"/>
    <col min="51" max="51" width="9.26953125" customWidth="1"/>
    <col min="52" max="52" width="17.453125" customWidth="1"/>
    <col min="53" max="53" width="17.54296875" customWidth="1"/>
    <col min="54" max="54" width="9" customWidth="1"/>
    <col min="55" max="55" width="17.453125" customWidth="1"/>
    <col min="56" max="56" width="17.54296875" customWidth="1"/>
    <col min="57" max="57" width="9" customWidth="1"/>
    <col min="58" max="59" width="17.08984375" customWidth="1"/>
    <col min="60" max="60" width="9.08984375" customWidth="1"/>
    <col min="61" max="61" width="17.08984375" customWidth="1"/>
    <col min="62" max="63" width="17" customWidth="1"/>
    <col min="64" max="64" width="13.7265625" customWidth="1"/>
    <col min="65" max="65" width="11.81640625" customWidth="1"/>
    <col min="66" max="66" width="17.453125" customWidth="1"/>
    <col min="67" max="67" width="7.54296875" customWidth="1"/>
    <col min="68" max="68" width="17.54296875" customWidth="1"/>
    <col min="69" max="69" width="17.81640625" customWidth="1"/>
    <col min="70" max="70" width="7.81640625" customWidth="1"/>
    <col min="71" max="71" width="17.54296875" customWidth="1"/>
    <col min="72" max="72" width="17.7265625" customWidth="1"/>
    <col min="73" max="73" width="7.54296875" customWidth="1"/>
    <col min="74" max="74" width="17.453125" customWidth="1"/>
    <col min="75" max="75" width="17.7265625" customWidth="1"/>
    <col min="76" max="76" width="7.54296875" customWidth="1"/>
    <col min="77" max="78" width="17.54296875" customWidth="1"/>
    <col min="79" max="79" width="22.26953125" customWidth="1"/>
    <col min="80" max="81" width="17.81640625" customWidth="1"/>
    <col min="82" max="82" width="13.08984375" customWidth="1"/>
    <col min="83" max="83" width="17.54296875" customWidth="1"/>
    <col min="84" max="84" width="17.81640625" customWidth="1"/>
    <col min="85" max="85" width="7.54296875" customWidth="1"/>
    <col min="86" max="86" width="17.7265625" customWidth="1"/>
    <col min="87" max="87" width="17.453125" customWidth="1"/>
    <col min="88" max="88" width="7.54296875" customWidth="1"/>
    <col min="89" max="89" width="17.7265625" customWidth="1"/>
    <col min="90" max="90" width="17.54296875" customWidth="1"/>
    <col min="91" max="91" width="9" customWidth="1"/>
    <col min="92" max="92" width="17.453125" customWidth="1"/>
    <col min="93" max="93" width="17.54296875" customWidth="1"/>
    <col min="94" max="94" width="8" customWidth="1"/>
    <col min="95" max="95" width="17.7265625" customWidth="1"/>
    <col min="96" max="96" width="18.26953125" customWidth="1"/>
    <col min="97" max="97" width="7.54296875" customWidth="1"/>
    <col min="98" max="99" width="18.08984375" customWidth="1"/>
    <col min="100" max="100" width="7.7265625" customWidth="1"/>
    <col min="101" max="101" width="18.08984375" customWidth="1"/>
    <col min="102" max="102" width="2.26953125" customWidth="1"/>
    <col min="103" max="103" width="18.54296875" customWidth="1"/>
    <col min="104" max="104" width="17.81640625" customWidth="1"/>
    <col min="105" max="105" width="16.26953125" customWidth="1"/>
    <col min="106" max="106" width="18.26953125" customWidth="1"/>
  </cols>
  <sheetData>
    <row r="1" spans="1:104" ht="23.25" customHeight="1">
      <c r="A1" s="451" t="s">
        <v>13</v>
      </c>
      <c r="B1" s="438"/>
      <c r="C1" s="438"/>
      <c r="D1" s="438"/>
      <c r="E1" s="468"/>
      <c r="F1" s="438"/>
      <c r="G1" s="158"/>
      <c r="H1" s="469"/>
      <c r="I1" s="438"/>
      <c r="J1" s="470"/>
      <c r="K1" s="438"/>
      <c r="L1" s="438"/>
      <c r="M1" s="438"/>
      <c r="N1" s="159"/>
      <c r="O1" s="15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471" t="s">
        <v>32</v>
      </c>
      <c r="BO1" s="454"/>
      <c r="BP1" s="454"/>
      <c r="BQ1" s="454"/>
      <c r="BR1" s="454"/>
      <c r="BS1" s="454"/>
      <c r="BT1" s="454"/>
      <c r="BU1" s="454"/>
      <c r="BV1" s="454"/>
      <c r="BW1" s="454"/>
      <c r="BX1" s="454"/>
      <c r="BY1" s="454"/>
      <c r="BZ1" s="454"/>
      <c r="CA1" s="454"/>
      <c r="CB1" s="454"/>
      <c r="CC1" s="454"/>
      <c r="CD1" s="454"/>
      <c r="CE1" s="454"/>
      <c r="CF1" s="454"/>
      <c r="CG1" s="454"/>
      <c r="CH1" s="454"/>
      <c r="CI1" s="454"/>
      <c r="CJ1" s="454"/>
      <c r="CK1" s="454"/>
      <c r="CL1" s="454"/>
      <c r="CM1" s="454"/>
      <c r="CN1" s="454"/>
      <c r="CO1" s="454"/>
      <c r="CP1" s="454"/>
      <c r="CQ1" s="454"/>
      <c r="CR1" s="454"/>
      <c r="CS1" s="454"/>
      <c r="CT1" s="454"/>
      <c r="CU1" s="454"/>
      <c r="CV1" s="454"/>
      <c r="CW1" s="454"/>
      <c r="CX1" s="454"/>
      <c r="CY1" s="454"/>
      <c r="CZ1" s="3"/>
    </row>
    <row r="2" spans="1:104" ht="22.5">
      <c r="A2" s="456" t="s">
        <v>104</v>
      </c>
      <c r="B2" s="438"/>
      <c r="C2" s="438"/>
      <c r="D2" s="438"/>
      <c r="E2" s="160"/>
      <c r="F2" s="160"/>
      <c r="G2" s="160"/>
      <c r="H2" s="160"/>
      <c r="I2" s="160"/>
      <c r="J2" s="159"/>
      <c r="K2" s="161"/>
      <c r="L2" s="159"/>
      <c r="M2" s="159"/>
      <c r="N2" s="159"/>
      <c r="O2" s="15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455"/>
      <c r="BO2" s="425"/>
      <c r="BP2" s="425"/>
      <c r="BQ2" s="425"/>
      <c r="BR2" s="425"/>
      <c r="BS2" s="425"/>
      <c r="BT2" s="425"/>
      <c r="BU2" s="425"/>
      <c r="BV2" s="425"/>
      <c r="BW2" s="425"/>
      <c r="BX2" s="425"/>
      <c r="BY2" s="425"/>
      <c r="BZ2" s="425"/>
      <c r="CA2" s="425"/>
      <c r="CB2" s="425"/>
      <c r="CC2" s="425"/>
      <c r="CD2" s="425"/>
      <c r="CE2" s="425"/>
      <c r="CF2" s="425"/>
      <c r="CG2" s="425"/>
      <c r="CH2" s="425"/>
      <c r="CI2" s="425"/>
      <c r="CJ2" s="425"/>
      <c r="CK2" s="425"/>
      <c r="CL2" s="425"/>
      <c r="CM2" s="425"/>
      <c r="CN2" s="425"/>
      <c r="CO2" s="425"/>
      <c r="CP2" s="425"/>
      <c r="CQ2" s="425"/>
      <c r="CR2" s="425"/>
      <c r="CS2" s="425"/>
      <c r="CT2" s="425"/>
      <c r="CU2" s="425"/>
      <c r="CV2" s="425"/>
      <c r="CW2" s="425"/>
      <c r="CX2" s="425"/>
      <c r="CY2" s="425"/>
      <c r="CZ2" s="3"/>
    </row>
    <row r="3" spans="1:104" ht="22.5">
      <c r="A3" s="457" t="s">
        <v>38</v>
      </c>
      <c r="B3" s="438"/>
      <c r="C3" s="473"/>
      <c r="D3" s="438"/>
      <c r="E3" s="438"/>
      <c r="F3" s="162"/>
      <c r="G3" s="474"/>
      <c r="H3" s="438"/>
      <c r="I3" s="163"/>
      <c r="J3" s="164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455"/>
      <c r="BO3" s="425"/>
      <c r="BP3" s="425"/>
      <c r="BQ3" s="425"/>
      <c r="BR3" s="425"/>
      <c r="BS3" s="425"/>
      <c r="BT3" s="425"/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  <c r="CF3" s="425"/>
      <c r="CG3" s="425"/>
      <c r="CH3" s="425"/>
      <c r="CI3" s="425"/>
      <c r="CJ3" s="425"/>
      <c r="CK3" s="425"/>
      <c r="CL3" s="425"/>
      <c r="CM3" s="425"/>
      <c r="CN3" s="425"/>
      <c r="CO3" s="425"/>
      <c r="CP3" s="425"/>
      <c r="CQ3" s="425"/>
      <c r="CR3" s="425"/>
      <c r="CS3" s="425"/>
      <c r="CT3" s="425"/>
      <c r="CU3" s="425"/>
      <c r="CV3" s="425"/>
      <c r="CW3" s="425"/>
      <c r="CX3" s="425"/>
      <c r="CY3" s="425"/>
      <c r="CZ3" s="3"/>
    </row>
    <row r="4" spans="1:104" ht="16.5" customHeight="1">
      <c r="A4" s="165"/>
      <c r="B4" s="165"/>
      <c r="C4" s="165"/>
      <c r="D4" s="165"/>
      <c r="E4" s="165"/>
      <c r="F4" s="165"/>
      <c r="G4" s="165"/>
      <c r="H4" s="163"/>
      <c r="I4" s="163"/>
      <c r="J4" s="164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  <c r="CB4" s="167"/>
      <c r="CC4" s="167"/>
      <c r="CD4" s="167"/>
      <c r="CE4" s="167"/>
      <c r="CF4" s="168"/>
      <c r="CG4" s="167"/>
      <c r="CH4" s="167"/>
      <c r="CI4" s="167"/>
      <c r="CJ4" s="167"/>
      <c r="CK4" s="167"/>
      <c r="CL4" s="167"/>
      <c r="CM4" s="167"/>
      <c r="CN4" s="167"/>
      <c r="CO4" s="167"/>
      <c r="CP4" s="167"/>
      <c r="CQ4" s="167"/>
      <c r="CR4" s="167"/>
      <c r="CS4" s="167"/>
      <c r="CT4" s="167"/>
      <c r="CU4" s="167"/>
      <c r="CV4" s="167"/>
      <c r="CW4" s="167"/>
      <c r="CX4" s="167"/>
      <c r="CY4" s="167"/>
      <c r="CZ4" s="3"/>
    </row>
    <row r="5" spans="1:104" ht="15" customHeight="1">
      <c r="A5" s="169" t="s">
        <v>51</v>
      </c>
      <c r="B5" s="444" t="s">
        <v>33</v>
      </c>
      <c r="C5" s="445"/>
      <c r="D5" s="423"/>
      <c r="E5" s="444" t="str">
        <f>'1'!A7</f>
        <v>SPECIAL CUT</v>
      </c>
      <c r="F5" s="445"/>
      <c r="G5" s="423"/>
      <c r="H5" s="444" t="str">
        <f>'1'!A8</f>
        <v>NGOHIONG</v>
      </c>
      <c r="I5" s="445"/>
      <c r="J5" s="423"/>
      <c r="K5" s="460" t="str">
        <f>'1'!A15</f>
        <v>Chicken Fillet</v>
      </c>
      <c r="L5" s="445"/>
      <c r="M5" s="423"/>
      <c r="N5" s="444" t="s">
        <v>53</v>
      </c>
      <c r="O5" s="445"/>
      <c r="P5" s="445"/>
      <c r="Q5" s="461" t="s">
        <v>54</v>
      </c>
      <c r="R5" s="445"/>
      <c r="S5" s="423"/>
      <c r="T5" s="444" t="s">
        <v>55</v>
      </c>
      <c r="U5" s="445"/>
      <c r="V5" s="423"/>
      <c r="W5" s="444" t="s">
        <v>56</v>
      </c>
      <c r="X5" s="445"/>
      <c r="Y5" s="423"/>
      <c r="Z5" s="444" t="s">
        <v>57</v>
      </c>
      <c r="AA5" s="445"/>
      <c r="AB5" s="445"/>
      <c r="AC5" s="444" t="s">
        <v>58</v>
      </c>
      <c r="AD5" s="445"/>
      <c r="AE5" s="445"/>
      <c r="AF5" s="444"/>
      <c r="AG5" s="445"/>
      <c r="AH5" s="423"/>
      <c r="AI5" s="444"/>
      <c r="AJ5" s="445"/>
      <c r="AK5" s="423"/>
      <c r="AL5" s="444" t="s">
        <v>106</v>
      </c>
      <c r="AM5" s="445"/>
      <c r="AN5" s="423"/>
      <c r="AO5" s="170"/>
      <c r="AP5" s="446" t="s">
        <v>107</v>
      </c>
      <c r="AQ5" s="445"/>
      <c r="AR5" s="423"/>
      <c r="AS5" s="447" t="s">
        <v>60</v>
      </c>
      <c r="AT5" s="445"/>
      <c r="AU5" s="423"/>
      <c r="AV5" s="447" t="s">
        <v>61</v>
      </c>
      <c r="AW5" s="445"/>
      <c r="AX5" s="423"/>
      <c r="AY5" s="447" t="s">
        <v>62</v>
      </c>
      <c r="AZ5" s="445"/>
      <c r="BA5" s="423"/>
      <c r="BB5" s="447" t="s">
        <v>63</v>
      </c>
      <c r="BC5" s="445"/>
      <c r="BD5" s="423"/>
      <c r="BE5" s="447" t="s">
        <v>64</v>
      </c>
      <c r="BF5" s="445"/>
      <c r="BG5" s="423"/>
      <c r="BH5" s="447" t="s">
        <v>65</v>
      </c>
      <c r="BI5" s="445"/>
      <c r="BJ5" s="423"/>
      <c r="BK5" s="447" t="str">
        <f>'1'!A23</f>
        <v>GATORADE</v>
      </c>
      <c r="BL5" s="445"/>
      <c r="BM5" s="423"/>
      <c r="BN5" s="448" t="s">
        <v>66</v>
      </c>
      <c r="BO5" s="445"/>
      <c r="BP5" s="423"/>
      <c r="BQ5" s="447" t="s">
        <v>67</v>
      </c>
      <c r="BR5" s="445"/>
      <c r="BS5" s="423"/>
      <c r="BT5" s="447" t="str">
        <f>'1'!A19</f>
        <v>1 LITER</v>
      </c>
      <c r="BU5" s="445"/>
      <c r="BV5" s="423"/>
      <c r="BW5" s="447" t="str">
        <f>'1'!A20</f>
        <v>1.5 L</v>
      </c>
      <c r="BX5" s="445"/>
      <c r="BY5" s="423"/>
      <c r="BZ5" s="444" t="s">
        <v>68</v>
      </c>
      <c r="CA5" s="445"/>
      <c r="CB5" s="423"/>
      <c r="CC5" s="472" t="s">
        <v>69</v>
      </c>
      <c r="CD5" s="472" t="s">
        <v>70</v>
      </c>
      <c r="CF5" s="39" t="s">
        <v>108</v>
      </c>
    </row>
    <row r="6" spans="1:104" ht="14.5">
      <c r="A6" s="56" t="s">
        <v>7</v>
      </c>
      <c r="B6" s="56" t="s">
        <v>71</v>
      </c>
      <c r="C6" s="56" t="s">
        <v>72</v>
      </c>
      <c r="D6" s="56" t="s">
        <v>26</v>
      </c>
      <c r="E6" s="56" t="s">
        <v>71</v>
      </c>
      <c r="F6" s="56" t="s">
        <v>72</v>
      </c>
      <c r="G6" s="56" t="s">
        <v>26</v>
      </c>
      <c r="H6" s="57" t="s">
        <v>71</v>
      </c>
      <c r="I6" s="58" t="s">
        <v>72</v>
      </c>
      <c r="J6" s="59" t="s">
        <v>73</v>
      </c>
      <c r="K6" s="57" t="s">
        <v>71</v>
      </c>
      <c r="L6" s="58" t="s">
        <v>72</v>
      </c>
      <c r="M6" s="59" t="s">
        <v>73</v>
      </c>
      <c r="N6" s="56" t="s">
        <v>71</v>
      </c>
      <c r="O6" s="56" t="s">
        <v>72</v>
      </c>
      <c r="P6" s="56" t="s">
        <v>26</v>
      </c>
      <c r="Q6" s="57" t="s">
        <v>71</v>
      </c>
      <c r="R6" s="58" t="s">
        <v>72</v>
      </c>
      <c r="S6" s="59" t="s">
        <v>73</v>
      </c>
      <c r="T6" s="57" t="s">
        <v>71</v>
      </c>
      <c r="U6" s="58" t="s">
        <v>72</v>
      </c>
      <c r="V6" s="60" t="s">
        <v>73</v>
      </c>
      <c r="W6" s="57" t="s">
        <v>71</v>
      </c>
      <c r="X6" s="58" t="s">
        <v>72</v>
      </c>
      <c r="Y6" s="60" t="s">
        <v>73</v>
      </c>
      <c r="Z6" s="57" t="s">
        <v>71</v>
      </c>
      <c r="AA6" s="58" t="s">
        <v>72</v>
      </c>
      <c r="AB6" s="60" t="s">
        <v>73</v>
      </c>
      <c r="AC6" s="57" t="s">
        <v>71</v>
      </c>
      <c r="AD6" s="58" t="s">
        <v>72</v>
      </c>
      <c r="AE6" s="60" t="s">
        <v>26</v>
      </c>
      <c r="AF6" s="56" t="s">
        <v>71</v>
      </c>
      <c r="AG6" s="56" t="s">
        <v>72</v>
      </c>
      <c r="AH6" s="56" t="s">
        <v>26</v>
      </c>
      <c r="AI6" s="56" t="s">
        <v>71</v>
      </c>
      <c r="AJ6" s="56" t="s">
        <v>72</v>
      </c>
      <c r="AK6" s="56" t="s">
        <v>26</v>
      </c>
      <c r="AL6" s="56" t="s">
        <v>71</v>
      </c>
      <c r="AM6" s="56" t="s">
        <v>72</v>
      </c>
      <c r="AN6" s="56" t="s">
        <v>73</v>
      </c>
      <c r="AO6" s="54"/>
      <c r="AP6" s="65" t="s">
        <v>71</v>
      </c>
      <c r="AQ6" s="66" t="s">
        <v>72</v>
      </c>
      <c r="AR6" s="65" t="s">
        <v>73</v>
      </c>
      <c r="AS6" s="67" t="s">
        <v>71</v>
      </c>
      <c r="AT6" s="66" t="s">
        <v>72</v>
      </c>
      <c r="AU6" s="65" t="s">
        <v>73</v>
      </c>
      <c r="AV6" s="67" t="s">
        <v>71</v>
      </c>
      <c r="AW6" s="66" t="s">
        <v>72</v>
      </c>
      <c r="AX6" s="65" t="s">
        <v>73</v>
      </c>
      <c r="AY6" s="66" t="s">
        <v>71</v>
      </c>
      <c r="AZ6" s="66" t="s">
        <v>72</v>
      </c>
      <c r="BA6" s="66" t="s">
        <v>26</v>
      </c>
      <c r="BB6" s="66" t="s">
        <v>71</v>
      </c>
      <c r="BC6" s="66" t="s">
        <v>72</v>
      </c>
      <c r="BD6" s="66" t="s">
        <v>26</v>
      </c>
      <c r="BE6" s="66" t="s">
        <v>71</v>
      </c>
      <c r="BF6" s="66" t="s">
        <v>72</v>
      </c>
      <c r="BG6" s="66" t="s">
        <v>26</v>
      </c>
      <c r="BH6" s="66" t="s">
        <v>71</v>
      </c>
      <c r="BI6" s="66" t="s">
        <v>72</v>
      </c>
      <c r="BJ6" s="66" t="s">
        <v>26</v>
      </c>
      <c r="BK6" s="66" t="s">
        <v>71</v>
      </c>
      <c r="BL6" s="66" t="s">
        <v>72</v>
      </c>
      <c r="BM6" s="66" t="s">
        <v>26</v>
      </c>
      <c r="BN6" s="66" t="s">
        <v>71</v>
      </c>
      <c r="BO6" s="66" t="s">
        <v>72</v>
      </c>
      <c r="BP6" s="66" t="s">
        <v>26</v>
      </c>
      <c r="BQ6" s="66" t="s">
        <v>71</v>
      </c>
      <c r="BR6" s="66" t="s">
        <v>72</v>
      </c>
      <c r="BS6" s="66" t="s">
        <v>26</v>
      </c>
      <c r="BT6" s="66" t="s">
        <v>71</v>
      </c>
      <c r="BU6" s="66" t="s">
        <v>72</v>
      </c>
      <c r="BV6" s="66" t="s">
        <v>26</v>
      </c>
      <c r="BW6" s="56" t="s">
        <v>71</v>
      </c>
      <c r="BX6" s="56" t="s">
        <v>72</v>
      </c>
      <c r="BY6" s="56" t="s">
        <v>26</v>
      </c>
      <c r="BZ6" s="3"/>
      <c r="CA6" s="56" t="s">
        <v>26</v>
      </c>
      <c r="CB6" s="3"/>
      <c r="CC6" s="425"/>
      <c r="CD6" s="425"/>
      <c r="CF6" s="39"/>
    </row>
    <row r="7" spans="1:104" ht="14.5">
      <c r="A7" s="173">
        <v>45444</v>
      </c>
      <c r="B7" s="68">
        <f>'1'!C29</f>
        <v>0</v>
      </c>
      <c r="C7" s="68">
        <v>30</v>
      </c>
      <c r="D7" s="69">
        <f t="shared" ref="D7:D13" si="0">B7*C7</f>
        <v>0</v>
      </c>
      <c r="E7" s="68">
        <f>'1'!C7</f>
        <v>250</v>
      </c>
      <c r="F7" s="70">
        <v>35</v>
      </c>
      <c r="G7" s="71">
        <f t="shared" ref="G7:G13" si="1">E7*F7</f>
        <v>8750</v>
      </c>
      <c r="H7" s="72">
        <f>'1'!C8</f>
        <v>20</v>
      </c>
      <c r="I7" s="70">
        <v>8.5</v>
      </c>
      <c r="J7" s="71">
        <f t="shared" ref="J7:J13" si="2">H7*I7</f>
        <v>170</v>
      </c>
      <c r="K7" s="68">
        <f>'1'!C15</f>
        <v>0</v>
      </c>
      <c r="L7" s="70">
        <v>18</v>
      </c>
      <c r="M7" s="71">
        <f t="shared" ref="M7:M13" si="3">K7*L7</f>
        <v>0</v>
      </c>
      <c r="N7" s="70">
        <f>'1'!C9</f>
        <v>0</v>
      </c>
      <c r="O7" s="70">
        <v>7</v>
      </c>
      <c r="P7" s="71">
        <f t="shared" ref="P7:P13" si="4">N7*O7</f>
        <v>0</v>
      </c>
      <c r="Q7" s="68">
        <f>'1'!C10</f>
        <v>0</v>
      </c>
      <c r="R7" s="72">
        <v>5.5</v>
      </c>
      <c r="S7" s="71">
        <f t="shared" ref="S7:S13" si="5">Q7*R7</f>
        <v>0</v>
      </c>
      <c r="T7" s="68">
        <f>'1'!C11</f>
        <v>200</v>
      </c>
      <c r="U7" s="72">
        <v>8.5</v>
      </c>
      <c r="V7" s="71">
        <f t="shared" ref="V7:V13" si="6">T7*U7</f>
        <v>1700</v>
      </c>
      <c r="W7" s="68">
        <f>'1'!C12</f>
        <v>0</v>
      </c>
      <c r="X7" s="72">
        <v>6</v>
      </c>
      <c r="Y7" s="71">
        <f t="shared" ref="Y7:Y13" si="7">W7*X7</f>
        <v>0</v>
      </c>
      <c r="Z7" s="68">
        <f>'1'!C13</f>
        <v>50</v>
      </c>
      <c r="AA7" s="72">
        <v>6</v>
      </c>
      <c r="AB7" s="71">
        <f t="shared" ref="AB7:AB13" si="8">Z7*AA7</f>
        <v>300</v>
      </c>
      <c r="AC7" s="68">
        <f>'1'!C14</f>
        <v>0</v>
      </c>
      <c r="AD7" s="72">
        <f t="shared" ref="AD7:AD13" si="9">1280/160</f>
        <v>8</v>
      </c>
      <c r="AE7" s="73">
        <f t="shared" ref="AE7:AE13" si="10">AC7*AD7</f>
        <v>0</v>
      </c>
      <c r="AF7" s="72"/>
      <c r="AG7" s="72">
        <v>14</v>
      </c>
      <c r="AH7" s="118">
        <f t="shared" ref="AH7:AH13" si="11">AF7*AG7</f>
        <v>0</v>
      </c>
      <c r="AI7" s="72"/>
      <c r="AJ7" s="72">
        <v>0</v>
      </c>
      <c r="AK7" s="118">
        <f t="shared" ref="AK7:AK13" si="12">AI7*AJ7</f>
        <v>0</v>
      </c>
      <c r="AL7" s="72"/>
      <c r="AM7" s="72">
        <v>0</v>
      </c>
      <c r="AN7" s="71"/>
      <c r="AO7" s="76"/>
      <c r="AP7" s="68">
        <f>'1'!C17</f>
        <v>0</v>
      </c>
      <c r="AQ7" s="72">
        <f t="shared" ref="AQ7:AQ13" si="13">2310/264</f>
        <v>8.75</v>
      </c>
      <c r="AR7" s="71">
        <f t="shared" ref="AR7:AR13" si="14">AP7*AQ7</f>
        <v>0</v>
      </c>
      <c r="AS7" s="68">
        <f>'1'!C18</f>
        <v>0</v>
      </c>
      <c r="AT7" s="72">
        <f t="shared" ref="AT7:AT13" si="15">1764/144</f>
        <v>12.25</v>
      </c>
      <c r="AU7" s="71">
        <f t="shared" ref="AU7:AU13" si="16">AS7*AT7</f>
        <v>0</v>
      </c>
      <c r="AV7" s="68">
        <f>'1'!C21</f>
        <v>0</v>
      </c>
      <c r="AW7" s="70">
        <v>7.9166666666600003</v>
      </c>
      <c r="AX7" s="71">
        <f t="shared" ref="AX7:AX13" si="17">AV7*AW7</f>
        <v>0</v>
      </c>
      <c r="AY7" s="68">
        <f>'1'!C22</f>
        <v>0</v>
      </c>
      <c r="AZ7" s="70">
        <f t="shared" ref="AZ7:AZ13" si="18">1175/120</f>
        <v>9.7916666666666661</v>
      </c>
      <c r="BA7" s="71">
        <f t="shared" ref="BA7:BA13" si="19">AY7*AZ7</f>
        <v>0</v>
      </c>
      <c r="BB7" s="68">
        <f>'1'!C26</f>
        <v>0</v>
      </c>
      <c r="BC7" s="68">
        <f t="shared" ref="BC7:BC13" si="20">1960/120</f>
        <v>16.333333333333332</v>
      </c>
      <c r="BD7" s="69">
        <f t="shared" ref="BD7:BD13" si="21">BB7*BC7</f>
        <v>0</v>
      </c>
      <c r="BE7" s="68">
        <f>'1'!C27</f>
        <v>0</v>
      </c>
      <c r="BF7" s="68">
        <f t="shared" ref="BF7:BF13" si="22">828/72</f>
        <v>11.5</v>
      </c>
      <c r="BG7" s="69">
        <f t="shared" ref="BG7:BG13" si="23">BE7*BF7</f>
        <v>0</v>
      </c>
      <c r="BH7" s="68">
        <f>'1'!C28</f>
        <v>0</v>
      </c>
      <c r="BI7" s="70">
        <v>20</v>
      </c>
      <c r="BJ7" s="71">
        <f t="shared" ref="BJ7:BJ13" si="24">BH7*BI7</f>
        <v>0</v>
      </c>
      <c r="BK7" s="70">
        <f>'1'!C23</f>
        <v>0</v>
      </c>
      <c r="BL7" s="70">
        <v>23</v>
      </c>
      <c r="BM7" s="71">
        <f t="shared" ref="BM7:BM13" si="25">BK7*BL7</f>
        <v>0</v>
      </c>
      <c r="BN7" s="68">
        <f>'1'!C25</f>
        <v>0</v>
      </c>
      <c r="BO7" s="72">
        <v>12.5</v>
      </c>
      <c r="BP7" s="71">
        <f>BN7*BO7</f>
        <v>0</v>
      </c>
      <c r="BQ7" s="68">
        <f>'1'!C24</f>
        <v>0</v>
      </c>
      <c r="BR7" s="70">
        <f t="shared" ref="BR7:BR13" si="26">306/24</f>
        <v>12.75</v>
      </c>
      <c r="BS7" s="69">
        <f t="shared" ref="BS7:BS13" si="27">BQ7*BR7</f>
        <v>0</v>
      </c>
      <c r="BT7" s="68">
        <f>'1'!C19</f>
        <v>0</v>
      </c>
      <c r="BU7" s="70">
        <f t="shared" ref="BU7:BU13" si="28">1089/36</f>
        <v>30.25</v>
      </c>
      <c r="BV7" s="71">
        <f t="shared" ref="BV7:BV13" si="29">BT7*BU7</f>
        <v>0</v>
      </c>
      <c r="BW7" s="70">
        <f>'1'!C20</f>
        <v>0</v>
      </c>
      <c r="BX7" s="70">
        <v>15.916666666659999</v>
      </c>
      <c r="BY7" s="71">
        <f t="shared" ref="BY7:BY13" si="30">BW7*BX7</f>
        <v>0</v>
      </c>
      <c r="BZ7" s="39"/>
      <c r="CA7" s="71">
        <f t="shared" ref="CA7:CA13" si="31">D7+G7+J7+M7+P7+S7+V7+Y7+AB7+AE7+AH7+AK7+AN7+AR7+AU7+AX7+BA7+BD7+BG7+BJ7+BM7+BP7+BS7+BV7+BY7</f>
        <v>10920</v>
      </c>
      <c r="CB7" s="39"/>
      <c r="CC7" s="39"/>
      <c r="CD7" s="39">
        <f t="shared" ref="CD7:CD13" si="32">CA7-CC7</f>
        <v>10920</v>
      </c>
      <c r="CF7" s="175">
        <f>'1'!W26</f>
        <v>0</v>
      </c>
    </row>
    <row r="8" spans="1:104" ht="14.5">
      <c r="A8" s="173">
        <v>45445</v>
      </c>
      <c r="B8" s="68">
        <f>'2'!C29</f>
        <v>0</v>
      </c>
      <c r="C8" s="68">
        <f>C7</f>
        <v>30</v>
      </c>
      <c r="D8" s="69">
        <f t="shared" si="0"/>
        <v>0</v>
      </c>
      <c r="E8" s="68">
        <f>'2'!C7</f>
        <v>150</v>
      </c>
      <c r="F8" s="70">
        <v>35</v>
      </c>
      <c r="G8" s="71">
        <f t="shared" si="1"/>
        <v>5250</v>
      </c>
      <c r="H8" s="72">
        <f>'2'!C8</f>
        <v>0</v>
      </c>
      <c r="I8" s="70">
        <f>I7</f>
        <v>8.5</v>
      </c>
      <c r="J8" s="71">
        <f t="shared" si="2"/>
        <v>0</v>
      </c>
      <c r="K8" s="72">
        <f>'2'!C15</f>
        <v>0</v>
      </c>
      <c r="L8" s="70">
        <f>L7</f>
        <v>18</v>
      </c>
      <c r="M8" s="71">
        <f t="shared" si="3"/>
        <v>0</v>
      </c>
      <c r="N8" s="70">
        <f>'2'!C9</f>
        <v>100</v>
      </c>
      <c r="O8" s="68">
        <f>O7</f>
        <v>7</v>
      </c>
      <c r="P8" s="71">
        <f t="shared" si="4"/>
        <v>700</v>
      </c>
      <c r="Q8" s="68">
        <f>'2'!C10</f>
        <v>0</v>
      </c>
      <c r="R8" s="72">
        <f>R7</f>
        <v>5.5</v>
      </c>
      <c r="S8" s="71">
        <f t="shared" si="5"/>
        <v>0</v>
      </c>
      <c r="T8" s="68">
        <f>'2'!C11</f>
        <v>190</v>
      </c>
      <c r="U8" s="72">
        <v>8.5</v>
      </c>
      <c r="V8" s="71">
        <f t="shared" si="6"/>
        <v>1615</v>
      </c>
      <c r="W8" s="68">
        <f>'2'!C12</f>
        <v>60</v>
      </c>
      <c r="X8" s="72">
        <v>6</v>
      </c>
      <c r="Y8" s="71">
        <f t="shared" si="7"/>
        <v>360</v>
      </c>
      <c r="Z8" s="68">
        <f>'2'!C13</f>
        <v>40</v>
      </c>
      <c r="AA8" s="72">
        <f>AA7</f>
        <v>6</v>
      </c>
      <c r="AB8" s="71">
        <f t="shared" si="8"/>
        <v>240</v>
      </c>
      <c r="AC8" s="68">
        <f>'2'!C14</f>
        <v>60</v>
      </c>
      <c r="AD8" s="72">
        <f t="shared" si="9"/>
        <v>8</v>
      </c>
      <c r="AE8" s="73">
        <f t="shared" si="10"/>
        <v>480</v>
      </c>
      <c r="AF8" s="72"/>
      <c r="AG8" s="72">
        <f>AG7</f>
        <v>14</v>
      </c>
      <c r="AH8" s="118">
        <f t="shared" si="11"/>
        <v>0</v>
      </c>
      <c r="AI8" s="72"/>
      <c r="AJ8" s="72">
        <f>AJ7</f>
        <v>0</v>
      </c>
      <c r="AK8" s="118">
        <f t="shared" si="12"/>
        <v>0</v>
      </c>
      <c r="AL8" s="72"/>
      <c r="AM8" s="72">
        <f>AM7</f>
        <v>0</v>
      </c>
      <c r="AN8" s="71">
        <f t="shared" ref="AN8:AN13" si="33">AL8*AM8</f>
        <v>0</v>
      </c>
      <c r="AO8" s="76"/>
      <c r="AP8" s="68">
        <f>'2'!C17</f>
        <v>0</v>
      </c>
      <c r="AQ8" s="72">
        <f t="shared" si="13"/>
        <v>8.75</v>
      </c>
      <c r="AR8" s="71">
        <f t="shared" si="14"/>
        <v>0</v>
      </c>
      <c r="AS8" s="68">
        <f>'2'!C18</f>
        <v>0</v>
      </c>
      <c r="AT8" s="72">
        <f t="shared" si="15"/>
        <v>12.25</v>
      </c>
      <c r="AU8" s="71">
        <f t="shared" si="16"/>
        <v>0</v>
      </c>
      <c r="AV8" s="68">
        <f>'2'!C21</f>
        <v>0</v>
      </c>
      <c r="AW8" s="70">
        <v>7.9166666666600003</v>
      </c>
      <c r="AX8" s="71">
        <f t="shared" si="17"/>
        <v>0</v>
      </c>
      <c r="AY8" s="68">
        <f>'2'!C22</f>
        <v>0</v>
      </c>
      <c r="AZ8" s="70">
        <f t="shared" si="18"/>
        <v>9.7916666666666661</v>
      </c>
      <c r="BA8" s="71">
        <f t="shared" si="19"/>
        <v>0</v>
      </c>
      <c r="BB8" s="68">
        <f>'2'!C26</f>
        <v>0</v>
      </c>
      <c r="BC8" s="68">
        <f t="shared" si="20"/>
        <v>16.333333333333332</v>
      </c>
      <c r="BD8" s="69">
        <f t="shared" si="21"/>
        <v>0</v>
      </c>
      <c r="BE8" s="68">
        <f>'2'!C27</f>
        <v>0</v>
      </c>
      <c r="BF8" s="68">
        <f t="shared" si="22"/>
        <v>11.5</v>
      </c>
      <c r="BG8" s="69">
        <f t="shared" si="23"/>
        <v>0</v>
      </c>
      <c r="BH8" s="68">
        <f>'2'!C28</f>
        <v>0</v>
      </c>
      <c r="BI8" s="70">
        <v>20</v>
      </c>
      <c r="BJ8" s="71">
        <f t="shared" si="24"/>
        <v>0</v>
      </c>
      <c r="BK8" s="68">
        <f>'2'!C23</f>
        <v>0</v>
      </c>
      <c r="BL8" s="70">
        <f>BL7</f>
        <v>23</v>
      </c>
      <c r="BM8" s="71">
        <f t="shared" si="25"/>
        <v>0</v>
      </c>
      <c r="BN8" s="68">
        <f>'2'!C25</f>
        <v>0</v>
      </c>
      <c r="BO8" s="72">
        <f>BO7</f>
        <v>12.5</v>
      </c>
      <c r="BP8" s="71"/>
      <c r="BQ8" s="68">
        <f>'2'!C24</f>
        <v>0</v>
      </c>
      <c r="BR8" s="70">
        <f t="shared" si="26"/>
        <v>12.75</v>
      </c>
      <c r="BS8" s="69">
        <f t="shared" si="27"/>
        <v>0</v>
      </c>
      <c r="BT8" s="68">
        <f>'2'!C19</f>
        <v>0</v>
      </c>
      <c r="BU8" s="70">
        <f t="shared" si="28"/>
        <v>30.25</v>
      </c>
      <c r="BV8" s="71">
        <f t="shared" si="29"/>
        <v>0</v>
      </c>
      <c r="BW8" s="70">
        <f>'2'!C20</f>
        <v>0</v>
      </c>
      <c r="BX8" s="70">
        <f>BX7</f>
        <v>15.916666666659999</v>
      </c>
      <c r="BY8" s="71">
        <f t="shared" si="30"/>
        <v>0</v>
      </c>
      <c r="BZ8" s="39"/>
      <c r="CA8" s="71">
        <f t="shared" si="31"/>
        <v>8645</v>
      </c>
      <c r="CB8" s="6"/>
      <c r="CC8" s="39"/>
      <c r="CD8" s="39">
        <f t="shared" si="32"/>
        <v>8645</v>
      </c>
      <c r="CF8" s="175">
        <f>'2'!W26</f>
        <v>0</v>
      </c>
    </row>
    <row r="9" spans="1:104" ht="14.5">
      <c r="A9" s="173">
        <v>45446</v>
      </c>
      <c r="B9" s="68">
        <f>'3'!C29</f>
        <v>0</v>
      </c>
      <c r="C9" s="68">
        <f>C7</f>
        <v>30</v>
      </c>
      <c r="D9" s="69">
        <f t="shared" si="0"/>
        <v>0</v>
      </c>
      <c r="E9" s="68">
        <f>'3'!C7</f>
        <v>200</v>
      </c>
      <c r="F9" s="70">
        <v>35</v>
      </c>
      <c r="G9" s="71">
        <f t="shared" si="1"/>
        <v>7000</v>
      </c>
      <c r="H9" s="72">
        <f>'3'!C8</f>
        <v>20</v>
      </c>
      <c r="I9" s="70">
        <f>I7</f>
        <v>8.5</v>
      </c>
      <c r="J9" s="71">
        <f t="shared" si="2"/>
        <v>170</v>
      </c>
      <c r="K9" s="72">
        <f>'3'!C15</f>
        <v>50</v>
      </c>
      <c r="L9" s="70">
        <f>L7</f>
        <v>18</v>
      </c>
      <c r="M9" s="71">
        <f t="shared" si="3"/>
        <v>900</v>
      </c>
      <c r="N9" s="70">
        <f>'3'!C9</f>
        <v>100</v>
      </c>
      <c r="O9" s="68">
        <f>O7</f>
        <v>7</v>
      </c>
      <c r="P9" s="71">
        <f t="shared" si="4"/>
        <v>700</v>
      </c>
      <c r="Q9" s="68">
        <f>'3'!C10</f>
        <v>0</v>
      </c>
      <c r="R9" s="72">
        <f>R7</f>
        <v>5.5</v>
      </c>
      <c r="S9" s="71">
        <f t="shared" si="5"/>
        <v>0</v>
      </c>
      <c r="T9" s="68">
        <f>'3'!C11</f>
        <v>200</v>
      </c>
      <c r="U9" s="72">
        <v>8.5</v>
      </c>
      <c r="V9" s="71">
        <f t="shared" si="6"/>
        <v>1700</v>
      </c>
      <c r="W9" s="68">
        <f>'3'!C12</f>
        <v>60</v>
      </c>
      <c r="X9" s="72">
        <v>6</v>
      </c>
      <c r="Y9" s="71">
        <f t="shared" si="7"/>
        <v>360</v>
      </c>
      <c r="Z9" s="68">
        <f>'3'!C13</f>
        <v>40</v>
      </c>
      <c r="AA9" s="72">
        <f>AA7</f>
        <v>6</v>
      </c>
      <c r="AB9" s="71">
        <f t="shared" si="8"/>
        <v>240</v>
      </c>
      <c r="AC9" s="68">
        <f>'3'!C14</f>
        <v>0</v>
      </c>
      <c r="AD9" s="72">
        <f t="shared" si="9"/>
        <v>8</v>
      </c>
      <c r="AE9" s="73">
        <f t="shared" si="10"/>
        <v>0</v>
      </c>
      <c r="AF9" s="72"/>
      <c r="AG9" s="72">
        <f>AG7</f>
        <v>14</v>
      </c>
      <c r="AH9" s="118">
        <f t="shared" si="11"/>
        <v>0</v>
      </c>
      <c r="AI9" s="72"/>
      <c r="AJ9" s="72">
        <f>AJ7</f>
        <v>0</v>
      </c>
      <c r="AK9" s="118">
        <f t="shared" si="12"/>
        <v>0</v>
      </c>
      <c r="AL9" s="72"/>
      <c r="AM9" s="72">
        <f>AM7</f>
        <v>0</v>
      </c>
      <c r="AN9" s="71">
        <f t="shared" si="33"/>
        <v>0</v>
      </c>
      <c r="AO9" s="76"/>
      <c r="AP9" s="68">
        <f>'3'!C17</f>
        <v>72</v>
      </c>
      <c r="AQ9" s="72">
        <f t="shared" si="13"/>
        <v>8.75</v>
      </c>
      <c r="AR9" s="71">
        <f t="shared" si="14"/>
        <v>630</v>
      </c>
      <c r="AS9" s="68">
        <f>'3'!C18</f>
        <v>144</v>
      </c>
      <c r="AT9" s="72">
        <f t="shared" si="15"/>
        <v>12.25</v>
      </c>
      <c r="AU9" s="71">
        <f t="shared" si="16"/>
        <v>1764</v>
      </c>
      <c r="AV9" s="68">
        <f>'3'!C21</f>
        <v>0</v>
      </c>
      <c r="AW9" s="70">
        <v>7.9166666666600003</v>
      </c>
      <c r="AX9" s="71">
        <f t="shared" si="17"/>
        <v>0</v>
      </c>
      <c r="AY9" s="68">
        <f>'3'!C22</f>
        <v>0</v>
      </c>
      <c r="AZ9" s="70">
        <f t="shared" si="18"/>
        <v>9.7916666666666661</v>
      </c>
      <c r="BA9" s="71">
        <f t="shared" si="19"/>
        <v>0</v>
      </c>
      <c r="BB9" s="68">
        <f>'3'!C26</f>
        <v>0</v>
      </c>
      <c r="BC9" s="68">
        <f t="shared" si="20"/>
        <v>16.333333333333332</v>
      </c>
      <c r="BD9" s="69">
        <f t="shared" si="21"/>
        <v>0</v>
      </c>
      <c r="BE9" s="68">
        <f>'3'!C27</f>
        <v>0</v>
      </c>
      <c r="BF9" s="68">
        <f t="shared" si="22"/>
        <v>11.5</v>
      </c>
      <c r="BG9" s="69">
        <f t="shared" si="23"/>
        <v>0</v>
      </c>
      <c r="BH9" s="68">
        <f>'3'!C28</f>
        <v>0</v>
      </c>
      <c r="BI9" s="70">
        <v>20</v>
      </c>
      <c r="BJ9" s="71">
        <f t="shared" si="24"/>
        <v>0</v>
      </c>
      <c r="BK9" s="68">
        <f>'3'!C23</f>
        <v>0</v>
      </c>
      <c r="BL9" s="70">
        <f>BL7</f>
        <v>23</v>
      </c>
      <c r="BM9" s="71">
        <f t="shared" si="25"/>
        <v>0</v>
      </c>
      <c r="BN9" s="68">
        <f>'3'!C25</f>
        <v>0</v>
      </c>
      <c r="BO9" s="72">
        <f>BO7</f>
        <v>12.5</v>
      </c>
      <c r="BP9" s="71">
        <f t="shared" ref="BP9:BP13" si="34">BN9*BO9</f>
        <v>0</v>
      </c>
      <c r="BQ9" s="68">
        <f>'3'!C24</f>
        <v>24</v>
      </c>
      <c r="BR9" s="70">
        <f t="shared" si="26"/>
        <v>12.75</v>
      </c>
      <c r="BS9" s="69">
        <f t="shared" si="27"/>
        <v>306</v>
      </c>
      <c r="BT9" s="68">
        <f>'3'!C19</f>
        <v>0</v>
      </c>
      <c r="BU9" s="70">
        <f t="shared" si="28"/>
        <v>30.25</v>
      </c>
      <c r="BV9" s="71">
        <f t="shared" si="29"/>
        <v>0</v>
      </c>
      <c r="BW9" s="70">
        <f>'3'!C20</f>
        <v>0</v>
      </c>
      <c r="BX9" s="70">
        <f>BX7</f>
        <v>15.916666666659999</v>
      </c>
      <c r="BY9" s="71">
        <f t="shared" si="30"/>
        <v>0</v>
      </c>
      <c r="BZ9" s="39"/>
      <c r="CA9" s="71">
        <f t="shared" si="31"/>
        <v>13770</v>
      </c>
      <c r="CB9" s="6"/>
      <c r="CC9" s="39"/>
      <c r="CD9" s="39">
        <f t="shared" si="32"/>
        <v>13770</v>
      </c>
      <c r="CF9" s="175">
        <f>'3'!W26</f>
        <v>0</v>
      </c>
    </row>
    <row r="10" spans="1:104" ht="14.5">
      <c r="A10" s="173">
        <v>45447</v>
      </c>
      <c r="B10" s="68">
        <f>'4'!C29</f>
        <v>0</v>
      </c>
      <c r="C10" s="68">
        <f>C7</f>
        <v>30</v>
      </c>
      <c r="D10" s="69">
        <f t="shared" si="0"/>
        <v>0</v>
      </c>
      <c r="E10" s="68">
        <f>'4'!C7</f>
        <v>450</v>
      </c>
      <c r="F10" s="70">
        <v>35</v>
      </c>
      <c r="G10" s="71">
        <f t="shared" si="1"/>
        <v>15750</v>
      </c>
      <c r="H10" s="72">
        <f>'4'!C8</f>
        <v>40</v>
      </c>
      <c r="I10" s="70">
        <f>I7</f>
        <v>8.5</v>
      </c>
      <c r="J10" s="71">
        <f t="shared" si="2"/>
        <v>340</v>
      </c>
      <c r="K10" s="72">
        <f>'4'!C15</f>
        <v>50</v>
      </c>
      <c r="L10" s="70">
        <f>L7</f>
        <v>18</v>
      </c>
      <c r="M10" s="71">
        <f t="shared" si="3"/>
        <v>900</v>
      </c>
      <c r="N10" s="70">
        <f>'4'!C9</f>
        <v>100</v>
      </c>
      <c r="O10" s="68">
        <f>O7</f>
        <v>7</v>
      </c>
      <c r="P10" s="71">
        <f t="shared" si="4"/>
        <v>700</v>
      </c>
      <c r="Q10" s="68">
        <f>'4'!C10</f>
        <v>0</v>
      </c>
      <c r="R10" s="72">
        <f>R7</f>
        <v>5.5</v>
      </c>
      <c r="S10" s="71">
        <f t="shared" si="5"/>
        <v>0</v>
      </c>
      <c r="T10" s="68">
        <f>'4'!C11</f>
        <v>160</v>
      </c>
      <c r="U10" s="72">
        <v>8.5</v>
      </c>
      <c r="V10" s="71">
        <f t="shared" si="6"/>
        <v>1360</v>
      </c>
      <c r="W10" s="68">
        <f>'4'!C12</f>
        <v>100</v>
      </c>
      <c r="X10" s="72">
        <v>6</v>
      </c>
      <c r="Y10" s="71">
        <f t="shared" si="7"/>
        <v>600</v>
      </c>
      <c r="Z10" s="68">
        <f>'4'!C13</f>
        <v>80</v>
      </c>
      <c r="AA10" s="72">
        <f>AA7</f>
        <v>6</v>
      </c>
      <c r="AB10" s="71">
        <f t="shared" si="8"/>
        <v>480</v>
      </c>
      <c r="AC10" s="68">
        <f>'4'!C14</f>
        <v>0</v>
      </c>
      <c r="AD10" s="72">
        <f t="shared" si="9"/>
        <v>8</v>
      </c>
      <c r="AE10" s="73">
        <f t="shared" si="10"/>
        <v>0</v>
      </c>
      <c r="AF10" s="72"/>
      <c r="AG10" s="72">
        <f>AG7</f>
        <v>14</v>
      </c>
      <c r="AH10" s="118">
        <f t="shared" si="11"/>
        <v>0</v>
      </c>
      <c r="AI10" s="72"/>
      <c r="AJ10" s="72">
        <f>AJ7</f>
        <v>0</v>
      </c>
      <c r="AK10" s="118">
        <f t="shared" si="12"/>
        <v>0</v>
      </c>
      <c r="AL10" s="72"/>
      <c r="AM10" s="72">
        <f>AM7</f>
        <v>0</v>
      </c>
      <c r="AN10" s="71">
        <f t="shared" si="33"/>
        <v>0</v>
      </c>
      <c r="AO10" s="76"/>
      <c r="AP10" s="68">
        <f>'4'!C17</f>
        <v>0</v>
      </c>
      <c r="AQ10" s="72">
        <f t="shared" si="13"/>
        <v>8.75</v>
      </c>
      <c r="AR10" s="71">
        <f t="shared" si="14"/>
        <v>0</v>
      </c>
      <c r="AS10" s="68">
        <f>'4'!C18</f>
        <v>0</v>
      </c>
      <c r="AT10" s="72">
        <f t="shared" si="15"/>
        <v>12.25</v>
      </c>
      <c r="AU10" s="71">
        <f t="shared" si="16"/>
        <v>0</v>
      </c>
      <c r="AV10" s="68">
        <f>'4'!C21</f>
        <v>0</v>
      </c>
      <c r="AW10" s="70">
        <v>7.9166666666600003</v>
      </c>
      <c r="AX10" s="71">
        <f t="shared" si="17"/>
        <v>0</v>
      </c>
      <c r="AY10" s="68">
        <f>'4'!C22</f>
        <v>0</v>
      </c>
      <c r="AZ10" s="70">
        <f t="shared" si="18"/>
        <v>9.7916666666666661</v>
      </c>
      <c r="BA10" s="71">
        <f t="shared" si="19"/>
        <v>0</v>
      </c>
      <c r="BB10" s="68">
        <f>'4'!C26</f>
        <v>0</v>
      </c>
      <c r="BC10" s="68">
        <f t="shared" si="20"/>
        <v>16.333333333333332</v>
      </c>
      <c r="BD10" s="69">
        <f t="shared" si="21"/>
        <v>0</v>
      </c>
      <c r="BE10" s="68">
        <f>'4'!C27</f>
        <v>0</v>
      </c>
      <c r="BF10" s="68">
        <f t="shared" si="22"/>
        <v>11.5</v>
      </c>
      <c r="BG10" s="69">
        <f t="shared" si="23"/>
        <v>0</v>
      </c>
      <c r="BH10" s="68">
        <f>'4'!C28</f>
        <v>0</v>
      </c>
      <c r="BI10" s="70">
        <v>20</v>
      </c>
      <c r="BJ10" s="71">
        <f t="shared" si="24"/>
        <v>0</v>
      </c>
      <c r="BK10" s="68">
        <f>'4'!C23</f>
        <v>0</v>
      </c>
      <c r="BL10" s="70">
        <f>BL7</f>
        <v>23</v>
      </c>
      <c r="BM10" s="71">
        <f t="shared" si="25"/>
        <v>0</v>
      </c>
      <c r="BN10" s="68">
        <f>'4'!C25</f>
        <v>0</v>
      </c>
      <c r="BO10" s="72">
        <f>BO7</f>
        <v>12.5</v>
      </c>
      <c r="BP10" s="71">
        <f t="shared" si="34"/>
        <v>0</v>
      </c>
      <c r="BQ10" s="68">
        <f>'4'!C24</f>
        <v>0</v>
      </c>
      <c r="BR10" s="70">
        <f t="shared" si="26"/>
        <v>12.75</v>
      </c>
      <c r="BS10" s="69">
        <f t="shared" si="27"/>
        <v>0</v>
      </c>
      <c r="BT10" s="68">
        <f>'4'!C19</f>
        <v>0</v>
      </c>
      <c r="BU10" s="70">
        <f t="shared" si="28"/>
        <v>30.25</v>
      </c>
      <c r="BV10" s="71">
        <f t="shared" si="29"/>
        <v>0</v>
      </c>
      <c r="BW10" s="70">
        <f>'4'!C20</f>
        <v>0</v>
      </c>
      <c r="BX10" s="70">
        <f>BX7</f>
        <v>15.916666666659999</v>
      </c>
      <c r="BY10" s="71">
        <f t="shared" si="30"/>
        <v>0</v>
      </c>
      <c r="BZ10" s="39"/>
      <c r="CA10" s="71">
        <f t="shared" si="31"/>
        <v>20130</v>
      </c>
      <c r="CB10" s="6"/>
      <c r="CC10" s="39"/>
      <c r="CD10" s="39">
        <f t="shared" si="32"/>
        <v>20130</v>
      </c>
      <c r="CF10" s="175">
        <f>'4'!W26</f>
        <v>0</v>
      </c>
    </row>
    <row r="11" spans="1:104" ht="14.5">
      <c r="A11" s="173">
        <v>45448</v>
      </c>
      <c r="B11" s="68">
        <f>'5'!C29</f>
        <v>0</v>
      </c>
      <c r="C11" s="68">
        <f>C7</f>
        <v>30</v>
      </c>
      <c r="D11" s="69">
        <f t="shared" si="0"/>
        <v>0</v>
      </c>
      <c r="E11" s="68">
        <f>'5'!C7</f>
        <v>0</v>
      </c>
      <c r="F11" s="70">
        <v>35</v>
      </c>
      <c r="G11" s="71">
        <f t="shared" si="1"/>
        <v>0</v>
      </c>
      <c r="H11" s="72">
        <f>'5'!C8</f>
        <v>0</v>
      </c>
      <c r="I11" s="70">
        <f>I7</f>
        <v>8.5</v>
      </c>
      <c r="J11" s="71">
        <f t="shared" si="2"/>
        <v>0</v>
      </c>
      <c r="K11" s="72">
        <f>'5'!C15</f>
        <v>0</v>
      </c>
      <c r="L11" s="70">
        <f>L7</f>
        <v>18</v>
      </c>
      <c r="M11" s="71">
        <f t="shared" si="3"/>
        <v>0</v>
      </c>
      <c r="N11" s="70">
        <f>'5'!C9</f>
        <v>0</v>
      </c>
      <c r="O11" s="68">
        <f>O7</f>
        <v>7</v>
      </c>
      <c r="P11" s="71">
        <f t="shared" si="4"/>
        <v>0</v>
      </c>
      <c r="Q11" s="68">
        <f>'5'!C10</f>
        <v>0</v>
      </c>
      <c r="R11" s="72">
        <f>R7</f>
        <v>5.5</v>
      </c>
      <c r="S11" s="71">
        <f t="shared" si="5"/>
        <v>0</v>
      </c>
      <c r="T11" s="68">
        <f>'5'!C11</f>
        <v>235</v>
      </c>
      <c r="U11" s="72">
        <v>8.5</v>
      </c>
      <c r="V11" s="71">
        <f t="shared" si="6"/>
        <v>1997.5</v>
      </c>
      <c r="W11" s="68">
        <f>'5'!C12</f>
        <v>0</v>
      </c>
      <c r="X11" s="72">
        <v>6</v>
      </c>
      <c r="Y11" s="71">
        <f t="shared" si="7"/>
        <v>0</v>
      </c>
      <c r="Z11" s="68">
        <f>'5'!C13</f>
        <v>0</v>
      </c>
      <c r="AA11" s="72">
        <f>AA7</f>
        <v>6</v>
      </c>
      <c r="AB11" s="71">
        <f t="shared" si="8"/>
        <v>0</v>
      </c>
      <c r="AC11" s="68">
        <f>'5'!C14</f>
        <v>0</v>
      </c>
      <c r="AD11" s="72">
        <f t="shared" si="9"/>
        <v>8</v>
      </c>
      <c r="AE11" s="73">
        <f t="shared" si="10"/>
        <v>0</v>
      </c>
      <c r="AF11" s="72"/>
      <c r="AG11" s="72">
        <f>AG7</f>
        <v>14</v>
      </c>
      <c r="AH11" s="118">
        <f t="shared" si="11"/>
        <v>0</v>
      </c>
      <c r="AI11" s="72"/>
      <c r="AJ11" s="72">
        <f>AJ7</f>
        <v>0</v>
      </c>
      <c r="AK11" s="118">
        <f t="shared" si="12"/>
        <v>0</v>
      </c>
      <c r="AL11" s="72"/>
      <c r="AM11" s="72">
        <f>AM7</f>
        <v>0</v>
      </c>
      <c r="AN11" s="71">
        <f t="shared" si="33"/>
        <v>0</v>
      </c>
      <c r="AO11" s="76"/>
      <c r="AP11" s="68">
        <f>'5'!C17</f>
        <v>0</v>
      </c>
      <c r="AQ11" s="72">
        <f t="shared" si="13"/>
        <v>8.75</v>
      </c>
      <c r="AR11" s="71">
        <f t="shared" si="14"/>
        <v>0</v>
      </c>
      <c r="AS11" s="68">
        <f>'5'!C18</f>
        <v>0</v>
      </c>
      <c r="AT11" s="72">
        <f t="shared" si="15"/>
        <v>12.25</v>
      </c>
      <c r="AU11" s="71">
        <f t="shared" si="16"/>
        <v>0</v>
      </c>
      <c r="AV11" s="68">
        <f>'5'!C21</f>
        <v>0</v>
      </c>
      <c r="AW11" s="70">
        <v>7.9166666666600003</v>
      </c>
      <c r="AX11" s="71">
        <f t="shared" si="17"/>
        <v>0</v>
      </c>
      <c r="AY11" s="68">
        <f>'5'!C22</f>
        <v>0</v>
      </c>
      <c r="AZ11" s="70">
        <f t="shared" si="18"/>
        <v>9.7916666666666661</v>
      </c>
      <c r="BA11" s="71">
        <f t="shared" si="19"/>
        <v>0</v>
      </c>
      <c r="BB11" s="68">
        <f>'5'!C26</f>
        <v>0</v>
      </c>
      <c r="BC11" s="68">
        <f t="shared" si="20"/>
        <v>16.333333333333332</v>
      </c>
      <c r="BD11" s="69">
        <f t="shared" si="21"/>
        <v>0</v>
      </c>
      <c r="BE11" s="68">
        <f>'5'!C27</f>
        <v>0</v>
      </c>
      <c r="BF11" s="68">
        <f t="shared" si="22"/>
        <v>11.5</v>
      </c>
      <c r="BG11" s="69">
        <f t="shared" si="23"/>
        <v>0</v>
      </c>
      <c r="BH11" s="68">
        <f>'5'!C28</f>
        <v>0</v>
      </c>
      <c r="BI11" s="70">
        <v>20</v>
      </c>
      <c r="BJ11" s="71">
        <f t="shared" si="24"/>
        <v>0</v>
      </c>
      <c r="BK11" s="68">
        <f>'5'!C23</f>
        <v>0</v>
      </c>
      <c r="BL11" s="70">
        <f>BL7</f>
        <v>23</v>
      </c>
      <c r="BM11" s="71">
        <f t="shared" si="25"/>
        <v>0</v>
      </c>
      <c r="BN11" s="68">
        <f>'5'!C25</f>
        <v>0</v>
      </c>
      <c r="BO11" s="72">
        <f>BO7</f>
        <v>12.5</v>
      </c>
      <c r="BP11" s="71">
        <f t="shared" si="34"/>
        <v>0</v>
      </c>
      <c r="BQ11" s="68">
        <f>'5'!C24</f>
        <v>0</v>
      </c>
      <c r="BR11" s="70">
        <f t="shared" si="26"/>
        <v>12.75</v>
      </c>
      <c r="BS11" s="69">
        <f t="shared" si="27"/>
        <v>0</v>
      </c>
      <c r="BT11" s="68">
        <f>'5'!C19</f>
        <v>0</v>
      </c>
      <c r="BU11" s="70">
        <f t="shared" si="28"/>
        <v>30.25</v>
      </c>
      <c r="BV11" s="71">
        <f t="shared" si="29"/>
        <v>0</v>
      </c>
      <c r="BW11" s="70">
        <f>'5'!C20</f>
        <v>0</v>
      </c>
      <c r="BX11" s="70">
        <f>BX7</f>
        <v>15.916666666659999</v>
      </c>
      <c r="BY11" s="71">
        <f t="shared" si="30"/>
        <v>0</v>
      </c>
      <c r="BZ11" s="39"/>
      <c r="CA11" s="71">
        <f t="shared" si="31"/>
        <v>1997.5</v>
      </c>
      <c r="CB11" s="6"/>
      <c r="CC11" s="39"/>
      <c r="CD11" s="39">
        <f t="shared" si="32"/>
        <v>1997.5</v>
      </c>
      <c r="CF11" s="175">
        <f>'5'!W26</f>
        <v>0</v>
      </c>
    </row>
    <row r="12" spans="1:104" ht="14.5">
      <c r="A12" s="173">
        <v>45449</v>
      </c>
      <c r="B12" s="68">
        <f>'6'!C29</f>
        <v>0</v>
      </c>
      <c r="C12" s="68">
        <f>C7</f>
        <v>30</v>
      </c>
      <c r="D12" s="69">
        <f t="shared" si="0"/>
        <v>0</v>
      </c>
      <c r="E12" s="68">
        <f>'6'!C7</f>
        <v>100</v>
      </c>
      <c r="F12" s="70">
        <v>35</v>
      </c>
      <c r="G12" s="71">
        <f t="shared" si="1"/>
        <v>3500</v>
      </c>
      <c r="H12" s="72">
        <f>'6'!C8</f>
        <v>0</v>
      </c>
      <c r="I12" s="70">
        <f>I7</f>
        <v>8.5</v>
      </c>
      <c r="J12" s="71">
        <f t="shared" si="2"/>
        <v>0</v>
      </c>
      <c r="K12" s="72">
        <f>'6'!C15</f>
        <v>0</v>
      </c>
      <c r="L12" s="70">
        <f>L7</f>
        <v>18</v>
      </c>
      <c r="M12" s="71">
        <f t="shared" si="3"/>
        <v>0</v>
      </c>
      <c r="N12" s="70">
        <f>'6'!C9</f>
        <v>150</v>
      </c>
      <c r="O12" s="68">
        <f>O7</f>
        <v>7</v>
      </c>
      <c r="P12" s="71">
        <f t="shared" si="4"/>
        <v>1050</v>
      </c>
      <c r="Q12" s="68">
        <f>'6'!C10</f>
        <v>0</v>
      </c>
      <c r="R12" s="72">
        <f>R7</f>
        <v>5.5</v>
      </c>
      <c r="S12" s="71">
        <f t="shared" si="5"/>
        <v>0</v>
      </c>
      <c r="T12" s="68">
        <f>'6'!C11</f>
        <v>230</v>
      </c>
      <c r="U12" s="72">
        <v>8.5</v>
      </c>
      <c r="V12" s="71">
        <f t="shared" si="6"/>
        <v>1955</v>
      </c>
      <c r="W12" s="68">
        <f>'6'!C12</f>
        <v>40</v>
      </c>
      <c r="X12" s="72">
        <v>6</v>
      </c>
      <c r="Y12" s="71">
        <f t="shared" si="7"/>
        <v>240</v>
      </c>
      <c r="Z12" s="68">
        <f>'6'!C13</f>
        <v>40</v>
      </c>
      <c r="AA12" s="72">
        <f>AA7</f>
        <v>6</v>
      </c>
      <c r="AB12" s="71">
        <f t="shared" si="8"/>
        <v>240</v>
      </c>
      <c r="AC12" s="68">
        <f>'6'!C14</f>
        <v>20</v>
      </c>
      <c r="AD12" s="72">
        <f t="shared" si="9"/>
        <v>8</v>
      </c>
      <c r="AE12" s="73">
        <f t="shared" si="10"/>
        <v>160</v>
      </c>
      <c r="AF12" s="72"/>
      <c r="AG12" s="72">
        <f>AG7</f>
        <v>14</v>
      </c>
      <c r="AH12" s="118">
        <f t="shared" si="11"/>
        <v>0</v>
      </c>
      <c r="AI12" s="72"/>
      <c r="AJ12" s="72">
        <f>AJ7</f>
        <v>0</v>
      </c>
      <c r="AK12" s="118">
        <f t="shared" si="12"/>
        <v>0</v>
      </c>
      <c r="AL12" s="72"/>
      <c r="AM12" s="72">
        <f>AM7</f>
        <v>0</v>
      </c>
      <c r="AN12" s="71">
        <f t="shared" si="33"/>
        <v>0</v>
      </c>
      <c r="AO12" s="76"/>
      <c r="AP12" s="68">
        <f>'6'!C17</f>
        <v>0</v>
      </c>
      <c r="AQ12" s="72">
        <f t="shared" si="13"/>
        <v>8.75</v>
      </c>
      <c r="AR12" s="71">
        <f t="shared" si="14"/>
        <v>0</v>
      </c>
      <c r="AS12" s="68">
        <f>'6'!C18</f>
        <v>0</v>
      </c>
      <c r="AT12" s="72">
        <f t="shared" si="15"/>
        <v>12.25</v>
      </c>
      <c r="AU12" s="71">
        <f t="shared" si="16"/>
        <v>0</v>
      </c>
      <c r="AV12" s="68">
        <f>'6'!C21</f>
        <v>0</v>
      </c>
      <c r="AW12" s="70">
        <v>7.9166666666600003</v>
      </c>
      <c r="AX12" s="71">
        <f t="shared" si="17"/>
        <v>0</v>
      </c>
      <c r="AY12" s="68">
        <f>'6'!C22</f>
        <v>0</v>
      </c>
      <c r="AZ12" s="70">
        <f t="shared" si="18"/>
        <v>9.7916666666666661</v>
      </c>
      <c r="BA12" s="71">
        <f t="shared" si="19"/>
        <v>0</v>
      </c>
      <c r="BB12" s="68">
        <f>'6'!C26</f>
        <v>0</v>
      </c>
      <c r="BC12" s="68">
        <f t="shared" si="20"/>
        <v>16.333333333333332</v>
      </c>
      <c r="BD12" s="69">
        <f t="shared" si="21"/>
        <v>0</v>
      </c>
      <c r="BE12" s="68">
        <f>'6'!C27</f>
        <v>0</v>
      </c>
      <c r="BF12" s="68">
        <f t="shared" si="22"/>
        <v>11.5</v>
      </c>
      <c r="BG12" s="69">
        <f t="shared" si="23"/>
        <v>0</v>
      </c>
      <c r="BH12" s="68">
        <f>'6'!C28</f>
        <v>0</v>
      </c>
      <c r="BI12" s="70">
        <v>20</v>
      </c>
      <c r="BJ12" s="71">
        <f t="shared" si="24"/>
        <v>0</v>
      </c>
      <c r="BK12" s="68">
        <f>'6'!C23</f>
        <v>0</v>
      </c>
      <c r="BL12" s="70">
        <f>BL7</f>
        <v>23</v>
      </c>
      <c r="BM12" s="71">
        <f t="shared" si="25"/>
        <v>0</v>
      </c>
      <c r="BN12" s="68">
        <f>'6'!C25</f>
        <v>0</v>
      </c>
      <c r="BO12" s="72">
        <f>BO7</f>
        <v>12.5</v>
      </c>
      <c r="BP12" s="71">
        <f t="shared" si="34"/>
        <v>0</v>
      </c>
      <c r="BQ12" s="68">
        <f>'6'!C24</f>
        <v>0</v>
      </c>
      <c r="BR12" s="70">
        <f t="shared" si="26"/>
        <v>12.75</v>
      </c>
      <c r="BS12" s="69">
        <f t="shared" si="27"/>
        <v>0</v>
      </c>
      <c r="BT12" s="68">
        <f>'6'!C19</f>
        <v>0</v>
      </c>
      <c r="BU12" s="70">
        <f t="shared" si="28"/>
        <v>30.25</v>
      </c>
      <c r="BV12" s="71">
        <f t="shared" si="29"/>
        <v>0</v>
      </c>
      <c r="BW12" s="70">
        <f>'6'!C20</f>
        <v>0</v>
      </c>
      <c r="BX12" s="70">
        <f>BX7</f>
        <v>15.916666666659999</v>
      </c>
      <c r="BY12" s="71">
        <f t="shared" si="30"/>
        <v>0</v>
      </c>
      <c r="BZ12" s="39"/>
      <c r="CA12" s="71">
        <f t="shared" si="31"/>
        <v>7145</v>
      </c>
      <c r="CB12" s="6"/>
      <c r="CC12" s="39"/>
      <c r="CD12" s="39">
        <f t="shared" si="32"/>
        <v>7145</v>
      </c>
      <c r="CF12" s="175">
        <f>'6'!W26</f>
        <v>0</v>
      </c>
    </row>
    <row r="13" spans="1:104" ht="14.5">
      <c r="A13" s="173">
        <v>45450</v>
      </c>
      <c r="B13" s="68">
        <f>'7'!C29</f>
        <v>0</v>
      </c>
      <c r="C13" s="68">
        <f>C7</f>
        <v>30</v>
      </c>
      <c r="D13" s="69">
        <f t="shared" si="0"/>
        <v>0</v>
      </c>
      <c r="E13" s="68">
        <f>'7'!C7</f>
        <v>200</v>
      </c>
      <c r="F13" s="70">
        <v>35</v>
      </c>
      <c r="G13" s="71">
        <f t="shared" si="1"/>
        <v>7000</v>
      </c>
      <c r="H13" s="72">
        <f>'7'!C8</f>
        <v>0</v>
      </c>
      <c r="I13" s="70">
        <f>I7</f>
        <v>8.5</v>
      </c>
      <c r="J13" s="71">
        <f t="shared" si="2"/>
        <v>0</v>
      </c>
      <c r="K13" s="72">
        <f>'7'!C15</f>
        <v>0</v>
      </c>
      <c r="L13" s="70">
        <f>L7</f>
        <v>18</v>
      </c>
      <c r="M13" s="71">
        <f t="shared" si="3"/>
        <v>0</v>
      </c>
      <c r="N13" s="70">
        <f>'7'!C9</f>
        <v>50</v>
      </c>
      <c r="O13" s="68">
        <f>O7</f>
        <v>7</v>
      </c>
      <c r="P13" s="71">
        <f t="shared" si="4"/>
        <v>350</v>
      </c>
      <c r="Q13" s="68">
        <f>'7'!C10</f>
        <v>0</v>
      </c>
      <c r="R13" s="72">
        <f>R7</f>
        <v>5.5</v>
      </c>
      <c r="S13" s="71">
        <f t="shared" si="5"/>
        <v>0</v>
      </c>
      <c r="T13" s="68">
        <f>'7'!C11</f>
        <v>180</v>
      </c>
      <c r="U13" s="72">
        <v>8.5</v>
      </c>
      <c r="V13" s="71">
        <f t="shared" si="6"/>
        <v>1530</v>
      </c>
      <c r="W13" s="68">
        <f>'7'!C12</f>
        <v>40</v>
      </c>
      <c r="X13" s="72">
        <v>6</v>
      </c>
      <c r="Y13" s="71">
        <f t="shared" si="7"/>
        <v>240</v>
      </c>
      <c r="Z13" s="68">
        <f>'7'!C13</f>
        <v>50</v>
      </c>
      <c r="AA13" s="72">
        <f>AA7</f>
        <v>6</v>
      </c>
      <c r="AB13" s="71">
        <f t="shared" si="8"/>
        <v>300</v>
      </c>
      <c r="AC13" s="68">
        <f>'7'!C14</f>
        <v>0</v>
      </c>
      <c r="AD13" s="72">
        <f t="shared" si="9"/>
        <v>8</v>
      </c>
      <c r="AE13" s="73">
        <f t="shared" si="10"/>
        <v>0</v>
      </c>
      <c r="AF13" s="72"/>
      <c r="AG13" s="72">
        <f>AG7</f>
        <v>14</v>
      </c>
      <c r="AH13" s="118">
        <f t="shared" si="11"/>
        <v>0</v>
      </c>
      <c r="AI13" s="72"/>
      <c r="AJ13" s="72">
        <f>AJ7</f>
        <v>0</v>
      </c>
      <c r="AK13" s="118">
        <f t="shared" si="12"/>
        <v>0</v>
      </c>
      <c r="AL13" s="72"/>
      <c r="AM13" s="72">
        <f>AM7</f>
        <v>0</v>
      </c>
      <c r="AN13" s="71">
        <f t="shared" si="33"/>
        <v>0</v>
      </c>
      <c r="AO13" s="76"/>
      <c r="AP13" s="68">
        <f>'7'!C17</f>
        <v>24</v>
      </c>
      <c r="AQ13" s="72">
        <f t="shared" si="13"/>
        <v>8.75</v>
      </c>
      <c r="AR13" s="71">
        <f t="shared" si="14"/>
        <v>210</v>
      </c>
      <c r="AS13" s="68">
        <f>'7'!C18</f>
        <v>144</v>
      </c>
      <c r="AT13" s="72">
        <f t="shared" si="15"/>
        <v>12.25</v>
      </c>
      <c r="AU13" s="71">
        <f t="shared" si="16"/>
        <v>1764</v>
      </c>
      <c r="AV13" s="68">
        <f>'7'!C21</f>
        <v>0</v>
      </c>
      <c r="AW13" s="70">
        <v>7.9166666666600003</v>
      </c>
      <c r="AX13" s="71">
        <f t="shared" si="17"/>
        <v>0</v>
      </c>
      <c r="AY13" s="68">
        <f>'7'!C22</f>
        <v>0</v>
      </c>
      <c r="AZ13" s="70">
        <f t="shared" si="18"/>
        <v>9.7916666666666661</v>
      </c>
      <c r="BA13" s="71">
        <f t="shared" si="19"/>
        <v>0</v>
      </c>
      <c r="BB13" s="68">
        <f>'7'!C26</f>
        <v>0</v>
      </c>
      <c r="BC13" s="68">
        <f t="shared" si="20"/>
        <v>16.333333333333332</v>
      </c>
      <c r="BD13" s="69">
        <f t="shared" si="21"/>
        <v>0</v>
      </c>
      <c r="BE13" s="68">
        <f>'7'!C27</f>
        <v>0</v>
      </c>
      <c r="BF13" s="68">
        <f t="shared" si="22"/>
        <v>11.5</v>
      </c>
      <c r="BG13" s="69">
        <f t="shared" si="23"/>
        <v>0</v>
      </c>
      <c r="BH13" s="68">
        <f>'7'!C28</f>
        <v>0</v>
      </c>
      <c r="BI13" s="70">
        <v>20</v>
      </c>
      <c r="BJ13" s="71">
        <f t="shared" si="24"/>
        <v>0</v>
      </c>
      <c r="BK13" s="68">
        <f>'7'!C23</f>
        <v>0</v>
      </c>
      <c r="BL13" s="70">
        <f>BL7</f>
        <v>23</v>
      </c>
      <c r="BM13" s="71">
        <f t="shared" si="25"/>
        <v>0</v>
      </c>
      <c r="BN13" s="68">
        <f>'7'!C25</f>
        <v>0</v>
      </c>
      <c r="BO13" s="72">
        <f>BO7</f>
        <v>12.5</v>
      </c>
      <c r="BP13" s="71">
        <f t="shared" si="34"/>
        <v>0</v>
      </c>
      <c r="BQ13" s="68">
        <f>'7'!C24</f>
        <v>0</v>
      </c>
      <c r="BR13" s="70">
        <f t="shared" si="26"/>
        <v>12.75</v>
      </c>
      <c r="BS13" s="69">
        <f t="shared" si="27"/>
        <v>0</v>
      </c>
      <c r="BT13" s="68">
        <f>'7'!C19</f>
        <v>0</v>
      </c>
      <c r="BU13" s="70">
        <f t="shared" si="28"/>
        <v>30.25</v>
      </c>
      <c r="BV13" s="71">
        <f t="shared" si="29"/>
        <v>0</v>
      </c>
      <c r="BW13" s="70">
        <f>'7'!C20</f>
        <v>0</v>
      </c>
      <c r="BX13" s="70">
        <f>BX7</f>
        <v>15.916666666659999</v>
      </c>
      <c r="BY13" s="71">
        <f t="shared" si="30"/>
        <v>0</v>
      </c>
      <c r="BZ13" s="39"/>
      <c r="CA13" s="71">
        <f t="shared" si="31"/>
        <v>11394</v>
      </c>
      <c r="CB13" s="6"/>
      <c r="CC13" s="39"/>
      <c r="CD13" s="39">
        <f t="shared" si="32"/>
        <v>11394</v>
      </c>
      <c r="CF13" s="175">
        <f>'7'!W26</f>
        <v>500</v>
      </c>
    </row>
    <row r="14" spans="1:104" ht="14.5">
      <c r="A14" s="176" t="s">
        <v>23</v>
      </c>
      <c r="B14" s="68">
        <f>SUM(B7:B13)</f>
        <v>0</v>
      </c>
      <c r="C14" s="68"/>
      <c r="D14" s="130">
        <f t="shared" ref="D14:E14" si="35">SUM(D7:D13)</f>
        <v>0</v>
      </c>
      <c r="E14" s="70">
        <f t="shared" si="35"/>
        <v>1350</v>
      </c>
      <c r="F14" s="70"/>
      <c r="G14" s="131">
        <f t="shared" ref="G14:H14" si="36">SUM(G7:G13)</f>
        <v>47250</v>
      </c>
      <c r="H14" s="72">
        <f t="shared" si="36"/>
        <v>80</v>
      </c>
      <c r="I14" s="70"/>
      <c r="J14" s="131">
        <f t="shared" ref="J14:K14" si="37">SUM(J7:J13)</f>
        <v>680</v>
      </c>
      <c r="K14" s="70">
        <f t="shared" si="37"/>
        <v>100</v>
      </c>
      <c r="L14" s="70"/>
      <c r="M14" s="131">
        <f t="shared" ref="M14:N14" si="38">SUM(M7:M13)</f>
        <v>1800</v>
      </c>
      <c r="N14" s="70">
        <f t="shared" si="38"/>
        <v>500</v>
      </c>
      <c r="O14" s="70"/>
      <c r="P14" s="131">
        <f t="shared" ref="P14:Q14" si="39">SUM(P7:P13)</f>
        <v>3500</v>
      </c>
      <c r="Q14" s="70">
        <f t="shared" si="39"/>
        <v>0</v>
      </c>
      <c r="R14" s="70"/>
      <c r="S14" s="131">
        <f t="shared" ref="S14:T14" si="40">SUM(S7:S13)</f>
        <v>0</v>
      </c>
      <c r="T14" s="70">
        <f t="shared" si="40"/>
        <v>1395</v>
      </c>
      <c r="U14" s="72"/>
      <c r="V14" s="131">
        <f t="shared" ref="V14:W14" si="41">SUM(V7:V13)</f>
        <v>11857.5</v>
      </c>
      <c r="W14" s="70">
        <f t="shared" si="41"/>
        <v>300</v>
      </c>
      <c r="X14" s="70"/>
      <c r="Y14" s="131">
        <f t="shared" ref="Y14:Z14" si="42">SUM(Y7:Y13)</f>
        <v>1800</v>
      </c>
      <c r="Z14" s="70">
        <f t="shared" si="42"/>
        <v>300</v>
      </c>
      <c r="AA14" s="70"/>
      <c r="AB14" s="132">
        <f t="shared" ref="AB14:AC14" si="43">SUM(AB7:AB13)</f>
        <v>1800</v>
      </c>
      <c r="AC14" s="70">
        <f t="shared" si="43"/>
        <v>80</v>
      </c>
      <c r="AD14" s="70"/>
      <c r="AE14" s="132">
        <f t="shared" ref="AE14:AF14" si="44">SUM(AE7:AE13)</f>
        <v>640</v>
      </c>
      <c r="AF14" s="70">
        <f t="shared" si="44"/>
        <v>0</v>
      </c>
      <c r="AG14" s="70"/>
      <c r="AH14" s="131">
        <f t="shared" ref="AH14:AI14" si="45">SUM(AH7:AH13)</f>
        <v>0</v>
      </c>
      <c r="AI14" s="70">
        <f t="shared" si="45"/>
        <v>0</v>
      </c>
      <c r="AJ14" s="70"/>
      <c r="AK14" s="131">
        <f t="shared" ref="AK14:AL14" si="46">SUM(AK7:AK13)</f>
        <v>0</v>
      </c>
      <c r="AL14" s="70">
        <f t="shared" si="46"/>
        <v>0</v>
      </c>
      <c r="AM14" s="70"/>
      <c r="AN14" s="131">
        <f>SUM(AN7:AN13)</f>
        <v>0</v>
      </c>
      <c r="AO14" s="76"/>
      <c r="AP14" s="68">
        <f>SUM(AP7:AP13)</f>
        <v>96</v>
      </c>
      <c r="AQ14" s="70"/>
      <c r="AR14" s="131">
        <f t="shared" ref="AR14:AS14" si="47">SUM(AR7:AR13)</f>
        <v>840</v>
      </c>
      <c r="AS14" s="70">
        <f t="shared" si="47"/>
        <v>288</v>
      </c>
      <c r="AT14" s="70"/>
      <c r="AU14" s="131">
        <f t="shared" ref="AU14:AV14" si="48">SUM(AU7:AU13)</f>
        <v>3528</v>
      </c>
      <c r="AV14" s="70">
        <f t="shared" si="48"/>
        <v>0</v>
      </c>
      <c r="AW14" s="70"/>
      <c r="AX14" s="131">
        <f t="shared" ref="AX14:AY14" si="49">SUM(AX7:AX13)</f>
        <v>0</v>
      </c>
      <c r="AY14" s="72">
        <f t="shared" si="49"/>
        <v>0</v>
      </c>
      <c r="AZ14" s="70"/>
      <c r="BA14" s="131">
        <f t="shared" ref="BA14:BB14" si="50">SUM(BA7:BA13)</f>
        <v>0</v>
      </c>
      <c r="BB14" s="70">
        <f t="shared" si="50"/>
        <v>0</v>
      </c>
      <c r="BC14" s="70"/>
      <c r="BD14" s="131">
        <f t="shared" ref="BD14:BE14" si="51">SUM(BD7:BD13)</f>
        <v>0</v>
      </c>
      <c r="BE14" s="70">
        <f t="shared" si="51"/>
        <v>0</v>
      </c>
      <c r="BF14" s="70"/>
      <c r="BG14" s="131">
        <f t="shared" ref="BG14:BH14" si="52">SUM(BG7:BG13)</f>
        <v>0</v>
      </c>
      <c r="BH14" s="70">
        <f t="shared" si="52"/>
        <v>0</v>
      </c>
      <c r="BI14" s="70"/>
      <c r="BJ14" s="131">
        <f t="shared" ref="BJ14:BK14" si="53">SUM(BJ7:BJ13)</f>
        <v>0</v>
      </c>
      <c r="BK14" s="70">
        <f t="shared" si="53"/>
        <v>0</v>
      </c>
      <c r="BL14" s="70"/>
      <c r="BM14" s="131">
        <f t="shared" ref="BM14:BN14" si="54">SUM(BM7:BM13)</f>
        <v>0</v>
      </c>
      <c r="BN14" s="72">
        <f t="shared" si="54"/>
        <v>0</v>
      </c>
      <c r="BO14" s="70"/>
      <c r="BP14" s="131">
        <f t="shared" ref="BP14:BQ14" si="55">SUM(BP7:BP13)</f>
        <v>0</v>
      </c>
      <c r="BQ14" s="70">
        <f t="shared" si="55"/>
        <v>24</v>
      </c>
      <c r="BR14" s="70"/>
      <c r="BS14" s="131">
        <f t="shared" ref="BS14:BT14" si="56">SUM(BS7:BS13)</f>
        <v>306</v>
      </c>
      <c r="BT14" s="70">
        <f t="shared" si="56"/>
        <v>0</v>
      </c>
      <c r="BU14" s="70"/>
      <c r="BV14" s="131">
        <f t="shared" ref="BV14:BW14" si="57">SUM(BV7:BV13)</f>
        <v>0</v>
      </c>
      <c r="BW14" s="70">
        <f t="shared" si="57"/>
        <v>0</v>
      </c>
      <c r="BX14" s="70"/>
      <c r="BY14" s="131">
        <f>SUM(BY7:BY13)</f>
        <v>0</v>
      </c>
      <c r="BZ14" s="39"/>
      <c r="CA14" s="131">
        <f>SUM(CA7:CA13)</f>
        <v>74001.5</v>
      </c>
      <c r="CB14" s="133">
        <f>G14+J14+P14+S14+V14+Y14+AB14+AE14+AR14+AU14+AX14+BA14+BD14+BS14</f>
        <v>72201.5</v>
      </c>
      <c r="CC14" s="39"/>
      <c r="CD14" s="134">
        <f>SUM(CD7:CD13)</f>
        <v>74001.5</v>
      </c>
      <c r="CF14" s="177">
        <f>SUM(CF7:CF13)</f>
        <v>500</v>
      </c>
    </row>
    <row r="15" spans="1:104" ht="14.5">
      <c r="A15" s="3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F15" s="39"/>
    </row>
    <row r="16" spans="1:104" ht="14.5">
      <c r="A16" s="3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F16" s="39"/>
    </row>
    <row r="17" spans="1:84" ht="14.5">
      <c r="A17" s="169" t="s">
        <v>101</v>
      </c>
      <c r="B17" s="460" t="str">
        <f>B5</f>
        <v>PREMIUM CUT</v>
      </c>
      <c r="C17" s="445"/>
      <c r="D17" s="423"/>
      <c r="E17" s="460" t="s">
        <v>30</v>
      </c>
      <c r="F17" s="445"/>
      <c r="G17" s="423"/>
      <c r="H17" s="460" t="s">
        <v>102</v>
      </c>
      <c r="I17" s="445"/>
      <c r="J17" s="423"/>
      <c r="K17" s="460" t="str">
        <f>K5</f>
        <v>Chicken Fillet</v>
      </c>
      <c r="L17" s="445"/>
      <c r="M17" s="423"/>
      <c r="N17" s="460" t="s">
        <v>53</v>
      </c>
      <c r="O17" s="445"/>
      <c r="P17" s="445"/>
      <c r="Q17" s="475" t="s">
        <v>54</v>
      </c>
      <c r="R17" s="445"/>
      <c r="S17" s="423"/>
      <c r="T17" s="460" t="s">
        <v>55</v>
      </c>
      <c r="U17" s="445"/>
      <c r="V17" s="423"/>
      <c r="W17" s="460" t="s">
        <v>56</v>
      </c>
      <c r="X17" s="445"/>
      <c r="Y17" s="423"/>
      <c r="Z17" s="460" t="s">
        <v>57</v>
      </c>
      <c r="AA17" s="445"/>
      <c r="AB17" s="445"/>
      <c r="AC17" s="460" t="s">
        <v>58</v>
      </c>
      <c r="AD17" s="445"/>
      <c r="AE17" s="445"/>
      <c r="AF17" s="460" t="s">
        <v>111</v>
      </c>
      <c r="AG17" s="445"/>
      <c r="AH17" s="423"/>
      <c r="AI17" s="460"/>
      <c r="AJ17" s="445"/>
      <c r="AK17" s="423"/>
      <c r="AL17" s="460"/>
      <c r="AM17" s="445"/>
      <c r="AN17" s="423"/>
      <c r="AO17" s="178"/>
      <c r="AP17" s="475" t="s">
        <v>103</v>
      </c>
      <c r="AQ17" s="445"/>
      <c r="AR17" s="423"/>
      <c r="AS17" s="460" t="s">
        <v>60</v>
      </c>
      <c r="AT17" s="445"/>
      <c r="AU17" s="423"/>
      <c r="AV17" s="460" t="s">
        <v>61</v>
      </c>
      <c r="AW17" s="445"/>
      <c r="AX17" s="423"/>
      <c r="AY17" s="460" t="s">
        <v>62</v>
      </c>
      <c r="AZ17" s="445"/>
      <c r="BA17" s="423"/>
      <c r="BB17" s="460" t="s">
        <v>63</v>
      </c>
      <c r="BC17" s="445"/>
      <c r="BD17" s="423"/>
      <c r="BE17" s="460" t="str">
        <f>BE5</f>
        <v>swakto</v>
      </c>
      <c r="BF17" s="445"/>
      <c r="BG17" s="423"/>
      <c r="BH17" s="460" t="str">
        <f>BH5</f>
        <v>Calamansi Juice</v>
      </c>
      <c r="BI17" s="445"/>
      <c r="BJ17" s="423"/>
      <c r="BK17" s="460" t="str">
        <f>BK5</f>
        <v>GATORADE</v>
      </c>
      <c r="BL17" s="445"/>
      <c r="BM17" s="423"/>
      <c r="BN17" s="460" t="s">
        <v>66</v>
      </c>
      <c r="BO17" s="445"/>
      <c r="BP17" s="423"/>
      <c r="BQ17" s="447" t="s">
        <v>67</v>
      </c>
      <c r="BR17" s="445"/>
      <c r="BS17" s="423"/>
      <c r="BT17" s="460" t="str">
        <f>BT5</f>
        <v>1 LITER</v>
      </c>
      <c r="BU17" s="445"/>
      <c r="BV17" s="423"/>
      <c r="BW17" s="444" t="str">
        <f>BW5</f>
        <v>1.5 L</v>
      </c>
      <c r="BX17" s="445"/>
      <c r="BY17" s="423"/>
      <c r="BZ17" s="6"/>
      <c r="CA17" s="179" t="s">
        <v>23</v>
      </c>
      <c r="CB17" s="39"/>
      <c r="CC17" s="39"/>
      <c r="CD17" s="39"/>
      <c r="CF17" s="39"/>
    </row>
    <row r="18" spans="1:84" ht="14.5">
      <c r="A18" s="56" t="s">
        <v>7</v>
      </c>
      <c r="B18" s="118" t="s">
        <v>71</v>
      </c>
      <c r="C18" s="118" t="s">
        <v>72</v>
      </c>
      <c r="D18" s="118" t="s">
        <v>26</v>
      </c>
      <c r="E18" s="118" t="s">
        <v>71</v>
      </c>
      <c r="F18" s="118" t="s">
        <v>72</v>
      </c>
      <c r="G18" s="118" t="s">
        <v>26</v>
      </c>
      <c r="H18" s="138" t="s">
        <v>71</v>
      </c>
      <c r="I18" s="139" t="s">
        <v>72</v>
      </c>
      <c r="J18" s="140" t="s">
        <v>73</v>
      </c>
      <c r="K18" s="138" t="s">
        <v>71</v>
      </c>
      <c r="L18" s="139" t="s">
        <v>72</v>
      </c>
      <c r="M18" s="140" t="s">
        <v>73</v>
      </c>
      <c r="N18" s="118" t="s">
        <v>71</v>
      </c>
      <c r="O18" s="118" t="s">
        <v>72</v>
      </c>
      <c r="P18" s="118" t="s">
        <v>26</v>
      </c>
      <c r="Q18" s="138" t="s">
        <v>71</v>
      </c>
      <c r="R18" s="139" t="s">
        <v>72</v>
      </c>
      <c r="S18" s="140" t="s">
        <v>73</v>
      </c>
      <c r="T18" s="138" t="s">
        <v>71</v>
      </c>
      <c r="U18" s="139" t="s">
        <v>72</v>
      </c>
      <c r="V18" s="141" t="s">
        <v>73</v>
      </c>
      <c r="W18" s="138" t="s">
        <v>71</v>
      </c>
      <c r="X18" s="139" t="s">
        <v>72</v>
      </c>
      <c r="Y18" s="141" t="s">
        <v>73</v>
      </c>
      <c r="Z18" s="138" t="s">
        <v>71</v>
      </c>
      <c r="AA18" s="139" t="s">
        <v>72</v>
      </c>
      <c r="AB18" s="141" t="s">
        <v>73</v>
      </c>
      <c r="AC18" s="138" t="s">
        <v>71</v>
      </c>
      <c r="AD18" s="139" t="s">
        <v>72</v>
      </c>
      <c r="AE18" s="141" t="s">
        <v>26</v>
      </c>
      <c r="AF18" s="118" t="s">
        <v>71</v>
      </c>
      <c r="AG18" s="118" t="s">
        <v>72</v>
      </c>
      <c r="AH18" s="118" t="s">
        <v>26</v>
      </c>
      <c r="AI18" s="118" t="s">
        <v>71</v>
      </c>
      <c r="AJ18" s="118" t="s">
        <v>72</v>
      </c>
      <c r="AK18" s="118" t="s">
        <v>26</v>
      </c>
      <c r="AL18" s="118" t="s">
        <v>71</v>
      </c>
      <c r="AM18" s="118" t="s">
        <v>72</v>
      </c>
      <c r="AN18" s="118" t="s">
        <v>73</v>
      </c>
      <c r="AO18" s="136"/>
      <c r="AP18" s="145" t="s">
        <v>71</v>
      </c>
      <c r="AQ18" s="146" t="s">
        <v>72</v>
      </c>
      <c r="AR18" s="145" t="s">
        <v>73</v>
      </c>
      <c r="AS18" s="147" t="s">
        <v>71</v>
      </c>
      <c r="AT18" s="146" t="s">
        <v>72</v>
      </c>
      <c r="AU18" s="145" t="s">
        <v>73</v>
      </c>
      <c r="AV18" s="147" t="s">
        <v>71</v>
      </c>
      <c r="AW18" s="146" t="s">
        <v>72</v>
      </c>
      <c r="AX18" s="145" t="s">
        <v>73</v>
      </c>
      <c r="AY18" s="146" t="s">
        <v>71</v>
      </c>
      <c r="AZ18" s="146" t="s">
        <v>72</v>
      </c>
      <c r="BA18" s="146" t="s">
        <v>26</v>
      </c>
      <c r="BB18" s="146" t="s">
        <v>71</v>
      </c>
      <c r="BC18" s="146" t="s">
        <v>72</v>
      </c>
      <c r="BD18" s="146" t="s">
        <v>26</v>
      </c>
      <c r="BE18" s="146" t="s">
        <v>71</v>
      </c>
      <c r="BF18" s="146" t="s">
        <v>72</v>
      </c>
      <c r="BG18" s="146" t="s">
        <v>26</v>
      </c>
      <c r="BH18" s="146" t="s">
        <v>71</v>
      </c>
      <c r="BI18" s="146" t="s">
        <v>72</v>
      </c>
      <c r="BJ18" s="146" t="s">
        <v>26</v>
      </c>
      <c r="BK18" s="146" t="s">
        <v>71</v>
      </c>
      <c r="BL18" s="146" t="s">
        <v>72</v>
      </c>
      <c r="BM18" s="146" t="s">
        <v>26</v>
      </c>
      <c r="BN18" s="146" t="s">
        <v>71</v>
      </c>
      <c r="BO18" s="146" t="s">
        <v>72</v>
      </c>
      <c r="BP18" s="146" t="s">
        <v>26</v>
      </c>
      <c r="BQ18" s="146" t="s">
        <v>71</v>
      </c>
      <c r="BR18" s="146" t="s">
        <v>72</v>
      </c>
      <c r="BS18" s="146" t="s">
        <v>26</v>
      </c>
      <c r="BT18" s="146" t="s">
        <v>71</v>
      </c>
      <c r="BU18" s="146" t="s">
        <v>72</v>
      </c>
      <c r="BV18" s="146" t="s">
        <v>26</v>
      </c>
      <c r="BW18" s="118" t="s">
        <v>71</v>
      </c>
      <c r="BX18" s="118" t="s">
        <v>72</v>
      </c>
      <c r="BY18" s="118" t="s">
        <v>26</v>
      </c>
      <c r="BZ18" s="39"/>
      <c r="CA18" s="118" t="s">
        <v>26</v>
      </c>
      <c r="CB18" s="39"/>
      <c r="CC18" s="39"/>
      <c r="CD18" s="39"/>
      <c r="CF18" s="39"/>
    </row>
    <row r="19" spans="1:84" ht="14.5">
      <c r="A19" s="173">
        <v>45451</v>
      </c>
      <c r="B19" s="70">
        <f>'8'!C29</f>
        <v>0</v>
      </c>
      <c r="C19" s="68">
        <f>C7</f>
        <v>30</v>
      </c>
      <c r="D19" s="69">
        <f t="shared" ref="D19:D25" si="58">B19*C19</f>
        <v>0</v>
      </c>
      <c r="E19" s="68">
        <f>'8'!C7</f>
        <v>150</v>
      </c>
      <c r="F19" s="70">
        <v>35</v>
      </c>
      <c r="G19" s="71">
        <f t="shared" ref="G19:G25" si="59">E19*F19</f>
        <v>5250</v>
      </c>
      <c r="H19" s="72">
        <f>'8'!C8</f>
        <v>0</v>
      </c>
      <c r="I19" s="70">
        <f>I7</f>
        <v>8.5</v>
      </c>
      <c r="J19" s="71">
        <f t="shared" ref="J19:J25" si="60">H19*I19</f>
        <v>0</v>
      </c>
      <c r="K19" s="72">
        <f>'8'!C15</f>
        <v>0</v>
      </c>
      <c r="L19" s="70">
        <f>L7</f>
        <v>18</v>
      </c>
      <c r="M19" s="71">
        <f t="shared" ref="M19:M25" si="61">K19*L19</f>
        <v>0</v>
      </c>
      <c r="N19" s="70">
        <f>'8'!C9</f>
        <v>50</v>
      </c>
      <c r="O19" s="70">
        <f>O7</f>
        <v>7</v>
      </c>
      <c r="P19" s="71">
        <f t="shared" ref="P19:P25" si="62">N19*O19</f>
        <v>350</v>
      </c>
      <c r="Q19" s="68">
        <f>'8'!C10</f>
        <v>0</v>
      </c>
      <c r="R19" s="72">
        <f>R7</f>
        <v>5.5</v>
      </c>
      <c r="S19" s="71">
        <f t="shared" ref="S19:S25" si="63">Q19*R19</f>
        <v>0</v>
      </c>
      <c r="T19" s="68">
        <f>'8'!C11</f>
        <v>180</v>
      </c>
      <c r="U19" s="72">
        <v>8.5</v>
      </c>
      <c r="V19" s="71">
        <f t="shared" ref="V19:V25" si="64">T19*U19</f>
        <v>1530</v>
      </c>
      <c r="W19" s="68">
        <f>'8'!C12</f>
        <v>40</v>
      </c>
      <c r="X19" s="72">
        <v>6</v>
      </c>
      <c r="Y19" s="71">
        <f t="shared" ref="Y19:Y25" si="65">W19*X19</f>
        <v>240</v>
      </c>
      <c r="Z19" s="68">
        <f>'8'!C13</f>
        <v>30</v>
      </c>
      <c r="AA19" s="72">
        <f>AA7</f>
        <v>6</v>
      </c>
      <c r="AB19" s="71">
        <f t="shared" ref="AB19:AB25" si="66">Z19*AA19</f>
        <v>180</v>
      </c>
      <c r="AC19" s="68">
        <f>'8'!C14</f>
        <v>0</v>
      </c>
      <c r="AD19" s="72">
        <f t="shared" ref="AD19:AD25" si="67">1280/160</f>
        <v>8</v>
      </c>
      <c r="AE19" s="73">
        <f t="shared" ref="AE19:AE25" si="68">AC19*AD19</f>
        <v>0</v>
      </c>
      <c r="AF19" s="72"/>
      <c r="AG19" s="72">
        <f>AG7</f>
        <v>14</v>
      </c>
      <c r="AH19" s="118">
        <f t="shared" ref="AH19:AH25" si="69">AF19*AG19</f>
        <v>0</v>
      </c>
      <c r="AI19" s="72"/>
      <c r="AJ19" s="72">
        <f>AJ7</f>
        <v>0</v>
      </c>
      <c r="AK19" s="118">
        <f t="shared" ref="AK19:AK25" si="70">AI19*AJ19</f>
        <v>0</v>
      </c>
      <c r="AL19" s="72"/>
      <c r="AM19" s="72">
        <f>AM7</f>
        <v>0</v>
      </c>
      <c r="AN19" s="71">
        <f t="shared" ref="AN19:AN25" si="71">AL19*AM19</f>
        <v>0</v>
      </c>
      <c r="AO19" s="76"/>
      <c r="AP19" s="68">
        <f>'8'!C17</f>
        <v>0</v>
      </c>
      <c r="AQ19" s="72">
        <f t="shared" ref="AQ19:AQ25" si="72">2310/264</f>
        <v>8.75</v>
      </c>
      <c r="AR19" s="71">
        <f t="shared" ref="AR19:AR25" si="73">AP19*AQ19</f>
        <v>0</v>
      </c>
      <c r="AS19" s="68">
        <f>'8'!C18</f>
        <v>0</v>
      </c>
      <c r="AT19" s="72">
        <f t="shared" ref="AT19:AT25" si="74">1764/144</f>
        <v>12.25</v>
      </c>
      <c r="AU19" s="71">
        <f t="shared" ref="AU19:AU25" si="75">AS19*AT19</f>
        <v>0</v>
      </c>
      <c r="AV19" s="68">
        <f>'8'!C21</f>
        <v>0</v>
      </c>
      <c r="AW19" s="70">
        <v>7.9166666666600003</v>
      </c>
      <c r="AX19" s="71">
        <f t="shared" ref="AX19:AX25" si="76">AV19*AW19</f>
        <v>0</v>
      </c>
      <c r="AY19" s="68">
        <f>'8'!C22</f>
        <v>0</v>
      </c>
      <c r="AZ19" s="70">
        <f t="shared" ref="AZ19:AZ25" si="77">1175/120</f>
        <v>9.7916666666666661</v>
      </c>
      <c r="BA19" s="71">
        <f t="shared" ref="BA19:BA25" si="78">AY19*AZ19</f>
        <v>0</v>
      </c>
      <c r="BB19" s="68">
        <f>'8'!C26</f>
        <v>0</v>
      </c>
      <c r="BC19" s="68">
        <f t="shared" ref="BC19:BC25" si="79">3920/240</f>
        <v>16.333333333333332</v>
      </c>
      <c r="BD19" s="69">
        <f t="shared" ref="BD19:BD25" si="80">BB19*BC19</f>
        <v>0</v>
      </c>
      <c r="BE19" s="68">
        <f>'8'!C27</f>
        <v>0</v>
      </c>
      <c r="BF19" s="68">
        <f t="shared" ref="BF19:BF22" si="81">690/60</f>
        <v>11.5</v>
      </c>
      <c r="BG19" s="69">
        <f t="shared" ref="BG19:BG25" si="82">BE19*BF19</f>
        <v>0</v>
      </c>
      <c r="BH19" s="68">
        <f>'8'!C28</f>
        <v>0</v>
      </c>
      <c r="BI19" s="70">
        <v>20</v>
      </c>
      <c r="BJ19" s="71">
        <f t="shared" ref="BJ19:BJ25" si="83">BH19*BI19</f>
        <v>0</v>
      </c>
      <c r="BK19" s="68">
        <f>'8'!C23</f>
        <v>0</v>
      </c>
      <c r="BL19" s="70">
        <f>BL7</f>
        <v>23</v>
      </c>
      <c r="BM19" s="71">
        <f t="shared" ref="BM19:BM25" si="84">BK19*BL19</f>
        <v>0</v>
      </c>
      <c r="BN19" s="68">
        <f>'8'!C25</f>
        <v>0</v>
      </c>
      <c r="BO19" s="72">
        <f>BO7</f>
        <v>12.5</v>
      </c>
      <c r="BP19" s="71">
        <f t="shared" ref="BP19:BP25" si="85">BN19*BO19</f>
        <v>0</v>
      </c>
      <c r="BQ19" s="68">
        <f>'8'!C24</f>
        <v>0</v>
      </c>
      <c r="BR19" s="70">
        <f t="shared" ref="BR19:BR25" si="86">306/24</f>
        <v>12.75</v>
      </c>
      <c r="BS19" s="69">
        <f t="shared" ref="BS19:BS25" si="87">BQ19*BR19</f>
        <v>0</v>
      </c>
      <c r="BT19" s="68">
        <f>'8'!C19</f>
        <v>0</v>
      </c>
      <c r="BU19" s="70">
        <f t="shared" ref="BU19:BU25" si="88">363/12</f>
        <v>30.25</v>
      </c>
      <c r="BV19" s="71">
        <f t="shared" ref="BV19:BV25" si="89">BT19*BU19</f>
        <v>0</v>
      </c>
      <c r="BW19" s="70">
        <f>'8'!C20</f>
        <v>0</v>
      </c>
      <c r="BX19" s="70">
        <f>BX7</f>
        <v>15.916666666659999</v>
      </c>
      <c r="BY19" s="71">
        <f t="shared" ref="BY19:BY25" si="90">BW19*BX19</f>
        <v>0</v>
      </c>
      <c r="BZ19" s="39"/>
      <c r="CA19" s="71">
        <f t="shared" ref="CA19:CA25" si="91">D19+G19+J19+M19+P19+S19+V19+Y19+AB19+AE19+AH19+AK19+AN19+AR19+AU19+AX19+BA19+BD19+BG19+BJ19+BM19+BP19+BS19+BV19+BY19</f>
        <v>7550</v>
      </c>
      <c r="CB19" s="39"/>
      <c r="CC19" s="39"/>
      <c r="CD19" s="39">
        <f t="shared" ref="CD19:CD25" si="92">CA19-CC19</f>
        <v>7550</v>
      </c>
      <c r="CF19" s="175">
        <f>'8'!W26</f>
        <v>0</v>
      </c>
    </row>
    <row r="20" spans="1:84" ht="14.5">
      <c r="A20" s="173">
        <v>45452</v>
      </c>
      <c r="B20" s="68">
        <f>'9'!C29</f>
        <v>0</v>
      </c>
      <c r="C20" s="68">
        <f>C7</f>
        <v>30</v>
      </c>
      <c r="D20" s="69">
        <f t="shared" si="58"/>
        <v>0</v>
      </c>
      <c r="E20" s="68">
        <f>'9'!C7</f>
        <v>200</v>
      </c>
      <c r="F20" s="70">
        <v>35</v>
      </c>
      <c r="G20" s="71">
        <f t="shared" si="59"/>
        <v>7000</v>
      </c>
      <c r="H20" s="72">
        <f>'9'!C8</f>
        <v>20</v>
      </c>
      <c r="I20" s="70">
        <f>I7</f>
        <v>8.5</v>
      </c>
      <c r="J20" s="71">
        <f t="shared" si="60"/>
        <v>170</v>
      </c>
      <c r="K20" s="72">
        <f>'9'!C15</f>
        <v>0</v>
      </c>
      <c r="L20" s="70">
        <f>L7</f>
        <v>18</v>
      </c>
      <c r="M20" s="71">
        <f t="shared" si="61"/>
        <v>0</v>
      </c>
      <c r="N20" s="70">
        <f>'9'!C9</f>
        <v>50</v>
      </c>
      <c r="O20" s="68">
        <f>O7</f>
        <v>7</v>
      </c>
      <c r="P20" s="71">
        <f t="shared" si="62"/>
        <v>350</v>
      </c>
      <c r="Q20" s="68">
        <f>'9'!C10</f>
        <v>0</v>
      </c>
      <c r="R20" s="72">
        <f>R7</f>
        <v>5.5</v>
      </c>
      <c r="S20" s="71">
        <f t="shared" si="63"/>
        <v>0</v>
      </c>
      <c r="T20" s="68">
        <f>'9'!C11</f>
        <v>180</v>
      </c>
      <c r="U20" s="72">
        <v>8.5</v>
      </c>
      <c r="V20" s="71">
        <f t="shared" si="64"/>
        <v>1530</v>
      </c>
      <c r="W20" s="68">
        <f>'9'!C12</f>
        <v>40</v>
      </c>
      <c r="X20" s="72">
        <v>6</v>
      </c>
      <c r="Y20" s="71">
        <f t="shared" si="65"/>
        <v>240</v>
      </c>
      <c r="Z20" s="68">
        <f>'9'!C13</f>
        <v>20</v>
      </c>
      <c r="AA20" s="72">
        <f>AA7</f>
        <v>6</v>
      </c>
      <c r="AB20" s="71">
        <f t="shared" si="66"/>
        <v>120</v>
      </c>
      <c r="AC20" s="68">
        <f>'9'!C14</f>
        <v>0</v>
      </c>
      <c r="AD20" s="72">
        <f t="shared" si="67"/>
        <v>8</v>
      </c>
      <c r="AE20" s="73">
        <f t="shared" si="68"/>
        <v>0</v>
      </c>
      <c r="AF20" s="72"/>
      <c r="AG20" s="72">
        <f>AG7</f>
        <v>14</v>
      </c>
      <c r="AH20" s="118">
        <f t="shared" si="69"/>
        <v>0</v>
      </c>
      <c r="AI20" s="72"/>
      <c r="AJ20" s="72">
        <f>AJ7</f>
        <v>0</v>
      </c>
      <c r="AK20" s="118">
        <f t="shared" si="70"/>
        <v>0</v>
      </c>
      <c r="AL20" s="72"/>
      <c r="AM20" s="72">
        <f>AM7</f>
        <v>0</v>
      </c>
      <c r="AN20" s="71">
        <f t="shared" si="71"/>
        <v>0</v>
      </c>
      <c r="AO20" s="76"/>
      <c r="AP20" s="68">
        <f>'9'!C17</f>
        <v>0</v>
      </c>
      <c r="AQ20" s="72">
        <f t="shared" si="72"/>
        <v>8.75</v>
      </c>
      <c r="AR20" s="71">
        <f t="shared" si="73"/>
        <v>0</v>
      </c>
      <c r="AS20" s="68">
        <f>'9'!C18</f>
        <v>0</v>
      </c>
      <c r="AT20" s="72">
        <f t="shared" si="74"/>
        <v>12.25</v>
      </c>
      <c r="AU20" s="71">
        <f t="shared" si="75"/>
        <v>0</v>
      </c>
      <c r="AV20" s="68">
        <f>'9'!C21</f>
        <v>0</v>
      </c>
      <c r="AW20" s="70">
        <v>7.9166666666600003</v>
      </c>
      <c r="AX20" s="71">
        <f t="shared" si="76"/>
        <v>0</v>
      </c>
      <c r="AY20" s="68">
        <f>'9'!C22</f>
        <v>0</v>
      </c>
      <c r="AZ20" s="70">
        <f t="shared" si="77"/>
        <v>9.7916666666666661</v>
      </c>
      <c r="BA20" s="71">
        <f t="shared" si="78"/>
        <v>0</v>
      </c>
      <c r="BB20" s="68">
        <f>'9'!C26</f>
        <v>0</v>
      </c>
      <c r="BC20" s="68">
        <f t="shared" si="79"/>
        <v>16.333333333333332</v>
      </c>
      <c r="BD20" s="69">
        <f t="shared" si="80"/>
        <v>0</v>
      </c>
      <c r="BE20" s="68">
        <f>'9'!C27</f>
        <v>0</v>
      </c>
      <c r="BF20" s="68">
        <f t="shared" si="81"/>
        <v>11.5</v>
      </c>
      <c r="BG20" s="69">
        <f t="shared" si="82"/>
        <v>0</v>
      </c>
      <c r="BH20" s="68">
        <f>'9'!C28</f>
        <v>0</v>
      </c>
      <c r="BI20" s="70">
        <v>20</v>
      </c>
      <c r="BJ20" s="71">
        <f t="shared" si="83"/>
        <v>0</v>
      </c>
      <c r="BK20" s="68">
        <f>'9'!C23</f>
        <v>0</v>
      </c>
      <c r="BL20" s="70">
        <f>BL7</f>
        <v>23</v>
      </c>
      <c r="BM20" s="71">
        <f t="shared" si="84"/>
        <v>0</v>
      </c>
      <c r="BN20" s="68">
        <f>'9'!C25</f>
        <v>0</v>
      </c>
      <c r="BO20" s="72">
        <f>BO7</f>
        <v>12.5</v>
      </c>
      <c r="BP20" s="71">
        <f t="shared" si="85"/>
        <v>0</v>
      </c>
      <c r="BQ20" s="68">
        <f>'9'!C24</f>
        <v>0</v>
      </c>
      <c r="BR20" s="70">
        <f t="shared" si="86"/>
        <v>12.75</v>
      </c>
      <c r="BS20" s="69">
        <f t="shared" si="87"/>
        <v>0</v>
      </c>
      <c r="BT20" s="68">
        <f>'9'!C19</f>
        <v>0</v>
      </c>
      <c r="BU20" s="70">
        <f t="shared" si="88"/>
        <v>30.25</v>
      </c>
      <c r="BV20" s="71">
        <f t="shared" si="89"/>
        <v>0</v>
      </c>
      <c r="BW20" s="70">
        <f>'9'!C20</f>
        <v>0</v>
      </c>
      <c r="BX20" s="70">
        <f>BX7</f>
        <v>15.916666666659999</v>
      </c>
      <c r="BY20" s="71">
        <f t="shared" si="90"/>
        <v>0</v>
      </c>
      <c r="BZ20" s="39"/>
      <c r="CA20" s="71">
        <f t="shared" si="91"/>
        <v>9410</v>
      </c>
      <c r="CB20" s="6"/>
      <c r="CC20" s="39"/>
      <c r="CD20" s="39">
        <f t="shared" si="92"/>
        <v>9410</v>
      </c>
      <c r="CF20" s="175">
        <f>'9'!W26</f>
        <v>0</v>
      </c>
    </row>
    <row r="21" spans="1:84" ht="15.75" customHeight="1">
      <c r="A21" s="173">
        <v>45453</v>
      </c>
      <c r="B21" s="68">
        <f>'10'!C29</f>
        <v>0</v>
      </c>
      <c r="C21" s="68">
        <f>C7</f>
        <v>30</v>
      </c>
      <c r="D21" s="69">
        <f t="shared" si="58"/>
        <v>0</v>
      </c>
      <c r="E21" s="68">
        <f>'10'!C7</f>
        <v>200</v>
      </c>
      <c r="F21" s="70">
        <v>35</v>
      </c>
      <c r="G21" s="71">
        <f t="shared" si="59"/>
        <v>7000</v>
      </c>
      <c r="H21" s="72">
        <f>'10'!C8</f>
        <v>20</v>
      </c>
      <c r="I21" s="70">
        <f>I7</f>
        <v>8.5</v>
      </c>
      <c r="J21" s="71">
        <f t="shared" si="60"/>
        <v>170</v>
      </c>
      <c r="K21" s="72">
        <f>'10'!C15</f>
        <v>50</v>
      </c>
      <c r="L21" s="70">
        <f>L7</f>
        <v>18</v>
      </c>
      <c r="M21" s="71">
        <f t="shared" si="61"/>
        <v>900</v>
      </c>
      <c r="N21" s="70">
        <f>'10'!C9</f>
        <v>100</v>
      </c>
      <c r="O21" s="68">
        <f>O7</f>
        <v>7</v>
      </c>
      <c r="P21" s="71">
        <f t="shared" si="62"/>
        <v>700</v>
      </c>
      <c r="Q21" s="68">
        <f>'10'!C10</f>
        <v>0</v>
      </c>
      <c r="R21" s="72">
        <f>R7</f>
        <v>5.5</v>
      </c>
      <c r="S21" s="71">
        <f t="shared" si="63"/>
        <v>0</v>
      </c>
      <c r="T21" s="68">
        <f>'10'!C11</f>
        <v>190</v>
      </c>
      <c r="U21" s="72">
        <v>8.5</v>
      </c>
      <c r="V21" s="71">
        <f t="shared" si="64"/>
        <v>1615</v>
      </c>
      <c r="W21" s="68">
        <f>'10'!C12</f>
        <v>40</v>
      </c>
      <c r="X21" s="72">
        <v>6</v>
      </c>
      <c r="Y21" s="71">
        <f t="shared" si="65"/>
        <v>240</v>
      </c>
      <c r="Z21" s="68">
        <f>'10'!C13</f>
        <v>40</v>
      </c>
      <c r="AA21" s="72">
        <f>AA7</f>
        <v>6</v>
      </c>
      <c r="AB21" s="71">
        <f t="shared" si="66"/>
        <v>240</v>
      </c>
      <c r="AC21" s="68">
        <f>'10'!C14</f>
        <v>0</v>
      </c>
      <c r="AD21" s="72">
        <f t="shared" si="67"/>
        <v>8</v>
      </c>
      <c r="AE21" s="73">
        <f t="shared" si="68"/>
        <v>0</v>
      </c>
      <c r="AF21" s="72"/>
      <c r="AG21" s="72">
        <f>AG7</f>
        <v>14</v>
      </c>
      <c r="AH21" s="118">
        <f t="shared" si="69"/>
        <v>0</v>
      </c>
      <c r="AI21" s="72"/>
      <c r="AJ21" s="72">
        <f>AJ7</f>
        <v>0</v>
      </c>
      <c r="AK21" s="118">
        <f t="shared" si="70"/>
        <v>0</v>
      </c>
      <c r="AL21" s="72"/>
      <c r="AM21" s="72">
        <f>AM7</f>
        <v>0</v>
      </c>
      <c r="AN21" s="71">
        <f t="shared" si="71"/>
        <v>0</v>
      </c>
      <c r="AO21" s="76"/>
      <c r="AP21" s="68">
        <f>'10'!C17</f>
        <v>48</v>
      </c>
      <c r="AQ21" s="72">
        <f t="shared" si="72"/>
        <v>8.75</v>
      </c>
      <c r="AR21" s="71">
        <f t="shared" si="73"/>
        <v>420</v>
      </c>
      <c r="AS21" s="68">
        <f>'10'!C18</f>
        <v>120</v>
      </c>
      <c r="AT21" s="72">
        <f t="shared" si="74"/>
        <v>12.25</v>
      </c>
      <c r="AU21" s="71">
        <f t="shared" si="75"/>
        <v>1470</v>
      </c>
      <c r="AV21" s="68">
        <f>'10'!C21</f>
        <v>0</v>
      </c>
      <c r="AW21" s="70">
        <v>7.9166666666600003</v>
      </c>
      <c r="AX21" s="71">
        <f t="shared" si="76"/>
        <v>0</v>
      </c>
      <c r="AY21" s="68">
        <f>'10'!C22</f>
        <v>0</v>
      </c>
      <c r="AZ21" s="70">
        <f t="shared" si="77"/>
        <v>9.7916666666666661</v>
      </c>
      <c r="BA21" s="71">
        <f t="shared" si="78"/>
        <v>0</v>
      </c>
      <c r="BB21" s="68">
        <f>'10'!C26</f>
        <v>0</v>
      </c>
      <c r="BC21" s="68">
        <f t="shared" si="79"/>
        <v>16.333333333333332</v>
      </c>
      <c r="BD21" s="69">
        <f t="shared" si="80"/>
        <v>0</v>
      </c>
      <c r="BE21" s="68">
        <f>'10'!C27</f>
        <v>0</v>
      </c>
      <c r="BF21" s="68">
        <f t="shared" si="81"/>
        <v>11.5</v>
      </c>
      <c r="BG21" s="69">
        <f t="shared" si="82"/>
        <v>0</v>
      </c>
      <c r="BH21" s="68">
        <f>'10'!C28</f>
        <v>0</v>
      </c>
      <c r="BI21" s="70">
        <v>20</v>
      </c>
      <c r="BJ21" s="71">
        <f t="shared" si="83"/>
        <v>0</v>
      </c>
      <c r="BK21" s="68">
        <f>'10'!C23</f>
        <v>0</v>
      </c>
      <c r="BL21" s="70">
        <f>BL7</f>
        <v>23</v>
      </c>
      <c r="BM21" s="71">
        <f t="shared" si="84"/>
        <v>0</v>
      </c>
      <c r="BN21" s="68">
        <f>'10'!C25</f>
        <v>0</v>
      </c>
      <c r="BO21" s="72">
        <f>BO7</f>
        <v>12.5</v>
      </c>
      <c r="BP21" s="71">
        <f t="shared" si="85"/>
        <v>0</v>
      </c>
      <c r="BQ21" s="68">
        <f>'10'!C24</f>
        <v>0</v>
      </c>
      <c r="BR21" s="70">
        <f t="shared" si="86"/>
        <v>12.75</v>
      </c>
      <c r="BS21" s="69">
        <f t="shared" si="87"/>
        <v>0</v>
      </c>
      <c r="BT21" s="68">
        <f>'10'!C19</f>
        <v>0</v>
      </c>
      <c r="BU21" s="70">
        <f t="shared" si="88"/>
        <v>30.25</v>
      </c>
      <c r="BV21" s="71">
        <f t="shared" si="89"/>
        <v>0</v>
      </c>
      <c r="BW21" s="70">
        <f>'10'!C20</f>
        <v>0</v>
      </c>
      <c r="BX21" s="70">
        <f>BX7</f>
        <v>15.916666666659999</v>
      </c>
      <c r="BY21" s="71">
        <f t="shared" si="90"/>
        <v>0</v>
      </c>
      <c r="BZ21" s="39"/>
      <c r="CA21" s="71">
        <f t="shared" si="91"/>
        <v>12755</v>
      </c>
      <c r="CB21" s="6"/>
      <c r="CC21" s="39"/>
      <c r="CD21" s="39">
        <f t="shared" si="92"/>
        <v>12755</v>
      </c>
      <c r="CF21" s="175">
        <f>'10'!W26</f>
        <v>0</v>
      </c>
    </row>
    <row r="22" spans="1:84" ht="15.75" customHeight="1">
      <c r="A22" s="173">
        <v>45454</v>
      </c>
      <c r="B22" s="68">
        <f>'11'!C29</f>
        <v>0</v>
      </c>
      <c r="C22" s="68">
        <f>C7</f>
        <v>30</v>
      </c>
      <c r="D22" s="69">
        <f t="shared" si="58"/>
        <v>0</v>
      </c>
      <c r="E22" s="68">
        <f>'11'!C7</f>
        <v>500</v>
      </c>
      <c r="F22" s="70">
        <v>35</v>
      </c>
      <c r="G22" s="71">
        <f t="shared" si="59"/>
        <v>17500</v>
      </c>
      <c r="H22" s="72">
        <f>'11'!C8</f>
        <v>40</v>
      </c>
      <c r="I22" s="70">
        <v>8.5</v>
      </c>
      <c r="J22" s="71">
        <f t="shared" si="60"/>
        <v>340</v>
      </c>
      <c r="K22" s="72">
        <f>'11'!C15</f>
        <v>0</v>
      </c>
      <c r="L22" s="70">
        <f>L7</f>
        <v>18</v>
      </c>
      <c r="M22" s="71">
        <f t="shared" si="61"/>
        <v>0</v>
      </c>
      <c r="N22" s="70">
        <f>'11'!C9</f>
        <v>150</v>
      </c>
      <c r="O22" s="68">
        <f>O7</f>
        <v>7</v>
      </c>
      <c r="P22" s="71">
        <f t="shared" si="62"/>
        <v>1050</v>
      </c>
      <c r="Q22" s="68">
        <f>'11'!C10</f>
        <v>0</v>
      </c>
      <c r="R22" s="72">
        <f>R7</f>
        <v>5.5</v>
      </c>
      <c r="S22" s="71">
        <f t="shared" si="63"/>
        <v>0</v>
      </c>
      <c r="T22" s="68">
        <f>'11'!C11</f>
        <v>190</v>
      </c>
      <c r="U22" s="72">
        <v>8.5</v>
      </c>
      <c r="V22" s="71">
        <f t="shared" si="64"/>
        <v>1615</v>
      </c>
      <c r="W22" s="68">
        <f>'11'!C12</f>
        <v>80</v>
      </c>
      <c r="X22" s="72">
        <v>6</v>
      </c>
      <c r="Y22" s="71">
        <f t="shared" si="65"/>
        <v>480</v>
      </c>
      <c r="Z22" s="68">
        <f>'11'!C13</f>
        <v>80</v>
      </c>
      <c r="AA22" s="72">
        <f>AA7</f>
        <v>6</v>
      </c>
      <c r="AB22" s="71">
        <f t="shared" si="66"/>
        <v>480</v>
      </c>
      <c r="AC22" s="68">
        <f>'11'!C14</f>
        <v>26</v>
      </c>
      <c r="AD22" s="72">
        <f t="shared" si="67"/>
        <v>8</v>
      </c>
      <c r="AE22" s="73">
        <f t="shared" si="68"/>
        <v>208</v>
      </c>
      <c r="AF22" s="72"/>
      <c r="AG22" s="72">
        <f>AG7</f>
        <v>14</v>
      </c>
      <c r="AH22" s="118">
        <f t="shared" si="69"/>
        <v>0</v>
      </c>
      <c r="AI22" s="72"/>
      <c r="AJ22" s="72">
        <f>AJ7</f>
        <v>0</v>
      </c>
      <c r="AK22" s="118">
        <f t="shared" si="70"/>
        <v>0</v>
      </c>
      <c r="AL22" s="72"/>
      <c r="AM22" s="72">
        <f>AM7</f>
        <v>0</v>
      </c>
      <c r="AN22" s="71">
        <f t="shared" si="71"/>
        <v>0</v>
      </c>
      <c r="AO22" s="76"/>
      <c r="AP22" s="68">
        <f>'11'!C17</f>
        <v>0</v>
      </c>
      <c r="AQ22" s="72">
        <f t="shared" si="72"/>
        <v>8.75</v>
      </c>
      <c r="AR22" s="71">
        <f t="shared" si="73"/>
        <v>0</v>
      </c>
      <c r="AS22" s="68">
        <f>'11'!C18</f>
        <v>0</v>
      </c>
      <c r="AT22" s="72">
        <f t="shared" si="74"/>
        <v>12.25</v>
      </c>
      <c r="AU22" s="71">
        <f t="shared" si="75"/>
        <v>0</v>
      </c>
      <c r="AV22" s="68">
        <f>'11'!C21</f>
        <v>0</v>
      </c>
      <c r="AW22" s="70">
        <v>7.9166666666600003</v>
      </c>
      <c r="AX22" s="71">
        <f t="shared" si="76"/>
        <v>0</v>
      </c>
      <c r="AY22" s="68">
        <f>'11'!C22</f>
        <v>0</v>
      </c>
      <c r="AZ22" s="70">
        <f t="shared" si="77"/>
        <v>9.7916666666666661</v>
      </c>
      <c r="BA22" s="71">
        <f t="shared" si="78"/>
        <v>0</v>
      </c>
      <c r="BB22" s="68">
        <f>'11'!C26</f>
        <v>0</v>
      </c>
      <c r="BC22" s="68">
        <f t="shared" si="79"/>
        <v>16.333333333333332</v>
      </c>
      <c r="BD22" s="69">
        <f t="shared" si="80"/>
        <v>0</v>
      </c>
      <c r="BE22" s="68">
        <f>'11'!C27</f>
        <v>0</v>
      </c>
      <c r="BF22" s="68">
        <f t="shared" si="81"/>
        <v>11.5</v>
      </c>
      <c r="BG22" s="69">
        <f t="shared" si="82"/>
        <v>0</v>
      </c>
      <c r="BH22" s="68">
        <f>'11'!C28</f>
        <v>0</v>
      </c>
      <c r="BI22" s="70">
        <v>20</v>
      </c>
      <c r="BJ22" s="71">
        <f t="shared" si="83"/>
        <v>0</v>
      </c>
      <c r="BK22" s="68">
        <f>'11'!C23</f>
        <v>0</v>
      </c>
      <c r="BL22" s="70">
        <f>BL7</f>
        <v>23</v>
      </c>
      <c r="BM22" s="71">
        <f t="shared" si="84"/>
        <v>0</v>
      </c>
      <c r="BN22" s="68">
        <f>'11'!C25</f>
        <v>0</v>
      </c>
      <c r="BO22" s="72">
        <f>BO7</f>
        <v>12.5</v>
      </c>
      <c r="BP22" s="71">
        <f t="shared" si="85"/>
        <v>0</v>
      </c>
      <c r="BQ22" s="68">
        <f>'11'!C24</f>
        <v>0</v>
      </c>
      <c r="BR22" s="70">
        <f t="shared" si="86"/>
        <v>12.75</v>
      </c>
      <c r="BS22" s="69">
        <f t="shared" si="87"/>
        <v>0</v>
      </c>
      <c r="BT22" s="68">
        <f>'11'!C19</f>
        <v>0</v>
      </c>
      <c r="BU22" s="70">
        <f t="shared" si="88"/>
        <v>30.25</v>
      </c>
      <c r="BV22" s="71">
        <f t="shared" si="89"/>
        <v>0</v>
      </c>
      <c r="BW22" s="70">
        <f>'11'!C20</f>
        <v>0</v>
      </c>
      <c r="BX22" s="70">
        <f>BX7</f>
        <v>15.916666666659999</v>
      </c>
      <c r="BY22" s="71">
        <f t="shared" si="90"/>
        <v>0</v>
      </c>
      <c r="BZ22" s="39"/>
      <c r="CA22" s="71">
        <f t="shared" si="91"/>
        <v>21673</v>
      </c>
      <c r="CB22" s="6"/>
      <c r="CC22" s="39"/>
      <c r="CD22" s="39">
        <f t="shared" si="92"/>
        <v>21673</v>
      </c>
      <c r="CF22" s="175">
        <f>'11'!W26</f>
        <v>0</v>
      </c>
    </row>
    <row r="23" spans="1:84" ht="15.75" customHeight="1">
      <c r="A23" s="173">
        <v>45455</v>
      </c>
      <c r="B23" s="68">
        <f>'12'!C29</f>
        <v>0</v>
      </c>
      <c r="C23" s="68">
        <f>C7</f>
        <v>30</v>
      </c>
      <c r="D23" s="69">
        <f t="shared" si="58"/>
        <v>0</v>
      </c>
      <c r="E23" s="68">
        <f>'12'!C7</f>
        <v>0</v>
      </c>
      <c r="F23" s="70">
        <v>35</v>
      </c>
      <c r="G23" s="71">
        <f t="shared" si="59"/>
        <v>0</v>
      </c>
      <c r="H23" s="72">
        <f>'12'!C8</f>
        <v>0</v>
      </c>
      <c r="I23" s="70">
        <v>8.5</v>
      </c>
      <c r="J23" s="71">
        <f t="shared" si="60"/>
        <v>0</v>
      </c>
      <c r="K23" s="72">
        <f>'12'!C15</f>
        <v>0</v>
      </c>
      <c r="L23" s="70">
        <f>L7</f>
        <v>18</v>
      </c>
      <c r="M23" s="71">
        <f t="shared" si="61"/>
        <v>0</v>
      </c>
      <c r="N23" s="70">
        <f>'12'!C9</f>
        <v>0</v>
      </c>
      <c r="O23" s="68">
        <f>O7</f>
        <v>7</v>
      </c>
      <c r="P23" s="71">
        <f t="shared" si="62"/>
        <v>0</v>
      </c>
      <c r="Q23" s="68">
        <f>'12'!C10</f>
        <v>0</v>
      </c>
      <c r="R23" s="72">
        <f>R7</f>
        <v>5.5</v>
      </c>
      <c r="S23" s="71">
        <f t="shared" si="63"/>
        <v>0</v>
      </c>
      <c r="T23" s="68">
        <f>'12'!C11</f>
        <v>180</v>
      </c>
      <c r="U23" s="72">
        <v>8.5</v>
      </c>
      <c r="V23" s="71">
        <f t="shared" si="64"/>
        <v>1530</v>
      </c>
      <c r="W23" s="68">
        <f>'12'!C12</f>
        <v>0</v>
      </c>
      <c r="X23" s="72">
        <v>6</v>
      </c>
      <c r="Y23" s="71">
        <f t="shared" si="65"/>
        <v>0</v>
      </c>
      <c r="Z23" s="68">
        <f>'12'!C13</f>
        <v>0</v>
      </c>
      <c r="AA23" s="72">
        <f>AA7</f>
        <v>6</v>
      </c>
      <c r="AB23" s="71">
        <f t="shared" si="66"/>
        <v>0</v>
      </c>
      <c r="AC23" s="68">
        <f>'12'!C14</f>
        <v>0</v>
      </c>
      <c r="AD23" s="72">
        <f t="shared" si="67"/>
        <v>8</v>
      </c>
      <c r="AE23" s="73">
        <f t="shared" si="68"/>
        <v>0</v>
      </c>
      <c r="AF23" s="72"/>
      <c r="AG23" s="72">
        <f>AG7</f>
        <v>14</v>
      </c>
      <c r="AH23" s="118">
        <f t="shared" si="69"/>
        <v>0</v>
      </c>
      <c r="AI23" s="72"/>
      <c r="AJ23" s="72">
        <f>AJ7</f>
        <v>0</v>
      </c>
      <c r="AK23" s="118">
        <f t="shared" si="70"/>
        <v>0</v>
      </c>
      <c r="AL23" s="72"/>
      <c r="AM23" s="72">
        <f>AM7</f>
        <v>0</v>
      </c>
      <c r="AN23" s="71">
        <f t="shared" si="71"/>
        <v>0</v>
      </c>
      <c r="AO23" s="76"/>
      <c r="AP23" s="68">
        <f>'12'!C17</f>
        <v>0</v>
      </c>
      <c r="AQ23" s="72">
        <f t="shared" si="72"/>
        <v>8.75</v>
      </c>
      <c r="AR23" s="71">
        <f t="shared" si="73"/>
        <v>0</v>
      </c>
      <c r="AS23" s="68">
        <f>'12'!C18</f>
        <v>0</v>
      </c>
      <c r="AT23" s="72">
        <f t="shared" si="74"/>
        <v>12.25</v>
      </c>
      <c r="AU23" s="71">
        <f t="shared" si="75"/>
        <v>0</v>
      </c>
      <c r="AV23" s="68">
        <f>'12'!C21</f>
        <v>0</v>
      </c>
      <c r="AW23" s="70">
        <v>7.9166666666600003</v>
      </c>
      <c r="AX23" s="71">
        <f t="shared" si="76"/>
        <v>0</v>
      </c>
      <c r="AY23" s="68">
        <f>'12'!C22</f>
        <v>0</v>
      </c>
      <c r="AZ23" s="70">
        <f t="shared" si="77"/>
        <v>9.7916666666666661</v>
      </c>
      <c r="BA23" s="71">
        <f t="shared" si="78"/>
        <v>0</v>
      </c>
      <c r="BB23" s="68">
        <f>'12'!C26</f>
        <v>0</v>
      </c>
      <c r="BC23" s="68">
        <f t="shared" si="79"/>
        <v>16.333333333333332</v>
      </c>
      <c r="BD23" s="69">
        <f t="shared" si="80"/>
        <v>0</v>
      </c>
      <c r="BE23" s="68">
        <f>'12'!C27</f>
        <v>0</v>
      </c>
      <c r="BF23" s="68">
        <f t="shared" ref="BF23:BF25" si="93">840/72</f>
        <v>11.666666666666666</v>
      </c>
      <c r="BG23" s="69">
        <f t="shared" si="82"/>
        <v>0</v>
      </c>
      <c r="BH23" s="68">
        <f>'12'!C28</f>
        <v>0</v>
      </c>
      <c r="BI23" s="70">
        <v>20</v>
      </c>
      <c r="BJ23" s="71">
        <f t="shared" si="83"/>
        <v>0</v>
      </c>
      <c r="BK23" s="68">
        <f>'12'!C23</f>
        <v>0</v>
      </c>
      <c r="BL23" s="70">
        <f>BL7</f>
        <v>23</v>
      </c>
      <c r="BM23" s="71">
        <f t="shared" si="84"/>
        <v>0</v>
      </c>
      <c r="BN23" s="68">
        <f>'12'!C25</f>
        <v>0</v>
      </c>
      <c r="BO23" s="72">
        <f>BO7</f>
        <v>12.5</v>
      </c>
      <c r="BP23" s="71">
        <f t="shared" si="85"/>
        <v>0</v>
      </c>
      <c r="BQ23" s="68">
        <f>'12'!C24</f>
        <v>0</v>
      </c>
      <c r="BR23" s="70">
        <f t="shared" si="86"/>
        <v>12.75</v>
      </c>
      <c r="BS23" s="69">
        <f t="shared" si="87"/>
        <v>0</v>
      </c>
      <c r="BT23" s="68">
        <f>'12'!C19</f>
        <v>0</v>
      </c>
      <c r="BU23" s="70">
        <f t="shared" si="88"/>
        <v>30.25</v>
      </c>
      <c r="BV23" s="71">
        <f t="shared" si="89"/>
        <v>0</v>
      </c>
      <c r="BW23" s="70">
        <f>'12'!C20</f>
        <v>0</v>
      </c>
      <c r="BX23" s="70">
        <f>BX7</f>
        <v>15.916666666659999</v>
      </c>
      <c r="BY23" s="71">
        <f t="shared" si="90"/>
        <v>0</v>
      </c>
      <c r="BZ23" s="39"/>
      <c r="CA23" s="71">
        <f t="shared" si="91"/>
        <v>1530</v>
      </c>
      <c r="CB23" s="6"/>
      <c r="CC23" s="39"/>
      <c r="CD23" s="39">
        <f t="shared" si="92"/>
        <v>1530</v>
      </c>
      <c r="CF23" s="175">
        <f>'12'!W26</f>
        <v>0</v>
      </c>
    </row>
    <row r="24" spans="1:84" ht="15.75" customHeight="1">
      <c r="A24" s="173">
        <v>45456</v>
      </c>
      <c r="B24" s="68">
        <f>'13'!C29</f>
        <v>0</v>
      </c>
      <c r="C24" s="68">
        <f>C7</f>
        <v>30</v>
      </c>
      <c r="D24" s="69">
        <f t="shared" si="58"/>
        <v>0</v>
      </c>
      <c r="E24" s="68">
        <f>'13'!C7</f>
        <v>200</v>
      </c>
      <c r="F24" s="70">
        <v>35</v>
      </c>
      <c r="G24" s="71">
        <f t="shared" si="59"/>
        <v>7000</v>
      </c>
      <c r="H24" s="72">
        <f>'13'!C8</f>
        <v>0</v>
      </c>
      <c r="I24" s="70">
        <v>8.5</v>
      </c>
      <c r="J24" s="71">
        <f t="shared" si="60"/>
        <v>0</v>
      </c>
      <c r="K24" s="72">
        <f>'13'!C15</f>
        <v>0</v>
      </c>
      <c r="L24" s="70">
        <f>L7</f>
        <v>18</v>
      </c>
      <c r="M24" s="71">
        <f t="shared" si="61"/>
        <v>0</v>
      </c>
      <c r="N24" s="70">
        <f>'13'!C9</f>
        <v>200</v>
      </c>
      <c r="O24" s="68">
        <f>O7</f>
        <v>7</v>
      </c>
      <c r="P24" s="71">
        <f t="shared" si="62"/>
        <v>1400</v>
      </c>
      <c r="Q24" s="68">
        <f>'13'!C10</f>
        <v>0</v>
      </c>
      <c r="R24" s="72">
        <f>R7</f>
        <v>5.5</v>
      </c>
      <c r="S24" s="71">
        <f t="shared" si="63"/>
        <v>0</v>
      </c>
      <c r="T24" s="68">
        <f>'13'!C11</f>
        <v>200</v>
      </c>
      <c r="U24" s="72">
        <v>8.5</v>
      </c>
      <c r="V24" s="71">
        <f t="shared" si="64"/>
        <v>1700</v>
      </c>
      <c r="W24" s="68">
        <f>'13'!C12</f>
        <v>60</v>
      </c>
      <c r="X24" s="72">
        <v>6</v>
      </c>
      <c r="Y24" s="71">
        <f t="shared" si="65"/>
        <v>360</v>
      </c>
      <c r="Z24" s="68">
        <f>'13'!C13</f>
        <v>30</v>
      </c>
      <c r="AA24" s="72">
        <f>AA7</f>
        <v>6</v>
      </c>
      <c r="AB24" s="71">
        <f t="shared" si="66"/>
        <v>180</v>
      </c>
      <c r="AC24" s="68">
        <f>'13'!C14</f>
        <v>40</v>
      </c>
      <c r="AD24" s="72">
        <f t="shared" si="67"/>
        <v>8</v>
      </c>
      <c r="AE24" s="73">
        <f t="shared" si="68"/>
        <v>320</v>
      </c>
      <c r="AF24" s="72"/>
      <c r="AG24" s="72">
        <f>AG7</f>
        <v>14</v>
      </c>
      <c r="AH24" s="118">
        <f t="shared" si="69"/>
        <v>0</v>
      </c>
      <c r="AI24" s="72"/>
      <c r="AJ24" s="72">
        <f>AJ7</f>
        <v>0</v>
      </c>
      <c r="AK24" s="118">
        <f t="shared" si="70"/>
        <v>0</v>
      </c>
      <c r="AL24" s="72"/>
      <c r="AM24" s="72">
        <f>AM7</f>
        <v>0</v>
      </c>
      <c r="AN24" s="71">
        <f t="shared" si="71"/>
        <v>0</v>
      </c>
      <c r="AO24" s="76"/>
      <c r="AP24" s="68">
        <f>'13'!C17</f>
        <v>0</v>
      </c>
      <c r="AQ24" s="72">
        <f t="shared" si="72"/>
        <v>8.75</v>
      </c>
      <c r="AR24" s="71">
        <f t="shared" si="73"/>
        <v>0</v>
      </c>
      <c r="AS24" s="68">
        <f>'13'!C18</f>
        <v>0</v>
      </c>
      <c r="AT24" s="72">
        <f t="shared" si="74"/>
        <v>12.25</v>
      </c>
      <c r="AU24" s="71">
        <f t="shared" si="75"/>
        <v>0</v>
      </c>
      <c r="AV24" s="68">
        <f>'13'!C21</f>
        <v>0</v>
      </c>
      <c r="AW24" s="70">
        <v>7.9166666666600003</v>
      </c>
      <c r="AX24" s="71">
        <f t="shared" si="76"/>
        <v>0</v>
      </c>
      <c r="AY24" s="68">
        <f>'13'!C22</f>
        <v>72</v>
      </c>
      <c r="AZ24" s="70">
        <f t="shared" si="77"/>
        <v>9.7916666666666661</v>
      </c>
      <c r="BA24" s="71">
        <f t="shared" si="78"/>
        <v>705</v>
      </c>
      <c r="BB24" s="68">
        <f>'13'!C26</f>
        <v>0</v>
      </c>
      <c r="BC24" s="68">
        <f t="shared" si="79"/>
        <v>16.333333333333332</v>
      </c>
      <c r="BD24" s="69">
        <f t="shared" si="80"/>
        <v>0</v>
      </c>
      <c r="BE24" s="68">
        <f>'13'!C27</f>
        <v>0</v>
      </c>
      <c r="BF24" s="68">
        <f t="shared" si="93"/>
        <v>11.666666666666666</v>
      </c>
      <c r="BG24" s="69">
        <f t="shared" si="82"/>
        <v>0</v>
      </c>
      <c r="BH24" s="68">
        <f>'13'!C28</f>
        <v>0</v>
      </c>
      <c r="BI24" s="70">
        <v>20</v>
      </c>
      <c r="BJ24" s="71">
        <f t="shared" si="83"/>
        <v>0</v>
      </c>
      <c r="BK24" s="68">
        <f>'13'!C23</f>
        <v>0</v>
      </c>
      <c r="BL24" s="70">
        <f>BL7</f>
        <v>23</v>
      </c>
      <c r="BM24" s="71">
        <f t="shared" si="84"/>
        <v>0</v>
      </c>
      <c r="BN24" s="68">
        <f>'13'!C25</f>
        <v>0</v>
      </c>
      <c r="BO24" s="72">
        <f>BO7</f>
        <v>12.5</v>
      </c>
      <c r="BP24" s="71">
        <f t="shared" si="85"/>
        <v>0</v>
      </c>
      <c r="BQ24" s="68">
        <f>'13'!C24</f>
        <v>0</v>
      </c>
      <c r="BR24" s="70">
        <f t="shared" si="86"/>
        <v>12.75</v>
      </c>
      <c r="BS24" s="69">
        <f t="shared" si="87"/>
        <v>0</v>
      </c>
      <c r="BT24" s="68">
        <f>'13'!C19</f>
        <v>0</v>
      </c>
      <c r="BU24" s="70">
        <f t="shared" si="88"/>
        <v>30.25</v>
      </c>
      <c r="BV24" s="71">
        <f t="shared" si="89"/>
        <v>0</v>
      </c>
      <c r="BW24" s="70">
        <f>'13'!C20</f>
        <v>0</v>
      </c>
      <c r="BX24" s="70">
        <f>BX7</f>
        <v>15.916666666659999</v>
      </c>
      <c r="BY24" s="71">
        <f t="shared" si="90"/>
        <v>0</v>
      </c>
      <c r="BZ24" s="39"/>
      <c r="CA24" s="71">
        <f t="shared" si="91"/>
        <v>11665</v>
      </c>
      <c r="CB24" s="6"/>
      <c r="CC24" s="39"/>
      <c r="CD24" s="39">
        <f t="shared" si="92"/>
        <v>11665</v>
      </c>
      <c r="CF24" s="175">
        <f>'13'!W26</f>
        <v>0</v>
      </c>
    </row>
    <row r="25" spans="1:84" ht="15.75" customHeight="1">
      <c r="A25" s="173">
        <v>45457</v>
      </c>
      <c r="B25" s="68">
        <f>'14'!C29</f>
        <v>0</v>
      </c>
      <c r="C25" s="68">
        <f>C7</f>
        <v>30</v>
      </c>
      <c r="D25" s="69">
        <f t="shared" si="58"/>
        <v>0</v>
      </c>
      <c r="E25" s="68">
        <f>'14'!C7</f>
        <v>150</v>
      </c>
      <c r="F25" s="70">
        <v>35</v>
      </c>
      <c r="G25" s="71">
        <f t="shared" si="59"/>
        <v>5250</v>
      </c>
      <c r="H25" s="72">
        <f>'14'!C8</f>
        <v>0</v>
      </c>
      <c r="I25" s="70">
        <v>8.5</v>
      </c>
      <c r="J25" s="71">
        <f t="shared" si="60"/>
        <v>0</v>
      </c>
      <c r="K25" s="72">
        <f>'14'!C15</f>
        <v>50</v>
      </c>
      <c r="L25" s="70">
        <f>L7</f>
        <v>18</v>
      </c>
      <c r="M25" s="71">
        <f t="shared" si="61"/>
        <v>900</v>
      </c>
      <c r="N25" s="70">
        <f>'14'!C9</f>
        <v>50</v>
      </c>
      <c r="O25" s="68">
        <f>O7</f>
        <v>7</v>
      </c>
      <c r="P25" s="71">
        <f t="shared" si="62"/>
        <v>350</v>
      </c>
      <c r="Q25" s="68">
        <f>'14'!C10</f>
        <v>0</v>
      </c>
      <c r="R25" s="72">
        <f>R7</f>
        <v>5.5</v>
      </c>
      <c r="S25" s="71">
        <f t="shared" si="63"/>
        <v>0</v>
      </c>
      <c r="T25" s="68">
        <f>'14'!C11</f>
        <v>150</v>
      </c>
      <c r="U25" s="72">
        <v>8.5</v>
      </c>
      <c r="V25" s="71">
        <f t="shared" si="64"/>
        <v>1275</v>
      </c>
      <c r="W25" s="68">
        <f>'14'!C12</f>
        <v>60</v>
      </c>
      <c r="X25" s="72">
        <v>6</v>
      </c>
      <c r="Y25" s="71">
        <f t="shared" si="65"/>
        <v>360</v>
      </c>
      <c r="Z25" s="68">
        <f>'14'!C13</f>
        <v>50</v>
      </c>
      <c r="AA25" s="72">
        <f>AA7</f>
        <v>6</v>
      </c>
      <c r="AB25" s="71">
        <f t="shared" si="66"/>
        <v>300</v>
      </c>
      <c r="AC25" s="68">
        <f>'14'!C14</f>
        <v>0</v>
      </c>
      <c r="AD25" s="72">
        <f t="shared" si="67"/>
        <v>8</v>
      </c>
      <c r="AE25" s="73">
        <f t="shared" si="68"/>
        <v>0</v>
      </c>
      <c r="AF25" s="72"/>
      <c r="AG25" s="72">
        <f>AG7</f>
        <v>14</v>
      </c>
      <c r="AH25" s="118">
        <f t="shared" si="69"/>
        <v>0</v>
      </c>
      <c r="AI25" s="72"/>
      <c r="AJ25" s="72">
        <f>AJ7</f>
        <v>0</v>
      </c>
      <c r="AK25" s="118">
        <f t="shared" si="70"/>
        <v>0</v>
      </c>
      <c r="AL25" s="72"/>
      <c r="AM25" s="72">
        <f>AM7</f>
        <v>0</v>
      </c>
      <c r="AN25" s="71">
        <f t="shared" si="71"/>
        <v>0</v>
      </c>
      <c r="AO25" s="76"/>
      <c r="AP25" s="68">
        <f>'14'!C17</f>
        <v>48</v>
      </c>
      <c r="AQ25" s="72">
        <f t="shared" si="72"/>
        <v>8.75</v>
      </c>
      <c r="AR25" s="71">
        <f t="shared" si="73"/>
        <v>420</v>
      </c>
      <c r="AS25" s="68">
        <f>'14'!C18</f>
        <v>120</v>
      </c>
      <c r="AT25" s="72">
        <f t="shared" si="74"/>
        <v>12.25</v>
      </c>
      <c r="AU25" s="71">
        <f t="shared" si="75"/>
        <v>1470</v>
      </c>
      <c r="AV25" s="68">
        <f>'14'!C21</f>
        <v>0</v>
      </c>
      <c r="AW25" s="70">
        <v>7.9166666666600003</v>
      </c>
      <c r="AX25" s="71">
        <f t="shared" si="76"/>
        <v>0</v>
      </c>
      <c r="AY25" s="68">
        <f>'14'!C22</f>
        <v>0</v>
      </c>
      <c r="AZ25" s="70">
        <f t="shared" si="77"/>
        <v>9.7916666666666661</v>
      </c>
      <c r="BA25" s="71">
        <f t="shared" si="78"/>
        <v>0</v>
      </c>
      <c r="BB25" s="68">
        <f>'14'!C26</f>
        <v>0</v>
      </c>
      <c r="BC25" s="68">
        <f t="shared" si="79"/>
        <v>16.333333333333332</v>
      </c>
      <c r="BD25" s="69">
        <f t="shared" si="80"/>
        <v>0</v>
      </c>
      <c r="BE25" s="68">
        <f>'14'!C27</f>
        <v>0</v>
      </c>
      <c r="BF25" s="68">
        <f t="shared" si="93"/>
        <v>11.666666666666666</v>
      </c>
      <c r="BG25" s="69">
        <f t="shared" si="82"/>
        <v>0</v>
      </c>
      <c r="BH25" s="68">
        <f>'14'!C28</f>
        <v>0</v>
      </c>
      <c r="BI25" s="70">
        <v>20</v>
      </c>
      <c r="BJ25" s="71">
        <f t="shared" si="83"/>
        <v>0</v>
      </c>
      <c r="BK25" s="68">
        <f>'14'!C23</f>
        <v>0</v>
      </c>
      <c r="BL25" s="70">
        <f>BL7</f>
        <v>23</v>
      </c>
      <c r="BM25" s="71">
        <f t="shared" si="84"/>
        <v>0</v>
      </c>
      <c r="BN25" s="68">
        <f>'14'!C25</f>
        <v>0</v>
      </c>
      <c r="BO25" s="72">
        <f>BO7</f>
        <v>12.5</v>
      </c>
      <c r="BP25" s="71">
        <f t="shared" si="85"/>
        <v>0</v>
      </c>
      <c r="BQ25" s="68">
        <f>'14'!C24</f>
        <v>24</v>
      </c>
      <c r="BR25" s="70">
        <f t="shared" si="86"/>
        <v>12.75</v>
      </c>
      <c r="BS25" s="69">
        <f t="shared" si="87"/>
        <v>306</v>
      </c>
      <c r="BT25" s="68">
        <f>'14'!C19</f>
        <v>0</v>
      </c>
      <c r="BU25" s="70">
        <f t="shared" si="88"/>
        <v>30.25</v>
      </c>
      <c r="BV25" s="71">
        <f t="shared" si="89"/>
        <v>0</v>
      </c>
      <c r="BW25" s="70">
        <f>'14'!C20</f>
        <v>0</v>
      </c>
      <c r="BX25" s="70">
        <v>15.916666666666</v>
      </c>
      <c r="BY25" s="71">
        <f t="shared" si="90"/>
        <v>0</v>
      </c>
      <c r="BZ25" s="39"/>
      <c r="CA25" s="71">
        <f t="shared" si="91"/>
        <v>10631</v>
      </c>
      <c r="CB25" s="6"/>
      <c r="CC25" s="39"/>
      <c r="CD25" s="39">
        <f t="shared" si="92"/>
        <v>10631</v>
      </c>
      <c r="CF25" s="175">
        <f>'14'!W27</f>
        <v>0</v>
      </c>
    </row>
    <row r="26" spans="1:84" ht="15.75" customHeight="1">
      <c r="A26" s="176" t="s">
        <v>23</v>
      </c>
      <c r="B26" s="68">
        <f>SUM(B19:B25)</f>
        <v>0</v>
      </c>
      <c r="C26" s="68"/>
      <c r="D26" s="130">
        <f t="shared" ref="D26:E26" si="94">SUM(D19:D25)</f>
        <v>0</v>
      </c>
      <c r="E26" s="70">
        <f t="shared" si="94"/>
        <v>1400</v>
      </c>
      <c r="F26" s="70"/>
      <c r="G26" s="131">
        <f t="shared" ref="G26:H26" si="95">SUM(G19:G25)</f>
        <v>49000</v>
      </c>
      <c r="H26" s="72">
        <f t="shared" si="95"/>
        <v>80</v>
      </c>
      <c r="I26" s="70"/>
      <c r="J26" s="131">
        <f t="shared" ref="J26:K26" si="96">SUM(J19:J25)</f>
        <v>680</v>
      </c>
      <c r="K26" s="70">
        <f t="shared" si="96"/>
        <v>100</v>
      </c>
      <c r="L26" s="70"/>
      <c r="M26" s="131">
        <f t="shared" ref="M26:N26" si="97">SUM(M19:M25)</f>
        <v>1800</v>
      </c>
      <c r="N26" s="70">
        <f t="shared" si="97"/>
        <v>600</v>
      </c>
      <c r="O26" s="70"/>
      <c r="P26" s="131">
        <f t="shared" ref="P26:Q26" si="98">SUM(P19:P25)</f>
        <v>4200</v>
      </c>
      <c r="Q26" s="70">
        <f t="shared" si="98"/>
        <v>0</v>
      </c>
      <c r="R26" s="70"/>
      <c r="S26" s="131">
        <f t="shared" ref="S26:T26" si="99">SUM(S19:S25)</f>
        <v>0</v>
      </c>
      <c r="T26" s="70">
        <f t="shared" si="99"/>
        <v>1270</v>
      </c>
      <c r="U26" s="70"/>
      <c r="V26" s="131">
        <f t="shared" ref="V26:W26" si="100">SUM(V19:V25)</f>
        <v>10795</v>
      </c>
      <c r="W26" s="70">
        <f t="shared" si="100"/>
        <v>320</v>
      </c>
      <c r="X26" s="70"/>
      <c r="Y26" s="131">
        <f t="shared" ref="Y26:Z26" si="101">SUM(Y19:Y25)</f>
        <v>1920</v>
      </c>
      <c r="Z26" s="70">
        <f t="shared" si="101"/>
        <v>250</v>
      </c>
      <c r="AA26" s="70"/>
      <c r="AB26" s="132">
        <f t="shared" ref="AB26:AC26" si="102">SUM(AB19:AB25)</f>
        <v>1500</v>
      </c>
      <c r="AC26" s="70">
        <f t="shared" si="102"/>
        <v>66</v>
      </c>
      <c r="AD26" s="70"/>
      <c r="AE26" s="132">
        <f t="shared" ref="AE26:AF26" si="103">SUM(AE19:AE25)</f>
        <v>528</v>
      </c>
      <c r="AF26" s="70">
        <f t="shared" si="103"/>
        <v>0</v>
      </c>
      <c r="AG26" s="70"/>
      <c r="AH26" s="131">
        <f t="shared" ref="AH26:AI26" si="104">SUM(AH19:AH25)</f>
        <v>0</v>
      </c>
      <c r="AI26" s="70">
        <f t="shared" si="104"/>
        <v>0</v>
      </c>
      <c r="AJ26" s="70"/>
      <c r="AK26" s="131">
        <f t="shared" ref="AK26:AL26" si="105">SUM(AK19:AK25)</f>
        <v>0</v>
      </c>
      <c r="AL26" s="70">
        <f t="shared" si="105"/>
        <v>0</v>
      </c>
      <c r="AM26" s="70"/>
      <c r="AN26" s="131">
        <f>SUM(AN19:AN25)</f>
        <v>0</v>
      </c>
      <c r="AO26" s="76"/>
      <c r="AP26" s="68">
        <f>SUM(AP19:AP25)</f>
        <v>96</v>
      </c>
      <c r="AQ26" s="70"/>
      <c r="AR26" s="131">
        <f t="shared" ref="AR26:AS26" si="106">SUM(AR19:AR25)</f>
        <v>840</v>
      </c>
      <c r="AS26" s="70">
        <f t="shared" si="106"/>
        <v>240</v>
      </c>
      <c r="AT26" s="72"/>
      <c r="AU26" s="131">
        <f t="shared" ref="AU26:AV26" si="107">SUM(AU19:AU25)</f>
        <v>2940</v>
      </c>
      <c r="AV26" s="70">
        <f t="shared" si="107"/>
        <v>0</v>
      </c>
      <c r="AW26" s="70"/>
      <c r="AX26" s="131">
        <f t="shared" ref="AX26:AY26" si="108">SUM(AX19:AX25)</f>
        <v>0</v>
      </c>
      <c r="AY26" s="72">
        <f t="shared" si="108"/>
        <v>72</v>
      </c>
      <c r="AZ26" s="70"/>
      <c r="BA26" s="131">
        <f t="shared" ref="BA26:BB26" si="109">SUM(BA19:BA25)</f>
        <v>705</v>
      </c>
      <c r="BB26" s="70">
        <f t="shared" si="109"/>
        <v>0</v>
      </c>
      <c r="BC26" s="68"/>
      <c r="BD26" s="131">
        <f t="shared" ref="BD26:BE26" si="110">SUM(BD19:BD25)</f>
        <v>0</v>
      </c>
      <c r="BE26" s="70">
        <f t="shared" si="110"/>
        <v>0</v>
      </c>
      <c r="BF26" s="70"/>
      <c r="BG26" s="131">
        <f t="shared" ref="BG26:BH26" si="111">SUM(BG19:BG25)</f>
        <v>0</v>
      </c>
      <c r="BH26" s="70">
        <f t="shared" si="111"/>
        <v>0</v>
      </c>
      <c r="BI26" s="70"/>
      <c r="BJ26" s="131">
        <f t="shared" ref="BJ26:BK26" si="112">SUM(BJ19:BJ25)</f>
        <v>0</v>
      </c>
      <c r="BK26" s="70">
        <f t="shared" si="112"/>
        <v>0</v>
      </c>
      <c r="BL26" s="70"/>
      <c r="BM26" s="131">
        <f t="shared" ref="BM26:BN26" si="113">SUM(BM19:BM25)</f>
        <v>0</v>
      </c>
      <c r="BN26" s="72">
        <f t="shared" si="113"/>
        <v>0</v>
      </c>
      <c r="BO26" s="70"/>
      <c r="BP26" s="131">
        <f t="shared" ref="BP26:BQ26" si="114">SUM(BP19:BP25)</f>
        <v>0</v>
      </c>
      <c r="BQ26" s="70">
        <f t="shared" si="114"/>
        <v>24</v>
      </c>
      <c r="BR26" s="70"/>
      <c r="BS26" s="131">
        <f t="shared" ref="BS26:BT26" si="115">SUM(BS19:BS25)</f>
        <v>306</v>
      </c>
      <c r="BT26" s="70">
        <f t="shared" si="115"/>
        <v>0</v>
      </c>
      <c r="BU26" s="70"/>
      <c r="BV26" s="131">
        <f t="shared" ref="BV26:BW26" si="116">SUM(BV19:BV25)</f>
        <v>0</v>
      </c>
      <c r="BW26" s="70">
        <f t="shared" si="116"/>
        <v>0</v>
      </c>
      <c r="BX26" s="70"/>
      <c r="BY26" s="131">
        <f>SUM(BY19:BY25)</f>
        <v>0</v>
      </c>
      <c r="BZ26" s="39"/>
      <c r="CA26" s="131">
        <f>SUM(CA19:CA25)</f>
        <v>75214</v>
      </c>
      <c r="CB26" s="133">
        <f>G26+J26+P26+S26+V26+Y26+AB26+AE26+AR26+AU26+AX26+BA26+BD26+BS26+BY26</f>
        <v>73414</v>
      </c>
      <c r="CC26" s="39"/>
      <c r="CD26" s="134">
        <f>SUM(CD19:CD25)</f>
        <v>75214</v>
      </c>
      <c r="CF26" s="181">
        <f>SUM(CF19:CF25)</f>
        <v>0</v>
      </c>
    </row>
    <row r="27" spans="1:84" ht="15.75" customHeight="1">
      <c r="A27" s="3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F27" s="39"/>
    </row>
    <row r="28" spans="1:84" ht="15.75" customHeight="1">
      <c r="A28" s="3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F28" s="39"/>
    </row>
    <row r="29" spans="1:84" ht="15.75" customHeight="1">
      <c r="A29" s="169" t="s">
        <v>110</v>
      </c>
      <c r="B29" s="460" t="str">
        <f>B5</f>
        <v>PREMIUM CUT</v>
      </c>
      <c r="C29" s="445"/>
      <c r="D29" s="423"/>
      <c r="E29" s="460" t="s">
        <v>30</v>
      </c>
      <c r="F29" s="445"/>
      <c r="G29" s="423"/>
      <c r="H29" s="460" t="s">
        <v>102</v>
      </c>
      <c r="I29" s="445"/>
      <c r="J29" s="423"/>
      <c r="K29" s="460" t="str">
        <f>K17</f>
        <v>Chicken Fillet</v>
      </c>
      <c r="L29" s="445"/>
      <c r="M29" s="423"/>
      <c r="N29" s="460" t="s">
        <v>53</v>
      </c>
      <c r="O29" s="445"/>
      <c r="P29" s="445"/>
      <c r="Q29" s="475" t="s">
        <v>54</v>
      </c>
      <c r="R29" s="445"/>
      <c r="S29" s="423"/>
      <c r="T29" s="460" t="s">
        <v>55</v>
      </c>
      <c r="U29" s="445"/>
      <c r="V29" s="423"/>
      <c r="W29" s="460" t="s">
        <v>56</v>
      </c>
      <c r="X29" s="445"/>
      <c r="Y29" s="423"/>
      <c r="Z29" s="460" t="s">
        <v>57</v>
      </c>
      <c r="AA29" s="445"/>
      <c r="AB29" s="445"/>
      <c r="AC29" s="460" t="s">
        <v>58</v>
      </c>
      <c r="AD29" s="445"/>
      <c r="AE29" s="445"/>
      <c r="AF29" s="460" t="s">
        <v>111</v>
      </c>
      <c r="AG29" s="445"/>
      <c r="AH29" s="423"/>
      <c r="AI29" s="460"/>
      <c r="AJ29" s="445"/>
      <c r="AK29" s="423"/>
      <c r="AL29" s="460"/>
      <c r="AM29" s="445"/>
      <c r="AN29" s="423"/>
      <c r="AO29" s="178"/>
      <c r="AP29" s="475" t="s">
        <v>103</v>
      </c>
      <c r="AQ29" s="445"/>
      <c r="AR29" s="423"/>
      <c r="AS29" s="460" t="s">
        <v>60</v>
      </c>
      <c r="AT29" s="445"/>
      <c r="AU29" s="423"/>
      <c r="AV29" s="460" t="s">
        <v>61</v>
      </c>
      <c r="AW29" s="445"/>
      <c r="AX29" s="423"/>
      <c r="AY29" s="460" t="s">
        <v>62</v>
      </c>
      <c r="AZ29" s="445"/>
      <c r="BA29" s="423"/>
      <c r="BB29" s="460" t="s">
        <v>63</v>
      </c>
      <c r="BC29" s="445"/>
      <c r="BD29" s="423"/>
      <c r="BE29" s="460" t="str">
        <f>BE17</f>
        <v>swakto</v>
      </c>
      <c r="BF29" s="445"/>
      <c r="BG29" s="423"/>
      <c r="BH29" s="460" t="str">
        <f>BH17</f>
        <v>Calamansi Juice</v>
      </c>
      <c r="BI29" s="445"/>
      <c r="BJ29" s="423"/>
      <c r="BK29" s="460" t="str">
        <f>BK17</f>
        <v>GATORADE</v>
      </c>
      <c r="BL29" s="445"/>
      <c r="BM29" s="423"/>
      <c r="BN29" s="460" t="s">
        <v>66</v>
      </c>
      <c r="BO29" s="445"/>
      <c r="BP29" s="423"/>
      <c r="BQ29" s="447" t="s">
        <v>67</v>
      </c>
      <c r="BR29" s="445"/>
      <c r="BS29" s="423"/>
      <c r="BT29" s="460" t="str">
        <f>BT17</f>
        <v>1 LITER</v>
      </c>
      <c r="BU29" s="445"/>
      <c r="BV29" s="423"/>
      <c r="BW29" s="444" t="str">
        <f>BW17</f>
        <v>1.5 L</v>
      </c>
      <c r="BX29" s="445"/>
      <c r="BY29" s="423"/>
      <c r="BZ29" s="6"/>
      <c r="CA29" s="179" t="s">
        <v>23</v>
      </c>
      <c r="CB29" s="39"/>
      <c r="CC29" s="39"/>
      <c r="CD29" s="39"/>
      <c r="CF29" s="39"/>
    </row>
    <row r="30" spans="1:84" ht="15.75" customHeight="1">
      <c r="A30" s="56" t="s">
        <v>7</v>
      </c>
      <c r="B30" s="118" t="s">
        <v>71</v>
      </c>
      <c r="C30" s="118" t="s">
        <v>72</v>
      </c>
      <c r="D30" s="118" t="s">
        <v>26</v>
      </c>
      <c r="E30" s="118" t="s">
        <v>71</v>
      </c>
      <c r="F30" s="118" t="s">
        <v>72</v>
      </c>
      <c r="G30" s="118" t="s">
        <v>26</v>
      </c>
      <c r="H30" s="138" t="s">
        <v>71</v>
      </c>
      <c r="I30" s="139" t="s">
        <v>72</v>
      </c>
      <c r="J30" s="140" t="s">
        <v>73</v>
      </c>
      <c r="K30" s="138" t="s">
        <v>71</v>
      </c>
      <c r="L30" s="139" t="s">
        <v>72</v>
      </c>
      <c r="M30" s="140" t="s">
        <v>73</v>
      </c>
      <c r="N30" s="118" t="s">
        <v>71</v>
      </c>
      <c r="O30" s="118" t="s">
        <v>72</v>
      </c>
      <c r="P30" s="118" t="s">
        <v>26</v>
      </c>
      <c r="Q30" s="138" t="s">
        <v>71</v>
      </c>
      <c r="R30" s="139" t="s">
        <v>72</v>
      </c>
      <c r="S30" s="140" t="s">
        <v>73</v>
      </c>
      <c r="T30" s="138" t="s">
        <v>71</v>
      </c>
      <c r="U30" s="139" t="s">
        <v>72</v>
      </c>
      <c r="V30" s="141" t="s">
        <v>73</v>
      </c>
      <c r="W30" s="138" t="s">
        <v>71</v>
      </c>
      <c r="X30" s="139" t="s">
        <v>72</v>
      </c>
      <c r="Y30" s="141" t="s">
        <v>73</v>
      </c>
      <c r="Z30" s="138" t="s">
        <v>71</v>
      </c>
      <c r="AA30" s="139" t="s">
        <v>72</v>
      </c>
      <c r="AB30" s="141" t="s">
        <v>73</v>
      </c>
      <c r="AC30" s="138" t="s">
        <v>71</v>
      </c>
      <c r="AD30" s="139" t="s">
        <v>72</v>
      </c>
      <c r="AE30" s="141" t="s">
        <v>26</v>
      </c>
      <c r="AF30" s="118" t="s">
        <v>71</v>
      </c>
      <c r="AG30" s="118" t="s">
        <v>72</v>
      </c>
      <c r="AH30" s="118" t="s">
        <v>26</v>
      </c>
      <c r="AI30" s="118" t="s">
        <v>71</v>
      </c>
      <c r="AJ30" s="118" t="s">
        <v>72</v>
      </c>
      <c r="AK30" s="118" t="s">
        <v>26</v>
      </c>
      <c r="AL30" s="118" t="s">
        <v>71</v>
      </c>
      <c r="AM30" s="118" t="s">
        <v>72</v>
      </c>
      <c r="AN30" s="118" t="s">
        <v>73</v>
      </c>
      <c r="AO30" s="136"/>
      <c r="AP30" s="145" t="s">
        <v>71</v>
      </c>
      <c r="AQ30" s="146" t="s">
        <v>72</v>
      </c>
      <c r="AR30" s="145" t="s">
        <v>73</v>
      </c>
      <c r="AS30" s="147" t="s">
        <v>71</v>
      </c>
      <c r="AT30" s="146" t="s">
        <v>72</v>
      </c>
      <c r="AU30" s="145" t="s">
        <v>73</v>
      </c>
      <c r="AV30" s="147" t="s">
        <v>71</v>
      </c>
      <c r="AW30" s="146" t="s">
        <v>72</v>
      </c>
      <c r="AX30" s="145" t="s">
        <v>73</v>
      </c>
      <c r="AY30" s="146" t="s">
        <v>71</v>
      </c>
      <c r="AZ30" s="146" t="s">
        <v>72</v>
      </c>
      <c r="BA30" s="146" t="s">
        <v>26</v>
      </c>
      <c r="BB30" s="146" t="s">
        <v>71</v>
      </c>
      <c r="BC30" s="146" t="s">
        <v>72</v>
      </c>
      <c r="BD30" s="146" t="s">
        <v>26</v>
      </c>
      <c r="BE30" s="146" t="s">
        <v>71</v>
      </c>
      <c r="BF30" s="146" t="s">
        <v>72</v>
      </c>
      <c r="BG30" s="146" t="s">
        <v>26</v>
      </c>
      <c r="BH30" s="146" t="s">
        <v>71</v>
      </c>
      <c r="BI30" s="146" t="s">
        <v>72</v>
      </c>
      <c r="BJ30" s="146" t="s">
        <v>26</v>
      </c>
      <c r="BK30" s="146" t="s">
        <v>71</v>
      </c>
      <c r="BL30" s="146" t="s">
        <v>72</v>
      </c>
      <c r="BM30" s="146" t="s">
        <v>26</v>
      </c>
      <c r="BN30" s="146" t="s">
        <v>71</v>
      </c>
      <c r="BO30" s="146" t="s">
        <v>72</v>
      </c>
      <c r="BP30" s="146" t="s">
        <v>26</v>
      </c>
      <c r="BQ30" s="146" t="s">
        <v>71</v>
      </c>
      <c r="BR30" s="146" t="s">
        <v>72</v>
      </c>
      <c r="BS30" s="146" t="s">
        <v>26</v>
      </c>
      <c r="BT30" s="146" t="s">
        <v>71</v>
      </c>
      <c r="BU30" s="146" t="s">
        <v>72</v>
      </c>
      <c r="BV30" s="146" t="s">
        <v>26</v>
      </c>
      <c r="BW30" s="118" t="s">
        <v>71</v>
      </c>
      <c r="BX30" s="118" t="s">
        <v>72</v>
      </c>
      <c r="BY30" s="118" t="s">
        <v>26</v>
      </c>
      <c r="BZ30" s="39"/>
      <c r="CA30" s="118" t="s">
        <v>26</v>
      </c>
      <c r="CB30" s="39"/>
      <c r="CC30" s="39"/>
      <c r="CD30" s="39"/>
      <c r="CF30" s="39"/>
    </row>
    <row r="31" spans="1:84" ht="15.75" customHeight="1">
      <c r="A31" s="173">
        <v>45458</v>
      </c>
      <c r="B31" s="70">
        <f>'15'!C29</f>
        <v>0</v>
      </c>
      <c r="C31" s="68">
        <f>C7</f>
        <v>30</v>
      </c>
      <c r="D31" s="69">
        <f t="shared" ref="D31:D37" si="117">B31*C31</f>
        <v>0</v>
      </c>
      <c r="E31" s="68">
        <f>'15'!C7</f>
        <v>200</v>
      </c>
      <c r="F31" s="70">
        <v>35</v>
      </c>
      <c r="G31" s="71">
        <f t="shared" ref="G31:G37" si="118">E31*F31</f>
        <v>7000</v>
      </c>
      <c r="H31" s="72">
        <f>'15'!C8</f>
        <v>0</v>
      </c>
      <c r="I31" s="70">
        <v>8.5</v>
      </c>
      <c r="J31" s="71">
        <f t="shared" ref="J31:J37" si="119">H31*I31</f>
        <v>0</v>
      </c>
      <c r="K31" s="72">
        <f>'15'!C15</f>
        <v>0</v>
      </c>
      <c r="L31" s="70">
        <f>L7</f>
        <v>18</v>
      </c>
      <c r="M31" s="71">
        <f t="shared" ref="M31:M37" si="120">K31*L31</f>
        <v>0</v>
      </c>
      <c r="N31" s="70">
        <f>'15'!C9</f>
        <v>0</v>
      </c>
      <c r="O31" s="70">
        <f>O7</f>
        <v>7</v>
      </c>
      <c r="P31" s="71">
        <f t="shared" ref="P31:P37" si="121">N31*O31</f>
        <v>0</v>
      </c>
      <c r="Q31" s="68">
        <f>'15'!C10</f>
        <v>0</v>
      </c>
      <c r="R31" s="72">
        <v>5.5</v>
      </c>
      <c r="S31" s="71">
        <f t="shared" ref="S31:S37" si="122">Q31*R31</f>
        <v>0</v>
      </c>
      <c r="T31" s="68">
        <f>'15'!C11</f>
        <v>180</v>
      </c>
      <c r="U31" s="72">
        <v>8.5</v>
      </c>
      <c r="V31" s="182">
        <f t="shared" ref="V31:V37" si="123">T31*U31</f>
        <v>1530</v>
      </c>
      <c r="W31" s="68">
        <f>'15'!C12</f>
        <v>20</v>
      </c>
      <c r="X31" s="72">
        <v>6</v>
      </c>
      <c r="Y31" s="71">
        <f t="shared" ref="Y31:Y37" si="124">W31*X31</f>
        <v>120</v>
      </c>
      <c r="Z31" s="68">
        <f>'15'!C13</f>
        <v>20</v>
      </c>
      <c r="AA31" s="72">
        <f>AA7</f>
        <v>6</v>
      </c>
      <c r="AB31" s="71">
        <f t="shared" ref="AB31:AB37" si="125">Z31*AA31</f>
        <v>120</v>
      </c>
      <c r="AC31" s="68">
        <f>'15'!C14</f>
        <v>0</v>
      </c>
      <c r="AD31" s="72">
        <v>8</v>
      </c>
      <c r="AE31" s="73">
        <f t="shared" ref="AE31:AE37" si="126">AC31*AD31</f>
        <v>0</v>
      </c>
      <c r="AF31" s="72"/>
      <c r="AG31" s="72">
        <f>AG7</f>
        <v>14</v>
      </c>
      <c r="AH31" s="118">
        <f t="shared" ref="AH31:AH37" si="127">AF31*AG31</f>
        <v>0</v>
      </c>
      <c r="AI31" s="72"/>
      <c r="AJ31" s="72">
        <f>AJ7</f>
        <v>0</v>
      </c>
      <c r="AK31" s="118">
        <f t="shared" ref="AK31:AK37" si="128">AI31*AJ31</f>
        <v>0</v>
      </c>
      <c r="AL31" s="72"/>
      <c r="AM31" s="72">
        <f>AM7</f>
        <v>0</v>
      </c>
      <c r="AN31" s="71">
        <f t="shared" ref="AN31:AN37" si="129">AL31*AM31</f>
        <v>0</v>
      </c>
      <c r="AO31" s="76"/>
      <c r="AP31" s="68">
        <f>'15'!C17</f>
        <v>0</v>
      </c>
      <c r="AQ31" s="72">
        <f t="shared" ref="AQ31:AQ37" si="130">2310/264</f>
        <v>8.75</v>
      </c>
      <c r="AR31" s="71">
        <f t="shared" ref="AR31:AR37" si="131">AP31*AQ31</f>
        <v>0</v>
      </c>
      <c r="AS31" s="68">
        <f>'15'!C18</f>
        <v>0</v>
      </c>
      <c r="AT31" s="72">
        <f t="shared" ref="AT31:AT37" si="132">1764/144</f>
        <v>12.25</v>
      </c>
      <c r="AU31" s="71">
        <f t="shared" ref="AU31:AU37" si="133">AS31*AT31</f>
        <v>0</v>
      </c>
      <c r="AV31" s="68">
        <f>'15'!C21</f>
        <v>0</v>
      </c>
      <c r="AW31" s="70">
        <v>7.9166666666600003</v>
      </c>
      <c r="AX31" s="71">
        <f t="shared" ref="AX31:AX37" si="134">AV31*AW31</f>
        <v>0</v>
      </c>
      <c r="AY31" s="68">
        <f>'15'!C22</f>
        <v>0</v>
      </c>
      <c r="AZ31" s="70">
        <f t="shared" ref="AZ31:AZ37" si="135">1175/120</f>
        <v>9.7916666666666661</v>
      </c>
      <c r="BA31" s="71">
        <f t="shared" ref="BA31:BA37" si="136">AY31*AZ31</f>
        <v>0</v>
      </c>
      <c r="BB31" s="68">
        <f>'15'!C26</f>
        <v>0</v>
      </c>
      <c r="BC31" s="68">
        <f t="shared" ref="BC31:BC37" si="137">1960/120</f>
        <v>16.333333333333332</v>
      </c>
      <c r="BD31" s="69">
        <f t="shared" ref="BD31:BD37" si="138">BB31*BC31</f>
        <v>0</v>
      </c>
      <c r="BE31" s="68">
        <f>'15'!C27</f>
        <v>0</v>
      </c>
      <c r="BF31" s="68">
        <f t="shared" ref="BF31:BF37" si="139">840/72</f>
        <v>11.666666666666666</v>
      </c>
      <c r="BG31" s="69">
        <f t="shared" ref="BG31:BG37" si="140">BE31*BF31</f>
        <v>0</v>
      </c>
      <c r="BH31" s="68">
        <f>'15'!C28</f>
        <v>0</v>
      </c>
      <c r="BI31" s="70">
        <v>20</v>
      </c>
      <c r="BJ31" s="71">
        <f t="shared" ref="BJ31:BJ37" si="141">BH31*BI31</f>
        <v>0</v>
      </c>
      <c r="BK31" s="68">
        <f>'15'!C23</f>
        <v>0</v>
      </c>
      <c r="BL31" s="70">
        <f t="shared" ref="BL31:BL32" si="142">BL7</f>
        <v>23</v>
      </c>
      <c r="BM31" s="71">
        <f t="shared" ref="BM31:BM37" si="143">BK31*BL31</f>
        <v>0</v>
      </c>
      <c r="BN31" s="68">
        <f>'15'!C25</f>
        <v>0</v>
      </c>
      <c r="BO31" s="72">
        <f>BO7</f>
        <v>12.5</v>
      </c>
      <c r="BP31" s="71">
        <f t="shared" ref="BP31:BP37" si="144">BN31*BO31</f>
        <v>0</v>
      </c>
      <c r="BQ31" s="68">
        <f>'15'!C24</f>
        <v>0</v>
      </c>
      <c r="BR31" s="70">
        <f t="shared" ref="BR31:BR37" si="145">306/24</f>
        <v>12.75</v>
      </c>
      <c r="BS31" s="69">
        <f t="shared" ref="BS31:BS37" si="146">BQ31*BR31</f>
        <v>0</v>
      </c>
      <c r="BT31" s="68">
        <f>'15'!C19</f>
        <v>0</v>
      </c>
      <c r="BU31" s="70">
        <f t="shared" ref="BU31:BU33" si="147">363/12</f>
        <v>30.25</v>
      </c>
      <c r="BV31" s="71">
        <f t="shared" ref="BV31:BV37" si="148">BT31*BU31</f>
        <v>0</v>
      </c>
      <c r="BW31" s="70">
        <f>'15'!C20</f>
        <v>0</v>
      </c>
      <c r="BX31" s="70">
        <f>BX7</f>
        <v>15.916666666659999</v>
      </c>
      <c r="BY31" s="71">
        <f t="shared" ref="BY31:BY37" si="149">BW31*BX31</f>
        <v>0</v>
      </c>
      <c r="BZ31" s="39"/>
      <c r="CA31" s="71">
        <f t="shared" ref="CA31:CA37" si="150">D31+G31+J31+M31+P31+S31+V31+Y31+AB31+AE31+AH31+AK31+AN31+AR31+AU31+AX31+BA31+BD31+BG31+BJ31+BM31+BP31+BS31+BV31+BY31</f>
        <v>8770</v>
      </c>
      <c r="CB31" s="39"/>
      <c r="CC31" s="39"/>
      <c r="CD31" s="39">
        <f t="shared" ref="CD31:CD37" si="151">CA31-CC31</f>
        <v>8770</v>
      </c>
      <c r="CF31" s="175">
        <f>'15'!W26</f>
        <v>0</v>
      </c>
    </row>
    <row r="32" spans="1:84" ht="15.75" customHeight="1">
      <c r="A32" s="173">
        <v>45459</v>
      </c>
      <c r="B32" s="68">
        <f>'16'!C29</f>
        <v>0</v>
      </c>
      <c r="C32" s="68">
        <f>C7</f>
        <v>30</v>
      </c>
      <c r="D32" s="69">
        <f t="shared" si="117"/>
        <v>0</v>
      </c>
      <c r="E32" s="68">
        <f>'16'!C7</f>
        <v>200</v>
      </c>
      <c r="F32" s="70">
        <v>35</v>
      </c>
      <c r="G32" s="71">
        <f t="shared" si="118"/>
        <v>7000</v>
      </c>
      <c r="H32" s="72">
        <f>'16'!C8</f>
        <v>0</v>
      </c>
      <c r="I32" s="70">
        <v>8.5</v>
      </c>
      <c r="J32" s="71">
        <f t="shared" si="119"/>
        <v>0</v>
      </c>
      <c r="K32" s="72">
        <f>'16'!C15</f>
        <v>0</v>
      </c>
      <c r="L32" s="70">
        <f>L7</f>
        <v>18</v>
      </c>
      <c r="M32" s="71">
        <f t="shared" si="120"/>
        <v>0</v>
      </c>
      <c r="N32" s="70">
        <f>'16'!C9</f>
        <v>100</v>
      </c>
      <c r="O32" s="68">
        <f>O7</f>
        <v>7</v>
      </c>
      <c r="P32" s="71">
        <f t="shared" si="121"/>
        <v>700</v>
      </c>
      <c r="Q32" s="68">
        <f>'16'!C10</f>
        <v>0</v>
      </c>
      <c r="R32" s="72">
        <v>5.5</v>
      </c>
      <c r="S32" s="71">
        <f t="shared" si="122"/>
        <v>0</v>
      </c>
      <c r="T32" s="68">
        <f>'16'!C11</f>
        <v>190</v>
      </c>
      <c r="U32" s="72">
        <v>8.5</v>
      </c>
      <c r="V32" s="71">
        <f t="shared" si="123"/>
        <v>1615</v>
      </c>
      <c r="W32" s="68">
        <f>'16'!C12</f>
        <v>20</v>
      </c>
      <c r="X32" s="72">
        <v>6</v>
      </c>
      <c r="Y32" s="71">
        <f t="shared" si="124"/>
        <v>120</v>
      </c>
      <c r="Z32" s="68">
        <f>'16'!C13</f>
        <v>50</v>
      </c>
      <c r="AA32" s="72">
        <f>AA7</f>
        <v>6</v>
      </c>
      <c r="AB32" s="71">
        <f t="shared" si="125"/>
        <v>300</v>
      </c>
      <c r="AC32" s="68">
        <f>'16'!C14</f>
        <v>0</v>
      </c>
      <c r="AD32" s="72">
        <v>8</v>
      </c>
      <c r="AE32" s="73">
        <f t="shared" si="126"/>
        <v>0</v>
      </c>
      <c r="AF32" s="72"/>
      <c r="AG32" s="72">
        <f>AG7</f>
        <v>14</v>
      </c>
      <c r="AH32" s="118">
        <f t="shared" si="127"/>
        <v>0</v>
      </c>
      <c r="AI32" s="72"/>
      <c r="AJ32" s="72">
        <f>AJ7</f>
        <v>0</v>
      </c>
      <c r="AK32" s="118">
        <f t="shared" si="128"/>
        <v>0</v>
      </c>
      <c r="AL32" s="72"/>
      <c r="AM32" s="72">
        <f>AM7</f>
        <v>0</v>
      </c>
      <c r="AN32" s="71">
        <f t="shared" si="129"/>
        <v>0</v>
      </c>
      <c r="AO32" s="76"/>
      <c r="AP32" s="68">
        <f>'16'!C17</f>
        <v>0</v>
      </c>
      <c r="AQ32" s="72">
        <f t="shared" si="130"/>
        <v>8.75</v>
      </c>
      <c r="AR32" s="71">
        <f t="shared" si="131"/>
        <v>0</v>
      </c>
      <c r="AS32" s="68">
        <f>'16'!C18</f>
        <v>0</v>
      </c>
      <c r="AT32" s="72">
        <f t="shared" si="132"/>
        <v>12.25</v>
      </c>
      <c r="AU32" s="71">
        <f t="shared" si="133"/>
        <v>0</v>
      </c>
      <c r="AV32" s="68">
        <f>'16'!C21</f>
        <v>0</v>
      </c>
      <c r="AW32" s="70">
        <v>7.9166666666600003</v>
      </c>
      <c r="AX32" s="71">
        <f t="shared" si="134"/>
        <v>0</v>
      </c>
      <c r="AY32" s="68">
        <f>'16'!C22</f>
        <v>0</v>
      </c>
      <c r="AZ32" s="70">
        <f t="shared" si="135"/>
        <v>9.7916666666666661</v>
      </c>
      <c r="BA32" s="71">
        <f t="shared" si="136"/>
        <v>0</v>
      </c>
      <c r="BB32" s="68">
        <f>'16'!C26</f>
        <v>0</v>
      </c>
      <c r="BC32" s="68">
        <f t="shared" si="137"/>
        <v>16.333333333333332</v>
      </c>
      <c r="BD32" s="69">
        <f t="shared" si="138"/>
        <v>0</v>
      </c>
      <c r="BE32" s="68">
        <f>'16'!C27</f>
        <v>0</v>
      </c>
      <c r="BF32" s="68">
        <f t="shared" si="139"/>
        <v>11.666666666666666</v>
      </c>
      <c r="BG32" s="69">
        <f t="shared" si="140"/>
        <v>0</v>
      </c>
      <c r="BH32" s="68">
        <f>'16'!C28</f>
        <v>0</v>
      </c>
      <c r="BI32" s="70">
        <v>20</v>
      </c>
      <c r="BJ32" s="71">
        <f t="shared" si="141"/>
        <v>0</v>
      </c>
      <c r="BK32" s="68">
        <f>'16'!C23</f>
        <v>0</v>
      </c>
      <c r="BL32" s="70">
        <f t="shared" si="142"/>
        <v>23</v>
      </c>
      <c r="BM32" s="71">
        <f t="shared" si="143"/>
        <v>0</v>
      </c>
      <c r="BN32" s="68">
        <f>'16'!C25</f>
        <v>0</v>
      </c>
      <c r="BO32" s="72">
        <f>BO7</f>
        <v>12.5</v>
      </c>
      <c r="BP32" s="71">
        <f t="shared" si="144"/>
        <v>0</v>
      </c>
      <c r="BQ32" s="68">
        <f>'16'!C24</f>
        <v>0</v>
      </c>
      <c r="BR32" s="70">
        <f t="shared" si="145"/>
        <v>12.75</v>
      </c>
      <c r="BS32" s="69">
        <f t="shared" si="146"/>
        <v>0</v>
      </c>
      <c r="BT32" s="68">
        <f>'16'!C19</f>
        <v>0</v>
      </c>
      <c r="BU32" s="70">
        <f t="shared" si="147"/>
        <v>30.25</v>
      </c>
      <c r="BV32" s="71">
        <f t="shared" si="148"/>
        <v>0</v>
      </c>
      <c r="BW32" s="70">
        <f>'16'!C20</f>
        <v>0</v>
      </c>
      <c r="BX32" s="70">
        <f>BX7</f>
        <v>15.916666666659999</v>
      </c>
      <c r="BY32" s="71">
        <f t="shared" si="149"/>
        <v>0</v>
      </c>
      <c r="BZ32" s="39"/>
      <c r="CA32" s="71">
        <f t="shared" si="150"/>
        <v>9735</v>
      </c>
      <c r="CB32" s="6"/>
      <c r="CC32" s="39"/>
      <c r="CD32" s="39">
        <f t="shared" si="151"/>
        <v>9735</v>
      </c>
      <c r="CF32" s="175">
        <f>'16'!W26</f>
        <v>0</v>
      </c>
    </row>
    <row r="33" spans="1:84" ht="15.75" customHeight="1">
      <c r="A33" s="173">
        <v>45460</v>
      </c>
      <c r="B33" s="68">
        <f>'17'!C29</f>
        <v>0</v>
      </c>
      <c r="C33" s="68">
        <f>C7</f>
        <v>30</v>
      </c>
      <c r="D33" s="69">
        <f t="shared" si="117"/>
        <v>0</v>
      </c>
      <c r="E33" s="68">
        <f>'17'!C7</f>
        <v>300</v>
      </c>
      <c r="F33" s="70">
        <v>35</v>
      </c>
      <c r="G33" s="71">
        <f t="shared" si="118"/>
        <v>10500</v>
      </c>
      <c r="H33" s="72">
        <f>'17'!C8</f>
        <v>0</v>
      </c>
      <c r="I33" s="70">
        <v>8.5</v>
      </c>
      <c r="J33" s="71">
        <f t="shared" si="119"/>
        <v>0</v>
      </c>
      <c r="K33" s="72">
        <f>'17'!C15</f>
        <v>0</v>
      </c>
      <c r="L33" s="70">
        <f>L7</f>
        <v>18</v>
      </c>
      <c r="M33" s="71">
        <f t="shared" si="120"/>
        <v>0</v>
      </c>
      <c r="N33" s="70">
        <f>'17'!C9</f>
        <v>150</v>
      </c>
      <c r="O33" s="68">
        <f>O7</f>
        <v>7</v>
      </c>
      <c r="P33" s="71">
        <f t="shared" si="121"/>
        <v>1050</v>
      </c>
      <c r="Q33" s="68">
        <f>'17'!C10</f>
        <v>0</v>
      </c>
      <c r="R33" s="72">
        <v>5.5</v>
      </c>
      <c r="S33" s="71">
        <f t="shared" si="122"/>
        <v>0</v>
      </c>
      <c r="T33" s="68">
        <f>'17'!C11</f>
        <v>200</v>
      </c>
      <c r="U33" s="72">
        <v>8.5</v>
      </c>
      <c r="V33" s="71">
        <f t="shared" si="123"/>
        <v>1700</v>
      </c>
      <c r="W33" s="68">
        <f>'17'!C12</f>
        <v>40</v>
      </c>
      <c r="X33" s="72">
        <v>6</v>
      </c>
      <c r="Y33" s="71">
        <f t="shared" si="124"/>
        <v>240</v>
      </c>
      <c r="Z33" s="68">
        <f>'17'!C13</f>
        <v>80</v>
      </c>
      <c r="AA33" s="72">
        <f>AA7</f>
        <v>6</v>
      </c>
      <c r="AB33" s="71">
        <f t="shared" si="125"/>
        <v>480</v>
      </c>
      <c r="AC33" s="68">
        <f>'17'!C14</f>
        <v>0</v>
      </c>
      <c r="AD33" s="72">
        <v>8</v>
      </c>
      <c r="AE33" s="73">
        <f t="shared" si="126"/>
        <v>0</v>
      </c>
      <c r="AF33" s="72"/>
      <c r="AG33" s="72">
        <f>AG7</f>
        <v>14</v>
      </c>
      <c r="AH33" s="118">
        <f t="shared" si="127"/>
        <v>0</v>
      </c>
      <c r="AI33" s="72"/>
      <c r="AJ33" s="72">
        <f>AJ7</f>
        <v>0</v>
      </c>
      <c r="AK33" s="118">
        <f t="shared" si="128"/>
        <v>0</v>
      </c>
      <c r="AL33" s="72"/>
      <c r="AM33" s="72">
        <f>AM7</f>
        <v>0</v>
      </c>
      <c r="AN33" s="71">
        <f t="shared" si="129"/>
        <v>0</v>
      </c>
      <c r="AO33" s="76"/>
      <c r="AP33" s="68">
        <f>'17'!C17</f>
        <v>0</v>
      </c>
      <c r="AQ33" s="72">
        <f t="shared" si="130"/>
        <v>8.75</v>
      </c>
      <c r="AR33" s="71">
        <f t="shared" si="131"/>
        <v>0</v>
      </c>
      <c r="AS33" s="68">
        <f>'17'!C18</f>
        <v>120</v>
      </c>
      <c r="AT33" s="72">
        <f t="shared" si="132"/>
        <v>12.25</v>
      </c>
      <c r="AU33" s="71">
        <f t="shared" si="133"/>
        <v>1470</v>
      </c>
      <c r="AV33" s="68">
        <f>'17'!C21</f>
        <v>0</v>
      </c>
      <c r="AW33" s="70">
        <v>7.9166666666600003</v>
      </c>
      <c r="AX33" s="71">
        <f t="shared" si="134"/>
        <v>0</v>
      </c>
      <c r="AY33" s="68">
        <f>'17'!C22</f>
        <v>0</v>
      </c>
      <c r="AZ33" s="70">
        <f t="shared" si="135"/>
        <v>9.7916666666666661</v>
      </c>
      <c r="BA33" s="71">
        <f t="shared" si="136"/>
        <v>0</v>
      </c>
      <c r="BB33" s="68">
        <f>'17'!C26</f>
        <v>0</v>
      </c>
      <c r="BC33" s="68">
        <f t="shared" si="137"/>
        <v>16.333333333333332</v>
      </c>
      <c r="BD33" s="69">
        <f t="shared" si="138"/>
        <v>0</v>
      </c>
      <c r="BE33" s="68">
        <f>'17'!C27</f>
        <v>0</v>
      </c>
      <c r="BF33" s="68">
        <f t="shared" si="139"/>
        <v>11.666666666666666</v>
      </c>
      <c r="BG33" s="69">
        <f t="shared" si="140"/>
        <v>0</v>
      </c>
      <c r="BH33" s="68">
        <f>'17'!C28</f>
        <v>0</v>
      </c>
      <c r="BI33" s="70">
        <v>20</v>
      </c>
      <c r="BJ33" s="71">
        <f t="shared" si="141"/>
        <v>0</v>
      </c>
      <c r="BK33" s="68">
        <f>'17'!C23</f>
        <v>0</v>
      </c>
      <c r="BL33" s="70">
        <f>BL7</f>
        <v>23</v>
      </c>
      <c r="BM33" s="71">
        <f t="shared" si="143"/>
        <v>0</v>
      </c>
      <c r="BN33" s="68">
        <f>'17'!C25</f>
        <v>0</v>
      </c>
      <c r="BO33" s="72">
        <f>BO7</f>
        <v>12.5</v>
      </c>
      <c r="BP33" s="71">
        <f t="shared" si="144"/>
        <v>0</v>
      </c>
      <c r="BQ33" s="68">
        <f>'17'!C24</f>
        <v>0</v>
      </c>
      <c r="BR33" s="70">
        <f t="shared" si="145"/>
        <v>12.75</v>
      </c>
      <c r="BS33" s="69">
        <f t="shared" si="146"/>
        <v>0</v>
      </c>
      <c r="BT33" s="68">
        <f>'17'!C19</f>
        <v>0</v>
      </c>
      <c r="BU33" s="70">
        <f t="shared" si="147"/>
        <v>30.25</v>
      </c>
      <c r="BV33" s="71">
        <f t="shared" si="148"/>
        <v>0</v>
      </c>
      <c r="BW33" s="70">
        <f>'17'!C20</f>
        <v>0</v>
      </c>
      <c r="BX33" s="70">
        <f>BX7</f>
        <v>15.916666666659999</v>
      </c>
      <c r="BY33" s="71">
        <f t="shared" si="149"/>
        <v>0</v>
      </c>
      <c r="BZ33" s="39"/>
      <c r="CA33" s="71">
        <f t="shared" si="150"/>
        <v>15440</v>
      </c>
      <c r="CB33" s="6"/>
      <c r="CC33" s="39"/>
      <c r="CD33" s="39">
        <f t="shared" si="151"/>
        <v>15440</v>
      </c>
      <c r="CF33" s="175">
        <f>'17'!W26</f>
        <v>0</v>
      </c>
    </row>
    <row r="34" spans="1:84" ht="15.75" customHeight="1">
      <c r="A34" s="173">
        <v>45461</v>
      </c>
      <c r="B34" s="68">
        <f>'18'!C29</f>
        <v>0</v>
      </c>
      <c r="C34" s="68">
        <f>C7</f>
        <v>30</v>
      </c>
      <c r="D34" s="69">
        <f t="shared" si="117"/>
        <v>0</v>
      </c>
      <c r="E34" s="68">
        <f>'18'!C7</f>
        <v>500</v>
      </c>
      <c r="F34" s="70">
        <v>35</v>
      </c>
      <c r="G34" s="71">
        <f t="shared" si="118"/>
        <v>17500</v>
      </c>
      <c r="H34" s="72">
        <f>'18'!C8</f>
        <v>20</v>
      </c>
      <c r="I34" s="70">
        <v>8.5</v>
      </c>
      <c r="J34" s="71">
        <f t="shared" si="119"/>
        <v>170</v>
      </c>
      <c r="K34" s="72">
        <f>'18'!C15</f>
        <v>50</v>
      </c>
      <c r="L34" s="70">
        <f>L7</f>
        <v>18</v>
      </c>
      <c r="M34" s="71">
        <f t="shared" si="120"/>
        <v>900</v>
      </c>
      <c r="N34" s="70">
        <f>'18'!C9</f>
        <v>200</v>
      </c>
      <c r="O34" s="68">
        <f>O7</f>
        <v>7</v>
      </c>
      <c r="P34" s="71">
        <f t="shared" si="121"/>
        <v>1400</v>
      </c>
      <c r="Q34" s="68">
        <f>'18'!C10</f>
        <v>0</v>
      </c>
      <c r="R34" s="72">
        <v>5.5</v>
      </c>
      <c r="S34" s="71">
        <f t="shared" si="122"/>
        <v>0</v>
      </c>
      <c r="T34" s="68">
        <f>'18'!C11</f>
        <v>200</v>
      </c>
      <c r="U34" s="72">
        <v>8.5</v>
      </c>
      <c r="V34" s="71">
        <f t="shared" si="123"/>
        <v>1700</v>
      </c>
      <c r="W34" s="68">
        <f>'18'!C12</f>
        <v>60</v>
      </c>
      <c r="X34" s="72">
        <v>6</v>
      </c>
      <c r="Y34" s="71">
        <f t="shared" si="124"/>
        <v>360</v>
      </c>
      <c r="Z34" s="68">
        <f>'18'!C13</f>
        <v>40</v>
      </c>
      <c r="AA34" s="72">
        <f>AA7</f>
        <v>6</v>
      </c>
      <c r="AB34" s="71">
        <f t="shared" si="125"/>
        <v>240</v>
      </c>
      <c r="AC34" s="68">
        <f>'18'!C14</f>
        <v>0</v>
      </c>
      <c r="AD34" s="72">
        <v>8</v>
      </c>
      <c r="AE34" s="73">
        <f t="shared" si="126"/>
        <v>0</v>
      </c>
      <c r="AF34" s="72"/>
      <c r="AG34" s="72">
        <f>AG7</f>
        <v>14</v>
      </c>
      <c r="AH34" s="118">
        <f t="shared" si="127"/>
        <v>0</v>
      </c>
      <c r="AI34" s="72"/>
      <c r="AJ34" s="72">
        <f>AJ7</f>
        <v>0</v>
      </c>
      <c r="AK34" s="118">
        <f t="shared" si="128"/>
        <v>0</v>
      </c>
      <c r="AL34" s="72"/>
      <c r="AM34" s="72">
        <f>AM7</f>
        <v>0</v>
      </c>
      <c r="AN34" s="71">
        <f t="shared" si="129"/>
        <v>0</v>
      </c>
      <c r="AO34" s="76"/>
      <c r="AP34" s="68">
        <f>'18'!C17</f>
        <v>0</v>
      </c>
      <c r="AQ34" s="72">
        <f t="shared" si="130"/>
        <v>8.75</v>
      </c>
      <c r="AR34" s="71">
        <f t="shared" si="131"/>
        <v>0</v>
      </c>
      <c r="AS34" s="68">
        <f>'18'!C18</f>
        <v>0</v>
      </c>
      <c r="AT34" s="72">
        <f t="shared" si="132"/>
        <v>12.25</v>
      </c>
      <c r="AU34" s="71">
        <f t="shared" si="133"/>
        <v>0</v>
      </c>
      <c r="AV34" s="68">
        <f>'18'!C21</f>
        <v>0</v>
      </c>
      <c r="AW34" s="70">
        <v>7.9166666666600003</v>
      </c>
      <c r="AX34" s="71">
        <f t="shared" si="134"/>
        <v>0</v>
      </c>
      <c r="AY34" s="68">
        <f>'18'!C22</f>
        <v>0</v>
      </c>
      <c r="AZ34" s="70">
        <f t="shared" si="135"/>
        <v>9.7916666666666661</v>
      </c>
      <c r="BA34" s="71">
        <f t="shared" si="136"/>
        <v>0</v>
      </c>
      <c r="BB34" s="68">
        <f>'18'!C26</f>
        <v>0</v>
      </c>
      <c r="BC34" s="68">
        <f t="shared" si="137"/>
        <v>16.333333333333332</v>
      </c>
      <c r="BD34" s="69">
        <f t="shared" si="138"/>
        <v>0</v>
      </c>
      <c r="BE34" s="68">
        <f>'18'!C27</f>
        <v>0</v>
      </c>
      <c r="BF34" s="68">
        <f t="shared" si="139"/>
        <v>11.666666666666666</v>
      </c>
      <c r="BG34" s="69">
        <f t="shared" si="140"/>
        <v>0</v>
      </c>
      <c r="BH34" s="68">
        <f>'18'!C28</f>
        <v>0</v>
      </c>
      <c r="BI34" s="70">
        <v>20</v>
      </c>
      <c r="BJ34" s="71">
        <f t="shared" si="141"/>
        <v>0</v>
      </c>
      <c r="BK34" s="68">
        <f>'18'!C23</f>
        <v>0</v>
      </c>
      <c r="BL34" s="70">
        <f>BL7</f>
        <v>23</v>
      </c>
      <c r="BM34" s="71">
        <f t="shared" si="143"/>
        <v>0</v>
      </c>
      <c r="BN34" s="68">
        <f>'18'!C25</f>
        <v>0</v>
      </c>
      <c r="BO34" s="72">
        <f>BO7</f>
        <v>12.5</v>
      </c>
      <c r="BP34" s="71">
        <f t="shared" si="144"/>
        <v>0</v>
      </c>
      <c r="BQ34" s="68">
        <f>'18'!C24</f>
        <v>0</v>
      </c>
      <c r="BR34" s="70">
        <f t="shared" si="145"/>
        <v>12.75</v>
      </c>
      <c r="BS34" s="69">
        <f t="shared" si="146"/>
        <v>0</v>
      </c>
      <c r="BT34" s="68">
        <f>'18'!C19</f>
        <v>0</v>
      </c>
      <c r="BU34" s="70">
        <f t="shared" ref="BU34:BU37" si="152">365/12</f>
        <v>30.416666666666668</v>
      </c>
      <c r="BV34" s="71">
        <f t="shared" si="148"/>
        <v>0</v>
      </c>
      <c r="BW34" s="70">
        <f>'18'!C20</f>
        <v>0</v>
      </c>
      <c r="BX34" s="70">
        <f>BX7</f>
        <v>15.916666666659999</v>
      </c>
      <c r="BY34" s="71">
        <f t="shared" si="149"/>
        <v>0</v>
      </c>
      <c r="BZ34" s="39"/>
      <c r="CA34" s="71">
        <f t="shared" si="150"/>
        <v>22270</v>
      </c>
      <c r="CB34" s="6"/>
      <c r="CC34" s="39"/>
      <c r="CD34" s="39">
        <f t="shared" si="151"/>
        <v>22270</v>
      </c>
      <c r="CF34" s="175">
        <f>'18'!W26</f>
        <v>0</v>
      </c>
    </row>
    <row r="35" spans="1:84" ht="15.75" customHeight="1">
      <c r="A35" s="173">
        <v>45462</v>
      </c>
      <c r="B35" s="68">
        <f>'19'!C29</f>
        <v>0</v>
      </c>
      <c r="C35" s="68">
        <f>C7</f>
        <v>30</v>
      </c>
      <c r="D35" s="69">
        <f t="shared" si="117"/>
        <v>0</v>
      </c>
      <c r="E35" s="68">
        <f>'19'!C7</f>
        <v>0</v>
      </c>
      <c r="F35" s="70">
        <v>35</v>
      </c>
      <c r="G35" s="71">
        <f t="shared" si="118"/>
        <v>0</v>
      </c>
      <c r="H35" s="72">
        <f>'19'!C8</f>
        <v>0</v>
      </c>
      <c r="I35" s="70">
        <v>8.5</v>
      </c>
      <c r="J35" s="71">
        <f t="shared" si="119"/>
        <v>0</v>
      </c>
      <c r="K35" s="72">
        <f>'19'!C15</f>
        <v>0</v>
      </c>
      <c r="L35" s="70">
        <f>L7</f>
        <v>18</v>
      </c>
      <c r="M35" s="71">
        <f t="shared" si="120"/>
        <v>0</v>
      </c>
      <c r="N35" s="70">
        <f>'19'!C9</f>
        <v>0</v>
      </c>
      <c r="O35" s="68">
        <f>O7</f>
        <v>7</v>
      </c>
      <c r="P35" s="71">
        <f t="shared" si="121"/>
        <v>0</v>
      </c>
      <c r="Q35" s="68">
        <f>'19'!C10</f>
        <v>0</v>
      </c>
      <c r="R35" s="72">
        <v>5.5</v>
      </c>
      <c r="S35" s="71">
        <f t="shared" si="122"/>
        <v>0</v>
      </c>
      <c r="T35" s="68">
        <f>'19'!C11</f>
        <v>250</v>
      </c>
      <c r="U35" s="72">
        <v>8.5</v>
      </c>
      <c r="V35" s="71">
        <f t="shared" si="123"/>
        <v>2125</v>
      </c>
      <c r="W35" s="68">
        <f>'19'!C12</f>
        <v>0</v>
      </c>
      <c r="X35" s="72">
        <v>6</v>
      </c>
      <c r="Y35" s="71">
        <f t="shared" si="124"/>
        <v>0</v>
      </c>
      <c r="Z35" s="68">
        <f>'19'!C13</f>
        <v>0</v>
      </c>
      <c r="AA35" s="72">
        <f>AA7</f>
        <v>6</v>
      </c>
      <c r="AB35" s="71">
        <f t="shared" si="125"/>
        <v>0</v>
      </c>
      <c r="AC35" s="68">
        <f>'19'!C14</f>
        <v>0</v>
      </c>
      <c r="AD35" s="72">
        <v>8</v>
      </c>
      <c r="AE35" s="73">
        <f t="shared" si="126"/>
        <v>0</v>
      </c>
      <c r="AF35" s="72"/>
      <c r="AG35" s="72">
        <f>AG7</f>
        <v>14</v>
      </c>
      <c r="AH35" s="118">
        <f t="shared" si="127"/>
        <v>0</v>
      </c>
      <c r="AI35" s="72"/>
      <c r="AJ35" s="72">
        <f>AJ7</f>
        <v>0</v>
      </c>
      <c r="AK35" s="118">
        <f t="shared" si="128"/>
        <v>0</v>
      </c>
      <c r="AL35" s="72"/>
      <c r="AM35" s="72">
        <f>AM7</f>
        <v>0</v>
      </c>
      <c r="AN35" s="71">
        <f t="shared" si="129"/>
        <v>0</v>
      </c>
      <c r="AO35" s="76"/>
      <c r="AP35" s="68">
        <f>'19'!C17</f>
        <v>0</v>
      </c>
      <c r="AQ35" s="72">
        <f t="shared" si="130"/>
        <v>8.75</v>
      </c>
      <c r="AR35" s="71">
        <f t="shared" si="131"/>
        <v>0</v>
      </c>
      <c r="AS35" s="68">
        <f>'19'!C18</f>
        <v>0</v>
      </c>
      <c r="AT35" s="72">
        <f t="shared" si="132"/>
        <v>12.25</v>
      </c>
      <c r="AU35" s="71">
        <f t="shared" si="133"/>
        <v>0</v>
      </c>
      <c r="AV35" s="68">
        <f>'19'!C21</f>
        <v>0</v>
      </c>
      <c r="AW35" s="70">
        <v>7.9166666666600003</v>
      </c>
      <c r="AX35" s="71">
        <f t="shared" si="134"/>
        <v>0</v>
      </c>
      <c r="AY35" s="68">
        <f>'19'!C22</f>
        <v>0</v>
      </c>
      <c r="AZ35" s="70">
        <f t="shared" si="135"/>
        <v>9.7916666666666661</v>
      </c>
      <c r="BA35" s="71">
        <f t="shared" si="136"/>
        <v>0</v>
      </c>
      <c r="BB35" s="68">
        <f>'19'!C26</f>
        <v>0</v>
      </c>
      <c r="BC35" s="68">
        <f t="shared" si="137"/>
        <v>16.333333333333332</v>
      </c>
      <c r="BD35" s="69">
        <f t="shared" si="138"/>
        <v>0</v>
      </c>
      <c r="BE35" s="68">
        <f>'19'!C27</f>
        <v>0</v>
      </c>
      <c r="BF35" s="68">
        <f t="shared" si="139"/>
        <v>11.666666666666666</v>
      </c>
      <c r="BG35" s="69">
        <f t="shared" si="140"/>
        <v>0</v>
      </c>
      <c r="BH35" s="68">
        <f>'19'!C28</f>
        <v>0</v>
      </c>
      <c r="BI35" s="70">
        <v>20</v>
      </c>
      <c r="BJ35" s="71">
        <f t="shared" si="141"/>
        <v>0</v>
      </c>
      <c r="BK35" s="68">
        <f>'19'!C23</f>
        <v>0</v>
      </c>
      <c r="BL35" s="70">
        <f>BL7</f>
        <v>23</v>
      </c>
      <c r="BM35" s="71">
        <f t="shared" si="143"/>
        <v>0</v>
      </c>
      <c r="BN35" s="68">
        <f>'19'!C25</f>
        <v>0</v>
      </c>
      <c r="BO35" s="72">
        <f>BO7</f>
        <v>12.5</v>
      </c>
      <c r="BP35" s="71">
        <f t="shared" si="144"/>
        <v>0</v>
      </c>
      <c r="BQ35" s="68">
        <f>'19'!C24</f>
        <v>0</v>
      </c>
      <c r="BR35" s="70">
        <f t="shared" si="145"/>
        <v>12.75</v>
      </c>
      <c r="BS35" s="69">
        <f t="shared" si="146"/>
        <v>0</v>
      </c>
      <c r="BT35" s="68">
        <f>'19'!C19</f>
        <v>0</v>
      </c>
      <c r="BU35" s="70">
        <f t="shared" si="152"/>
        <v>30.416666666666668</v>
      </c>
      <c r="BV35" s="71">
        <f t="shared" si="148"/>
        <v>0</v>
      </c>
      <c r="BW35" s="70">
        <f>'19'!C20</f>
        <v>0</v>
      </c>
      <c r="BX35" s="70">
        <f>BX7</f>
        <v>15.916666666659999</v>
      </c>
      <c r="BY35" s="71">
        <f t="shared" si="149"/>
        <v>0</v>
      </c>
      <c r="BZ35" s="39"/>
      <c r="CA35" s="71">
        <f t="shared" si="150"/>
        <v>2125</v>
      </c>
      <c r="CB35" s="6"/>
      <c r="CC35" s="39"/>
      <c r="CD35" s="39">
        <f t="shared" si="151"/>
        <v>2125</v>
      </c>
      <c r="CF35" s="175">
        <f>'19'!W26</f>
        <v>0</v>
      </c>
    </row>
    <row r="36" spans="1:84" ht="15.75" customHeight="1">
      <c r="A36" s="173">
        <v>45463</v>
      </c>
      <c r="B36" s="68">
        <f>'20'!C29</f>
        <v>0</v>
      </c>
      <c r="C36" s="68">
        <v>30</v>
      </c>
      <c r="D36" s="69">
        <f t="shared" si="117"/>
        <v>0</v>
      </c>
      <c r="E36" s="68">
        <f>'20'!C7</f>
        <v>150</v>
      </c>
      <c r="F36" s="70">
        <v>35</v>
      </c>
      <c r="G36" s="71">
        <f t="shared" si="118"/>
        <v>5250</v>
      </c>
      <c r="H36" s="72">
        <f>'20'!C8</f>
        <v>20</v>
      </c>
      <c r="I36" s="70">
        <v>8.5</v>
      </c>
      <c r="J36" s="71">
        <f t="shared" si="119"/>
        <v>170</v>
      </c>
      <c r="K36" s="72">
        <f>'20'!C15</f>
        <v>50</v>
      </c>
      <c r="L36" s="70">
        <f>L7</f>
        <v>18</v>
      </c>
      <c r="M36" s="71">
        <f t="shared" si="120"/>
        <v>900</v>
      </c>
      <c r="N36" s="70">
        <f>'20'!C9</f>
        <v>50</v>
      </c>
      <c r="O36" s="68">
        <f>O7</f>
        <v>7</v>
      </c>
      <c r="P36" s="71">
        <f t="shared" si="121"/>
        <v>350</v>
      </c>
      <c r="Q36" s="68">
        <f>'20'!C10</f>
        <v>0</v>
      </c>
      <c r="R36" s="72">
        <v>5.5</v>
      </c>
      <c r="S36" s="71">
        <f t="shared" si="122"/>
        <v>0</v>
      </c>
      <c r="T36" s="68">
        <f>'20'!C11</f>
        <v>180</v>
      </c>
      <c r="U36" s="72">
        <v>8.5</v>
      </c>
      <c r="V36" s="71">
        <f t="shared" si="123"/>
        <v>1530</v>
      </c>
      <c r="W36" s="68">
        <f>'20'!C12</f>
        <v>60</v>
      </c>
      <c r="X36" s="72">
        <v>6</v>
      </c>
      <c r="Y36" s="71">
        <f t="shared" si="124"/>
        <v>360</v>
      </c>
      <c r="Z36" s="68">
        <f>'20'!C13</f>
        <v>50</v>
      </c>
      <c r="AA36" s="72">
        <f>AA7</f>
        <v>6</v>
      </c>
      <c r="AB36" s="71">
        <f t="shared" si="125"/>
        <v>300</v>
      </c>
      <c r="AC36" s="68">
        <f>'20'!C14</f>
        <v>0</v>
      </c>
      <c r="AD36" s="72">
        <v>8</v>
      </c>
      <c r="AE36" s="73">
        <f t="shared" si="126"/>
        <v>0</v>
      </c>
      <c r="AF36" s="72"/>
      <c r="AG36" s="72">
        <f>AG7</f>
        <v>14</v>
      </c>
      <c r="AH36" s="118">
        <f t="shared" si="127"/>
        <v>0</v>
      </c>
      <c r="AI36" s="72"/>
      <c r="AJ36" s="72">
        <f>AJ7</f>
        <v>0</v>
      </c>
      <c r="AK36" s="118">
        <f t="shared" si="128"/>
        <v>0</v>
      </c>
      <c r="AL36" s="72"/>
      <c r="AM36" s="72">
        <f>AM7</f>
        <v>0</v>
      </c>
      <c r="AN36" s="71">
        <f t="shared" si="129"/>
        <v>0</v>
      </c>
      <c r="AO36" s="76"/>
      <c r="AP36" s="68">
        <f>'20'!C17</f>
        <v>0</v>
      </c>
      <c r="AQ36" s="72">
        <f t="shared" si="130"/>
        <v>8.75</v>
      </c>
      <c r="AR36" s="71">
        <f t="shared" si="131"/>
        <v>0</v>
      </c>
      <c r="AS36" s="68">
        <f>'20'!C18</f>
        <v>0</v>
      </c>
      <c r="AT36" s="72">
        <f t="shared" si="132"/>
        <v>12.25</v>
      </c>
      <c r="AU36" s="71">
        <f t="shared" si="133"/>
        <v>0</v>
      </c>
      <c r="AV36" s="68">
        <f>'20'!C21</f>
        <v>0</v>
      </c>
      <c r="AW36" s="70">
        <v>7.9166666666600003</v>
      </c>
      <c r="AX36" s="71">
        <f t="shared" si="134"/>
        <v>0</v>
      </c>
      <c r="AY36" s="68">
        <f>'20'!C22</f>
        <v>0</v>
      </c>
      <c r="AZ36" s="70">
        <f t="shared" si="135"/>
        <v>9.7916666666666661</v>
      </c>
      <c r="BA36" s="71">
        <f t="shared" si="136"/>
        <v>0</v>
      </c>
      <c r="BB36" s="68">
        <f>'20'!C26</f>
        <v>0</v>
      </c>
      <c r="BC36" s="68">
        <f t="shared" si="137"/>
        <v>16.333333333333332</v>
      </c>
      <c r="BD36" s="69">
        <f t="shared" si="138"/>
        <v>0</v>
      </c>
      <c r="BE36" s="68">
        <f>'20'!C27</f>
        <v>0</v>
      </c>
      <c r="BF36" s="68">
        <f t="shared" si="139"/>
        <v>11.666666666666666</v>
      </c>
      <c r="BG36" s="69">
        <f t="shared" si="140"/>
        <v>0</v>
      </c>
      <c r="BH36" s="68">
        <f>'20'!C28</f>
        <v>0</v>
      </c>
      <c r="BI36" s="70">
        <v>20</v>
      </c>
      <c r="BJ36" s="71">
        <f t="shared" si="141"/>
        <v>0</v>
      </c>
      <c r="BK36" s="68">
        <f>'20'!C23</f>
        <v>0</v>
      </c>
      <c r="BL36" s="70">
        <f>BL7</f>
        <v>23</v>
      </c>
      <c r="BM36" s="71">
        <f t="shared" si="143"/>
        <v>0</v>
      </c>
      <c r="BN36" s="68">
        <f>'20'!C25</f>
        <v>0</v>
      </c>
      <c r="BO36" s="72">
        <f>BO7</f>
        <v>12.5</v>
      </c>
      <c r="BP36" s="71">
        <f t="shared" si="144"/>
        <v>0</v>
      </c>
      <c r="BQ36" s="68">
        <f>'20'!C24</f>
        <v>0</v>
      </c>
      <c r="BR36" s="70">
        <f t="shared" si="145"/>
        <v>12.75</v>
      </c>
      <c r="BS36" s="69">
        <f t="shared" si="146"/>
        <v>0</v>
      </c>
      <c r="BT36" s="68">
        <f>'20'!C19</f>
        <v>0</v>
      </c>
      <c r="BU36" s="70">
        <f t="shared" si="152"/>
        <v>30.416666666666668</v>
      </c>
      <c r="BV36" s="71">
        <f t="shared" si="148"/>
        <v>0</v>
      </c>
      <c r="BW36" s="70">
        <f>'20'!C20</f>
        <v>0</v>
      </c>
      <c r="BX36" s="70">
        <f>BX7</f>
        <v>15.916666666659999</v>
      </c>
      <c r="BY36" s="71">
        <f t="shared" si="149"/>
        <v>0</v>
      </c>
      <c r="BZ36" s="39"/>
      <c r="CA36" s="71">
        <f t="shared" si="150"/>
        <v>8860</v>
      </c>
      <c r="CB36" s="6"/>
      <c r="CC36" s="39"/>
      <c r="CD36" s="39">
        <f t="shared" si="151"/>
        <v>8860</v>
      </c>
      <c r="CF36" s="175">
        <f>'20'!W26</f>
        <v>0</v>
      </c>
    </row>
    <row r="37" spans="1:84" ht="15.75" customHeight="1">
      <c r="A37" s="173">
        <v>45464</v>
      </c>
      <c r="B37" s="68">
        <f>'21'!C29</f>
        <v>0</v>
      </c>
      <c r="C37" s="68">
        <v>30</v>
      </c>
      <c r="D37" s="69">
        <f t="shared" si="117"/>
        <v>0</v>
      </c>
      <c r="E37" s="68">
        <f>'21'!C7</f>
        <v>300</v>
      </c>
      <c r="F37" s="70">
        <v>35</v>
      </c>
      <c r="G37" s="71">
        <f t="shared" si="118"/>
        <v>10500</v>
      </c>
      <c r="H37" s="72">
        <f>'21'!C8</f>
        <v>20</v>
      </c>
      <c r="I37" s="70">
        <v>8.5</v>
      </c>
      <c r="J37" s="71">
        <f t="shared" si="119"/>
        <v>170</v>
      </c>
      <c r="K37" s="72">
        <f>'21'!C15</f>
        <v>0</v>
      </c>
      <c r="L37" s="70">
        <f>L7</f>
        <v>18</v>
      </c>
      <c r="M37" s="71">
        <f t="shared" si="120"/>
        <v>0</v>
      </c>
      <c r="N37" s="70">
        <f>'21'!C9</f>
        <v>150</v>
      </c>
      <c r="O37" s="68">
        <f>O7</f>
        <v>7</v>
      </c>
      <c r="P37" s="71">
        <f t="shared" si="121"/>
        <v>1050</v>
      </c>
      <c r="Q37" s="68">
        <f>'21'!C10</f>
        <v>0</v>
      </c>
      <c r="R37" s="72">
        <v>5.5</v>
      </c>
      <c r="S37" s="71">
        <f t="shared" si="122"/>
        <v>0</v>
      </c>
      <c r="T37" s="68">
        <f>'21'!C11</f>
        <v>160</v>
      </c>
      <c r="U37" s="72">
        <v>8.5</v>
      </c>
      <c r="V37" s="71">
        <f t="shared" si="123"/>
        <v>1360</v>
      </c>
      <c r="W37" s="68">
        <f>'21'!C12</f>
        <v>60</v>
      </c>
      <c r="X37" s="72">
        <v>6</v>
      </c>
      <c r="Y37" s="71">
        <f t="shared" si="124"/>
        <v>360</v>
      </c>
      <c r="Z37" s="68">
        <f>'21'!C13</f>
        <v>50</v>
      </c>
      <c r="AA37" s="72">
        <f>AA7</f>
        <v>6</v>
      </c>
      <c r="AB37" s="71">
        <f t="shared" si="125"/>
        <v>300</v>
      </c>
      <c r="AC37" s="68">
        <f>'21'!C14</f>
        <v>40</v>
      </c>
      <c r="AD37" s="72">
        <v>8</v>
      </c>
      <c r="AE37" s="73">
        <f t="shared" si="126"/>
        <v>320</v>
      </c>
      <c r="AF37" s="72"/>
      <c r="AG37" s="72">
        <f>AG7</f>
        <v>14</v>
      </c>
      <c r="AH37" s="118">
        <f t="shared" si="127"/>
        <v>0</v>
      </c>
      <c r="AI37" s="72"/>
      <c r="AJ37" s="72">
        <f>AJ7</f>
        <v>0</v>
      </c>
      <c r="AK37" s="118">
        <f t="shared" si="128"/>
        <v>0</v>
      </c>
      <c r="AL37" s="72"/>
      <c r="AM37" s="72">
        <f>AM7</f>
        <v>0</v>
      </c>
      <c r="AN37" s="71">
        <f t="shared" si="129"/>
        <v>0</v>
      </c>
      <c r="AO37" s="76"/>
      <c r="AP37" s="68">
        <f>'21'!C17</f>
        <v>96</v>
      </c>
      <c r="AQ37" s="72">
        <f t="shared" si="130"/>
        <v>8.75</v>
      </c>
      <c r="AR37" s="71">
        <f t="shared" si="131"/>
        <v>840</v>
      </c>
      <c r="AS37" s="68">
        <f>'21'!C18</f>
        <v>192</v>
      </c>
      <c r="AT37" s="72">
        <f t="shared" si="132"/>
        <v>12.25</v>
      </c>
      <c r="AU37" s="71">
        <f t="shared" si="133"/>
        <v>2352</v>
      </c>
      <c r="AV37" s="68">
        <f>'21'!C21</f>
        <v>0</v>
      </c>
      <c r="AW37" s="70">
        <v>7.9166666666600003</v>
      </c>
      <c r="AX37" s="71">
        <f t="shared" si="134"/>
        <v>0</v>
      </c>
      <c r="AY37" s="68">
        <f>'21'!C22</f>
        <v>0</v>
      </c>
      <c r="AZ37" s="70">
        <f t="shared" si="135"/>
        <v>9.7916666666666661</v>
      </c>
      <c r="BA37" s="71">
        <f t="shared" si="136"/>
        <v>0</v>
      </c>
      <c r="BB37" s="68">
        <f>'21'!C26</f>
        <v>0</v>
      </c>
      <c r="BC37" s="68">
        <f t="shared" si="137"/>
        <v>16.333333333333332</v>
      </c>
      <c r="BD37" s="69">
        <f t="shared" si="138"/>
        <v>0</v>
      </c>
      <c r="BE37" s="68">
        <f>'21'!C27</f>
        <v>0</v>
      </c>
      <c r="BF37" s="68">
        <f t="shared" si="139"/>
        <v>11.666666666666666</v>
      </c>
      <c r="BG37" s="69">
        <f t="shared" si="140"/>
        <v>0</v>
      </c>
      <c r="BH37" s="68">
        <f>'21'!C28</f>
        <v>50</v>
      </c>
      <c r="BI37" s="70">
        <v>20</v>
      </c>
      <c r="BJ37" s="71">
        <f t="shared" si="141"/>
        <v>1000</v>
      </c>
      <c r="BK37" s="68">
        <f>'21'!C23</f>
        <v>0</v>
      </c>
      <c r="BL37" s="70">
        <f>BL7</f>
        <v>23</v>
      </c>
      <c r="BM37" s="71">
        <f t="shared" si="143"/>
        <v>0</v>
      </c>
      <c r="BN37" s="68">
        <f>'21'!C25</f>
        <v>0</v>
      </c>
      <c r="BO37" s="72">
        <f>BO7</f>
        <v>12.5</v>
      </c>
      <c r="BP37" s="71">
        <f t="shared" si="144"/>
        <v>0</v>
      </c>
      <c r="BQ37" s="68">
        <f>'21'!C24</f>
        <v>24</v>
      </c>
      <c r="BR37" s="70">
        <f t="shared" si="145"/>
        <v>12.75</v>
      </c>
      <c r="BS37" s="69">
        <f t="shared" si="146"/>
        <v>306</v>
      </c>
      <c r="BT37" s="68">
        <f>'21'!C19</f>
        <v>0</v>
      </c>
      <c r="BU37" s="70">
        <f t="shared" si="152"/>
        <v>30.416666666666668</v>
      </c>
      <c r="BV37" s="71">
        <f t="shared" si="148"/>
        <v>0</v>
      </c>
      <c r="BW37" s="70">
        <f>'21'!C20</f>
        <v>0</v>
      </c>
      <c r="BX37" s="70">
        <f>BX7</f>
        <v>15.916666666659999</v>
      </c>
      <c r="BY37" s="71">
        <f t="shared" si="149"/>
        <v>0</v>
      </c>
      <c r="BZ37" s="39"/>
      <c r="CA37" s="71">
        <f t="shared" si="150"/>
        <v>18558</v>
      </c>
      <c r="CB37" s="6"/>
      <c r="CC37" s="39"/>
      <c r="CD37" s="39">
        <f t="shared" si="151"/>
        <v>18558</v>
      </c>
      <c r="CF37" s="175">
        <f>'21'!W26</f>
        <v>75</v>
      </c>
    </row>
    <row r="38" spans="1:84" ht="15.75" customHeight="1">
      <c r="A38" s="176" t="s">
        <v>23</v>
      </c>
      <c r="B38" s="68">
        <f>SUM(B31:B37)</f>
        <v>0</v>
      </c>
      <c r="C38" s="68"/>
      <c r="D38" s="130">
        <f t="shared" ref="D38:E38" si="153">SUM(D31:D37)</f>
        <v>0</v>
      </c>
      <c r="E38" s="70">
        <f t="shared" si="153"/>
        <v>1650</v>
      </c>
      <c r="F38" s="70"/>
      <c r="G38" s="131">
        <f t="shared" ref="G38:H38" si="154">SUM(G31:G37)</f>
        <v>57750</v>
      </c>
      <c r="H38" s="72">
        <f t="shared" si="154"/>
        <v>60</v>
      </c>
      <c r="I38" s="70"/>
      <c r="J38" s="131">
        <f t="shared" ref="J38:K38" si="155">SUM(J31:J37)</f>
        <v>510</v>
      </c>
      <c r="K38" s="70">
        <f t="shared" si="155"/>
        <v>100</v>
      </c>
      <c r="L38" s="70"/>
      <c r="M38" s="131">
        <f t="shared" ref="M38:N38" si="156">SUM(M31:M37)</f>
        <v>1800</v>
      </c>
      <c r="N38" s="70">
        <f t="shared" si="156"/>
        <v>650</v>
      </c>
      <c r="O38" s="70"/>
      <c r="P38" s="131">
        <f t="shared" ref="P38:Q38" si="157">SUM(P31:P37)</f>
        <v>4550</v>
      </c>
      <c r="Q38" s="70">
        <f t="shared" si="157"/>
        <v>0</v>
      </c>
      <c r="R38" s="70"/>
      <c r="S38" s="131">
        <f t="shared" ref="S38:T38" si="158">SUM(S31:S37)</f>
        <v>0</v>
      </c>
      <c r="T38" s="70">
        <f t="shared" si="158"/>
        <v>1360</v>
      </c>
      <c r="U38" s="70"/>
      <c r="V38" s="131">
        <f t="shared" ref="V38:W38" si="159">SUM(V31:V37)</f>
        <v>11560</v>
      </c>
      <c r="W38" s="70">
        <f t="shared" si="159"/>
        <v>260</v>
      </c>
      <c r="X38" s="70"/>
      <c r="Y38" s="131">
        <f t="shared" ref="Y38:Z38" si="160">SUM(Y31:Y37)</f>
        <v>1560</v>
      </c>
      <c r="Z38" s="70">
        <f t="shared" si="160"/>
        <v>290</v>
      </c>
      <c r="AA38" s="70"/>
      <c r="AB38" s="132">
        <f t="shared" ref="AB38:AC38" si="161">SUM(AB31:AB37)</f>
        <v>1740</v>
      </c>
      <c r="AC38" s="70">
        <f t="shared" si="161"/>
        <v>40</v>
      </c>
      <c r="AD38" s="70"/>
      <c r="AE38" s="132">
        <f t="shared" ref="AE38:AF38" si="162">SUM(AE31:AE37)</f>
        <v>320</v>
      </c>
      <c r="AF38" s="70">
        <f t="shared" si="162"/>
        <v>0</v>
      </c>
      <c r="AG38" s="70"/>
      <c r="AH38" s="131">
        <f t="shared" ref="AH38:AI38" si="163">SUM(AH31:AH37)</f>
        <v>0</v>
      </c>
      <c r="AI38" s="70">
        <f t="shared" si="163"/>
        <v>0</v>
      </c>
      <c r="AJ38" s="70"/>
      <c r="AK38" s="131">
        <f t="shared" ref="AK38:AL38" si="164">SUM(AK31:AK37)</f>
        <v>0</v>
      </c>
      <c r="AL38" s="70">
        <f t="shared" si="164"/>
        <v>0</v>
      </c>
      <c r="AM38" s="70"/>
      <c r="AN38" s="131">
        <f>SUM(AN31:AN37)</f>
        <v>0</v>
      </c>
      <c r="AO38" s="76"/>
      <c r="AP38" s="68">
        <f>SUM(AP31:AP37)</f>
        <v>96</v>
      </c>
      <c r="AQ38" s="70"/>
      <c r="AR38" s="131">
        <f t="shared" ref="AR38:AS38" si="165">SUM(AR31:AR37)</f>
        <v>840</v>
      </c>
      <c r="AS38" s="70">
        <f t="shared" si="165"/>
        <v>312</v>
      </c>
      <c r="AT38" s="70"/>
      <c r="AU38" s="131">
        <f t="shared" ref="AU38:AV38" si="166">SUM(AU31:AU37)</f>
        <v>3822</v>
      </c>
      <c r="AV38" s="70">
        <f t="shared" si="166"/>
        <v>0</v>
      </c>
      <c r="AW38" s="70"/>
      <c r="AX38" s="131">
        <f t="shared" ref="AX38:AY38" si="167">SUM(AX31:AX37)</f>
        <v>0</v>
      </c>
      <c r="AY38" s="72">
        <f t="shared" si="167"/>
        <v>0</v>
      </c>
      <c r="AZ38" s="70"/>
      <c r="BA38" s="131">
        <f t="shared" ref="BA38:BB38" si="168">SUM(BA31:BA37)</f>
        <v>0</v>
      </c>
      <c r="BB38" s="70">
        <f t="shared" si="168"/>
        <v>0</v>
      </c>
      <c r="BC38" s="70"/>
      <c r="BD38" s="131">
        <f t="shared" ref="BD38:BE38" si="169">SUM(BD31:BD37)</f>
        <v>0</v>
      </c>
      <c r="BE38" s="70">
        <f t="shared" si="169"/>
        <v>0</v>
      </c>
      <c r="BF38" s="70"/>
      <c r="BG38" s="131">
        <f t="shared" ref="BG38:BH38" si="170">SUM(BG31:BG37)</f>
        <v>0</v>
      </c>
      <c r="BH38" s="70">
        <f t="shared" si="170"/>
        <v>50</v>
      </c>
      <c r="BI38" s="70"/>
      <c r="BJ38" s="131">
        <f t="shared" ref="BJ38:BK38" si="171">SUM(BJ31:BJ37)</f>
        <v>1000</v>
      </c>
      <c r="BK38" s="70">
        <f t="shared" si="171"/>
        <v>0</v>
      </c>
      <c r="BL38" s="70"/>
      <c r="BM38" s="131">
        <f t="shared" ref="BM38:BN38" si="172">SUM(BM31:BM37)</f>
        <v>0</v>
      </c>
      <c r="BN38" s="72">
        <f t="shared" si="172"/>
        <v>0</v>
      </c>
      <c r="BO38" s="70"/>
      <c r="BP38" s="131">
        <f t="shared" ref="BP38:BQ38" si="173">SUM(BP31:BP37)</f>
        <v>0</v>
      </c>
      <c r="BQ38" s="70">
        <f t="shared" si="173"/>
        <v>24</v>
      </c>
      <c r="BR38" s="70"/>
      <c r="BS38" s="131">
        <f t="shared" ref="BS38:BT38" si="174">SUM(BS31:BS37)</f>
        <v>306</v>
      </c>
      <c r="BT38" s="70">
        <f t="shared" si="174"/>
        <v>0</v>
      </c>
      <c r="BU38" s="70"/>
      <c r="BV38" s="131">
        <f t="shared" ref="BV38:BW38" si="175">SUM(BV31:BV37)</f>
        <v>0</v>
      </c>
      <c r="BW38" s="70">
        <f t="shared" si="175"/>
        <v>0</v>
      </c>
      <c r="BX38" s="70"/>
      <c r="BY38" s="131">
        <f>SUM(BY31:BY37)</f>
        <v>0</v>
      </c>
      <c r="BZ38" s="39"/>
      <c r="CA38" s="131">
        <f>SUM(CA31:CA37)</f>
        <v>85758</v>
      </c>
      <c r="CB38" s="133">
        <f>G38+J38+P38+S38+V38+Y38+AB38+AE38+AR38+AU38+AX38+BA38+BD38+BY38+BS38</f>
        <v>82958</v>
      </c>
      <c r="CC38" s="39"/>
      <c r="CD38" s="134">
        <f>SUM(CD31:CD37)</f>
        <v>85758</v>
      </c>
      <c r="CF38" s="181">
        <f>SUM(CF31:CF37)</f>
        <v>75</v>
      </c>
    </row>
    <row r="39" spans="1:84" ht="15.75" customHeight="1">
      <c r="A39" s="3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70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F39" s="39"/>
    </row>
    <row r="40" spans="1:84" ht="15.75" customHeight="1">
      <c r="A40" s="3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70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F40" s="39"/>
    </row>
    <row r="41" spans="1:84" ht="15.75" customHeight="1">
      <c r="A41" s="169" t="s">
        <v>112</v>
      </c>
      <c r="B41" s="460" t="str">
        <f>B5</f>
        <v>PREMIUM CUT</v>
      </c>
      <c r="C41" s="445"/>
      <c r="D41" s="423"/>
      <c r="E41" s="460" t="s">
        <v>30</v>
      </c>
      <c r="F41" s="445"/>
      <c r="G41" s="423"/>
      <c r="H41" s="460" t="s">
        <v>102</v>
      </c>
      <c r="I41" s="445"/>
      <c r="J41" s="423"/>
      <c r="K41" s="460" t="str">
        <f>K29</f>
        <v>Chicken Fillet</v>
      </c>
      <c r="L41" s="445"/>
      <c r="M41" s="423"/>
      <c r="N41" s="460" t="s">
        <v>53</v>
      </c>
      <c r="O41" s="445"/>
      <c r="P41" s="445"/>
      <c r="Q41" s="475" t="s">
        <v>54</v>
      </c>
      <c r="R41" s="445"/>
      <c r="S41" s="423"/>
      <c r="T41" s="460" t="s">
        <v>55</v>
      </c>
      <c r="U41" s="445"/>
      <c r="V41" s="423"/>
      <c r="W41" s="460" t="s">
        <v>56</v>
      </c>
      <c r="X41" s="445"/>
      <c r="Y41" s="423"/>
      <c r="Z41" s="460" t="s">
        <v>57</v>
      </c>
      <c r="AA41" s="445"/>
      <c r="AB41" s="445"/>
      <c r="AC41" s="460" t="s">
        <v>58</v>
      </c>
      <c r="AD41" s="445"/>
      <c r="AE41" s="445"/>
      <c r="AF41" s="460" t="s">
        <v>111</v>
      </c>
      <c r="AG41" s="445"/>
      <c r="AH41" s="423"/>
      <c r="AI41" s="460"/>
      <c r="AJ41" s="445"/>
      <c r="AK41" s="423"/>
      <c r="AL41" s="460"/>
      <c r="AM41" s="445"/>
      <c r="AN41" s="423"/>
      <c r="AO41" s="178"/>
      <c r="AP41" s="475" t="s">
        <v>103</v>
      </c>
      <c r="AQ41" s="445"/>
      <c r="AR41" s="423"/>
      <c r="AS41" s="460" t="s">
        <v>60</v>
      </c>
      <c r="AT41" s="445"/>
      <c r="AU41" s="423"/>
      <c r="AV41" s="460" t="s">
        <v>61</v>
      </c>
      <c r="AW41" s="445"/>
      <c r="AX41" s="423"/>
      <c r="AY41" s="460" t="s">
        <v>62</v>
      </c>
      <c r="AZ41" s="423"/>
      <c r="BA41" s="191"/>
      <c r="BB41" s="460" t="s">
        <v>63</v>
      </c>
      <c r="BC41" s="445"/>
      <c r="BD41" s="423"/>
      <c r="BE41" s="460" t="str">
        <f>BE29</f>
        <v>swakto</v>
      </c>
      <c r="BF41" s="445"/>
      <c r="BG41" s="423"/>
      <c r="BH41" s="460" t="str">
        <f>BH29</f>
        <v>Calamansi Juice</v>
      </c>
      <c r="BI41" s="445"/>
      <c r="BJ41" s="423"/>
      <c r="BK41" s="460" t="str">
        <f>BK29</f>
        <v>GATORADE</v>
      </c>
      <c r="BL41" s="445"/>
      <c r="BM41" s="423"/>
      <c r="BN41" s="460" t="s">
        <v>66</v>
      </c>
      <c r="BO41" s="445"/>
      <c r="BP41" s="423"/>
      <c r="BQ41" s="447" t="s">
        <v>67</v>
      </c>
      <c r="BR41" s="445"/>
      <c r="BS41" s="423"/>
      <c r="BT41" s="460" t="str">
        <f>BT29</f>
        <v>1 LITER</v>
      </c>
      <c r="BU41" s="445"/>
      <c r="BV41" s="423"/>
      <c r="BW41" s="444" t="str">
        <f>BW29</f>
        <v>1.5 L</v>
      </c>
      <c r="BX41" s="445"/>
      <c r="BY41" s="423"/>
      <c r="BZ41" s="6"/>
      <c r="CA41" s="179" t="s">
        <v>23</v>
      </c>
      <c r="CB41" s="39"/>
      <c r="CC41" s="39"/>
      <c r="CD41" s="39"/>
      <c r="CF41" s="39"/>
    </row>
    <row r="42" spans="1:84" ht="15.75" customHeight="1">
      <c r="A42" s="56" t="s">
        <v>7</v>
      </c>
      <c r="B42" s="118" t="s">
        <v>71</v>
      </c>
      <c r="C42" s="118" t="s">
        <v>72</v>
      </c>
      <c r="D42" s="118" t="s">
        <v>26</v>
      </c>
      <c r="E42" s="118" t="s">
        <v>71</v>
      </c>
      <c r="F42" s="118" t="s">
        <v>72</v>
      </c>
      <c r="G42" s="118" t="s">
        <v>26</v>
      </c>
      <c r="H42" s="138" t="s">
        <v>71</v>
      </c>
      <c r="I42" s="139" t="s">
        <v>72</v>
      </c>
      <c r="J42" s="140" t="s">
        <v>73</v>
      </c>
      <c r="K42" s="138" t="s">
        <v>71</v>
      </c>
      <c r="L42" s="139" t="s">
        <v>72</v>
      </c>
      <c r="M42" s="140" t="s">
        <v>73</v>
      </c>
      <c r="N42" s="118" t="s">
        <v>71</v>
      </c>
      <c r="O42" s="118" t="s">
        <v>72</v>
      </c>
      <c r="P42" s="118" t="s">
        <v>26</v>
      </c>
      <c r="Q42" s="138" t="s">
        <v>71</v>
      </c>
      <c r="R42" s="139" t="s">
        <v>72</v>
      </c>
      <c r="S42" s="140" t="s">
        <v>73</v>
      </c>
      <c r="T42" s="138" t="s">
        <v>71</v>
      </c>
      <c r="U42" s="139" t="s">
        <v>72</v>
      </c>
      <c r="V42" s="141" t="s">
        <v>73</v>
      </c>
      <c r="W42" s="138" t="s">
        <v>71</v>
      </c>
      <c r="X42" s="139" t="s">
        <v>72</v>
      </c>
      <c r="Y42" s="141" t="s">
        <v>73</v>
      </c>
      <c r="Z42" s="138" t="s">
        <v>71</v>
      </c>
      <c r="AA42" s="139" t="s">
        <v>72</v>
      </c>
      <c r="AB42" s="141" t="s">
        <v>73</v>
      </c>
      <c r="AC42" s="138" t="s">
        <v>71</v>
      </c>
      <c r="AD42" s="139" t="s">
        <v>72</v>
      </c>
      <c r="AE42" s="141" t="s">
        <v>26</v>
      </c>
      <c r="AF42" s="118" t="s">
        <v>71</v>
      </c>
      <c r="AG42" s="118" t="s">
        <v>72</v>
      </c>
      <c r="AH42" s="118" t="s">
        <v>26</v>
      </c>
      <c r="AI42" s="118" t="s">
        <v>71</v>
      </c>
      <c r="AJ42" s="118" t="s">
        <v>72</v>
      </c>
      <c r="AK42" s="118" t="s">
        <v>26</v>
      </c>
      <c r="AL42" s="118" t="s">
        <v>71</v>
      </c>
      <c r="AM42" s="118" t="s">
        <v>72</v>
      </c>
      <c r="AN42" s="118" t="s">
        <v>73</v>
      </c>
      <c r="AO42" s="136"/>
      <c r="AP42" s="145" t="s">
        <v>71</v>
      </c>
      <c r="AQ42" s="146" t="s">
        <v>72</v>
      </c>
      <c r="AR42" s="145" t="s">
        <v>73</v>
      </c>
      <c r="AS42" s="147" t="s">
        <v>71</v>
      </c>
      <c r="AT42" s="146" t="s">
        <v>72</v>
      </c>
      <c r="AU42" s="145" t="s">
        <v>73</v>
      </c>
      <c r="AV42" s="147" t="s">
        <v>71</v>
      </c>
      <c r="AW42" s="146" t="s">
        <v>72</v>
      </c>
      <c r="AX42" s="145" t="s">
        <v>73</v>
      </c>
      <c r="AY42" s="146" t="s">
        <v>71</v>
      </c>
      <c r="AZ42" s="118" t="s">
        <v>72</v>
      </c>
      <c r="BA42" s="146" t="s">
        <v>26</v>
      </c>
      <c r="BB42" s="146" t="s">
        <v>71</v>
      </c>
      <c r="BC42" s="146" t="s">
        <v>72</v>
      </c>
      <c r="BD42" s="146" t="s">
        <v>26</v>
      </c>
      <c r="BE42" s="146" t="s">
        <v>71</v>
      </c>
      <c r="BF42" s="146" t="s">
        <v>72</v>
      </c>
      <c r="BG42" s="146" t="s">
        <v>26</v>
      </c>
      <c r="BH42" s="146" t="s">
        <v>71</v>
      </c>
      <c r="BI42" s="146" t="s">
        <v>72</v>
      </c>
      <c r="BJ42" s="146" t="s">
        <v>26</v>
      </c>
      <c r="BK42" s="146" t="s">
        <v>71</v>
      </c>
      <c r="BL42" s="146" t="s">
        <v>72</v>
      </c>
      <c r="BM42" s="146" t="s">
        <v>26</v>
      </c>
      <c r="BN42" s="146" t="s">
        <v>71</v>
      </c>
      <c r="BO42" s="146" t="s">
        <v>72</v>
      </c>
      <c r="BP42" s="146" t="s">
        <v>26</v>
      </c>
      <c r="BQ42" s="146" t="s">
        <v>71</v>
      </c>
      <c r="BR42" s="146" t="s">
        <v>72</v>
      </c>
      <c r="BS42" s="146" t="s">
        <v>26</v>
      </c>
      <c r="BT42" s="146" t="s">
        <v>71</v>
      </c>
      <c r="BU42" s="146" t="s">
        <v>72</v>
      </c>
      <c r="BV42" s="146" t="s">
        <v>26</v>
      </c>
      <c r="BW42" s="118" t="s">
        <v>71</v>
      </c>
      <c r="BX42" s="118" t="s">
        <v>72</v>
      </c>
      <c r="BY42" s="118" t="s">
        <v>26</v>
      </c>
      <c r="BZ42" s="39"/>
      <c r="CA42" s="118" t="s">
        <v>26</v>
      </c>
      <c r="CB42" s="39"/>
      <c r="CC42" s="39"/>
      <c r="CD42" s="39"/>
      <c r="CF42" s="39"/>
    </row>
    <row r="43" spans="1:84" ht="15.75" customHeight="1">
      <c r="A43" s="192">
        <v>45465</v>
      </c>
      <c r="B43" s="68">
        <f>'22'!C29</f>
        <v>0</v>
      </c>
      <c r="C43" s="68">
        <v>30</v>
      </c>
      <c r="D43" s="69">
        <f t="shared" ref="D43:D52" si="176">B43*C43</f>
        <v>0</v>
      </c>
      <c r="E43" s="68">
        <f>'22'!C7</f>
        <v>150</v>
      </c>
      <c r="F43" s="70">
        <v>35</v>
      </c>
      <c r="G43" s="71">
        <f t="shared" ref="G43:G52" si="177">E43*F43</f>
        <v>5250</v>
      </c>
      <c r="H43" s="72">
        <f>'22'!C8</f>
        <v>20</v>
      </c>
      <c r="I43" s="70">
        <v>8.5</v>
      </c>
      <c r="J43" s="71">
        <f t="shared" ref="J43:J52" si="178">H43*I43</f>
        <v>170</v>
      </c>
      <c r="K43" s="72">
        <f>'22'!C15</f>
        <v>0</v>
      </c>
      <c r="L43" s="70">
        <f>L7</f>
        <v>18</v>
      </c>
      <c r="M43" s="71">
        <f t="shared" ref="M43:M52" si="179">K43*L43</f>
        <v>0</v>
      </c>
      <c r="N43" s="70">
        <f>'22'!C9</f>
        <v>100</v>
      </c>
      <c r="O43" s="70">
        <f>O7</f>
        <v>7</v>
      </c>
      <c r="P43" s="71">
        <f t="shared" ref="P43:P52" si="180">N43*O43</f>
        <v>700</v>
      </c>
      <c r="Q43" s="68">
        <f>'22'!C10</f>
        <v>0</v>
      </c>
      <c r="R43" s="72">
        <v>5.5</v>
      </c>
      <c r="S43" s="71">
        <f t="shared" ref="S43:S52" si="181">Q43*R43</f>
        <v>0</v>
      </c>
      <c r="T43" s="68">
        <f>'22'!C11</f>
        <v>180</v>
      </c>
      <c r="U43" s="72">
        <v>8.5</v>
      </c>
      <c r="V43" s="182">
        <f t="shared" ref="V43:V52" si="182">T43*U43</f>
        <v>1530</v>
      </c>
      <c r="W43" s="68">
        <f>'22'!C12</f>
        <v>0</v>
      </c>
      <c r="X43" s="72">
        <f>X37</f>
        <v>6</v>
      </c>
      <c r="Y43" s="71">
        <f t="shared" ref="Y43:Y52" si="183">W43*X43</f>
        <v>0</v>
      </c>
      <c r="Z43" s="68">
        <f>'22'!C13</f>
        <v>40</v>
      </c>
      <c r="AA43" s="72">
        <f>AA7</f>
        <v>6</v>
      </c>
      <c r="AB43" s="71">
        <f t="shared" ref="AB43:AB52" si="184">Z43*AA43</f>
        <v>240</v>
      </c>
      <c r="AC43" s="68">
        <f>'22'!C14</f>
        <v>0</v>
      </c>
      <c r="AD43" s="72">
        <f t="shared" ref="AD43:AD52" si="185">1280/160</f>
        <v>8</v>
      </c>
      <c r="AE43" s="73">
        <f t="shared" ref="AE43:AE52" si="186">AC43*AD43</f>
        <v>0</v>
      </c>
      <c r="AF43" s="72"/>
      <c r="AG43" s="72">
        <f>AG7</f>
        <v>14</v>
      </c>
      <c r="AH43" s="118">
        <f t="shared" ref="AH43:AH52" si="187">AF43*AG43</f>
        <v>0</v>
      </c>
      <c r="AI43" s="72"/>
      <c r="AJ43" s="72">
        <f>AJ7</f>
        <v>0</v>
      </c>
      <c r="AK43" s="118">
        <f t="shared" ref="AK43:AK52" si="188">AI43*AJ43</f>
        <v>0</v>
      </c>
      <c r="AL43" s="72"/>
      <c r="AM43" s="72">
        <f>AM7</f>
        <v>0</v>
      </c>
      <c r="AN43" s="71">
        <f t="shared" ref="AN43:AN52" si="189">AL43*AM43</f>
        <v>0</v>
      </c>
      <c r="AO43" s="76"/>
      <c r="AP43" s="68">
        <f>'22'!C17</f>
        <v>0</v>
      </c>
      <c r="AQ43" s="72">
        <f t="shared" ref="AQ43:AQ52" si="190">2310/264</f>
        <v>8.75</v>
      </c>
      <c r="AR43" s="71">
        <f t="shared" ref="AR43:AR52" si="191">AP43*AQ43</f>
        <v>0</v>
      </c>
      <c r="AS43" s="68">
        <f>'22'!C18</f>
        <v>0</v>
      </c>
      <c r="AT43" s="72">
        <f t="shared" ref="AT43:AT52" si="192">1764/144</f>
        <v>12.25</v>
      </c>
      <c r="AU43" s="71">
        <f t="shared" ref="AU43:AU52" si="193">AS43*AT43</f>
        <v>0</v>
      </c>
      <c r="AV43" s="68">
        <f>'22'!C21</f>
        <v>0</v>
      </c>
      <c r="AW43" s="70">
        <f t="shared" ref="AW43:AW52" si="194">187/24</f>
        <v>7.791666666666667</v>
      </c>
      <c r="AX43" s="71">
        <f t="shared" ref="AX43:AX52" si="195">AV43*AW43</f>
        <v>0</v>
      </c>
      <c r="AY43" s="68">
        <f>'22'!C22</f>
        <v>72</v>
      </c>
      <c r="AZ43" s="70">
        <f t="shared" ref="AZ43:AZ52" si="196">1175/120</f>
        <v>9.7916666666666661</v>
      </c>
      <c r="BA43" s="71">
        <f t="shared" ref="BA43:BA52" si="197">AY43*AZ43</f>
        <v>705</v>
      </c>
      <c r="BB43" s="68">
        <f>'22'!C26</f>
        <v>0</v>
      </c>
      <c r="BC43" s="68">
        <f t="shared" ref="BC43:BC52" si="198">1960/120</f>
        <v>16.333333333333332</v>
      </c>
      <c r="BD43" s="69">
        <f t="shared" ref="BD43:BD52" si="199">BB43*BC43</f>
        <v>0</v>
      </c>
      <c r="BE43" s="68">
        <f>'22'!C27</f>
        <v>0</v>
      </c>
      <c r="BF43" s="68">
        <f t="shared" ref="BF43:BF52" si="200">1704/144</f>
        <v>11.833333333333334</v>
      </c>
      <c r="BG43" s="69">
        <f t="shared" ref="BG43:BG52" si="201">BE43*BF43</f>
        <v>0</v>
      </c>
      <c r="BH43" s="68">
        <f>'22'!C28</f>
        <v>0</v>
      </c>
      <c r="BI43" s="70">
        <v>20</v>
      </c>
      <c r="BJ43" s="71">
        <f t="shared" ref="BJ43:BJ52" si="202">BH43*BI43</f>
        <v>0</v>
      </c>
      <c r="BK43" s="68">
        <f>'22'!C23</f>
        <v>0</v>
      </c>
      <c r="BL43" s="70">
        <f>BL7</f>
        <v>23</v>
      </c>
      <c r="BM43" s="71">
        <f t="shared" ref="BM43:BM52" si="203">BK43*BL43</f>
        <v>0</v>
      </c>
      <c r="BN43" s="68">
        <f>'22'!C25</f>
        <v>0</v>
      </c>
      <c r="BO43" s="72">
        <f>BO7</f>
        <v>12.5</v>
      </c>
      <c r="BP43" s="71">
        <f t="shared" ref="BP43:BP52" si="204">BN43*BO43</f>
        <v>0</v>
      </c>
      <c r="BQ43" s="68">
        <f>'22'!C24</f>
        <v>0</v>
      </c>
      <c r="BR43" s="70">
        <f t="shared" ref="BR43:BR52" si="205">306/24</f>
        <v>12.75</v>
      </c>
      <c r="BS43" s="69">
        <f t="shared" ref="BS43:BS52" si="206">BQ43*BR43</f>
        <v>0</v>
      </c>
      <c r="BT43" s="68">
        <f>'22'!C19</f>
        <v>0</v>
      </c>
      <c r="BU43" s="70">
        <f t="shared" ref="BU43:BU45" si="207">365/12</f>
        <v>30.416666666666668</v>
      </c>
      <c r="BV43" s="71">
        <f t="shared" ref="BV43:BV52" si="208">BT43*BU43</f>
        <v>0</v>
      </c>
      <c r="BW43" s="70">
        <f>'22'!C20</f>
        <v>0</v>
      </c>
      <c r="BX43" s="70">
        <f>BX7</f>
        <v>15.916666666659999</v>
      </c>
      <c r="BY43" s="71">
        <f t="shared" ref="BY43:BY52" si="209">BW43*BX43</f>
        <v>0</v>
      </c>
      <c r="BZ43" s="39">
        <f t="shared" ref="BZ43:BZ52" si="210">BY43+BJ43+BG43+BD43+BA43+AX43+AU43+AR43</f>
        <v>705</v>
      </c>
      <c r="CA43" s="71">
        <f t="shared" ref="CA43:CA52" si="211">D43+G43+J43+M43+P43+S43+V43+Y43+AB43+AE43+AH43+AK43+AN43+AR43+AU43+AX43+BA43+BD43+BG43+BJ43+BM43+BP43+BS43+BV43+BY43</f>
        <v>8595</v>
      </c>
      <c r="CB43" s="39"/>
      <c r="CC43" s="39"/>
      <c r="CD43" s="39">
        <f t="shared" ref="CD43:CD52" si="212">CA43-CC43</f>
        <v>8595</v>
      </c>
      <c r="CF43" s="175">
        <f>'22'!W26</f>
        <v>0</v>
      </c>
    </row>
    <row r="44" spans="1:84" ht="15.75" customHeight="1">
      <c r="A44" s="192">
        <v>45466</v>
      </c>
      <c r="B44" s="68">
        <f>'23'!C29</f>
        <v>0</v>
      </c>
      <c r="C44" s="68">
        <v>30</v>
      </c>
      <c r="D44" s="69">
        <f t="shared" si="176"/>
        <v>0</v>
      </c>
      <c r="E44" s="68">
        <f>'23'!C7</f>
        <v>150</v>
      </c>
      <c r="F44" s="70">
        <v>35</v>
      </c>
      <c r="G44" s="71">
        <f t="shared" si="177"/>
        <v>5250</v>
      </c>
      <c r="H44" s="72">
        <f>'23'!C8</f>
        <v>0</v>
      </c>
      <c r="I44" s="70">
        <v>8.5</v>
      </c>
      <c r="J44" s="71">
        <f t="shared" si="178"/>
        <v>0</v>
      </c>
      <c r="K44" s="72">
        <f>'23'!C15</f>
        <v>50</v>
      </c>
      <c r="L44" s="70">
        <f>L7</f>
        <v>18</v>
      </c>
      <c r="M44" s="71">
        <f t="shared" si="179"/>
        <v>900</v>
      </c>
      <c r="N44" s="70">
        <f>'23'!C9</f>
        <v>150</v>
      </c>
      <c r="O44" s="68">
        <f>O7</f>
        <v>7</v>
      </c>
      <c r="P44" s="71">
        <f t="shared" si="180"/>
        <v>1050</v>
      </c>
      <c r="Q44" s="68">
        <f>'23'!C10</f>
        <v>0</v>
      </c>
      <c r="R44" s="72">
        <v>5.5</v>
      </c>
      <c r="S44" s="71">
        <f t="shared" si="181"/>
        <v>0</v>
      </c>
      <c r="T44" s="68">
        <f>'23'!C11</f>
        <v>200</v>
      </c>
      <c r="U44" s="72">
        <v>8.5</v>
      </c>
      <c r="V44" s="71">
        <f t="shared" si="182"/>
        <v>1700</v>
      </c>
      <c r="W44" s="68">
        <f>'23'!C12</f>
        <v>40</v>
      </c>
      <c r="X44" s="72">
        <f t="shared" ref="X44:X52" si="213">X43</f>
        <v>6</v>
      </c>
      <c r="Y44" s="71">
        <f t="shared" si="183"/>
        <v>240</v>
      </c>
      <c r="Z44" s="68">
        <f>'23'!C13</f>
        <v>50</v>
      </c>
      <c r="AA44" s="72">
        <f t="shared" ref="AA44:AA50" si="214">AA7</f>
        <v>6</v>
      </c>
      <c r="AB44" s="71">
        <f t="shared" si="184"/>
        <v>300</v>
      </c>
      <c r="AC44" s="68">
        <f>'23'!C14</f>
        <v>0</v>
      </c>
      <c r="AD44" s="72">
        <f t="shared" si="185"/>
        <v>8</v>
      </c>
      <c r="AE44" s="73">
        <f t="shared" si="186"/>
        <v>0</v>
      </c>
      <c r="AF44" s="72"/>
      <c r="AG44" s="72">
        <f>AG7</f>
        <v>14</v>
      </c>
      <c r="AH44" s="118">
        <f t="shared" si="187"/>
        <v>0</v>
      </c>
      <c r="AI44" s="72"/>
      <c r="AJ44" s="72">
        <f>AJ7</f>
        <v>0</v>
      </c>
      <c r="AK44" s="118">
        <f t="shared" si="188"/>
        <v>0</v>
      </c>
      <c r="AL44" s="72"/>
      <c r="AM44" s="72">
        <f>AM7</f>
        <v>0</v>
      </c>
      <c r="AN44" s="71">
        <f t="shared" si="189"/>
        <v>0</v>
      </c>
      <c r="AO44" s="76"/>
      <c r="AP44" s="68">
        <f>'23'!C17</f>
        <v>0</v>
      </c>
      <c r="AQ44" s="72">
        <f t="shared" si="190"/>
        <v>8.75</v>
      </c>
      <c r="AR44" s="71">
        <f t="shared" si="191"/>
        <v>0</v>
      </c>
      <c r="AS44" s="68">
        <f>'23'!C18</f>
        <v>0</v>
      </c>
      <c r="AT44" s="72">
        <f t="shared" si="192"/>
        <v>12.25</v>
      </c>
      <c r="AU44" s="71">
        <f t="shared" si="193"/>
        <v>0</v>
      </c>
      <c r="AV44" s="68">
        <f>'23'!C21</f>
        <v>0</v>
      </c>
      <c r="AW44" s="70">
        <f t="shared" si="194"/>
        <v>7.791666666666667</v>
      </c>
      <c r="AX44" s="71">
        <f t="shared" si="195"/>
        <v>0</v>
      </c>
      <c r="AY44" s="68">
        <f>'23'!C22</f>
        <v>0</v>
      </c>
      <c r="AZ44" s="70">
        <f t="shared" si="196"/>
        <v>9.7916666666666661</v>
      </c>
      <c r="BA44" s="71">
        <f t="shared" si="197"/>
        <v>0</v>
      </c>
      <c r="BB44" s="68">
        <f>'23'!C26</f>
        <v>0</v>
      </c>
      <c r="BC44" s="68">
        <f t="shared" si="198"/>
        <v>16.333333333333332</v>
      </c>
      <c r="BD44" s="69">
        <f t="shared" si="199"/>
        <v>0</v>
      </c>
      <c r="BE44" s="68">
        <f>'23'!C27</f>
        <v>0</v>
      </c>
      <c r="BF44" s="68">
        <f t="shared" si="200"/>
        <v>11.833333333333334</v>
      </c>
      <c r="BG44" s="69">
        <f t="shared" si="201"/>
        <v>0</v>
      </c>
      <c r="BH44" s="68">
        <f>'23'!C28</f>
        <v>0</v>
      </c>
      <c r="BI44" s="70">
        <v>20</v>
      </c>
      <c r="BJ44" s="71">
        <f t="shared" si="202"/>
        <v>0</v>
      </c>
      <c r="BK44" s="68">
        <f>'23'!C23</f>
        <v>0</v>
      </c>
      <c r="BL44" s="70">
        <f>BL7</f>
        <v>23</v>
      </c>
      <c r="BM44" s="71">
        <f t="shared" si="203"/>
        <v>0</v>
      </c>
      <c r="BN44" s="68">
        <f>'23'!C25</f>
        <v>0</v>
      </c>
      <c r="BO44" s="72">
        <f>BO7</f>
        <v>12.5</v>
      </c>
      <c r="BP44" s="71">
        <f t="shared" si="204"/>
        <v>0</v>
      </c>
      <c r="BQ44" s="68">
        <f>'23'!C24</f>
        <v>0</v>
      </c>
      <c r="BR44" s="70">
        <f t="shared" si="205"/>
        <v>12.75</v>
      </c>
      <c r="BS44" s="69">
        <f t="shared" si="206"/>
        <v>0</v>
      </c>
      <c r="BT44" s="68">
        <f>'23'!C19</f>
        <v>0</v>
      </c>
      <c r="BU44" s="70">
        <f t="shared" si="207"/>
        <v>30.416666666666668</v>
      </c>
      <c r="BV44" s="71">
        <f t="shared" si="208"/>
        <v>0</v>
      </c>
      <c r="BW44" s="70">
        <f>'23'!C20</f>
        <v>0</v>
      </c>
      <c r="BX44" s="70">
        <f>BX7</f>
        <v>15.916666666659999</v>
      </c>
      <c r="BY44" s="71">
        <f t="shared" si="209"/>
        <v>0</v>
      </c>
      <c r="BZ44" s="39">
        <f t="shared" si="210"/>
        <v>0</v>
      </c>
      <c r="CA44" s="71">
        <f t="shared" si="211"/>
        <v>9440</v>
      </c>
      <c r="CB44" s="6"/>
      <c r="CC44" s="39"/>
      <c r="CD44" s="39">
        <f t="shared" si="212"/>
        <v>9440</v>
      </c>
      <c r="CF44" s="175">
        <f>'23'!W26</f>
        <v>0</v>
      </c>
    </row>
    <row r="45" spans="1:84" ht="15.75" customHeight="1">
      <c r="A45" s="192">
        <v>45467</v>
      </c>
      <c r="B45" s="68">
        <f>'24'!C29</f>
        <v>0</v>
      </c>
      <c r="C45" s="68">
        <v>30</v>
      </c>
      <c r="D45" s="69">
        <f t="shared" si="176"/>
        <v>0</v>
      </c>
      <c r="E45" s="68">
        <f>'24'!C7</f>
        <v>150</v>
      </c>
      <c r="F45" s="70">
        <v>35</v>
      </c>
      <c r="G45" s="71">
        <f t="shared" si="177"/>
        <v>5250</v>
      </c>
      <c r="H45" s="72">
        <f>'24'!C8</f>
        <v>0</v>
      </c>
      <c r="I45" s="70">
        <v>8.5</v>
      </c>
      <c r="J45" s="71">
        <f t="shared" si="178"/>
        <v>0</v>
      </c>
      <c r="K45" s="72">
        <f>'24'!C15</f>
        <v>0</v>
      </c>
      <c r="L45" s="70">
        <f>L7</f>
        <v>18</v>
      </c>
      <c r="M45" s="71">
        <f t="shared" si="179"/>
        <v>0</v>
      </c>
      <c r="N45" s="70">
        <f>'24'!C9</f>
        <v>50</v>
      </c>
      <c r="O45" s="68">
        <f>O7</f>
        <v>7</v>
      </c>
      <c r="P45" s="71">
        <f t="shared" si="180"/>
        <v>350</v>
      </c>
      <c r="Q45" s="68">
        <f>'24'!C10</f>
        <v>0</v>
      </c>
      <c r="R45" s="72">
        <v>5.5</v>
      </c>
      <c r="S45" s="71">
        <f t="shared" si="181"/>
        <v>0</v>
      </c>
      <c r="T45" s="68">
        <f>'24'!C11</f>
        <v>200</v>
      </c>
      <c r="U45" s="72">
        <v>8.5</v>
      </c>
      <c r="V45" s="71">
        <f t="shared" si="182"/>
        <v>1700</v>
      </c>
      <c r="W45" s="68">
        <f>'24'!C12</f>
        <v>20</v>
      </c>
      <c r="X45" s="72">
        <f t="shared" si="213"/>
        <v>6</v>
      </c>
      <c r="Y45" s="71">
        <f t="shared" si="183"/>
        <v>120</v>
      </c>
      <c r="Z45" s="68">
        <f>'24'!C13</f>
        <v>0</v>
      </c>
      <c r="AA45" s="72">
        <f t="shared" si="214"/>
        <v>6</v>
      </c>
      <c r="AB45" s="71">
        <f t="shared" si="184"/>
        <v>0</v>
      </c>
      <c r="AC45" s="68">
        <f>'24'!C14</f>
        <v>0</v>
      </c>
      <c r="AD45" s="72">
        <f t="shared" si="185"/>
        <v>8</v>
      </c>
      <c r="AE45" s="73">
        <f t="shared" si="186"/>
        <v>0</v>
      </c>
      <c r="AF45" s="72"/>
      <c r="AG45" s="72">
        <f>AG7</f>
        <v>14</v>
      </c>
      <c r="AH45" s="118">
        <f t="shared" si="187"/>
        <v>0</v>
      </c>
      <c r="AI45" s="72"/>
      <c r="AJ45" s="72">
        <f>AJ7</f>
        <v>0</v>
      </c>
      <c r="AK45" s="118">
        <f t="shared" si="188"/>
        <v>0</v>
      </c>
      <c r="AL45" s="72"/>
      <c r="AM45" s="72">
        <f>AM7</f>
        <v>0</v>
      </c>
      <c r="AN45" s="71">
        <f t="shared" si="189"/>
        <v>0</v>
      </c>
      <c r="AO45" s="76"/>
      <c r="AP45" s="68">
        <f>'24'!C17</f>
        <v>48</v>
      </c>
      <c r="AQ45" s="72">
        <f t="shared" si="190"/>
        <v>8.75</v>
      </c>
      <c r="AR45" s="71">
        <f t="shared" si="191"/>
        <v>420</v>
      </c>
      <c r="AS45" s="68">
        <f>'24'!C18</f>
        <v>120</v>
      </c>
      <c r="AT45" s="72">
        <f t="shared" si="192"/>
        <v>12.25</v>
      </c>
      <c r="AU45" s="71">
        <f t="shared" si="193"/>
        <v>1470</v>
      </c>
      <c r="AV45" s="68">
        <f>'24'!C21</f>
        <v>0</v>
      </c>
      <c r="AW45" s="70">
        <f t="shared" si="194"/>
        <v>7.791666666666667</v>
      </c>
      <c r="AX45" s="71">
        <f t="shared" si="195"/>
        <v>0</v>
      </c>
      <c r="AY45" s="68">
        <f>'24'!C22</f>
        <v>0</v>
      </c>
      <c r="AZ45" s="70">
        <f t="shared" si="196"/>
        <v>9.7916666666666661</v>
      </c>
      <c r="BA45" s="71">
        <f t="shared" si="197"/>
        <v>0</v>
      </c>
      <c r="BB45" s="68">
        <f>'24'!C26</f>
        <v>0</v>
      </c>
      <c r="BC45" s="68">
        <f t="shared" si="198"/>
        <v>16.333333333333332</v>
      </c>
      <c r="BD45" s="69">
        <f t="shared" si="199"/>
        <v>0</v>
      </c>
      <c r="BE45" s="68">
        <f>'24'!C27</f>
        <v>0</v>
      </c>
      <c r="BF45" s="68">
        <f t="shared" si="200"/>
        <v>11.833333333333334</v>
      </c>
      <c r="BG45" s="69">
        <f t="shared" si="201"/>
        <v>0</v>
      </c>
      <c r="BH45" s="68">
        <f>'24'!C28</f>
        <v>0</v>
      </c>
      <c r="BI45" s="70">
        <v>20</v>
      </c>
      <c r="BJ45" s="71">
        <f t="shared" si="202"/>
        <v>0</v>
      </c>
      <c r="BK45" s="68">
        <f>'24'!C23</f>
        <v>0</v>
      </c>
      <c r="BL45" s="70">
        <f>BL7</f>
        <v>23</v>
      </c>
      <c r="BM45" s="71">
        <f t="shared" si="203"/>
        <v>0</v>
      </c>
      <c r="BN45" s="68">
        <f>'24'!C25</f>
        <v>0</v>
      </c>
      <c r="BO45" s="72">
        <f>BO7</f>
        <v>12.5</v>
      </c>
      <c r="BP45" s="71">
        <f t="shared" si="204"/>
        <v>0</v>
      </c>
      <c r="BQ45" s="68">
        <f>'24'!C24</f>
        <v>0</v>
      </c>
      <c r="BR45" s="70">
        <f t="shared" si="205"/>
        <v>12.75</v>
      </c>
      <c r="BS45" s="69">
        <f t="shared" si="206"/>
        <v>0</v>
      </c>
      <c r="BT45" s="68">
        <f>'24'!C19</f>
        <v>0</v>
      </c>
      <c r="BU45" s="70">
        <f t="shared" si="207"/>
        <v>30.416666666666668</v>
      </c>
      <c r="BV45" s="71">
        <f t="shared" si="208"/>
        <v>0</v>
      </c>
      <c r="BW45" s="70">
        <f>'24'!C20</f>
        <v>0</v>
      </c>
      <c r="BX45" s="70">
        <f>BX7</f>
        <v>15.916666666659999</v>
      </c>
      <c r="BY45" s="71">
        <f t="shared" si="209"/>
        <v>0</v>
      </c>
      <c r="BZ45" s="39">
        <f t="shared" si="210"/>
        <v>1890</v>
      </c>
      <c r="CA45" s="71">
        <f t="shared" si="211"/>
        <v>9310</v>
      </c>
      <c r="CB45" s="6"/>
      <c r="CC45" s="39"/>
      <c r="CD45" s="39">
        <f t="shared" si="212"/>
        <v>9310</v>
      </c>
      <c r="CF45" s="175">
        <f>'24'!W26</f>
        <v>0</v>
      </c>
    </row>
    <row r="46" spans="1:84" ht="15.75" customHeight="1">
      <c r="A46" s="192">
        <v>45468</v>
      </c>
      <c r="B46" s="68">
        <f>'25'!C29</f>
        <v>0</v>
      </c>
      <c r="C46" s="68">
        <v>30</v>
      </c>
      <c r="D46" s="69">
        <f t="shared" si="176"/>
        <v>0</v>
      </c>
      <c r="E46" s="68">
        <f>'25'!C7</f>
        <v>450</v>
      </c>
      <c r="F46" s="70">
        <v>35</v>
      </c>
      <c r="G46" s="71">
        <f t="shared" si="177"/>
        <v>15750</v>
      </c>
      <c r="H46" s="72">
        <f>'25'!C8</f>
        <v>20</v>
      </c>
      <c r="I46" s="70">
        <v>8.5</v>
      </c>
      <c r="J46" s="71">
        <f t="shared" si="178"/>
        <v>170</v>
      </c>
      <c r="K46" s="72">
        <f>'25'!C15</f>
        <v>50</v>
      </c>
      <c r="L46" s="70">
        <f>L7</f>
        <v>18</v>
      </c>
      <c r="M46" s="71">
        <f t="shared" si="179"/>
        <v>900</v>
      </c>
      <c r="N46" s="70">
        <f>'25'!C9</f>
        <v>200</v>
      </c>
      <c r="O46" s="68">
        <f>O7</f>
        <v>7</v>
      </c>
      <c r="P46" s="71">
        <f t="shared" si="180"/>
        <v>1400</v>
      </c>
      <c r="Q46" s="68">
        <f>'25'!C10</f>
        <v>0</v>
      </c>
      <c r="R46" s="72">
        <v>5.5</v>
      </c>
      <c r="S46" s="71">
        <f t="shared" si="181"/>
        <v>0</v>
      </c>
      <c r="T46" s="68">
        <f>'25'!C11</f>
        <v>200</v>
      </c>
      <c r="U46" s="72">
        <v>8.5</v>
      </c>
      <c r="V46" s="71">
        <f t="shared" si="182"/>
        <v>1700</v>
      </c>
      <c r="W46" s="68">
        <f>'25'!C12</f>
        <v>60</v>
      </c>
      <c r="X46" s="72">
        <f t="shared" si="213"/>
        <v>6</v>
      </c>
      <c r="Y46" s="71">
        <f t="shared" si="183"/>
        <v>360</v>
      </c>
      <c r="Z46" s="68">
        <f>'25'!C13</f>
        <v>100</v>
      </c>
      <c r="AA46" s="72">
        <f t="shared" si="214"/>
        <v>6</v>
      </c>
      <c r="AB46" s="71">
        <f t="shared" si="184"/>
        <v>600</v>
      </c>
      <c r="AC46" s="68">
        <f>'25'!C14</f>
        <v>0</v>
      </c>
      <c r="AD46" s="72">
        <f t="shared" si="185"/>
        <v>8</v>
      </c>
      <c r="AE46" s="73">
        <f t="shared" si="186"/>
        <v>0</v>
      </c>
      <c r="AF46" s="72"/>
      <c r="AG46" s="72">
        <f>AG7</f>
        <v>14</v>
      </c>
      <c r="AH46" s="118">
        <f t="shared" si="187"/>
        <v>0</v>
      </c>
      <c r="AI46" s="72"/>
      <c r="AJ46" s="72">
        <f>AJ7</f>
        <v>0</v>
      </c>
      <c r="AK46" s="118">
        <f t="shared" si="188"/>
        <v>0</v>
      </c>
      <c r="AL46" s="72"/>
      <c r="AM46" s="72">
        <f>AM7</f>
        <v>0</v>
      </c>
      <c r="AN46" s="71">
        <f t="shared" si="189"/>
        <v>0</v>
      </c>
      <c r="AO46" s="76"/>
      <c r="AP46" s="68">
        <f>'25'!C17</f>
        <v>0</v>
      </c>
      <c r="AQ46" s="72">
        <f t="shared" si="190"/>
        <v>8.75</v>
      </c>
      <c r="AR46" s="71">
        <f t="shared" si="191"/>
        <v>0</v>
      </c>
      <c r="AS46" s="68">
        <f>'25'!C18</f>
        <v>0</v>
      </c>
      <c r="AT46" s="72">
        <f t="shared" si="192"/>
        <v>12.25</v>
      </c>
      <c r="AU46" s="71">
        <f t="shared" si="193"/>
        <v>0</v>
      </c>
      <c r="AV46" s="68">
        <f>'25'!C21</f>
        <v>0</v>
      </c>
      <c r="AW46" s="70">
        <f t="shared" si="194"/>
        <v>7.791666666666667</v>
      </c>
      <c r="AX46" s="71">
        <f t="shared" si="195"/>
        <v>0</v>
      </c>
      <c r="AY46" s="68">
        <f>'25'!C22</f>
        <v>0</v>
      </c>
      <c r="AZ46" s="70">
        <f t="shared" si="196"/>
        <v>9.7916666666666661</v>
      </c>
      <c r="BA46" s="71">
        <f t="shared" si="197"/>
        <v>0</v>
      </c>
      <c r="BB46" s="68">
        <f>'25'!C26</f>
        <v>0</v>
      </c>
      <c r="BC46" s="68">
        <f t="shared" si="198"/>
        <v>16.333333333333332</v>
      </c>
      <c r="BD46" s="69">
        <f t="shared" si="199"/>
        <v>0</v>
      </c>
      <c r="BE46" s="68">
        <f>'25'!C27</f>
        <v>0</v>
      </c>
      <c r="BF46" s="68">
        <f t="shared" si="200"/>
        <v>11.833333333333334</v>
      </c>
      <c r="BG46" s="69">
        <f t="shared" si="201"/>
        <v>0</v>
      </c>
      <c r="BH46" s="68">
        <f>'25'!C28</f>
        <v>0</v>
      </c>
      <c r="BI46" s="70">
        <v>20</v>
      </c>
      <c r="BJ46" s="71">
        <f t="shared" si="202"/>
        <v>0</v>
      </c>
      <c r="BK46" s="68">
        <f>'25'!C23</f>
        <v>0</v>
      </c>
      <c r="BL46" s="70">
        <f>BL7</f>
        <v>23</v>
      </c>
      <c r="BM46" s="71">
        <f t="shared" si="203"/>
        <v>0</v>
      </c>
      <c r="BN46" s="68">
        <f>'25'!C25</f>
        <v>0</v>
      </c>
      <c r="BO46" s="72">
        <f>BO7</f>
        <v>12.5</v>
      </c>
      <c r="BP46" s="71">
        <f t="shared" si="204"/>
        <v>0</v>
      </c>
      <c r="BQ46" s="68">
        <f>'25'!C24</f>
        <v>0</v>
      </c>
      <c r="BR46" s="70">
        <f t="shared" si="205"/>
        <v>12.75</v>
      </c>
      <c r="BS46" s="69">
        <f t="shared" si="206"/>
        <v>0</v>
      </c>
      <c r="BT46" s="68">
        <f>'25'!C19</f>
        <v>0</v>
      </c>
      <c r="BU46" s="70">
        <f t="shared" ref="BU46:BU52" si="215">363/12</f>
        <v>30.25</v>
      </c>
      <c r="BV46" s="71">
        <f t="shared" si="208"/>
        <v>0</v>
      </c>
      <c r="BW46" s="70">
        <f>'25'!C20</f>
        <v>0</v>
      </c>
      <c r="BX46" s="70">
        <f>BX7</f>
        <v>15.916666666659999</v>
      </c>
      <c r="BY46" s="71">
        <f t="shared" si="209"/>
        <v>0</v>
      </c>
      <c r="BZ46" s="39">
        <f t="shared" si="210"/>
        <v>0</v>
      </c>
      <c r="CA46" s="71">
        <f t="shared" si="211"/>
        <v>20880</v>
      </c>
      <c r="CB46" s="6"/>
      <c r="CC46" s="39"/>
      <c r="CD46" s="39">
        <f t="shared" si="212"/>
        <v>20880</v>
      </c>
      <c r="CF46" s="175">
        <f>'25'!W26</f>
        <v>0</v>
      </c>
    </row>
    <row r="47" spans="1:84" ht="15.75" customHeight="1">
      <c r="A47" s="192">
        <v>45469</v>
      </c>
      <c r="B47" s="68">
        <f>'26'!C29</f>
        <v>0</v>
      </c>
      <c r="C47" s="68">
        <v>30</v>
      </c>
      <c r="D47" s="69">
        <f t="shared" si="176"/>
        <v>0</v>
      </c>
      <c r="E47" s="68">
        <f>'26'!C7</f>
        <v>0</v>
      </c>
      <c r="F47" s="70">
        <v>35</v>
      </c>
      <c r="G47" s="71">
        <f t="shared" si="177"/>
        <v>0</v>
      </c>
      <c r="H47" s="72">
        <f>'26'!C8</f>
        <v>0</v>
      </c>
      <c r="I47" s="70">
        <v>8.5</v>
      </c>
      <c r="J47" s="71">
        <f t="shared" si="178"/>
        <v>0</v>
      </c>
      <c r="K47" s="72">
        <f>'26'!C15</f>
        <v>0</v>
      </c>
      <c r="L47" s="70">
        <f>L7</f>
        <v>18</v>
      </c>
      <c r="M47" s="71">
        <f t="shared" si="179"/>
        <v>0</v>
      </c>
      <c r="N47" s="70">
        <f>'26'!C9</f>
        <v>0</v>
      </c>
      <c r="O47" s="68">
        <f>O7</f>
        <v>7</v>
      </c>
      <c r="P47" s="71">
        <f t="shared" si="180"/>
        <v>0</v>
      </c>
      <c r="Q47" s="68">
        <f>'26'!C10</f>
        <v>0</v>
      </c>
      <c r="R47" s="72">
        <v>5.5</v>
      </c>
      <c r="S47" s="71">
        <f t="shared" si="181"/>
        <v>0</v>
      </c>
      <c r="T47" s="68">
        <f>'26'!C11</f>
        <v>200</v>
      </c>
      <c r="U47" s="72">
        <v>8.5</v>
      </c>
      <c r="V47" s="71">
        <f t="shared" si="182"/>
        <v>1700</v>
      </c>
      <c r="W47" s="68">
        <f>'26'!C12</f>
        <v>0</v>
      </c>
      <c r="X47" s="72">
        <f t="shared" si="213"/>
        <v>6</v>
      </c>
      <c r="Y47" s="71">
        <f t="shared" si="183"/>
        <v>0</v>
      </c>
      <c r="Z47" s="68">
        <f>'26'!C13</f>
        <v>0</v>
      </c>
      <c r="AA47" s="72">
        <f t="shared" si="214"/>
        <v>6</v>
      </c>
      <c r="AB47" s="71">
        <f t="shared" si="184"/>
        <v>0</v>
      </c>
      <c r="AC47" s="68">
        <f>'26'!C14</f>
        <v>0</v>
      </c>
      <c r="AD47" s="72">
        <f t="shared" si="185"/>
        <v>8</v>
      </c>
      <c r="AE47" s="73">
        <f t="shared" si="186"/>
        <v>0</v>
      </c>
      <c r="AF47" s="72"/>
      <c r="AG47" s="72">
        <f>AG7</f>
        <v>14</v>
      </c>
      <c r="AH47" s="118">
        <f t="shared" si="187"/>
        <v>0</v>
      </c>
      <c r="AI47" s="72"/>
      <c r="AJ47" s="72">
        <f>AJ7</f>
        <v>0</v>
      </c>
      <c r="AK47" s="118">
        <f t="shared" si="188"/>
        <v>0</v>
      </c>
      <c r="AL47" s="72"/>
      <c r="AM47" s="72">
        <f>AM7</f>
        <v>0</v>
      </c>
      <c r="AN47" s="71">
        <f t="shared" si="189"/>
        <v>0</v>
      </c>
      <c r="AO47" s="76"/>
      <c r="AP47" s="68">
        <f>'26'!C17</f>
        <v>0</v>
      </c>
      <c r="AQ47" s="72">
        <f t="shared" si="190"/>
        <v>8.75</v>
      </c>
      <c r="AR47" s="71">
        <f t="shared" si="191"/>
        <v>0</v>
      </c>
      <c r="AS47" s="68">
        <f>'26'!C18</f>
        <v>0</v>
      </c>
      <c r="AT47" s="72">
        <f t="shared" si="192"/>
        <v>12.25</v>
      </c>
      <c r="AU47" s="71">
        <f t="shared" si="193"/>
        <v>0</v>
      </c>
      <c r="AV47" s="68">
        <f>'26'!C21</f>
        <v>0</v>
      </c>
      <c r="AW47" s="70">
        <f t="shared" si="194"/>
        <v>7.791666666666667</v>
      </c>
      <c r="AX47" s="71">
        <f t="shared" si="195"/>
        <v>0</v>
      </c>
      <c r="AY47" s="68">
        <f>'26'!C22</f>
        <v>0</v>
      </c>
      <c r="AZ47" s="70">
        <f t="shared" si="196"/>
        <v>9.7916666666666661</v>
      </c>
      <c r="BA47" s="71">
        <f t="shared" si="197"/>
        <v>0</v>
      </c>
      <c r="BB47" s="68">
        <f>'26'!C26</f>
        <v>0</v>
      </c>
      <c r="BC47" s="68">
        <f t="shared" si="198"/>
        <v>16.333333333333332</v>
      </c>
      <c r="BD47" s="69">
        <f t="shared" si="199"/>
        <v>0</v>
      </c>
      <c r="BE47" s="68">
        <f>'26'!C27</f>
        <v>0</v>
      </c>
      <c r="BF47" s="68">
        <f t="shared" si="200"/>
        <v>11.833333333333334</v>
      </c>
      <c r="BG47" s="69">
        <f t="shared" si="201"/>
        <v>0</v>
      </c>
      <c r="BH47" s="68">
        <f>'26'!C28</f>
        <v>0</v>
      </c>
      <c r="BI47" s="70">
        <v>20</v>
      </c>
      <c r="BJ47" s="71">
        <f t="shared" si="202"/>
        <v>0</v>
      </c>
      <c r="BK47" s="68">
        <f>'26'!C23</f>
        <v>0</v>
      </c>
      <c r="BL47" s="70">
        <f>BL7</f>
        <v>23</v>
      </c>
      <c r="BM47" s="71">
        <f t="shared" si="203"/>
        <v>0</v>
      </c>
      <c r="BN47" s="68">
        <f>'26'!C25</f>
        <v>0</v>
      </c>
      <c r="BO47" s="72">
        <f>BO7</f>
        <v>12.5</v>
      </c>
      <c r="BP47" s="71">
        <f t="shared" si="204"/>
        <v>0</v>
      </c>
      <c r="BQ47" s="68">
        <f>'26'!C24</f>
        <v>0</v>
      </c>
      <c r="BR47" s="70">
        <f t="shared" si="205"/>
        <v>12.75</v>
      </c>
      <c r="BS47" s="69">
        <f t="shared" si="206"/>
        <v>0</v>
      </c>
      <c r="BT47" s="68">
        <f>'26'!C19</f>
        <v>0</v>
      </c>
      <c r="BU47" s="70">
        <f t="shared" si="215"/>
        <v>30.25</v>
      </c>
      <c r="BV47" s="71">
        <f t="shared" si="208"/>
        <v>0</v>
      </c>
      <c r="BW47" s="70">
        <f>'26'!C20</f>
        <v>0</v>
      </c>
      <c r="BX47" s="70">
        <f>BX7</f>
        <v>15.916666666659999</v>
      </c>
      <c r="BY47" s="71">
        <f t="shared" si="209"/>
        <v>0</v>
      </c>
      <c r="BZ47" s="39">
        <f t="shared" si="210"/>
        <v>0</v>
      </c>
      <c r="CA47" s="71">
        <f t="shared" si="211"/>
        <v>1700</v>
      </c>
      <c r="CB47" s="6"/>
      <c r="CC47" s="39"/>
      <c r="CD47" s="39">
        <f t="shared" si="212"/>
        <v>1700</v>
      </c>
      <c r="CF47" s="175">
        <f>'26'!W26</f>
        <v>0</v>
      </c>
    </row>
    <row r="48" spans="1:84" ht="15.75" customHeight="1">
      <c r="A48" s="192">
        <v>45470</v>
      </c>
      <c r="B48" s="68">
        <f>'27'!C29</f>
        <v>0</v>
      </c>
      <c r="C48" s="68">
        <v>30</v>
      </c>
      <c r="D48" s="69">
        <f t="shared" si="176"/>
        <v>0</v>
      </c>
      <c r="E48" s="68">
        <f>'27'!C7</f>
        <v>200</v>
      </c>
      <c r="F48" s="70">
        <v>35</v>
      </c>
      <c r="G48" s="71">
        <f t="shared" si="177"/>
        <v>7000</v>
      </c>
      <c r="H48" s="72">
        <f>'27'!C8</f>
        <v>20</v>
      </c>
      <c r="I48" s="70">
        <v>8.5</v>
      </c>
      <c r="J48" s="71">
        <f t="shared" si="178"/>
        <v>170</v>
      </c>
      <c r="K48" s="72">
        <f>'27'!C15</f>
        <v>50</v>
      </c>
      <c r="L48" s="70">
        <f>L7</f>
        <v>18</v>
      </c>
      <c r="M48" s="71">
        <f t="shared" si="179"/>
        <v>900</v>
      </c>
      <c r="N48" s="70">
        <f>'27'!C9</f>
        <v>150</v>
      </c>
      <c r="O48" s="68">
        <f>O7</f>
        <v>7</v>
      </c>
      <c r="P48" s="71">
        <f t="shared" si="180"/>
        <v>1050</v>
      </c>
      <c r="Q48" s="68">
        <f>'27'!C10</f>
        <v>0</v>
      </c>
      <c r="R48" s="72">
        <v>5.5</v>
      </c>
      <c r="S48" s="71">
        <f t="shared" si="181"/>
        <v>0</v>
      </c>
      <c r="T48" s="68">
        <f>'27'!C11</f>
        <v>200</v>
      </c>
      <c r="U48" s="72">
        <v>8.5</v>
      </c>
      <c r="V48" s="71">
        <f t="shared" si="182"/>
        <v>1700</v>
      </c>
      <c r="W48" s="68">
        <f>'27'!C12</f>
        <v>60</v>
      </c>
      <c r="X48" s="72">
        <f t="shared" si="213"/>
        <v>6</v>
      </c>
      <c r="Y48" s="71">
        <f t="shared" si="183"/>
        <v>360</v>
      </c>
      <c r="Z48" s="68">
        <f>'27'!C13</f>
        <v>50</v>
      </c>
      <c r="AA48" s="72">
        <f t="shared" si="214"/>
        <v>6</v>
      </c>
      <c r="AB48" s="71">
        <f t="shared" si="184"/>
        <v>300</v>
      </c>
      <c r="AC48" s="68">
        <f>'27'!C14</f>
        <v>40</v>
      </c>
      <c r="AD48" s="72">
        <f t="shared" si="185"/>
        <v>8</v>
      </c>
      <c r="AE48" s="73">
        <f t="shared" si="186"/>
        <v>320</v>
      </c>
      <c r="AF48" s="72"/>
      <c r="AG48" s="72">
        <f>AG7</f>
        <v>14</v>
      </c>
      <c r="AH48" s="118">
        <f t="shared" si="187"/>
        <v>0</v>
      </c>
      <c r="AI48" s="72"/>
      <c r="AJ48" s="72">
        <f>AJ7</f>
        <v>0</v>
      </c>
      <c r="AK48" s="118">
        <f t="shared" si="188"/>
        <v>0</v>
      </c>
      <c r="AL48" s="72"/>
      <c r="AM48" s="72">
        <f>AM7</f>
        <v>0</v>
      </c>
      <c r="AN48" s="71">
        <f t="shared" si="189"/>
        <v>0</v>
      </c>
      <c r="AO48" s="76"/>
      <c r="AP48" s="68">
        <f>'27'!C17</f>
        <v>0</v>
      </c>
      <c r="AQ48" s="72">
        <f t="shared" si="190"/>
        <v>8.75</v>
      </c>
      <c r="AR48" s="71">
        <f t="shared" si="191"/>
        <v>0</v>
      </c>
      <c r="AS48" s="68">
        <f>'27'!C18</f>
        <v>0</v>
      </c>
      <c r="AT48" s="72">
        <f t="shared" si="192"/>
        <v>12.25</v>
      </c>
      <c r="AU48" s="71">
        <f t="shared" si="193"/>
        <v>0</v>
      </c>
      <c r="AV48" s="68">
        <f>'27'!C21</f>
        <v>0</v>
      </c>
      <c r="AW48" s="70">
        <f t="shared" si="194"/>
        <v>7.791666666666667</v>
      </c>
      <c r="AX48" s="71">
        <f t="shared" si="195"/>
        <v>0</v>
      </c>
      <c r="AY48" s="68">
        <f>'27'!C22</f>
        <v>0</v>
      </c>
      <c r="AZ48" s="70">
        <f t="shared" si="196"/>
        <v>9.7916666666666661</v>
      </c>
      <c r="BA48" s="71">
        <f t="shared" si="197"/>
        <v>0</v>
      </c>
      <c r="BB48" s="68">
        <f>'27'!C26</f>
        <v>0</v>
      </c>
      <c r="BC48" s="68">
        <f t="shared" si="198"/>
        <v>16.333333333333332</v>
      </c>
      <c r="BD48" s="69">
        <f t="shared" si="199"/>
        <v>0</v>
      </c>
      <c r="BE48" s="68">
        <f>'27'!C27</f>
        <v>0</v>
      </c>
      <c r="BF48" s="68">
        <f t="shared" si="200"/>
        <v>11.833333333333334</v>
      </c>
      <c r="BG48" s="69">
        <f t="shared" si="201"/>
        <v>0</v>
      </c>
      <c r="BH48" s="68">
        <f>'27'!C28</f>
        <v>0</v>
      </c>
      <c r="BI48" s="70">
        <v>20</v>
      </c>
      <c r="BJ48" s="71">
        <f t="shared" si="202"/>
        <v>0</v>
      </c>
      <c r="BK48" s="68">
        <f>'27'!C23</f>
        <v>0</v>
      </c>
      <c r="BL48" s="70">
        <f>BL7</f>
        <v>23</v>
      </c>
      <c r="BM48" s="71">
        <f t="shared" si="203"/>
        <v>0</v>
      </c>
      <c r="BN48" s="68">
        <f>'27'!C25</f>
        <v>0</v>
      </c>
      <c r="BO48" s="72">
        <f>BO7</f>
        <v>12.5</v>
      </c>
      <c r="BP48" s="71">
        <f t="shared" si="204"/>
        <v>0</v>
      </c>
      <c r="BQ48" s="68">
        <f>'27'!C24</f>
        <v>0</v>
      </c>
      <c r="BR48" s="70">
        <f t="shared" si="205"/>
        <v>12.75</v>
      </c>
      <c r="BS48" s="69">
        <f t="shared" si="206"/>
        <v>0</v>
      </c>
      <c r="BT48" s="68">
        <f>'27'!C19</f>
        <v>0</v>
      </c>
      <c r="BU48" s="70">
        <f t="shared" si="215"/>
        <v>30.25</v>
      </c>
      <c r="BV48" s="71">
        <f t="shared" si="208"/>
        <v>0</v>
      </c>
      <c r="BW48" s="70">
        <f>'27'!C20</f>
        <v>0</v>
      </c>
      <c r="BX48" s="70">
        <f>BX7</f>
        <v>15.916666666659999</v>
      </c>
      <c r="BY48" s="71">
        <f t="shared" si="209"/>
        <v>0</v>
      </c>
      <c r="BZ48" s="39">
        <f t="shared" si="210"/>
        <v>0</v>
      </c>
      <c r="CA48" s="71">
        <f t="shared" si="211"/>
        <v>11800</v>
      </c>
      <c r="CB48" s="6"/>
      <c r="CC48" s="39"/>
      <c r="CD48" s="39">
        <f t="shared" si="212"/>
        <v>11800</v>
      </c>
      <c r="CF48" s="175">
        <f>'27'!W26</f>
        <v>0</v>
      </c>
    </row>
    <row r="49" spans="1:106" ht="15.75" customHeight="1">
      <c r="A49" s="192">
        <v>45471</v>
      </c>
      <c r="B49" s="68">
        <f>'28'!C29</f>
        <v>0</v>
      </c>
      <c r="C49" s="68">
        <v>30</v>
      </c>
      <c r="D49" s="69">
        <f t="shared" si="176"/>
        <v>0</v>
      </c>
      <c r="E49" s="68">
        <f>'28'!C7</f>
        <v>150</v>
      </c>
      <c r="F49" s="70">
        <v>35</v>
      </c>
      <c r="G49" s="71">
        <f t="shared" si="177"/>
        <v>5250</v>
      </c>
      <c r="H49" s="72">
        <f>'28'!C8</f>
        <v>0</v>
      </c>
      <c r="I49" s="70">
        <v>8.5</v>
      </c>
      <c r="J49" s="71">
        <f t="shared" si="178"/>
        <v>0</v>
      </c>
      <c r="K49" s="72">
        <f>'28'!C15</f>
        <v>0</v>
      </c>
      <c r="L49" s="70">
        <f>L7</f>
        <v>18</v>
      </c>
      <c r="M49" s="71">
        <f t="shared" si="179"/>
        <v>0</v>
      </c>
      <c r="N49" s="70">
        <f>'28'!C9</f>
        <v>100</v>
      </c>
      <c r="O49" s="68">
        <f>O7</f>
        <v>7</v>
      </c>
      <c r="P49" s="71">
        <f t="shared" si="180"/>
        <v>700</v>
      </c>
      <c r="Q49" s="68">
        <f>'28'!C10</f>
        <v>0</v>
      </c>
      <c r="R49" s="72">
        <v>5.5</v>
      </c>
      <c r="S49" s="71">
        <f t="shared" si="181"/>
        <v>0</v>
      </c>
      <c r="T49" s="68">
        <f>'28'!C11</f>
        <v>180</v>
      </c>
      <c r="U49" s="72">
        <v>8.5</v>
      </c>
      <c r="V49" s="71">
        <f t="shared" si="182"/>
        <v>1530</v>
      </c>
      <c r="W49" s="68">
        <f>'28'!C12</f>
        <v>40</v>
      </c>
      <c r="X49" s="72">
        <f t="shared" si="213"/>
        <v>6</v>
      </c>
      <c r="Y49" s="71">
        <f t="shared" si="183"/>
        <v>240</v>
      </c>
      <c r="Z49" s="68">
        <f>'28'!C13</f>
        <v>30</v>
      </c>
      <c r="AA49" s="72">
        <f t="shared" si="214"/>
        <v>6</v>
      </c>
      <c r="AB49" s="71">
        <f t="shared" si="184"/>
        <v>180</v>
      </c>
      <c r="AC49" s="68">
        <f>'28'!C14</f>
        <v>0</v>
      </c>
      <c r="AD49" s="72">
        <f t="shared" si="185"/>
        <v>8</v>
      </c>
      <c r="AE49" s="73">
        <f t="shared" si="186"/>
        <v>0</v>
      </c>
      <c r="AF49" s="72"/>
      <c r="AG49" s="72">
        <f>AG7</f>
        <v>14</v>
      </c>
      <c r="AH49" s="118">
        <f t="shared" si="187"/>
        <v>0</v>
      </c>
      <c r="AI49" s="72"/>
      <c r="AJ49" s="72">
        <f>AJ7</f>
        <v>0</v>
      </c>
      <c r="AK49" s="118">
        <f t="shared" si="188"/>
        <v>0</v>
      </c>
      <c r="AL49" s="72"/>
      <c r="AM49" s="72">
        <f>AM7</f>
        <v>0</v>
      </c>
      <c r="AN49" s="71">
        <f t="shared" si="189"/>
        <v>0</v>
      </c>
      <c r="AO49" s="76"/>
      <c r="AP49" s="68">
        <f>'28'!C17</f>
        <v>0</v>
      </c>
      <c r="AQ49" s="72">
        <f t="shared" si="190"/>
        <v>8.75</v>
      </c>
      <c r="AR49" s="71">
        <f t="shared" si="191"/>
        <v>0</v>
      </c>
      <c r="AS49" s="68">
        <f>'28'!C18</f>
        <v>240</v>
      </c>
      <c r="AT49" s="72">
        <f t="shared" si="192"/>
        <v>12.25</v>
      </c>
      <c r="AU49" s="71">
        <f t="shared" si="193"/>
        <v>2940</v>
      </c>
      <c r="AV49" s="68">
        <f>'28'!C21</f>
        <v>0</v>
      </c>
      <c r="AW49" s="70">
        <f t="shared" si="194"/>
        <v>7.791666666666667</v>
      </c>
      <c r="AX49" s="71">
        <f t="shared" si="195"/>
        <v>0</v>
      </c>
      <c r="AY49" s="68">
        <f>'28'!C22</f>
        <v>0</v>
      </c>
      <c r="AZ49" s="70">
        <f t="shared" si="196"/>
        <v>9.7916666666666661</v>
      </c>
      <c r="BA49" s="71">
        <f t="shared" si="197"/>
        <v>0</v>
      </c>
      <c r="BB49" s="68">
        <f>'28'!C26</f>
        <v>0</v>
      </c>
      <c r="BC49" s="68">
        <f t="shared" si="198"/>
        <v>16.333333333333332</v>
      </c>
      <c r="BD49" s="69">
        <f t="shared" si="199"/>
        <v>0</v>
      </c>
      <c r="BE49" s="68">
        <f>'28'!C27</f>
        <v>0</v>
      </c>
      <c r="BF49" s="68">
        <f t="shared" si="200"/>
        <v>11.833333333333334</v>
      </c>
      <c r="BG49" s="69">
        <f t="shared" si="201"/>
        <v>0</v>
      </c>
      <c r="BH49" s="68">
        <f>'28'!C28</f>
        <v>0</v>
      </c>
      <c r="BI49" s="70">
        <v>20</v>
      </c>
      <c r="BJ49" s="71">
        <f t="shared" si="202"/>
        <v>0</v>
      </c>
      <c r="BK49" s="68">
        <f>'28'!C23</f>
        <v>0</v>
      </c>
      <c r="BL49" s="70">
        <f>BL7</f>
        <v>23</v>
      </c>
      <c r="BM49" s="71">
        <f t="shared" si="203"/>
        <v>0</v>
      </c>
      <c r="BN49" s="68">
        <f>'28'!C25</f>
        <v>0</v>
      </c>
      <c r="BO49" s="72">
        <f>BO7</f>
        <v>12.5</v>
      </c>
      <c r="BP49" s="71">
        <f t="shared" si="204"/>
        <v>0</v>
      </c>
      <c r="BQ49" s="68">
        <f>'28'!C24</f>
        <v>0</v>
      </c>
      <c r="BR49" s="70">
        <f t="shared" si="205"/>
        <v>12.75</v>
      </c>
      <c r="BS49" s="69">
        <f t="shared" si="206"/>
        <v>0</v>
      </c>
      <c r="BT49" s="68">
        <f>'28'!C19</f>
        <v>0</v>
      </c>
      <c r="BU49" s="70">
        <f t="shared" si="215"/>
        <v>30.25</v>
      </c>
      <c r="BV49" s="71">
        <f t="shared" si="208"/>
        <v>0</v>
      </c>
      <c r="BW49" s="70">
        <f>'28'!C20</f>
        <v>0</v>
      </c>
      <c r="BX49" s="70">
        <f>BX7</f>
        <v>15.916666666659999</v>
      </c>
      <c r="BY49" s="71">
        <f t="shared" si="209"/>
        <v>0</v>
      </c>
      <c r="BZ49" s="39">
        <f t="shared" si="210"/>
        <v>2940</v>
      </c>
      <c r="CA49" s="71">
        <f t="shared" si="211"/>
        <v>10840</v>
      </c>
      <c r="CB49" s="6"/>
      <c r="CC49" s="39"/>
      <c r="CD49" s="39">
        <f t="shared" si="212"/>
        <v>10840</v>
      </c>
      <c r="CF49" s="175">
        <f>'28'!W26</f>
        <v>0</v>
      </c>
    </row>
    <row r="50" spans="1:106" ht="15.75" customHeight="1">
      <c r="A50" s="192">
        <v>45472</v>
      </c>
      <c r="B50" s="68">
        <f>'29'!C29</f>
        <v>0</v>
      </c>
      <c r="C50" s="68">
        <v>30</v>
      </c>
      <c r="D50" s="69">
        <f t="shared" si="176"/>
        <v>0</v>
      </c>
      <c r="E50" s="68">
        <f>'29'!C7</f>
        <v>200</v>
      </c>
      <c r="F50" s="70">
        <v>35</v>
      </c>
      <c r="G50" s="71">
        <f t="shared" si="177"/>
        <v>7000</v>
      </c>
      <c r="H50" s="72">
        <f>'29'!C8</f>
        <v>20</v>
      </c>
      <c r="I50" s="70">
        <v>8.5</v>
      </c>
      <c r="J50" s="71">
        <f t="shared" si="178"/>
        <v>170</v>
      </c>
      <c r="K50" s="72">
        <f>'29'!C15</f>
        <v>0</v>
      </c>
      <c r="L50" s="70">
        <f>L7</f>
        <v>18</v>
      </c>
      <c r="M50" s="71">
        <f t="shared" si="179"/>
        <v>0</v>
      </c>
      <c r="N50" s="70">
        <f>'29'!C9</f>
        <v>50</v>
      </c>
      <c r="O50" s="68">
        <f>O7</f>
        <v>7</v>
      </c>
      <c r="P50" s="71">
        <f t="shared" si="180"/>
        <v>350</v>
      </c>
      <c r="Q50" s="68">
        <f>'29'!C10</f>
        <v>0</v>
      </c>
      <c r="R50" s="72">
        <v>5.5</v>
      </c>
      <c r="S50" s="71">
        <f t="shared" si="181"/>
        <v>0</v>
      </c>
      <c r="T50" s="68">
        <f>'29'!C11</f>
        <v>190</v>
      </c>
      <c r="U50" s="72">
        <v>8.5</v>
      </c>
      <c r="V50" s="71">
        <f t="shared" si="182"/>
        <v>1615</v>
      </c>
      <c r="W50" s="68">
        <f>'29'!C12</f>
        <v>0</v>
      </c>
      <c r="X50" s="72">
        <f t="shared" si="213"/>
        <v>6</v>
      </c>
      <c r="Y50" s="71">
        <f t="shared" si="183"/>
        <v>0</v>
      </c>
      <c r="Z50" s="68">
        <f>'29'!C13</f>
        <v>50</v>
      </c>
      <c r="AA50" s="72">
        <f t="shared" si="214"/>
        <v>6</v>
      </c>
      <c r="AB50" s="71">
        <f t="shared" si="184"/>
        <v>300</v>
      </c>
      <c r="AC50" s="68">
        <f>'29'!C14</f>
        <v>0</v>
      </c>
      <c r="AD50" s="72">
        <f t="shared" si="185"/>
        <v>8</v>
      </c>
      <c r="AE50" s="73">
        <f t="shared" si="186"/>
        <v>0</v>
      </c>
      <c r="AF50" s="72"/>
      <c r="AG50" s="72">
        <f>AG7</f>
        <v>14</v>
      </c>
      <c r="AH50" s="118">
        <f t="shared" si="187"/>
        <v>0</v>
      </c>
      <c r="AI50" s="72"/>
      <c r="AJ50" s="72">
        <f>AJ7</f>
        <v>0</v>
      </c>
      <c r="AK50" s="118">
        <f t="shared" si="188"/>
        <v>0</v>
      </c>
      <c r="AL50" s="72"/>
      <c r="AM50" s="72">
        <f>AM7</f>
        <v>0</v>
      </c>
      <c r="AN50" s="71">
        <f t="shared" si="189"/>
        <v>0</v>
      </c>
      <c r="AO50" s="76"/>
      <c r="AP50" s="68">
        <f>'29'!C17</f>
        <v>0</v>
      </c>
      <c r="AQ50" s="72">
        <f t="shared" si="190"/>
        <v>8.75</v>
      </c>
      <c r="AR50" s="71">
        <f t="shared" si="191"/>
        <v>0</v>
      </c>
      <c r="AS50" s="68">
        <f>'29'!C18</f>
        <v>0</v>
      </c>
      <c r="AT50" s="72">
        <f t="shared" si="192"/>
        <v>12.25</v>
      </c>
      <c r="AU50" s="71">
        <f t="shared" si="193"/>
        <v>0</v>
      </c>
      <c r="AV50" s="68">
        <f>'29'!C21</f>
        <v>0</v>
      </c>
      <c r="AW50" s="70">
        <f t="shared" si="194"/>
        <v>7.791666666666667</v>
      </c>
      <c r="AX50" s="71">
        <f t="shared" si="195"/>
        <v>0</v>
      </c>
      <c r="AY50" s="68">
        <f>'29'!C22</f>
        <v>0</v>
      </c>
      <c r="AZ50" s="70">
        <f t="shared" si="196"/>
        <v>9.7916666666666661</v>
      </c>
      <c r="BA50" s="71">
        <f t="shared" si="197"/>
        <v>0</v>
      </c>
      <c r="BB50" s="68">
        <f>'29'!C26</f>
        <v>0</v>
      </c>
      <c r="BC50" s="68">
        <f t="shared" si="198"/>
        <v>16.333333333333332</v>
      </c>
      <c r="BD50" s="69">
        <f t="shared" si="199"/>
        <v>0</v>
      </c>
      <c r="BE50" s="68">
        <f>'29'!C27</f>
        <v>0</v>
      </c>
      <c r="BF50" s="68">
        <f t="shared" si="200"/>
        <v>11.833333333333334</v>
      </c>
      <c r="BG50" s="69">
        <f t="shared" si="201"/>
        <v>0</v>
      </c>
      <c r="BH50" s="68">
        <f>'29'!C28</f>
        <v>0</v>
      </c>
      <c r="BI50" s="70">
        <v>20</v>
      </c>
      <c r="BJ50" s="71">
        <f t="shared" si="202"/>
        <v>0</v>
      </c>
      <c r="BK50" s="68">
        <f>'29'!C23</f>
        <v>0</v>
      </c>
      <c r="BL50" s="70">
        <f>BL7</f>
        <v>23</v>
      </c>
      <c r="BM50" s="71">
        <f t="shared" si="203"/>
        <v>0</v>
      </c>
      <c r="BN50" s="68">
        <f>'29'!C25</f>
        <v>0</v>
      </c>
      <c r="BO50" s="72">
        <f>BO7</f>
        <v>12.5</v>
      </c>
      <c r="BP50" s="71">
        <f t="shared" si="204"/>
        <v>0</v>
      </c>
      <c r="BQ50" s="68">
        <f>'29'!C24</f>
        <v>0</v>
      </c>
      <c r="BR50" s="70">
        <f t="shared" si="205"/>
        <v>12.75</v>
      </c>
      <c r="BS50" s="69">
        <f t="shared" si="206"/>
        <v>0</v>
      </c>
      <c r="BT50" s="68">
        <f>'29'!C19</f>
        <v>0</v>
      </c>
      <c r="BU50" s="70">
        <f t="shared" si="215"/>
        <v>30.25</v>
      </c>
      <c r="BV50" s="71">
        <f t="shared" si="208"/>
        <v>0</v>
      </c>
      <c r="BW50" s="70">
        <f>'29'!C20</f>
        <v>0</v>
      </c>
      <c r="BX50" s="70">
        <f>BX7</f>
        <v>15.916666666659999</v>
      </c>
      <c r="BY50" s="71">
        <f t="shared" si="209"/>
        <v>0</v>
      </c>
      <c r="BZ50" s="39">
        <f t="shared" si="210"/>
        <v>0</v>
      </c>
      <c r="CA50" s="71">
        <f t="shared" si="211"/>
        <v>9435</v>
      </c>
      <c r="CB50" s="6"/>
      <c r="CC50" s="39"/>
      <c r="CD50" s="39">
        <f t="shared" si="212"/>
        <v>9435</v>
      </c>
      <c r="CF50" s="175">
        <f>'29'!W26</f>
        <v>0</v>
      </c>
    </row>
    <row r="51" spans="1:106" ht="15.75" customHeight="1">
      <c r="A51" s="192">
        <v>45473</v>
      </c>
      <c r="B51" s="68">
        <f>'30'!C29</f>
        <v>0</v>
      </c>
      <c r="C51" s="68">
        <v>30</v>
      </c>
      <c r="D51" s="69">
        <f t="shared" si="176"/>
        <v>0</v>
      </c>
      <c r="E51" s="68">
        <f>'30'!C7</f>
        <v>150</v>
      </c>
      <c r="F51" s="70">
        <v>35</v>
      </c>
      <c r="G51" s="71">
        <f t="shared" si="177"/>
        <v>5250</v>
      </c>
      <c r="H51" s="72">
        <f>'30'!C8</f>
        <v>20</v>
      </c>
      <c r="I51" s="70">
        <v>8.5</v>
      </c>
      <c r="J51" s="71">
        <f t="shared" si="178"/>
        <v>170</v>
      </c>
      <c r="K51" s="72">
        <f>'30'!C15</f>
        <v>0</v>
      </c>
      <c r="L51" s="70">
        <f>L7</f>
        <v>18</v>
      </c>
      <c r="M51" s="71">
        <f t="shared" si="179"/>
        <v>0</v>
      </c>
      <c r="N51" s="70">
        <f>'30'!C9</f>
        <v>100</v>
      </c>
      <c r="O51" s="68">
        <f>O7</f>
        <v>7</v>
      </c>
      <c r="P51" s="71">
        <f t="shared" si="180"/>
        <v>700</v>
      </c>
      <c r="Q51" s="68">
        <f>'30'!C10</f>
        <v>0</v>
      </c>
      <c r="R51" s="72">
        <v>5.5</v>
      </c>
      <c r="S51" s="71">
        <f t="shared" si="181"/>
        <v>0</v>
      </c>
      <c r="T51" s="68">
        <f>'30'!C11</f>
        <v>180</v>
      </c>
      <c r="U51" s="72">
        <v>8.5</v>
      </c>
      <c r="V51" s="71">
        <f t="shared" si="182"/>
        <v>1530</v>
      </c>
      <c r="W51" s="68">
        <f>'30'!C12</f>
        <v>40</v>
      </c>
      <c r="X51" s="72">
        <f t="shared" si="213"/>
        <v>6</v>
      </c>
      <c r="Y51" s="71">
        <f t="shared" si="183"/>
        <v>240</v>
      </c>
      <c r="Z51" s="68">
        <f>'30'!C13</f>
        <v>20</v>
      </c>
      <c r="AA51" s="72">
        <v>6</v>
      </c>
      <c r="AB51" s="71">
        <f t="shared" si="184"/>
        <v>120</v>
      </c>
      <c r="AC51" s="68">
        <f>'30'!C14</f>
        <v>0</v>
      </c>
      <c r="AD51" s="72">
        <f t="shared" si="185"/>
        <v>8</v>
      </c>
      <c r="AE51" s="73">
        <f t="shared" si="186"/>
        <v>0</v>
      </c>
      <c r="AF51" s="72"/>
      <c r="AG51" s="72">
        <f>AG7</f>
        <v>14</v>
      </c>
      <c r="AH51" s="118">
        <f t="shared" si="187"/>
        <v>0</v>
      </c>
      <c r="AI51" s="72"/>
      <c r="AJ51" s="72">
        <f>AJ7</f>
        <v>0</v>
      </c>
      <c r="AK51" s="118">
        <f t="shared" si="188"/>
        <v>0</v>
      </c>
      <c r="AL51" s="72"/>
      <c r="AM51" s="72">
        <f>AM7</f>
        <v>0</v>
      </c>
      <c r="AN51" s="71">
        <f t="shared" si="189"/>
        <v>0</v>
      </c>
      <c r="AO51" s="76"/>
      <c r="AP51" s="68">
        <f>'30'!C17</f>
        <v>0</v>
      </c>
      <c r="AQ51" s="72">
        <f t="shared" si="190"/>
        <v>8.75</v>
      </c>
      <c r="AR51" s="71">
        <f t="shared" si="191"/>
        <v>0</v>
      </c>
      <c r="AS51" s="68">
        <f>'30'!C18</f>
        <v>0</v>
      </c>
      <c r="AT51" s="72">
        <f t="shared" si="192"/>
        <v>12.25</v>
      </c>
      <c r="AU51" s="71">
        <f t="shared" si="193"/>
        <v>0</v>
      </c>
      <c r="AV51" s="68">
        <f>'30'!C21</f>
        <v>0</v>
      </c>
      <c r="AW51" s="70">
        <f t="shared" si="194"/>
        <v>7.791666666666667</v>
      </c>
      <c r="AX51" s="71">
        <f t="shared" si="195"/>
        <v>0</v>
      </c>
      <c r="AY51" s="68">
        <f>'30'!C22</f>
        <v>48</v>
      </c>
      <c r="AZ51" s="70">
        <f t="shared" si="196"/>
        <v>9.7916666666666661</v>
      </c>
      <c r="BA51" s="71">
        <f t="shared" si="197"/>
        <v>470</v>
      </c>
      <c r="BB51" s="68">
        <f>'30'!C26</f>
        <v>0</v>
      </c>
      <c r="BC51" s="68">
        <f t="shared" si="198"/>
        <v>16.333333333333332</v>
      </c>
      <c r="BD51" s="69">
        <f t="shared" si="199"/>
        <v>0</v>
      </c>
      <c r="BE51" s="68">
        <f>'30'!C27</f>
        <v>0</v>
      </c>
      <c r="BF51" s="68">
        <f t="shared" si="200"/>
        <v>11.833333333333334</v>
      </c>
      <c r="BG51" s="69">
        <f t="shared" si="201"/>
        <v>0</v>
      </c>
      <c r="BH51" s="68">
        <f>'30'!C28</f>
        <v>0</v>
      </c>
      <c r="BI51" s="70">
        <v>20</v>
      </c>
      <c r="BJ51" s="71">
        <f t="shared" si="202"/>
        <v>0</v>
      </c>
      <c r="BK51" s="68">
        <f>'30'!C23</f>
        <v>0</v>
      </c>
      <c r="BL51" s="70">
        <f>BL7</f>
        <v>23</v>
      </c>
      <c r="BM51" s="71">
        <f t="shared" si="203"/>
        <v>0</v>
      </c>
      <c r="BN51" s="68">
        <f>'30'!C25</f>
        <v>0</v>
      </c>
      <c r="BO51" s="72">
        <f>BO7</f>
        <v>12.5</v>
      </c>
      <c r="BP51" s="71">
        <f t="shared" si="204"/>
        <v>0</v>
      </c>
      <c r="BQ51" s="68">
        <f>'30'!C24</f>
        <v>0</v>
      </c>
      <c r="BR51" s="70">
        <f t="shared" si="205"/>
        <v>12.75</v>
      </c>
      <c r="BS51" s="69">
        <f t="shared" si="206"/>
        <v>0</v>
      </c>
      <c r="BT51" s="68">
        <f>'30'!C19</f>
        <v>0</v>
      </c>
      <c r="BU51" s="70">
        <f t="shared" si="215"/>
        <v>30.25</v>
      </c>
      <c r="BV51" s="71">
        <f t="shared" si="208"/>
        <v>0</v>
      </c>
      <c r="BW51" s="70">
        <f>'30'!C20</f>
        <v>0</v>
      </c>
      <c r="BX51" s="70">
        <f>BX7</f>
        <v>15.916666666659999</v>
      </c>
      <c r="BY51" s="71">
        <f t="shared" si="209"/>
        <v>0</v>
      </c>
      <c r="BZ51" s="39">
        <f t="shared" si="210"/>
        <v>470</v>
      </c>
      <c r="CA51" s="71">
        <f t="shared" si="211"/>
        <v>8480</v>
      </c>
      <c r="CB51" s="6"/>
      <c r="CC51" s="39"/>
      <c r="CD51" s="39">
        <f t="shared" si="212"/>
        <v>8480</v>
      </c>
      <c r="CF51" s="175">
        <f>'30'!W26</f>
        <v>0</v>
      </c>
    </row>
    <row r="52" spans="1:106" ht="15.75" customHeight="1">
      <c r="A52" s="192">
        <v>45474</v>
      </c>
      <c r="B52" s="68">
        <f>'31'!C29</f>
        <v>0</v>
      </c>
      <c r="C52" s="68">
        <v>30</v>
      </c>
      <c r="D52" s="69">
        <f t="shared" si="176"/>
        <v>0</v>
      </c>
      <c r="E52" s="68">
        <f>'31'!C7</f>
        <v>150</v>
      </c>
      <c r="F52" s="70">
        <v>35</v>
      </c>
      <c r="G52" s="71">
        <f t="shared" si="177"/>
        <v>5250</v>
      </c>
      <c r="H52" s="72">
        <f>'31'!C8</f>
        <v>20</v>
      </c>
      <c r="I52" s="70">
        <v>8.5</v>
      </c>
      <c r="J52" s="71">
        <f t="shared" si="178"/>
        <v>170</v>
      </c>
      <c r="K52" s="72">
        <f>'31'!C15</f>
        <v>0</v>
      </c>
      <c r="L52" s="70">
        <f>L7</f>
        <v>18</v>
      </c>
      <c r="M52" s="71">
        <f t="shared" si="179"/>
        <v>0</v>
      </c>
      <c r="N52" s="70">
        <f>'31'!C9</f>
        <v>150</v>
      </c>
      <c r="O52" s="68">
        <f>O7</f>
        <v>7</v>
      </c>
      <c r="P52" s="71">
        <f t="shared" si="180"/>
        <v>1050</v>
      </c>
      <c r="Q52" s="68">
        <f>'31'!C10</f>
        <v>0</v>
      </c>
      <c r="R52" s="72">
        <v>5.5</v>
      </c>
      <c r="S52" s="71">
        <f t="shared" si="181"/>
        <v>0</v>
      </c>
      <c r="T52" s="68">
        <f>'31'!C11</f>
        <v>150</v>
      </c>
      <c r="U52" s="72">
        <v>8.5</v>
      </c>
      <c r="V52" s="71">
        <f t="shared" si="182"/>
        <v>1275</v>
      </c>
      <c r="W52" s="68">
        <f>'31'!C12</f>
        <v>40</v>
      </c>
      <c r="X52" s="72">
        <f t="shared" si="213"/>
        <v>6</v>
      </c>
      <c r="Y52" s="71">
        <f t="shared" si="183"/>
        <v>240</v>
      </c>
      <c r="Z52" s="68">
        <f>'31'!C13</f>
        <v>0</v>
      </c>
      <c r="AA52" s="72">
        <v>6</v>
      </c>
      <c r="AB52" s="71">
        <f t="shared" si="184"/>
        <v>0</v>
      </c>
      <c r="AC52" s="68">
        <f>'31'!C14</f>
        <v>0</v>
      </c>
      <c r="AD52" s="72">
        <f t="shared" si="185"/>
        <v>8</v>
      </c>
      <c r="AE52" s="73">
        <f t="shared" si="186"/>
        <v>0</v>
      </c>
      <c r="AF52" s="72"/>
      <c r="AG52" s="72">
        <f>AG7</f>
        <v>14</v>
      </c>
      <c r="AH52" s="118">
        <f t="shared" si="187"/>
        <v>0</v>
      </c>
      <c r="AI52" s="72"/>
      <c r="AJ52" s="72">
        <f>AJ7</f>
        <v>0</v>
      </c>
      <c r="AK52" s="118">
        <f t="shared" si="188"/>
        <v>0</v>
      </c>
      <c r="AL52" s="72"/>
      <c r="AM52" s="72">
        <f>AM7</f>
        <v>0</v>
      </c>
      <c r="AN52" s="71">
        <f t="shared" si="189"/>
        <v>0</v>
      </c>
      <c r="AO52" s="76"/>
      <c r="AP52" s="68">
        <f>'31'!C17</f>
        <v>96</v>
      </c>
      <c r="AQ52" s="72">
        <f t="shared" si="190"/>
        <v>8.75</v>
      </c>
      <c r="AR52" s="71">
        <f t="shared" si="191"/>
        <v>840</v>
      </c>
      <c r="AS52" s="68">
        <f>'31'!C18</f>
        <v>48</v>
      </c>
      <c r="AT52" s="72">
        <f t="shared" si="192"/>
        <v>12.25</v>
      </c>
      <c r="AU52" s="71">
        <f t="shared" si="193"/>
        <v>588</v>
      </c>
      <c r="AV52" s="68">
        <f>'31'!C21</f>
        <v>0</v>
      </c>
      <c r="AW52" s="70">
        <f t="shared" si="194"/>
        <v>7.791666666666667</v>
      </c>
      <c r="AX52" s="71">
        <f t="shared" si="195"/>
        <v>0</v>
      </c>
      <c r="AY52" s="68">
        <f>'31'!C22</f>
        <v>0</v>
      </c>
      <c r="AZ52" s="70">
        <f t="shared" si="196"/>
        <v>9.7916666666666661</v>
      </c>
      <c r="BA52" s="71">
        <f t="shared" si="197"/>
        <v>0</v>
      </c>
      <c r="BB52" s="68">
        <f>'31'!C26</f>
        <v>0</v>
      </c>
      <c r="BC52" s="68">
        <f t="shared" si="198"/>
        <v>16.333333333333332</v>
      </c>
      <c r="BD52" s="69">
        <f t="shared" si="199"/>
        <v>0</v>
      </c>
      <c r="BE52" s="68">
        <f>'31'!C27</f>
        <v>0</v>
      </c>
      <c r="BF52" s="68">
        <f t="shared" si="200"/>
        <v>11.833333333333334</v>
      </c>
      <c r="BG52" s="69">
        <f t="shared" si="201"/>
        <v>0</v>
      </c>
      <c r="BH52" s="68">
        <f>'31'!C28</f>
        <v>0</v>
      </c>
      <c r="BI52" s="70">
        <v>20</v>
      </c>
      <c r="BJ52" s="71">
        <f t="shared" si="202"/>
        <v>0</v>
      </c>
      <c r="BK52" s="68">
        <f>'31'!C23</f>
        <v>0</v>
      </c>
      <c r="BL52" s="70">
        <f>BL7</f>
        <v>23</v>
      </c>
      <c r="BM52" s="71">
        <f t="shared" si="203"/>
        <v>0</v>
      </c>
      <c r="BN52" s="68">
        <f>'31'!C25</f>
        <v>0</v>
      </c>
      <c r="BO52" s="72">
        <f>BO7</f>
        <v>12.5</v>
      </c>
      <c r="BP52" s="71">
        <f t="shared" si="204"/>
        <v>0</v>
      </c>
      <c r="BQ52" s="68">
        <f>'31'!C24</f>
        <v>24</v>
      </c>
      <c r="BR52" s="70">
        <f t="shared" si="205"/>
        <v>12.75</v>
      </c>
      <c r="BS52" s="69">
        <f t="shared" si="206"/>
        <v>306</v>
      </c>
      <c r="BT52" s="68">
        <f>'31'!C19</f>
        <v>0</v>
      </c>
      <c r="BU52" s="70">
        <f t="shared" si="215"/>
        <v>30.25</v>
      </c>
      <c r="BV52" s="71">
        <f t="shared" si="208"/>
        <v>0</v>
      </c>
      <c r="BW52" s="70">
        <f>'31'!C20</f>
        <v>0</v>
      </c>
      <c r="BX52" s="70">
        <f>BX7</f>
        <v>15.916666666659999</v>
      </c>
      <c r="BY52" s="71">
        <f t="shared" si="209"/>
        <v>0</v>
      </c>
      <c r="BZ52" s="39">
        <f t="shared" si="210"/>
        <v>1428</v>
      </c>
      <c r="CA52" s="71">
        <f t="shared" si="211"/>
        <v>9719</v>
      </c>
      <c r="CB52" s="6"/>
      <c r="CC52" s="39"/>
      <c r="CD52" s="39">
        <f t="shared" si="212"/>
        <v>9719</v>
      </c>
      <c r="CF52" s="175">
        <f>'31'!W26</f>
        <v>0</v>
      </c>
    </row>
    <row r="53" spans="1:106" ht="15.75" customHeight="1">
      <c r="A53" s="176" t="s">
        <v>23</v>
      </c>
      <c r="B53" s="68">
        <f>SUM(B43:B52)</f>
        <v>0</v>
      </c>
      <c r="C53" s="68"/>
      <c r="D53" s="130">
        <f t="shared" ref="D53:E53" si="216">SUM(D43:D52)</f>
        <v>0</v>
      </c>
      <c r="E53" s="70">
        <f t="shared" si="216"/>
        <v>1750</v>
      </c>
      <c r="F53" s="70"/>
      <c r="G53" s="131">
        <f t="shared" ref="G53:H53" si="217">SUM(G43:G52)</f>
        <v>61250</v>
      </c>
      <c r="H53" s="72">
        <f t="shared" si="217"/>
        <v>120</v>
      </c>
      <c r="I53" s="70"/>
      <c r="J53" s="131">
        <f t="shared" ref="J53:K53" si="218">SUM(J43:J52)</f>
        <v>1020</v>
      </c>
      <c r="K53" s="70">
        <f t="shared" si="218"/>
        <v>150</v>
      </c>
      <c r="L53" s="70"/>
      <c r="M53" s="131">
        <f t="shared" ref="M53:N53" si="219">SUM(M43:M52)</f>
        <v>2700</v>
      </c>
      <c r="N53" s="70">
        <f t="shared" si="219"/>
        <v>1050</v>
      </c>
      <c r="O53" s="70"/>
      <c r="P53" s="131">
        <f t="shared" ref="P53:Q53" si="220">SUM(P43:P52)</f>
        <v>7350</v>
      </c>
      <c r="Q53" s="70">
        <f t="shared" si="220"/>
        <v>0</v>
      </c>
      <c r="R53" s="70"/>
      <c r="S53" s="131">
        <f t="shared" ref="S53:T53" si="221">SUM(S43:S52)</f>
        <v>0</v>
      </c>
      <c r="T53" s="70">
        <f t="shared" si="221"/>
        <v>1880</v>
      </c>
      <c r="U53" s="72"/>
      <c r="V53" s="131">
        <f t="shared" ref="V53:W53" si="222">SUM(V43:V52)</f>
        <v>15980</v>
      </c>
      <c r="W53" s="70">
        <f t="shared" si="222"/>
        <v>300</v>
      </c>
      <c r="X53" s="70"/>
      <c r="Y53" s="131">
        <f t="shared" ref="Y53:Z53" si="223">SUM(Y43:Y52)</f>
        <v>1800</v>
      </c>
      <c r="Z53" s="70">
        <f t="shared" si="223"/>
        <v>340</v>
      </c>
      <c r="AA53" s="70"/>
      <c r="AB53" s="132">
        <f t="shared" ref="AB53:AC53" si="224">SUM(AB43:AB52)</f>
        <v>2040</v>
      </c>
      <c r="AC53" s="70">
        <f t="shared" si="224"/>
        <v>40</v>
      </c>
      <c r="AD53" s="70"/>
      <c r="AE53" s="132">
        <f t="shared" ref="AE53:AF53" si="225">SUM(AE43:AE52)</f>
        <v>320</v>
      </c>
      <c r="AF53" s="70">
        <f t="shared" si="225"/>
        <v>0</v>
      </c>
      <c r="AG53" s="70"/>
      <c r="AH53" s="131">
        <f t="shared" ref="AH53:AI53" si="226">SUM(AH43:AH52)</f>
        <v>0</v>
      </c>
      <c r="AI53" s="70">
        <f t="shared" si="226"/>
        <v>0</v>
      </c>
      <c r="AJ53" s="70"/>
      <c r="AK53" s="131">
        <f t="shared" ref="AK53:AL53" si="227">SUM(AK43:AK52)</f>
        <v>0</v>
      </c>
      <c r="AL53" s="70">
        <f t="shared" si="227"/>
        <v>0</v>
      </c>
      <c r="AM53" s="70"/>
      <c r="AN53" s="131">
        <f>SUM(AN43:AN52)</f>
        <v>0</v>
      </c>
      <c r="AO53" s="76"/>
      <c r="AP53" s="68">
        <f>SUM(AP43:AP52)</f>
        <v>144</v>
      </c>
      <c r="AQ53" s="70"/>
      <c r="AR53" s="131">
        <f t="shared" ref="AR53:AS53" si="228">SUM(AR43:AR52)</f>
        <v>1260</v>
      </c>
      <c r="AS53" s="70">
        <f t="shared" si="228"/>
        <v>408</v>
      </c>
      <c r="AT53" s="70"/>
      <c r="AU53" s="131">
        <f t="shared" ref="AU53:AV53" si="229">SUM(AU43:AU52)</f>
        <v>4998</v>
      </c>
      <c r="AV53" s="70">
        <f t="shared" si="229"/>
        <v>0</v>
      </c>
      <c r="AW53" s="70"/>
      <c r="AX53" s="131">
        <f t="shared" ref="AX53:AY53" si="230">SUM(AX43:AX52)</f>
        <v>0</v>
      </c>
      <c r="AY53" s="72">
        <f t="shared" si="230"/>
        <v>120</v>
      </c>
      <c r="AZ53" s="70"/>
      <c r="BA53" s="131">
        <f t="shared" ref="BA53:BB53" si="231">SUM(BA43:BA52)</f>
        <v>1175</v>
      </c>
      <c r="BB53" s="70">
        <f t="shared" si="231"/>
        <v>0</v>
      </c>
      <c r="BC53" s="70"/>
      <c r="BD53" s="131">
        <f t="shared" ref="BD53:BE53" si="232">SUM(BD43:BD52)</f>
        <v>0</v>
      </c>
      <c r="BE53" s="70">
        <f t="shared" si="232"/>
        <v>0</v>
      </c>
      <c r="BF53" s="70"/>
      <c r="BG53" s="131">
        <f t="shared" ref="BG53:BH53" si="233">SUM(BG43:BG52)</f>
        <v>0</v>
      </c>
      <c r="BH53" s="70">
        <f t="shared" si="233"/>
        <v>0</v>
      </c>
      <c r="BI53" s="70"/>
      <c r="BJ53" s="131">
        <f t="shared" ref="BJ53:BK53" si="234">SUM(BJ43:BJ52)</f>
        <v>0</v>
      </c>
      <c r="BK53" s="70">
        <f t="shared" si="234"/>
        <v>0</v>
      </c>
      <c r="BL53" s="70"/>
      <c r="BM53" s="131">
        <f t="shared" ref="BM53:BN53" si="235">SUM(BM43:BM52)</f>
        <v>0</v>
      </c>
      <c r="BN53" s="72">
        <f t="shared" si="235"/>
        <v>0</v>
      </c>
      <c r="BO53" s="70"/>
      <c r="BP53" s="131">
        <f t="shared" ref="BP53:BQ53" si="236">SUM(BP43:BP52)</f>
        <v>0</v>
      </c>
      <c r="BQ53" s="70">
        <f t="shared" si="236"/>
        <v>24</v>
      </c>
      <c r="BR53" s="70"/>
      <c r="BS53" s="131">
        <f t="shared" ref="BS53:BT53" si="237">SUM(BS43:BS52)</f>
        <v>306</v>
      </c>
      <c r="BT53" s="70">
        <f t="shared" si="237"/>
        <v>0</v>
      </c>
      <c r="BU53" s="70"/>
      <c r="BV53" s="131">
        <f t="shared" ref="BV53:BW53" si="238">SUM(BV43:BV52)</f>
        <v>0</v>
      </c>
      <c r="BW53" s="70">
        <f t="shared" si="238"/>
        <v>0</v>
      </c>
      <c r="BX53" s="70"/>
      <c r="BY53" s="131">
        <f>SUM(BY43:BY52)</f>
        <v>0</v>
      </c>
      <c r="BZ53" s="39"/>
      <c r="CA53" s="131">
        <f>SUM(CA43:CA52)</f>
        <v>100199</v>
      </c>
      <c r="CB53" s="78">
        <f>G53+J53+P53+S53+V53+Y53+AB53+AE53+AR53+AU53+AX53+BA53+BD53+BY53+BS53</f>
        <v>97499</v>
      </c>
      <c r="CC53" s="39"/>
      <c r="CD53" s="134">
        <f>SUM(CD43:CD52)</f>
        <v>100199</v>
      </c>
      <c r="CF53" s="181">
        <f>SUM(CF43:CF52)</f>
        <v>0</v>
      </c>
    </row>
    <row r="54" spans="1:106" ht="8.25" customHeight="1">
      <c r="A54" s="3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F54" s="39"/>
    </row>
    <row r="55" spans="1:106" ht="15.75" customHeight="1">
      <c r="A55" s="3"/>
      <c r="B55" s="197">
        <f>B14+B26+B38+B53</f>
        <v>0</v>
      </c>
      <c r="C55" s="39"/>
      <c r="D55" s="198">
        <f t="shared" ref="D55:E55" si="239">D14+D26+D38+D53</f>
        <v>0</v>
      </c>
      <c r="E55" s="197">
        <f t="shared" si="239"/>
        <v>6150</v>
      </c>
      <c r="F55" s="39"/>
      <c r="G55" s="198">
        <f t="shared" ref="G55:H55" si="240">G14+G26+G38+G53</f>
        <v>215250</v>
      </c>
      <c r="H55" s="197">
        <f t="shared" si="240"/>
        <v>340</v>
      </c>
      <c r="I55" s="39"/>
      <c r="J55" s="198">
        <f t="shared" ref="J55:K55" si="241">J14+J26+J38+J53</f>
        <v>2890</v>
      </c>
      <c r="K55" s="197">
        <f t="shared" si="241"/>
        <v>450</v>
      </c>
      <c r="L55" s="39"/>
      <c r="M55" s="198">
        <f t="shared" ref="M55:N55" si="242">M14+M26+M38+M53</f>
        <v>8100</v>
      </c>
      <c r="N55" s="197">
        <f t="shared" si="242"/>
        <v>2800</v>
      </c>
      <c r="O55" s="39"/>
      <c r="P55" s="198">
        <f t="shared" ref="P55:Q55" si="243">P14+P26+P38+P53</f>
        <v>19600</v>
      </c>
      <c r="Q55" s="197">
        <f t="shared" si="243"/>
        <v>0</v>
      </c>
      <c r="R55" s="39"/>
      <c r="S55" s="198">
        <f t="shared" ref="S55:T55" si="244">S14+S26+S38+S53</f>
        <v>0</v>
      </c>
      <c r="T55" s="197">
        <f t="shared" si="244"/>
        <v>5905</v>
      </c>
      <c r="U55" s="39"/>
      <c r="V55" s="198">
        <f t="shared" ref="V55:W55" si="245">V14+V26+V38+V53</f>
        <v>50192.5</v>
      </c>
      <c r="W55" s="197">
        <f t="shared" si="245"/>
        <v>1180</v>
      </c>
      <c r="X55" s="39"/>
      <c r="Y55" s="198">
        <f t="shared" ref="Y55:Z55" si="246">Y14+Y26+Y38+Y53</f>
        <v>7080</v>
      </c>
      <c r="Z55" s="197">
        <f t="shared" si="246"/>
        <v>1180</v>
      </c>
      <c r="AA55" s="39"/>
      <c r="AB55" s="198">
        <f t="shared" ref="AB55:AC55" si="247">AB14+AB26+AB38+AB53</f>
        <v>7080</v>
      </c>
      <c r="AC55" s="197">
        <f t="shared" si="247"/>
        <v>226</v>
      </c>
      <c r="AD55" s="39"/>
      <c r="AE55" s="198">
        <f t="shared" ref="AE55:AF55" si="248">AE14+AE26+AE38+AE53</f>
        <v>1808</v>
      </c>
      <c r="AF55" s="197">
        <f t="shared" si="248"/>
        <v>0</v>
      </c>
      <c r="AG55" s="39"/>
      <c r="AH55" s="198">
        <f t="shared" ref="AH55:AI55" si="249">AH14+AH26+AH38+AH53</f>
        <v>0</v>
      </c>
      <c r="AI55" s="197">
        <f t="shared" si="249"/>
        <v>0</v>
      </c>
      <c r="AJ55" s="39"/>
      <c r="AK55" s="198">
        <f t="shared" ref="AK55:AL55" si="250">AK14+AK26+AK38+AK53</f>
        <v>0</v>
      </c>
      <c r="AL55" s="197">
        <f t="shared" si="250"/>
        <v>0</v>
      </c>
      <c r="AM55" s="39"/>
      <c r="AN55" s="198">
        <f t="shared" ref="AN55:AP55" si="251">AN14+AN26+AN38+AN53</f>
        <v>0</v>
      </c>
      <c r="AO55" s="39">
        <f t="shared" si="251"/>
        <v>0</v>
      </c>
      <c r="AP55" s="197">
        <f t="shared" si="251"/>
        <v>432</v>
      </c>
      <c r="AQ55" s="39"/>
      <c r="AR55" s="198">
        <f t="shared" ref="AR55:AS55" si="252">AR14+AR26+AR38+AR53</f>
        <v>3780</v>
      </c>
      <c r="AS55" s="197">
        <f t="shared" si="252"/>
        <v>1248</v>
      </c>
      <c r="AT55" s="39"/>
      <c r="AU55" s="198">
        <f t="shared" ref="AU55:AV55" si="253">AU14+AU26+AU38+AU53</f>
        <v>15288</v>
      </c>
      <c r="AV55" s="197">
        <f t="shared" si="253"/>
        <v>0</v>
      </c>
      <c r="AW55" s="39"/>
      <c r="AX55" s="198">
        <f t="shared" ref="AX55:AY55" si="254">AX14+AX26+AX38+AX53</f>
        <v>0</v>
      </c>
      <c r="AY55" s="197">
        <f t="shared" si="254"/>
        <v>192</v>
      </c>
      <c r="AZ55" s="39"/>
      <c r="BA55" s="198">
        <f t="shared" ref="BA55:BB55" si="255">BA14+BA26+BA38+BA53</f>
        <v>1880</v>
      </c>
      <c r="BB55" s="197">
        <f t="shared" si="255"/>
        <v>0</v>
      </c>
      <c r="BC55" s="39"/>
      <c r="BD55" s="198">
        <f t="shared" ref="BD55:BE55" si="256">BD14+BD26+BD38+BD53</f>
        <v>0</v>
      </c>
      <c r="BE55" s="197">
        <f t="shared" si="256"/>
        <v>0</v>
      </c>
      <c r="BF55" s="39"/>
      <c r="BG55" s="198">
        <f t="shared" ref="BG55:BH55" si="257">BG14+BG26+BG38+BG53</f>
        <v>0</v>
      </c>
      <c r="BH55" s="197">
        <f t="shared" si="257"/>
        <v>50</v>
      </c>
      <c r="BI55" s="39"/>
      <c r="BJ55" s="198">
        <f t="shared" ref="BJ55:BK55" si="258">BJ14+BJ26+BJ38+BJ53</f>
        <v>1000</v>
      </c>
      <c r="BK55" s="197">
        <f t="shared" si="258"/>
        <v>0</v>
      </c>
      <c r="BL55" s="39"/>
      <c r="BM55" s="198">
        <f t="shared" ref="BM55:BN55" si="259">BM14+BM26+BM38+BM53</f>
        <v>0</v>
      </c>
      <c r="BN55" s="197">
        <f t="shared" si="259"/>
        <v>0</v>
      </c>
      <c r="BO55" s="39"/>
      <c r="BP55" s="198">
        <f t="shared" ref="BP55:BQ55" si="260">BP14+BP26+BP38+BP53</f>
        <v>0</v>
      </c>
      <c r="BQ55" s="197">
        <f t="shared" si="260"/>
        <v>96</v>
      </c>
      <c r="BR55" s="39"/>
      <c r="BS55" s="198">
        <f t="shared" ref="BS55:BT55" si="261">BS14+BS26+BS38+BS53</f>
        <v>1224</v>
      </c>
      <c r="BT55" s="197">
        <f t="shared" si="261"/>
        <v>0</v>
      </c>
      <c r="BU55" s="39"/>
      <c r="BV55" s="198">
        <f t="shared" ref="BV55:BW55" si="262">BV14+BV26+BV38+BV53</f>
        <v>0</v>
      </c>
      <c r="BW55" s="197">
        <f t="shared" si="262"/>
        <v>0</v>
      </c>
      <c r="BX55" s="39"/>
      <c r="BY55" s="198">
        <f>BY14+BY26+BY38+BY53</f>
        <v>0</v>
      </c>
      <c r="BZ55" s="39"/>
      <c r="CA55" s="198">
        <f t="shared" ref="CA55:CB55" si="263">CA14+CA26+CA38+CA53</f>
        <v>335172.5</v>
      </c>
      <c r="CB55" s="39">
        <f t="shared" si="263"/>
        <v>326072.5</v>
      </c>
      <c r="CC55" s="39"/>
      <c r="CD55" s="199">
        <f>CD14+CD26+CD38+CD53</f>
        <v>335172.5</v>
      </c>
      <c r="CF55" s="181">
        <f>CF14+CF26+CF38+CF53</f>
        <v>575</v>
      </c>
    </row>
    <row r="56" spans="1:106" ht="15.75" customHeight="1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</row>
    <row r="57" spans="1:106" ht="15.75" customHeight="1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206">
        <f>G55</f>
        <v>215250</v>
      </c>
      <c r="CG57" s="39"/>
      <c r="CH57" s="39" t="s">
        <v>120</v>
      </c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</row>
    <row r="58" spans="1:106" ht="15.75" customHeight="1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</row>
    <row r="59" spans="1:106" ht="22.5" customHeight="1">
      <c r="A59" s="213"/>
      <c r="B59" s="214"/>
      <c r="C59" s="215"/>
      <c r="D59" s="215"/>
      <c r="E59" s="214"/>
      <c r="F59" s="215"/>
      <c r="G59" s="215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</row>
    <row r="60" spans="1:106" ht="15.75" customHeight="1">
      <c r="A60" s="213"/>
      <c r="B60" s="218"/>
      <c r="C60" s="39"/>
      <c r="D60" s="39"/>
      <c r="E60" s="39"/>
      <c r="F60" s="215"/>
      <c r="G60" s="215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</row>
    <row r="61" spans="1:106" ht="15.75" customHeight="1">
      <c r="A61" s="213"/>
      <c r="B61" s="221"/>
      <c r="C61" s="39"/>
      <c r="D61" s="39"/>
      <c r="E61" s="39"/>
      <c r="F61" s="215"/>
      <c r="G61" s="215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</row>
    <row r="62" spans="1:106" ht="15.75" customHeight="1">
      <c r="A62" s="223"/>
      <c r="B62" s="221"/>
      <c r="C62" s="39"/>
      <c r="D62" s="39"/>
      <c r="E62" s="39"/>
      <c r="F62" s="215"/>
      <c r="G62" s="215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</row>
    <row r="63" spans="1:106" ht="15.75" customHeight="1">
      <c r="A63" s="223"/>
      <c r="B63" s="221"/>
      <c r="C63" s="39"/>
      <c r="D63" s="39"/>
      <c r="E63" s="39"/>
      <c r="F63" s="215"/>
      <c r="G63" s="215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</row>
    <row r="64" spans="1:106" ht="15.75" customHeight="1">
      <c r="A64" s="223"/>
      <c r="B64" s="221"/>
      <c r="C64" s="39"/>
      <c r="D64" s="39"/>
      <c r="E64" s="39"/>
      <c r="F64" s="215"/>
      <c r="G64" s="215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</row>
    <row r="65" spans="1:106" ht="15.75" customHeight="1">
      <c r="A65" s="223"/>
      <c r="B65" s="221"/>
      <c r="C65" s="39"/>
      <c r="D65" s="39"/>
      <c r="E65" s="39"/>
      <c r="F65" s="215"/>
      <c r="G65" s="215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</row>
    <row r="66" spans="1:106" ht="15.75" customHeight="1">
      <c r="A66" s="223"/>
      <c r="B66" s="225"/>
      <c r="C66" s="39"/>
      <c r="D66" s="39"/>
      <c r="E66" s="3"/>
      <c r="F66" s="215"/>
      <c r="G66" s="215"/>
      <c r="CF66" s="39"/>
    </row>
    <row r="67" spans="1:106" ht="15.75" customHeight="1">
      <c r="A67" s="223"/>
      <c r="B67" s="225"/>
      <c r="C67" s="39"/>
      <c r="D67" s="39"/>
      <c r="E67" s="3"/>
      <c r="F67" s="215"/>
      <c r="G67" s="215"/>
      <c r="CF67" s="39"/>
    </row>
    <row r="68" spans="1:106" ht="15.75" customHeight="1">
      <c r="A68" s="223"/>
      <c r="B68" s="225"/>
      <c r="C68" s="39"/>
      <c r="D68" s="39"/>
      <c r="E68" s="3"/>
      <c r="F68" s="215"/>
      <c r="G68" s="215"/>
      <c r="CF68" s="39"/>
    </row>
    <row r="69" spans="1:106" ht="15.75" customHeight="1">
      <c r="A69" s="223"/>
      <c r="B69" s="225"/>
      <c r="C69" s="39"/>
      <c r="D69" s="39"/>
      <c r="E69" s="3"/>
      <c r="F69" s="215"/>
      <c r="G69" s="215"/>
      <c r="CF69" s="39"/>
    </row>
    <row r="70" spans="1:106" ht="15.75" customHeight="1">
      <c r="A70" s="223"/>
      <c r="B70" s="225"/>
      <c r="C70" s="39"/>
      <c r="D70" s="39"/>
      <c r="E70" s="3"/>
      <c r="F70" s="215"/>
      <c r="G70" s="215"/>
      <c r="CF70" s="39"/>
    </row>
    <row r="71" spans="1:106" ht="15.75" customHeight="1">
      <c r="A71" s="223"/>
      <c r="B71" s="225"/>
      <c r="C71" s="39"/>
      <c r="D71" s="39"/>
      <c r="E71" s="3"/>
      <c r="F71" s="215"/>
      <c r="G71" s="215"/>
      <c r="CF71" s="39"/>
    </row>
    <row r="72" spans="1:106" ht="15.75" customHeight="1">
      <c r="A72" s="223"/>
      <c r="B72" s="225"/>
      <c r="C72" s="39"/>
      <c r="D72" s="39"/>
      <c r="E72" s="3"/>
      <c r="F72" s="215"/>
      <c r="G72" s="215"/>
      <c r="CF72" s="39"/>
    </row>
    <row r="73" spans="1:106" ht="15.75" customHeight="1">
      <c r="A73" s="223"/>
      <c r="B73" s="225"/>
      <c r="C73" s="39"/>
      <c r="D73" s="39"/>
      <c r="E73" s="3"/>
      <c r="F73" s="215"/>
      <c r="G73" s="215"/>
      <c r="CF73" s="39"/>
    </row>
    <row r="74" spans="1:106" ht="15.75" customHeight="1">
      <c r="A74" s="223"/>
      <c r="B74" s="225"/>
      <c r="C74" s="39"/>
      <c r="D74" s="39"/>
      <c r="E74" s="3"/>
      <c r="F74" s="215"/>
      <c r="G74" s="215"/>
      <c r="CF74" s="39"/>
    </row>
    <row r="75" spans="1:106" ht="15.75" customHeight="1">
      <c r="A75" s="223"/>
      <c r="B75" s="225"/>
      <c r="C75" s="39"/>
      <c r="D75" s="39"/>
      <c r="E75" s="3"/>
      <c r="F75" s="215"/>
      <c r="G75" s="215"/>
      <c r="CF75" s="39"/>
    </row>
    <row r="76" spans="1:106" ht="15.75" customHeight="1">
      <c r="A76" s="226"/>
      <c r="B76" s="225"/>
      <c r="C76" s="39"/>
      <c r="D76" s="39"/>
      <c r="E76" s="3"/>
      <c r="F76" s="215"/>
      <c r="G76" s="215"/>
      <c r="CF76" s="39"/>
    </row>
    <row r="77" spans="1:106" ht="15.75" customHeight="1">
      <c r="A77" s="226"/>
      <c r="B77" s="225"/>
      <c r="C77" s="39"/>
      <c r="D77" s="39"/>
      <c r="E77" s="3"/>
      <c r="F77" s="215"/>
      <c r="G77" s="215"/>
      <c r="CF77" s="39"/>
    </row>
    <row r="78" spans="1:106" ht="15.75" customHeight="1">
      <c r="A78" s="226"/>
      <c r="B78" s="225"/>
      <c r="C78" s="39"/>
      <c r="D78" s="39"/>
      <c r="E78" s="3"/>
      <c r="F78" s="215"/>
      <c r="G78" s="215"/>
      <c r="CF78" s="39"/>
    </row>
    <row r="79" spans="1:106" ht="15.75" customHeight="1">
      <c r="A79" s="226"/>
      <c r="B79" s="225"/>
      <c r="C79" s="39"/>
      <c r="D79" s="39"/>
      <c r="E79" s="3"/>
      <c r="F79" s="215"/>
      <c r="G79" s="215"/>
      <c r="CF79" s="39"/>
    </row>
    <row r="80" spans="1:106" ht="15.75" customHeight="1">
      <c r="A80" s="226"/>
      <c r="B80" s="225"/>
      <c r="C80" s="39"/>
      <c r="D80" s="39"/>
      <c r="E80" s="3"/>
      <c r="F80" s="215"/>
      <c r="G80" s="215"/>
      <c r="CF80" s="39"/>
    </row>
    <row r="81" spans="1:84" ht="15.75" customHeight="1">
      <c r="A81" s="223"/>
      <c r="B81" s="225"/>
      <c r="C81" s="39"/>
      <c r="D81" s="39"/>
      <c r="E81" s="3"/>
      <c r="F81" s="215"/>
      <c r="G81" s="215"/>
      <c r="CF81" s="39"/>
    </row>
    <row r="82" spans="1:84" ht="15.75" customHeight="1">
      <c r="A82" s="223"/>
      <c r="B82" s="225"/>
      <c r="C82" s="39"/>
      <c r="D82" s="39"/>
      <c r="E82" s="3"/>
      <c r="F82" s="215"/>
      <c r="G82" s="215"/>
      <c r="CF82" s="39"/>
    </row>
    <row r="83" spans="1:84" ht="15.75" customHeight="1">
      <c r="A83" s="223"/>
      <c r="B83" s="225"/>
      <c r="C83" s="39"/>
      <c r="D83" s="39"/>
      <c r="E83" s="3"/>
      <c r="F83" s="215"/>
      <c r="G83" s="215"/>
      <c r="CF83" s="39"/>
    </row>
    <row r="84" spans="1:84" ht="15.75" customHeight="1">
      <c r="A84" s="223"/>
      <c r="B84" s="225"/>
      <c r="C84" s="39"/>
      <c r="D84" s="39"/>
      <c r="E84" s="3"/>
      <c r="F84" s="215"/>
      <c r="G84" s="215"/>
      <c r="CF84" s="39"/>
    </row>
    <row r="85" spans="1:84" ht="15.75" customHeight="1">
      <c r="A85" s="223"/>
      <c r="B85" s="225"/>
      <c r="C85" s="39"/>
      <c r="D85" s="39"/>
      <c r="E85" s="3"/>
      <c r="F85" s="215"/>
      <c r="G85" s="215"/>
      <c r="CF85" s="39"/>
    </row>
    <row r="86" spans="1:84" ht="15.75" customHeight="1">
      <c r="A86" s="223"/>
      <c r="B86" s="225"/>
      <c r="C86" s="39"/>
      <c r="D86" s="39"/>
      <c r="E86" s="3"/>
      <c r="F86" s="215"/>
      <c r="G86" s="215"/>
      <c r="CF86" s="39"/>
    </row>
    <row r="87" spans="1:84" ht="15.75" customHeight="1">
      <c r="A87" s="223"/>
      <c r="B87" s="225"/>
      <c r="C87" s="39"/>
      <c r="D87" s="39"/>
      <c r="E87" s="3"/>
      <c r="F87" s="215"/>
      <c r="G87" s="215"/>
      <c r="CF87" s="39"/>
    </row>
    <row r="88" spans="1:84" ht="15.75" customHeight="1">
      <c r="A88" s="223"/>
      <c r="B88" s="225"/>
      <c r="C88" s="39"/>
      <c r="D88" s="39"/>
      <c r="E88" s="3"/>
      <c r="F88" s="215"/>
      <c r="G88" s="215"/>
      <c r="CF88" s="39"/>
    </row>
    <row r="89" spans="1:84" ht="15.75" customHeight="1">
      <c r="A89" s="223"/>
      <c r="B89" s="225"/>
      <c r="C89" s="39"/>
      <c r="D89" s="39"/>
      <c r="E89" s="3"/>
      <c r="F89" s="215"/>
      <c r="G89" s="215"/>
      <c r="CF89" s="39"/>
    </row>
    <row r="90" spans="1:84" ht="15.75" customHeight="1">
      <c r="A90" s="223"/>
      <c r="B90" s="225"/>
      <c r="C90" s="39"/>
      <c r="D90" s="39"/>
      <c r="E90" s="3"/>
      <c r="F90" s="215"/>
      <c r="G90" s="215"/>
      <c r="CF90" s="39"/>
    </row>
    <row r="91" spans="1:84" ht="15.75" customHeight="1">
      <c r="A91" s="223"/>
      <c r="B91" s="225"/>
      <c r="C91" s="39"/>
      <c r="D91" s="39"/>
      <c r="E91" s="3"/>
      <c r="F91" s="215"/>
      <c r="G91" s="215"/>
      <c r="CF91" s="39"/>
    </row>
    <row r="92" spans="1:84" ht="15.75" customHeight="1">
      <c r="A92" s="226"/>
      <c r="B92" s="225"/>
      <c r="C92" s="39"/>
      <c r="D92" s="39"/>
      <c r="E92" s="3"/>
      <c r="F92" s="215"/>
      <c r="G92" s="215"/>
      <c r="CF92" s="39"/>
    </row>
    <row r="93" spans="1:84" ht="15.75" customHeight="1">
      <c r="CF93" s="39"/>
    </row>
    <row r="94" spans="1:84" ht="15.75" customHeight="1">
      <c r="CF94" s="39"/>
    </row>
    <row r="95" spans="1:84" ht="15.75" customHeight="1">
      <c r="CF95" s="39"/>
    </row>
    <row r="96" spans="1:84" ht="15.75" customHeight="1">
      <c r="CF96" s="39"/>
    </row>
    <row r="97" spans="84:84" ht="15.75" customHeight="1">
      <c r="CF97" s="39"/>
    </row>
    <row r="98" spans="84:84" ht="15.75" customHeight="1">
      <c r="CF98" s="39"/>
    </row>
    <row r="99" spans="84:84" ht="15.75" customHeight="1">
      <c r="CF99" s="39"/>
    </row>
    <row r="100" spans="84:84" ht="15.75" customHeight="1">
      <c r="CF100" s="39"/>
    </row>
    <row r="101" spans="84:84" ht="15.75" customHeight="1">
      <c r="CF101" s="39"/>
    </row>
    <row r="102" spans="84:84" ht="15.75" customHeight="1">
      <c r="CF102" s="39"/>
    </row>
    <row r="103" spans="84:84" ht="15.75" customHeight="1">
      <c r="CF103" s="39"/>
    </row>
    <row r="104" spans="84:84" ht="15.75" customHeight="1">
      <c r="CF104" s="39"/>
    </row>
    <row r="105" spans="84:84" ht="15.75" customHeight="1">
      <c r="CF105" s="39"/>
    </row>
    <row r="106" spans="84:84" ht="15.75" customHeight="1">
      <c r="CF106" s="39"/>
    </row>
    <row r="107" spans="84:84" ht="15.75" customHeight="1">
      <c r="CF107" s="39"/>
    </row>
    <row r="108" spans="84:84" ht="15.75" customHeight="1">
      <c r="CF108" s="39"/>
    </row>
    <row r="109" spans="84:84" ht="15.75" customHeight="1">
      <c r="CF109" s="39"/>
    </row>
    <row r="110" spans="84:84" ht="15.75" customHeight="1">
      <c r="CF110" s="39"/>
    </row>
    <row r="111" spans="84:84" ht="15.75" customHeight="1">
      <c r="CF111" s="39"/>
    </row>
    <row r="112" spans="84:84" ht="15.75" customHeight="1">
      <c r="CF112" s="39"/>
    </row>
    <row r="113" spans="84:84" ht="15.75" customHeight="1">
      <c r="CF113" s="39"/>
    </row>
    <row r="114" spans="84:84" ht="15.75" customHeight="1">
      <c r="CF114" s="39"/>
    </row>
    <row r="115" spans="84:84" ht="15.75" customHeight="1">
      <c r="CF115" s="39"/>
    </row>
    <row r="116" spans="84:84" ht="15.75" customHeight="1">
      <c r="CF116" s="39"/>
    </row>
    <row r="117" spans="84:84" ht="15.75" customHeight="1">
      <c r="CF117" s="39"/>
    </row>
    <row r="118" spans="84:84" ht="15.75" customHeight="1">
      <c r="CF118" s="39"/>
    </row>
    <row r="119" spans="84:84" ht="15.75" customHeight="1">
      <c r="CF119" s="39"/>
    </row>
    <row r="120" spans="84:84" ht="15.75" customHeight="1">
      <c r="CF120" s="39"/>
    </row>
    <row r="121" spans="84:84" ht="15.75" customHeight="1">
      <c r="CF121" s="39"/>
    </row>
    <row r="122" spans="84:84" ht="15.75" customHeight="1">
      <c r="CF122" s="39"/>
    </row>
    <row r="123" spans="84:84" ht="15.75" customHeight="1">
      <c r="CF123" s="39"/>
    </row>
    <row r="124" spans="84:84" ht="15.75" customHeight="1">
      <c r="CF124" s="39"/>
    </row>
    <row r="125" spans="84:84" ht="15.75" customHeight="1">
      <c r="CF125" s="39"/>
    </row>
    <row r="126" spans="84:84" ht="15.75" customHeight="1">
      <c r="CF126" s="39"/>
    </row>
    <row r="127" spans="84:84" ht="15.75" customHeight="1">
      <c r="CF127" s="39"/>
    </row>
    <row r="128" spans="84:84" ht="15.75" customHeight="1">
      <c r="CF128" s="39"/>
    </row>
    <row r="129" spans="84:84" ht="15.75" customHeight="1">
      <c r="CF129" s="39"/>
    </row>
    <row r="130" spans="84:84" ht="15.75" customHeight="1">
      <c r="CF130" s="39"/>
    </row>
    <row r="131" spans="84:84" ht="15.75" customHeight="1">
      <c r="CF131" s="39"/>
    </row>
    <row r="132" spans="84:84" ht="15.75" customHeight="1">
      <c r="CF132" s="39"/>
    </row>
    <row r="133" spans="84:84" ht="15.75" customHeight="1">
      <c r="CF133" s="39"/>
    </row>
    <row r="134" spans="84:84" ht="15.75" customHeight="1">
      <c r="CF134" s="39"/>
    </row>
    <row r="135" spans="84:84" ht="15.75" customHeight="1">
      <c r="CF135" s="39"/>
    </row>
    <row r="136" spans="84:84" ht="15.75" customHeight="1">
      <c r="CF136" s="39"/>
    </row>
    <row r="137" spans="84:84" ht="15.75" customHeight="1">
      <c r="CF137" s="39"/>
    </row>
    <row r="138" spans="84:84" ht="15.75" customHeight="1">
      <c r="CF138" s="39"/>
    </row>
    <row r="139" spans="84:84" ht="15.75" customHeight="1">
      <c r="CF139" s="39"/>
    </row>
    <row r="140" spans="84:84" ht="15.75" customHeight="1">
      <c r="CF140" s="39"/>
    </row>
    <row r="141" spans="84:84" ht="15.75" customHeight="1">
      <c r="CF141" s="39"/>
    </row>
    <row r="142" spans="84:84" ht="15.75" customHeight="1">
      <c r="CF142" s="39"/>
    </row>
    <row r="143" spans="84:84" ht="15.75" customHeight="1">
      <c r="CF143" s="39"/>
    </row>
    <row r="144" spans="84:84" ht="15.75" customHeight="1">
      <c r="CF144" s="39"/>
    </row>
    <row r="145" spans="84:84" ht="15.75" customHeight="1">
      <c r="CF145" s="39"/>
    </row>
    <row r="146" spans="84:84" ht="15.75" customHeight="1">
      <c r="CF146" s="39"/>
    </row>
    <row r="147" spans="84:84" ht="15.75" customHeight="1">
      <c r="CF147" s="39"/>
    </row>
    <row r="148" spans="84:84" ht="15.75" customHeight="1">
      <c r="CF148" s="39"/>
    </row>
    <row r="149" spans="84:84" ht="15.75" customHeight="1">
      <c r="CF149" s="39"/>
    </row>
    <row r="150" spans="84:84" ht="15.75" customHeight="1">
      <c r="CF150" s="39"/>
    </row>
    <row r="151" spans="84:84" ht="15.75" customHeight="1">
      <c r="CF151" s="39"/>
    </row>
    <row r="152" spans="84:84" ht="15.75" customHeight="1">
      <c r="CF152" s="39"/>
    </row>
    <row r="153" spans="84:84" ht="15.75" customHeight="1">
      <c r="CF153" s="39"/>
    </row>
    <row r="154" spans="84:84" ht="15.75" customHeight="1">
      <c r="CF154" s="39"/>
    </row>
    <row r="155" spans="84:84" ht="15.75" customHeight="1">
      <c r="CF155" s="39"/>
    </row>
    <row r="156" spans="84:84" ht="15.75" customHeight="1">
      <c r="CF156" s="39"/>
    </row>
    <row r="157" spans="84:84" ht="15.75" customHeight="1">
      <c r="CF157" s="39"/>
    </row>
    <row r="158" spans="84:84" ht="15.75" customHeight="1">
      <c r="CF158" s="39"/>
    </row>
    <row r="159" spans="84:84" ht="15.75" customHeight="1">
      <c r="CF159" s="39"/>
    </row>
    <row r="160" spans="84:84" ht="15.75" customHeight="1">
      <c r="CF160" s="39"/>
    </row>
    <row r="161" spans="84:84" ht="15.75" customHeight="1">
      <c r="CF161" s="39"/>
    </row>
    <row r="162" spans="84:84" ht="15.75" customHeight="1">
      <c r="CF162" s="39"/>
    </row>
    <row r="163" spans="84:84" ht="15.75" customHeight="1">
      <c r="CF163" s="39"/>
    </row>
    <row r="164" spans="84:84" ht="15.75" customHeight="1">
      <c r="CF164" s="39"/>
    </row>
    <row r="165" spans="84:84" ht="15.75" customHeight="1">
      <c r="CF165" s="39"/>
    </row>
    <row r="166" spans="84:84" ht="15.75" customHeight="1">
      <c r="CF166" s="39"/>
    </row>
    <row r="167" spans="84:84" ht="15.75" customHeight="1">
      <c r="CF167" s="39"/>
    </row>
    <row r="168" spans="84:84" ht="15.75" customHeight="1">
      <c r="CF168" s="39"/>
    </row>
    <row r="169" spans="84:84" ht="15.75" customHeight="1">
      <c r="CF169" s="39"/>
    </row>
    <row r="170" spans="84:84" ht="15.75" customHeight="1">
      <c r="CF170" s="39"/>
    </row>
    <row r="171" spans="84:84" ht="15.75" customHeight="1">
      <c r="CF171" s="39"/>
    </row>
    <row r="172" spans="84:84" ht="15.75" customHeight="1">
      <c r="CF172" s="39"/>
    </row>
    <row r="173" spans="84:84" ht="15.75" customHeight="1">
      <c r="CF173" s="39"/>
    </row>
    <row r="174" spans="84:84" ht="15.75" customHeight="1">
      <c r="CF174" s="39"/>
    </row>
    <row r="175" spans="84:84" ht="15.75" customHeight="1">
      <c r="CF175" s="39"/>
    </row>
    <row r="176" spans="84:84" ht="15.75" customHeight="1">
      <c r="CF176" s="39"/>
    </row>
    <row r="177" spans="84:84" ht="15.75" customHeight="1">
      <c r="CF177" s="39"/>
    </row>
    <row r="178" spans="84:84" ht="15.75" customHeight="1">
      <c r="CF178" s="39"/>
    </row>
    <row r="179" spans="84:84" ht="15.75" customHeight="1">
      <c r="CF179" s="39"/>
    </row>
    <row r="180" spans="84:84" ht="15.75" customHeight="1">
      <c r="CF180" s="39"/>
    </row>
    <row r="181" spans="84:84" ht="15.75" customHeight="1">
      <c r="CF181" s="39"/>
    </row>
    <row r="182" spans="84:84" ht="15.75" customHeight="1">
      <c r="CF182" s="39"/>
    </row>
    <row r="183" spans="84:84" ht="15.75" customHeight="1">
      <c r="CF183" s="39"/>
    </row>
    <row r="184" spans="84:84" ht="15.75" customHeight="1">
      <c r="CF184" s="39"/>
    </row>
    <row r="185" spans="84:84" ht="15.75" customHeight="1">
      <c r="CF185" s="39"/>
    </row>
    <row r="186" spans="84:84" ht="15.75" customHeight="1">
      <c r="CF186" s="39"/>
    </row>
    <row r="187" spans="84:84" ht="15.75" customHeight="1">
      <c r="CF187" s="39"/>
    </row>
    <row r="188" spans="84:84" ht="15.75" customHeight="1">
      <c r="CF188" s="39"/>
    </row>
    <row r="189" spans="84:84" ht="15.75" customHeight="1">
      <c r="CF189" s="39"/>
    </row>
    <row r="190" spans="84:84" ht="15.75" customHeight="1">
      <c r="CF190" s="39"/>
    </row>
    <row r="191" spans="84:84" ht="15.75" customHeight="1">
      <c r="CF191" s="39"/>
    </row>
    <row r="192" spans="84:84" ht="15.75" customHeight="1">
      <c r="CF192" s="39"/>
    </row>
    <row r="193" spans="84:84" ht="15.75" customHeight="1">
      <c r="CF193" s="39"/>
    </row>
    <row r="194" spans="84:84" ht="15.75" customHeight="1">
      <c r="CF194" s="39"/>
    </row>
    <row r="195" spans="84:84" ht="15.75" customHeight="1">
      <c r="CF195" s="39"/>
    </row>
    <row r="196" spans="84:84" ht="15.75" customHeight="1">
      <c r="CF196" s="39"/>
    </row>
    <row r="197" spans="84:84" ht="15.75" customHeight="1">
      <c r="CF197" s="39"/>
    </row>
    <row r="198" spans="84:84" ht="15.75" customHeight="1">
      <c r="CF198" s="39"/>
    </row>
    <row r="199" spans="84:84" ht="15.75" customHeight="1">
      <c r="CF199" s="39"/>
    </row>
    <row r="200" spans="84:84" ht="15.75" customHeight="1">
      <c r="CF200" s="39"/>
    </row>
    <row r="201" spans="84:84" ht="15.75" customHeight="1">
      <c r="CF201" s="39"/>
    </row>
    <row r="202" spans="84:84" ht="15.75" customHeight="1">
      <c r="CF202" s="39"/>
    </row>
    <row r="203" spans="84:84" ht="15.75" customHeight="1">
      <c r="CF203" s="39"/>
    </row>
    <row r="204" spans="84:84" ht="15.75" customHeight="1">
      <c r="CF204" s="39"/>
    </row>
    <row r="205" spans="84:84" ht="15.75" customHeight="1">
      <c r="CF205" s="39"/>
    </row>
    <row r="206" spans="84:84" ht="15.75" customHeight="1">
      <c r="CF206" s="39"/>
    </row>
    <row r="207" spans="84:84" ht="15.75" customHeight="1">
      <c r="CF207" s="39"/>
    </row>
    <row r="208" spans="84:84" ht="15.75" customHeight="1">
      <c r="CF208" s="39"/>
    </row>
    <row r="209" spans="84:84" ht="15.75" customHeight="1">
      <c r="CF209" s="39"/>
    </row>
    <row r="210" spans="84:84" ht="15.75" customHeight="1">
      <c r="CF210" s="39"/>
    </row>
    <row r="211" spans="84:84" ht="15.75" customHeight="1">
      <c r="CF211" s="39"/>
    </row>
    <row r="212" spans="84:84" ht="15.75" customHeight="1">
      <c r="CF212" s="39"/>
    </row>
    <row r="213" spans="84:84" ht="15.75" customHeight="1">
      <c r="CF213" s="39"/>
    </row>
    <row r="214" spans="84:84" ht="15.75" customHeight="1">
      <c r="CF214" s="39"/>
    </row>
    <row r="215" spans="84:84" ht="15.75" customHeight="1">
      <c r="CF215" s="39"/>
    </row>
    <row r="216" spans="84:84" ht="15.75" customHeight="1">
      <c r="CF216" s="39"/>
    </row>
    <row r="217" spans="84:84" ht="15.75" customHeight="1">
      <c r="CF217" s="39"/>
    </row>
    <row r="218" spans="84:84" ht="15.75" customHeight="1">
      <c r="CF218" s="39"/>
    </row>
    <row r="219" spans="84:84" ht="15.75" customHeight="1">
      <c r="CF219" s="39"/>
    </row>
    <row r="220" spans="84:84" ht="15.75" customHeight="1">
      <c r="CF220" s="39"/>
    </row>
    <row r="221" spans="84:84" ht="15.75" customHeight="1">
      <c r="CF221" s="39"/>
    </row>
    <row r="222" spans="84:84" ht="15.75" customHeight="1">
      <c r="CF222" s="39"/>
    </row>
    <row r="223" spans="84:84" ht="15.75" customHeight="1">
      <c r="CF223" s="39"/>
    </row>
    <row r="224" spans="84:84" ht="15.75" customHeight="1">
      <c r="CF224" s="39"/>
    </row>
    <row r="225" spans="84:84" ht="15.75" customHeight="1">
      <c r="CF225" s="39"/>
    </row>
    <row r="226" spans="84:84" ht="15.75" customHeight="1">
      <c r="CF226" s="39"/>
    </row>
    <row r="227" spans="84:84" ht="15.75" customHeight="1">
      <c r="CF227" s="39"/>
    </row>
    <row r="228" spans="84:84" ht="15.75" customHeight="1">
      <c r="CF228" s="39"/>
    </row>
    <row r="229" spans="84:84" ht="15.75" customHeight="1">
      <c r="CF229" s="39"/>
    </row>
    <row r="230" spans="84:84" ht="15.75" customHeight="1">
      <c r="CF230" s="39"/>
    </row>
    <row r="231" spans="84:84" ht="15.75" customHeight="1">
      <c r="CF231" s="39"/>
    </row>
    <row r="232" spans="84:84" ht="15.75" customHeight="1">
      <c r="CF232" s="39"/>
    </row>
    <row r="233" spans="84:84" ht="15.75" customHeight="1">
      <c r="CF233" s="39"/>
    </row>
    <row r="234" spans="84:84" ht="15.75" customHeight="1">
      <c r="CF234" s="39"/>
    </row>
    <row r="235" spans="84:84" ht="15.75" customHeight="1">
      <c r="CF235" s="39"/>
    </row>
    <row r="236" spans="84:84" ht="15.75" customHeight="1">
      <c r="CF236" s="39"/>
    </row>
    <row r="237" spans="84:84" ht="15.75" customHeight="1">
      <c r="CF237" s="39"/>
    </row>
    <row r="238" spans="84:84" ht="15.75" customHeight="1">
      <c r="CF238" s="39"/>
    </row>
    <row r="239" spans="84:84" ht="15.75" customHeight="1">
      <c r="CF239" s="39"/>
    </row>
    <row r="240" spans="84:84" ht="15.75" customHeight="1">
      <c r="CF240" s="39"/>
    </row>
    <row r="241" spans="84:84" ht="15.75" customHeight="1">
      <c r="CF241" s="39"/>
    </row>
    <row r="242" spans="84:84" ht="15.75" customHeight="1">
      <c r="CF242" s="39"/>
    </row>
    <row r="243" spans="84:84" ht="15.75" customHeight="1">
      <c r="CF243" s="39"/>
    </row>
    <row r="244" spans="84:84" ht="15.75" customHeight="1">
      <c r="CF244" s="39"/>
    </row>
    <row r="245" spans="84:84" ht="15.75" customHeight="1">
      <c r="CF245" s="39"/>
    </row>
    <row r="246" spans="84:84" ht="15.75" customHeight="1">
      <c r="CF246" s="39"/>
    </row>
    <row r="247" spans="84:84" ht="15.75" customHeight="1">
      <c r="CF247" s="39"/>
    </row>
    <row r="248" spans="84:84" ht="15.75" customHeight="1">
      <c r="CF248" s="39"/>
    </row>
    <row r="249" spans="84:84" ht="15.75" customHeight="1">
      <c r="CF249" s="39"/>
    </row>
    <row r="250" spans="84:84" ht="15.75" customHeight="1">
      <c r="CF250" s="39"/>
    </row>
    <row r="251" spans="84:84" ht="15.75" customHeight="1">
      <c r="CF251" s="39"/>
    </row>
    <row r="252" spans="84:84" ht="15.75" customHeight="1">
      <c r="CF252" s="39"/>
    </row>
    <row r="253" spans="84:84" ht="15.75" customHeight="1">
      <c r="CF253" s="39"/>
    </row>
    <row r="254" spans="84:84" ht="15.75" customHeight="1">
      <c r="CF254" s="39"/>
    </row>
    <row r="255" spans="84:84" ht="15.75" customHeight="1">
      <c r="CF255" s="39"/>
    </row>
    <row r="256" spans="84:84" ht="15.75" customHeight="1">
      <c r="CF256" s="39"/>
    </row>
    <row r="257" spans="84:84" ht="15.75" customHeight="1">
      <c r="CF257" s="39"/>
    </row>
  </sheetData>
  <mergeCells count="112">
    <mergeCell ref="B29:D29"/>
    <mergeCell ref="E29:G29"/>
    <mergeCell ref="H29:J29"/>
    <mergeCell ref="K29:M29"/>
    <mergeCell ref="N29:P29"/>
    <mergeCell ref="Q29:S29"/>
    <mergeCell ref="T29:V29"/>
    <mergeCell ref="B41:D41"/>
    <mergeCell ref="E41:G41"/>
    <mergeCell ref="H41:J41"/>
    <mergeCell ref="K41:M41"/>
    <mergeCell ref="N41:P41"/>
    <mergeCell ref="Q41:S41"/>
    <mergeCell ref="T41:V41"/>
    <mergeCell ref="BQ29:BS29"/>
    <mergeCell ref="BT29:BV29"/>
    <mergeCell ref="BW29:BY29"/>
    <mergeCell ref="AS29:AU29"/>
    <mergeCell ref="AV29:AX29"/>
    <mergeCell ref="AY29:BA29"/>
    <mergeCell ref="BB29:BD29"/>
    <mergeCell ref="BE29:BG29"/>
    <mergeCell ref="BH29:BJ29"/>
    <mergeCell ref="BK29:BM29"/>
    <mergeCell ref="AP17:AR17"/>
    <mergeCell ref="W29:Y29"/>
    <mergeCell ref="Z29:AB29"/>
    <mergeCell ref="AC29:AE29"/>
    <mergeCell ref="AF29:AH29"/>
    <mergeCell ref="AI29:AK29"/>
    <mergeCell ref="AL29:AN29"/>
    <mergeCell ref="AP29:AR29"/>
    <mergeCell ref="BN29:BP29"/>
    <mergeCell ref="BT41:BV41"/>
    <mergeCell ref="BW41:BY41"/>
    <mergeCell ref="AY41:AZ41"/>
    <mergeCell ref="BB41:BD41"/>
    <mergeCell ref="BE41:BG41"/>
    <mergeCell ref="BH41:BJ41"/>
    <mergeCell ref="BK41:BM41"/>
    <mergeCell ref="BN41:BP41"/>
    <mergeCell ref="BQ41:BS41"/>
    <mergeCell ref="B17:D17"/>
    <mergeCell ref="E17:G17"/>
    <mergeCell ref="H17:J17"/>
    <mergeCell ref="K17:M17"/>
    <mergeCell ref="N17:P17"/>
    <mergeCell ref="Q17:S17"/>
    <mergeCell ref="T17:V17"/>
    <mergeCell ref="AS41:AU41"/>
    <mergeCell ref="AV41:AX41"/>
    <mergeCell ref="W41:Y41"/>
    <mergeCell ref="Z41:AB41"/>
    <mergeCell ref="AC41:AE41"/>
    <mergeCell ref="AF41:AH41"/>
    <mergeCell ref="AI41:AK41"/>
    <mergeCell ref="AL41:AN41"/>
    <mergeCell ref="AP41:AR41"/>
    <mergeCell ref="AS17:AU17"/>
    <mergeCell ref="AV17:AX17"/>
    <mergeCell ref="W17:Y17"/>
    <mergeCell ref="Z17:AB17"/>
    <mergeCell ref="AC17:AE17"/>
    <mergeCell ref="AF17:AH17"/>
    <mergeCell ref="AI17:AK17"/>
    <mergeCell ref="AL17:AN17"/>
    <mergeCell ref="BK5:BM5"/>
    <mergeCell ref="BN5:BP5"/>
    <mergeCell ref="BQ5:BS5"/>
    <mergeCell ref="BT5:BV5"/>
    <mergeCell ref="BW5:BY5"/>
    <mergeCell ref="BZ5:CB5"/>
    <mergeCell ref="C3:E3"/>
    <mergeCell ref="G3:H3"/>
    <mergeCell ref="B5:D5"/>
    <mergeCell ref="E5:G5"/>
    <mergeCell ref="H5:J5"/>
    <mergeCell ref="K5:M5"/>
    <mergeCell ref="N5:P5"/>
    <mergeCell ref="A1:D1"/>
    <mergeCell ref="E1:F1"/>
    <mergeCell ref="H1:I1"/>
    <mergeCell ref="J1:M1"/>
    <mergeCell ref="BN1:CY3"/>
    <mergeCell ref="A2:D2"/>
    <mergeCell ref="A3:B3"/>
    <mergeCell ref="Q5:S5"/>
    <mergeCell ref="T5:V5"/>
    <mergeCell ref="W5:Y5"/>
    <mergeCell ref="Z5:AB5"/>
    <mergeCell ref="AC5:AE5"/>
    <mergeCell ref="AF5:AH5"/>
    <mergeCell ref="AI5:AK5"/>
    <mergeCell ref="AL5:AN5"/>
    <mergeCell ref="AP5:AR5"/>
    <mergeCell ref="AS5:AU5"/>
    <mergeCell ref="AV5:AX5"/>
    <mergeCell ref="AY5:BA5"/>
    <mergeCell ref="BB5:BD5"/>
    <mergeCell ref="BE5:BG5"/>
    <mergeCell ref="CC5:CC6"/>
    <mergeCell ref="CD5:CD6"/>
    <mergeCell ref="BH5:BJ5"/>
    <mergeCell ref="BT17:BV17"/>
    <mergeCell ref="BW17:BY17"/>
    <mergeCell ref="AY17:BA17"/>
    <mergeCell ref="BB17:BD17"/>
    <mergeCell ref="BE17:BG17"/>
    <mergeCell ref="BH17:BJ17"/>
    <mergeCell ref="BK17:BM17"/>
    <mergeCell ref="BN17:BP17"/>
    <mergeCell ref="BQ17:BS17"/>
  </mergeCells>
  <pageMargins left="0.69930555555555596" right="0.69930555555555596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8.26953125" customWidth="1"/>
    <col min="2" max="2" width="7.54296875" customWidth="1"/>
    <col min="3" max="3" width="7.26953125" customWidth="1"/>
    <col min="4" max="4" width="11.81640625" customWidth="1"/>
    <col min="5" max="5" width="12.54296875" customWidth="1"/>
    <col min="6" max="6" width="7.453125" customWidth="1"/>
    <col min="7" max="7" width="16" customWidth="1"/>
    <col min="8" max="8" width="10.26953125" customWidth="1"/>
    <col min="9" max="9" width="7.453125" customWidth="1"/>
    <col min="10" max="10" width="16" customWidth="1"/>
    <col min="11" max="11" width="9.81640625" customWidth="1"/>
    <col min="12" max="12" width="8" customWidth="1"/>
    <col min="13" max="13" width="18.54296875" customWidth="1"/>
    <col min="14" max="14" width="9.7265625" customWidth="1"/>
    <col min="15" max="15" width="7.08984375" customWidth="1"/>
    <col min="16" max="16" width="17.453125" customWidth="1"/>
    <col min="17" max="17" width="9.08984375" customWidth="1"/>
    <col min="18" max="18" width="8" customWidth="1"/>
    <col min="19" max="19" width="17.7265625" customWidth="1"/>
    <col min="20" max="20" width="8.453125" customWidth="1"/>
    <col min="21" max="21" width="7.54296875" customWidth="1"/>
    <col min="22" max="22" width="18.26953125" customWidth="1"/>
    <col min="23" max="23" width="9.08984375" customWidth="1"/>
    <col min="24" max="24" width="8.7265625" customWidth="1"/>
    <col min="25" max="25" width="18.453125" customWidth="1"/>
    <col min="26" max="27" width="7.08984375" customWidth="1"/>
    <col min="28" max="28" width="15" customWidth="1"/>
    <col min="29" max="30" width="8.08984375" customWidth="1"/>
    <col min="31" max="31" width="14.54296875" customWidth="1"/>
    <col min="32" max="32" width="7.08984375" customWidth="1"/>
    <col min="33" max="33" width="6.7265625" customWidth="1"/>
    <col min="34" max="34" width="15.453125" customWidth="1"/>
    <col min="35" max="35" width="4.08984375" customWidth="1"/>
    <col min="36" max="36" width="7.453125" customWidth="1"/>
    <col min="37" max="37" width="14.26953125" customWidth="1"/>
    <col min="38" max="38" width="17.81640625" customWidth="1"/>
    <col min="39" max="39" width="8.08984375" customWidth="1"/>
    <col min="40" max="40" width="8.54296875" customWidth="1"/>
    <col min="41" max="41" width="14" customWidth="1"/>
    <col min="42" max="42" width="7.08984375" customWidth="1"/>
    <col min="43" max="43" width="8.81640625" customWidth="1"/>
    <col min="44" max="44" width="13.26953125" customWidth="1"/>
    <col min="45" max="45" width="9.453125" customWidth="1"/>
    <col min="46" max="46" width="8" customWidth="1"/>
    <col min="47" max="47" width="12.54296875" customWidth="1"/>
    <col min="48" max="48" width="8.453125" customWidth="1"/>
    <col min="49" max="49" width="8.7265625" customWidth="1"/>
    <col min="50" max="50" width="11.08984375" customWidth="1"/>
    <col min="51" max="51" width="9" customWidth="1"/>
    <col min="52" max="52" width="7.7265625" customWidth="1"/>
    <col min="53" max="53" width="12.81640625" customWidth="1"/>
    <col min="54" max="54" width="7.54296875" customWidth="1"/>
    <col min="55" max="55" width="6.81640625" customWidth="1"/>
    <col min="56" max="56" width="13.08984375" customWidth="1"/>
    <col min="57" max="57" width="8.453125" customWidth="1"/>
    <col min="58" max="58" width="7.81640625" customWidth="1"/>
    <col min="59" max="59" width="13.81640625" customWidth="1"/>
    <col min="60" max="60" width="8.54296875" customWidth="1"/>
    <col min="61" max="61" width="7.81640625" customWidth="1"/>
    <col min="62" max="62" width="13.54296875" customWidth="1"/>
    <col min="63" max="63" width="8.08984375" customWidth="1"/>
    <col min="64" max="64" width="8.54296875" customWidth="1"/>
    <col min="65" max="65" width="13" customWidth="1"/>
    <col min="66" max="67" width="7.08984375" customWidth="1"/>
    <col min="68" max="68" width="12.26953125" customWidth="1"/>
    <col min="69" max="69" width="8.26953125" customWidth="1"/>
    <col min="70" max="70" width="7.453125" customWidth="1"/>
    <col min="71" max="71" width="12" customWidth="1"/>
    <col min="72" max="72" width="9" customWidth="1"/>
    <col min="73" max="73" width="9.08984375" customWidth="1"/>
    <col min="74" max="74" width="17.7265625" customWidth="1"/>
    <col min="75" max="75" width="2.26953125" customWidth="1"/>
    <col min="76" max="76" width="4.453125" customWidth="1"/>
    <col min="77" max="77" width="17.7265625" customWidth="1"/>
    <col min="78" max="78" width="4" customWidth="1"/>
    <col min="79" max="79" width="28.7265625" customWidth="1"/>
    <col min="80" max="80" width="18.08984375" customWidth="1"/>
    <col min="81" max="81" width="17.81640625" customWidth="1"/>
    <col min="82" max="82" width="14.7265625" customWidth="1"/>
    <col min="83" max="83" width="18.26953125" customWidth="1"/>
    <col min="84" max="84" width="10.54296875" customWidth="1"/>
  </cols>
  <sheetData>
    <row r="1" spans="1:83" ht="26.25" customHeight="1">
      <c r="A1" s="166" t="s">
        <v>13</v>
      </c>
      <c r="B1" s="158"/>
      <c r="C1" s="158"/>
      <c r="D1" s="158"/>
      <c r="E1" s="451" t="str">
        <f>'income statement'!B3</f>
        <v>BRANCH</v>
      </c>
      <c r="F1" s="438"/>
      <c r="G1" s="438"/>
      <c r="H1" s="438"/>
      <c r="I1" s="438"/>
      <c r="J1" s="14"/>
      <c r="K1" s="16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453" t="s">
        <v>32</v>
      </c>
      <c r="BO1" s="454"/>
      <c r="BP1" s="454"/>
      <c r="BQ1" s="454"/>
      <c r="BR1" s="454"/>
      <c r="BS1" s="454"/>
      <c r="BT1" s="454"/>
      <c r="BU1" s="454"/>
      <c r="BV1" s="454"/>
      <c r="BW1" s="454"/>
      <c r="BX1" s="454"/>
      <c r="BY1" s="454"/>
      <c r="BZ1" s="454"/>
      <c r="CA1" s="454"/>
      <c r="CB1" s="454"/>
      <c r="CC1" s="454"/>
      <c r="CD1" s="454"/>
      <c r="CE1" s="454"/>
    </row>
    <row r="2" spans="1:83" ht="21.75" customHeight="1">
      <c r="A2" s="468" t="s">
        <v>105</v>
      </c>
      <c r="B2" s="438"/>
      <c r="C2" s="438"/>
      <c r="D2" s="438"/>
      <c r="E2" s="171"/>
      <c r="F2" s="171"/>
      <c r="G2" s="171"/>
      <c r="H2" s="171"/>
      <c r="I2" s="14"/>
      <c r="J2" s="14"/>
      <c r="K2" s="16"/>
      <c r="L2" s="17"/>
      <c r="M2" s="17"/>
      <c r="N2" s="17"/>
      <c r="O2" s="17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455"/>
      <c r="BO2" s="425"/>
      <c r="BP2" s="425"/>
      <c r="BQ2" s="425"/>
      <c r="BR2" s="425"/>
      <c r="BS2" s="425"/>
      <c r="BT2" s="425"/>
      <c r="BU2" s="425"/>
      <c r="BV2" s="425"/>
      <c r="BW2" s="425"/>
      <c r="BX2" s="425"/>
      <c r="BY2" s="425"/>
      <c r="BZ2" s="425"/>
      <c r="CA2" s="425"/>
      <c r="CB2" s="425"/>
      <c r="CC2" s="425"/>
      <c r="CD2" s="425"/>
      <c r="CE2" s="425"/>
    </row>
    <row r="3" spans="1:83" ht="16.5" customHeight="1">
      <c r="A3" s="476" t="s">
        <v>38</v>
      </c>
      <c r="B3" s="438"/>
      <c r="C3" s="477"/>
      <c r="D3" s="438"/>
      <c r="E3" s="438"/>
      <c r="F3" s="438"/>
      <c r="G3" s="438"/>
      <c r="H3" s="438"/>
      <c r="I3" s="41"/>
      <c r="J3" s="41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455"/>
      <c r="BO3" s="425"/>
      <c r="BP3" s="425"/>
      <c r="BQ3" s="425"/>
      <c r="BR3" s="425"/>
      <c r="BS3" s="425"/>
      <c r="BT3" s="425"/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</row>
    <row r="4" spans="1:83" ht="12" customHeight="1">
      <c r="A4" s="43"/>
      <c r="B4" s="174"/>
      <c r="C4" s="174"/>
      <c r="D4" s="174"/>
      <c r="E4" s="174"/>
      <c r="F4" s="43"/>
      <c r="G4" s="43"/>
      <c r="H4" s="41"/>
      <c r="I4" s="41"/>
      <c r="J4" s="4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</row>
    <row r="5" spans="1:83" ht="18.75" customHeight="1">
      <c r="A5" s="51" t="s">
        <v>51</v>
      </c>
      <c r="B5" s="444" t="s">
        <v>109</v>
      </c>
      <c r="C5" s="445"/>
      <c r="D5" s="423"/>
      <c r="E5" s="444" t="str">
        <f>'1'!A7</f>
        <v>SPECIAL CUT</v>
      </c>
      <c r="F5" s="445"/>
      <c r="G5" s="423"/>
      <c r="H5" s="444" t="str">
        <f>'1'!A8</f>
        <v>NGOHIONG</v>
      </c>
      <c r="I5" s="445"/>
      <c r="J5" s="423"/>
      <c r="K5" s="460" t="str">
        <f>'1'!A15</f>
        <v>Chicken Fillet</v>
      </c>
      <c r="L5" s="445"/>
      <c r="M5" s="423"/>
      <c r="N5" s="444" t="s">
        <v>53</v>
      </c>
      <c r="O5" s="445"/>
      <c r="P5" s="445"/>
      <c r="Q5" s="461" t="s">
        <v>54</v>
      </c>
      <c r="R5" s="445"/>
      <c r="S5" s="423"/>
      <c r="T5" s="444" t="s">
        <v>55</v>
      </c>
      <c r="U5" s="445"/>
      <c r="V5" s="423"/>
      <c r="W5" s="444" t="s">
        <v>56</v>
      </c>
      <c r="X5" s="445"/>
      <c r="Y5" s="423"/>
      <c r="Z5" s="444" t="s">
        <v>57</v>
      </c>
      <c r="AA5" s="445"/>
      <c r="AB5" s="445"/>
      <c r="AC5" s="444" t="s">
        <v>58</v>
      </c>
      <c r="AD5" s="445"/>
      <c r="AE5" s="445"/>
      <c r="AF5" s="444"/>
      <c r="AG5" s="445"/>
      <c r="AH5" s="423"/>
      <c r="AI5" s="444" t="s">
        <v>59</v>
      </c>
      <c r="AJ5" s="445"/>
      <c r="AK5" s="423"/>
      <c r="AL5" s="54"/>
      <c r="AM5" s="446" t="str">
        <f>'1'!A17</f>
        <v>8 oz</v>
      </c>
      <c r="AN5" s="445"/>
      <c r="AO5" s="423"/>
      <c r="AP5" s="447" t="s">
        <v>60</v>
      </c>
      <c r="AQ5" s="445"/>
      <c r="AR5" s="423"/>
      <c r="AS5" s="447" t="s">
        <v>61</v>
      </c>
      <c r="AT5" s="445"/>
      <c r="AU5" s="423"/>
      <c r="AV5" s="447" t="s">
        <v>62</v>
      </c>
      <c r="AW5" s="445"/>
      <c r="AX5" s="423"/>
      <c r="AY5" s="447" t="s">
        <v>63</v>
      </c>
      <c r="AZ5" s="445"/>
      <c r="BA5" s="423"/>
      <c r="BB5" s="447" t="s">
        <v>64</v>
      </c>
      <c r="BC5" s="445"/>
      <c r="BD5" s="423"/>
      <c r="BE5" s="447" t="s">
        <v>65</v>
      </c>
      <c r="BF5" s="445"/>
      <c r="BG5" s="423"/>
      <c r="BH5" s="447" t="str">
        <f>'1'!A23</f>
        <v>GATORADE</v>
      </c>
      <c r="BI5" s="445"/>
      <c r="BJ5" s="423"/>
      <c r="BK5" s="448" t="s">
        <v>66</v>
      </c>
      <c r="BL5" s="445"/>
      <c r="BM5" s="423"/>
      <c r="BN5" s="447" t="s">
        <v>67</v>
      </c>
      <c r="BO5" s="445"/>
      <c r="BP5" s="423"/>
      <c r="BQ5" s="447" t="str">
        <f>'1'!A19</f>
        <v>1 LITER</v>
      </c>
      <c r="BR5" s="445"/>
      <c r="BS5" s="423"/>
      <c r="BT5" s="447" t="str">
        <f>'1'!A20</f>
        <v>1.5 L</v>
      </c>
      <c r="BU5" s="445"/>
      <c r="BV5" s="423"/>
      <c r="BW5" s="444" t="s">
        <v>68</v>
      </c>
      <c r="BX5" s="445"/>
      <c r="BY5" s="423"/>
      <c r="BZ5" s="3"/>
      <c r="CA5" s="55" t="s">
        <v>23</v>
      </c>
      <c r="CB5" s="3"/>
      <c r="CC5" s="449" t="s">
        <v>69</v>
      </c>
      <c r="CD5" s="450" t="s">
        <v>70</v>
      </c>
    </row>
    <row r="6" spans="1:83" ht="14.25" customHeight="1">
      <c r="A6" s="56" t="s">
        <v>7</v>
      </c>
      <c r="B6" s="56" t="s">
        <v>71</v>
      </c>
      <c r="C6" s="56" t="s">
        <v>72</v>
      </c>
      <c r="D6" s="56" t="s">
        <v>26</v>
      </c>
      <c r="E6" s="56" t="s">
        <v>71</v>
      </c>
      <c r="F6" s="56" t="s">
        <v>72</v>
      </c>
      <c r="G6" s="56" t="s">
        <v>26</v>
      </c>
      <c r="H6" s="57" t="s">
        <v>71</v>
      </c>
      <c r="I6" s="58" t="s">
        <v>72</v>
      </c>
      <c r="J6" s="59" t="s">
        <v>73</v>
      </c>
      <c r="K6" s="57" t="s">
        <v>71</v>
      </c>
      <c r="L6" s="58" t="s">
        <v>72</v>
      </c>
      <c r="M6" s="59" t="s">
        <v>73</v>
      </c>
      <c r="N6" s="56" t="s">
        <v>71</v>
      </c>
      <c r="O6" s="56" t="s">
        <v>72</v>
      </c>
      <c r="P6" s="56" t="s">
        <v>26</v>
      </c>
      <c r="Q6" s="57" t="s">
        <v>71</v>
      </c>
      <c r="R6" s="58" t="s">
        <v>72</v>
      </c>
      <c r="S6" s="59" t="s">
        <v>73</v>
      </c>
      <c r="T6" s="57" t="s">
        <v>71</v>
      </c>
      <c r="U6" s="58" t="s">
        <v>72</v>
      </c>
      <c r="V6" s="60" t="s">
        <v>73</v>
      </c>
      <c r="W6" s="57" t="s">
        <v>71</v>
      </c>
      <c r="X6" s="58" t="s">
        <v>72</v>
      </c>
      <c r="Y6" s="60" t="s">
        <v>73</v>
      </c>
      <c r="Z6" s="57" t="s">
        <v>71</v>
      </c>
      <c r="AA6" s="58" t="s">
        <v>72</v>
      </c>
      <c r="AB6" s="60" t="s">
        <v>73</v>
      </c>
      <c r="AC6" s="57" t="s">
        <v>71</v>
      </c>
      <c r="AD6" s="58" t="s">
        <v>72</v>
      </c>
      <c r="AE6" s="60" t="s">
        <v>26</v>
      </c>
      <c r="AF6" s="56" t="s">
        <v>71</v>
      </c>
      <c r="AG6" s="56" t="s">
        <v>72</v>
      </c>
      <c r="AH6" s="61" t="s">
        <v>26</v>
      </c>
      <c r="AI6" s="62"/>
      <c r="AJ6" s="63"/>
      <c r="AK6" s="64" t="s">
        <v>73</v>
      </c>
      <c r="AL6" s="54"/>
      <c r="AM6" s="65" t="s">
        <v>71</v>
      </c>
      <c r="AN6" s="66" t="s">
        <v>72</v>
      </c>
      <c r="AO6" s="65" t="s">
        <v>73</v>
      </c>
      <c r="AP6" s="67" t="s">
        <v>71</v>
      </c>
      <c r="AQ6" s="66" t="s">
        <v>72</v>
      </c>
      <c r="AR6" s="65" t="s">
        <v>73</v>
      </c>
      <c r="AS6" s="67" t="s">
        <v>71</v>
      </c>
      <c r="AT6" s="66" t="s">
        <v>72</v>
      </c>
      <c r="AU6" s="65" t="s">
        <v>73</v>
      </c>
      <c r="AV6" s="66" t="s">
        <v>71</v>
      </c>
      <c r="AW6" s="66" t="s">
        <v>72</v>
      </c>
      <c r="AX6" s="66" t="s">
        <v>26</v>
      </c>
      <c r="AY6" s="66" t="s">
        <v>71</v>
      </c>
      <c r="AZ6" s="66" t="s">
        <v>72</v>
      </c>
      <c r="BA6" s="66" t="s">
        <v>26</v>
      </c>
      <c r="BB6" s="66" t="s">
        <v>71</v>
      </c>
      <c r="BC6" s="66" t="s">
        <v>72</v>
      </c>
      <c r="BD6" s="66" t="s">
        <v>26</v>
      </c>
      <c r="BE6" s="66" t="s">
        <v>71</v>
      </c>
      <c r="BF6" s="66" t="s">
        <v>72</v>
      </c>
      <c r="BG6" s="66" t="s">
        <v>26</v>
      </c>
      <c r="BH6" s="66" t="s">
        <v>71</v>
      </c>
      <c r="BI6" s="66" t="s">
        <v>72</v>
      </c>
      <c r="BJ6" s="66" t="s">
        <v>26</v>
      </c>
      <c r="BK6" s="66" t="s">
        <v>71</v>
      </c>
      <c r="BL6" s="66" t="s">
        <v>72</v>
      </c>
      <c r="BM6" s="66" t="s">
        <v>26</v>
      </c>
      <c r="BN6" s="66" t="s">
        <v>71</v>
      </c>
      <c r="BO6" s="66" t="s">
        <v>72</v>
      </c>
      <c r="BP6" s="66" t="s">
        <v>26</v>
      </c>
      <c r="BQ6" s="66" t="s">
        <v>71</v>
      </c>
      <c r="BR6" s="66" t="s">
        <v>72</v>
      </c>
      <c r="BS6" s="67" t="s">
        <v>26</v>
      </c>
      <c r="BT6" s="66" t="s">
        <v>71</v>
      </c>
      <c r="BU6" s="66" t="s">
        <v>72</v>
      </c>
      <c r="BV6" s="67" t="s">
        <v>26</v>
      </c>
      <c r="BW6" s="62"/>
      <c r="BX6" s="63"/>
      <c r="BY6" s="64" t="s">
        <v>26</v>
      </c>
      <c r="BZ6" s="3"/>
      <c r="CA6" s="56" t="s">
        <v>26</v>
      </c>
      <c r="CB6" s="3"/>
      <c r="CC6" s="425"/>
      <c r="CD6" s="425"/>
    </row>
    <row r="7" spans="1:83" ht="14.5">
      <c r="A7" s="56">
        <v>1</v>
      </c>
      <c r="B7" s="68">
        <f>'1'!F29</f>
        <v>0</v>
      </c>
      <c r="C7" s="68">
        <v>40</v>
      </c>
      <c r="D7" s="69">
        <f t="shared" ref="D7:D13" si="0">B7*C7</f>
        <v>0</v>
      </c>
      <c r="E7" s="70">
        <f>'1'!F7</f>
        <v>169</v>
      </c>
      <c r="F7" s="70">
        <v>50</v>
      </c>
      <c r="G7" s="71">
        <f t="shared" ref="G7:G13" si="1">E7*F7</f>
        <v>8450</v>
      </c>
      <c r="H7" s="72">
        <f>'1'!F8</f>
        <v>15</v>
      </c>
      <c r="I7" s="70">
        <v>12</v>
      </c>
      <c r="J7" s="71">
        <f t="shared" ref="J7:J13" si="2">H7*I7</f>
        <v>180</v>
      </c>
      <c r="K7" s="68">
        <f>'1'!F15</f>
        <v>18</v>
      </c>
      <c r="L7" s="70">
        <v>25</v>
      </c>
      <c r="M7" s="71">
        <f t="shared" ref="M7:M13" si="3">K7*L7</f>
        <v>450</v>
      </c>
      <c r="N7" s="70">
        <f>'1'!F9</f>
        <v>16</v>
      </c>
      <c r="O7" s="70">
        <v>12</v>
      </c>
      <c r="P7" s="71">
        <f t="shared" ref="P7:P13" si="4">N7*O7</f>
        <v>192</v>
      </c>
      <c r="Q7" s="68">
        <f>'1'!F10</f>
        <v>0</v>
      </c>
      <c r="R7" s="72">
        <v>7.5</v>
      </c>
      <c r="S7" s="71">
        <f t="shared" ref="S7:S13" si="5">Q7*R7</f>
        <v>0</v>
      </c>
      <c r="T7" s="68">
        <f>'1'!F11</f>
        <v>192</v>
      </c>
      <c r="U7" s="72">
        <v>15</v>
      </c>
      <c r="V7" s="71">
        <f t="shared" ref="V7:V13" si="6">T7*U7</f>
        <v>2880</v>
      </c>
      <c r="W7" s="68">
        <f>'1'!F12</f>
        <v>43</v>
      </c>
      <c r="X7" s="72">
        <v>10</v>
      </c>
      <c r="Y7" s="71">
        <f t="shared" ref="Y7:Y13" si="7">W7*X7</f>
        <v>430</v>
      </c>
      <c r="Z7" s="68">
        <f>'1'!F13</f>
        <v>32</v>
      </c>
      <c r="AA7" s="72">
        <v>8</v>
      </c>
      <c r="AB7" s="71">
        <f t="shared" ref="AB7:AB13" si="8">Z7*AA7</f>
        <v>256</v>
      </c>
      <c r="AC7" s="68">
        <f>'1'!F14</f>
        <v>18</v>
      </c>
      <c r="AD7" s="72">
        <v>10</v>
      </c>
      <c r="AE7" s="73">
        <f t="shared" ref="AE7:AE13" si="9">AC7*AD7</f>
        <v>180</v>
      </c>
      <c r="AF7" s="72"/>
      <c r="AG7" s="72"/>
      <c r="AH7" s="73">
        <f t="shared" ref="AH7:AH13" si="10">AF7*AG7</f>
        <v>0</v>
      </c>
      <c r="AI7" s="74"/>
      <c r="AJ7" s="75"/>
      <c r="AK7" s="69">
        <f t="shared" ref="AK7:AK13" si="11">D7+G7+J7+M7+P7+S7+V7+Y7+AB7+AE7+AH7</f>
        <v>13018</v>
      </c>
      <c r="AL7" s="76"/>
      <c r="AM7" s="68">
        <f>'1'!F17</f>
        <v>16</v>
      </c>
      <c r="AN7" s="72">
        <v>20</v>
      </c>
      <c r="AO7" s="71">
        <f t="shared" ref="AO7:AO13" si="12">AM7*AN7</f>
        <v>320</v>
      </c>
      <c r="AP7" s="68">
        <f>'1'!F18</f>
        <v>43</v>
      </c>
      <c r="AQ7" s="72">
        <v>25</v>
      </c>
      <c r="AR7" s="71">
        <f t="shared" ref="AR7:AR13" si="13">AP7*AQ7</f>
        <v>1075</v>
      </c>
      <c r="AS7" s="68">
        <f>'1'!F21</f>
        <v>0</v>
      </c>
      <c r="AT7" s="70">
        <v>15</v>
      </c>
      <c r="AU7" s="71">
        <f t="shared" ref="AU7:AU13" si="14">AS7*AT7</f>
        <v>0</v>
      </c>
      <c r="AV7" s="68">
        <f>'1'!F22</f>
        <v>7</v>
      </c>
      <c r="AW7" s="68">
        <v>20</v>
      </c>
      <c r="AX7" s="71">
        <f t="shared" ref="AX7:AX13" si="15">AV7*AW7</f>
        <v>140</v>
      </c>
      <c r="AY7" s="68">
        <f>'1'!F26</f>
        <v>0</v>
      </c>
      <c r="AZ7" s="68">
        <v>25</v>
      </c>
      <c r="BA7" s="69">
        <f t="shared" ref="BA7:BA13" si="16">AY7*AZ7</f>
        <v>0</v>
      </c>
      <c r="BB7" s="68">
        <f>'1'!F27</f>
        <v>7</v>
      </c>
      <c r="BC7" s="68">
        <v>17</v>
      </c>
      <c r="BD7" s="69">
        <f t="shared" ref="BD7:BD13" si="17">BB7*BC7</f>
        <v>119</v>
      </c>
      <c r="BE7" s="68">
        <f>'1'!F28</f>
        <v>3</v>
      </c>
      <c r="BF7" s="70">
        <v>25</v>
      </c>
      <c r="BG7" s="71">
        <f t="shared" ref="BG7:BG13" si="18">BE7*BF7</f>
        <v>75</v>
      </c>
      <c r="BH7" s="70">
        <f>'1'!F23</f>
        <v>0</v>
      </c>
      <c r="BI7" s="70">
        <v>35</v>
      </c>
      <c r="BJ7" s="71">
        <f t="shared" ref="BJ7:BJ13" si="19">BH7*BI7</f>
        <v>0</v>
      </c>
      <c r="BK7" s="68">
        <f>'1'!F25</f>
        <v>0</v>
      </c>
      <c r="BL7" s="72">
        <v>22</v>
      </c>
      <c r="BM7" s="71">
        <f t="shared" ref="BM7:BM13" si="20">BK7*BL7</f>
        <v>0</v>
      </c>
      <c r="BN7" s="68">
        <f>'1'!F24</f>
        <v>2</v>
      </c>
      <c r="BO7" s="68">
        <v>25</v>
      </c>
      <c r="BP7" s="69">
        <f t="shared" ref="BP7:BP13" si="21">BN7*BO7</f>
        <v>50</v>
      </c>
      <c r="BQ7" s="68">
        <f>'1'!F19</f>
        <v>0</v>
      </c>
      <c r="BR7" s="70">
        <v>40</v>
      </c>
      <c r="BS7" s="77">
        <f t="shared" ref="BS7:BS13" si="22">BQ7*BR7</f>
        <v>0</v>
      </c>
      <c r="BT7" s="68">
        <f>'1'!F20</f>
        <v>0</v>
      </c>
      <c r="BU7" s="70">
        <v>80</v>
      </c>
      <c r="BV7" s="77">
        <f t="shared" ref="BV7:BV13" si="23">BT7*BU7</f>
        <v>0</v>
      </c>
      <c r="BW7" s="78"/>
      <c r="BX7" s="79"/>
      <c r="BY7" s="69">
        <f t="shared" ref="BY7:BY13" si="24">AO7+AR7+AU7+AX7+BA7+BD7+BG7+BJ7+BM7+BP7+BS7+BV7</f>
        <v>1779</v>
      </c>
      <c r="BZ7" s="39"/>
      <c r="CA7" s="71">
        <f t="shared" ref="CA7:CA13" si="25">BY7+AK7</f>
        <v>14797</v>
      </c>
      <c r="CB7" s="39"/>
      <c r="CC7" s="39"/>
      <c r="CD7" s="39">
        <f t="shared" ref="CD7:CD13" si="26">CA7-CC7</f>
        <v>14797</v>
      </c>
    </row>
    <row r="8" spans="1:83" ht="14.5">
      <c r="A8" s="56">
        <v>2</v>
      </c>
      <c r="B8" s="70">
        <f>'2'!F29</f>
        <v>0</v>
      </c>
      <c r="C8" s="68">
        <f>C7</f>
        <v>40</v>
      </c>
      <c r="D8" s="69">
        <f t="shared" si="0"/>
        <v>0</v>
      </c>
      <c r="E8" s="70">
        <f>'2'!F7</f>
        <v>214</v>
      </c>
      <c r="F8" s="70">
        <v>50</v>
      </c>
      <c r="G8" s="71">
        <f t="shared" si="1"/>
        <v>10700</v>
      </c>
      <c r="H8" s="84">
        <f>'2'!F8</f>
        <v>12</v>
      </c>
      <c r="I8" s="70">
        <f>I7</f>
        <v>12</v>
      </c>
      <c r="J8" s="71">
        <f t="shared" si="2"/>
        <v>144</v>
      </c>
      <c r="K8" s="84">
        <f>'2'!F15</f>
        <v>18</v>
      </c>
      <c r="L8" s="70">
        <f>L7</f>
        <v>25</v>
      </c>
      <c r="M8" s="71">
        <f t="shared" si="3"/>
        <v>450</v>
      </c>
      <c r="N8" s="68">
        <f>'2'!F9</f>
        <v>62</v>
      </c>
      <c r="O8" s="68">
        <f>O7</f>
        <v>12</v>
      </c>
      <c r="P8" s="71">
        <f t="shared" si="4"/>
        <v>744</v>
      </c>
      <c r="Q8" s="68">
        <f>'2'!F10</f>
        <v>0</v>
      </c>
      <c r="R8" s="72">
        <f>R7</f>
        <v>7.5</v>
      </c>
      <c r="S8" s="71">
        <f t="shared" si="5"/>
        <v>0</v>
      </c>
      <c r="T8" s="68">
        <f>'2'!F11</f>
        <v>176</v>
      </c>
      <c r="U8" s="72">
        <f>U7</f>
        <v>15</v>
      </c>
      <c r="V8" s="71">
        <f t="shared" si="6"/>
        <v>2640</v>
      </c>
      <c r="W8" s="68">
        <f>'2'!F12</f>
        <v>74</v>
      </c>
      <c r="X8" s="72">
        <f>X7</f>
        <v>10</v>
      </c>
      <c r="Y8" s="71">
        <f t="shared" si="7"/>
        <v>740</v>
      </c>
      <c r="Z8" s="68">
        <f>'2'!F13</f>
        <v>33</v>
      </c>
      <c r="AA8" s="72">
        <f>AA7</f>
        <v>8</v>
      </c>
      <c r="AB8" s="71">
        <f t="shared" si="8"/>
        <v>264</v>
      </c>
      <c r="AC8" s="68">
        <f>'2'!F14</f>
        <v>9</v>
      </c>
      <c r="AD8" s="72">
        <f>AD7</f>
        <v>10</v>
      </c>
      <c r="AE8" s="73">
        <f t="shared" si="9"/>
        <v>90</v>
      </c>
      <c r="AF8" s="68"/>
      <c r="AG8" s="72">
        <f>AG7</f>
        <v>0</v>
      </c>
      <c r="AH8" s="73">
        <f t="shared" si="10"/>
        <v>0</v>
      </c>
      <c r="AI8" s="74"/>
      <c r="AJ8" s="75"/>
      <c r="AK8" s="69">
        <f t="shared" si="11"/>
        <v>15772</v>
      </c>
      <c r="AL8" s="76"/>
      <c r="AM8" s="68">
        <f>'2'!F17</f>
        <v>16</v>
      </c>
      <c r="AN8" s="72">
        <v>20</v>
      </c>
      <c r="AO8" s="71">
        <f t="shared" si="12"/>
        <v>320</v>
      </c>
      <c r="AP8" s="68">
        <f>'2'!F18</f>
        <v>51</v>
      </c>
      <c r="AQ8" s="72">
        <v>25</v>
      </c>
      <c r="AR8" s="71">
        <f t="shared" si="13"/>
        <v>1275</v>
      </c>
      <c r="AS8" s="68">
        <f>'2'!F21</f>
        <v>0</v>
      </c>
      <c r="AT8" s="70">
        <f>AT7</f>
        <v>15</v>
      </c>
      <c r="AU8" s="71">
        <f t="shared" si="14"/>
        <v>0</v>
      </c>
      <c r="AV8" s="68">
        <f>'2'!F22</f>
        <v>6</v>
      </c>
      <c r="AW8" s="68">
        <v>20</v>
      </c>
      <c r="AX8" s="71">
        <f t="shared" si="15"/>
        <v>120</v>
      </c>
      <c r="AY8" s="68">
        <f>'2'!F26</f>
        <v>0</v>
      </c>
      <c r="AZ8" s="68">
        <v>25</v>
      </c>
      <c r="BA8" s="69">
        <f t="shared" si="16"/>
        <v>0</v>
      </c>
      <c r="BB8" s="68">
        <f>'2'!F27</f>
        <v>6</v>
      </c>
      <c r="BC8" s="68">
        <f t="shared" ref="BC8:BC13" si="27">BC7</f>
        <v>17</v>
      </c>
      <c r="BD8" s="69">
        <f t="shared" si="17"/>
        <v>102</v>
      </c>
      <c r="BE8" s="68">
        <f>'2'!F28</f>
        <v>6</v>
      </c>
      <c r="BF8" s="70">
        <f>BF7</f>
        <v>25</v>
      </c>
      <c r="BG8" s="71">
        <f t="shared" si="18"/>
        <v>150</v>
      </c>
      <c r="BH8" s="68">
        <f>'2'!F23</f>
        <v>0</v>
      </c>
      <c r="BI8" s="70">
        <f>BI7</f>
        <v>35</v>
      </c>
      <c r="BJ8" s="71">
        <f t="shared" si="19"/>
        <v>0</v>
      </c>
      <c r="BK8" s="68">
        <f>'2'!F25</f>
        <v>0</v>
      </c>
      <c r="BL8" s="72">
        <f>BL7</f>
        <v>22</v>
      </c>
      <c r="BM8" s="71">
        <f t="shared" si="20"/>
        <v>0</v>
      </c>
      <c r="BN8" s="68">
        <f>'2'!F24</f>
        <v>6</v>
      </c>
      <c r="BO8" s="68">
        <v>25</v>
      </c>
      <c r="BP8" s="69">
        <f t="shared" si="21"/>
        <v>150</v>
      </c>
      <c r="BQ8" s="68">
        <f>'2'!F19</f>
        <v>0</v>
      </c>
      <c r="BR8" s="70">
        <f>BR7</f>
        <v>40</v>
      </c>
      <c r="BS8" s="77">
        <f t="shared" si="22"/>
        <v>0</v>
      </c>
      <c r="BT8" s="68">
        <f>'2'!F20</f>
        <v>0</v>
      </c>
      <c r="BU8" s="70">
        <f>BU7</f>
        <v>80</v>
      </c>
      <c r="BV8" s="77">
        <f t="shared" si="23"/>
        <v>0</v>
      </c>
      <c r="BW8" s="78"/>
      <c r="BX8" s="79"/>
      <c r="BY8" s="69">
        <f t="shared" si="24"/>
        <v>2117</v>
      </c>
      <c r="BZ8" s="39"/>
      <c r="CA8" s="71">
        <f t="shared" si="25"/>
        <v>17889</v>
      </c>
      <c r="CB8" s="90"/>
      <c r="CC8" s="39"/>
      <c r="CD8" s="39">
        <f t="shared" si="26"/>
        <v>17889</v>
      </c>
    </row>
    <row r="9" spans="1:83" ht="14.5">
      <c r="A9" s="56">
        <v>3</v>
      </c>
      <c r="B9" s="70">
        <f>'3'!F29</f>
        <v>0</v>
      </c>
      <c r="C9" s="68">
        <f>C7</f>
        <v>40</v>
      </c>
      <c r="D9" s="69">
        <f t="shared" si="0"/>
        <v>0</v>
      </c>
      <c r="E9" s="70">
        <f>'3'!F7</f>
        <v>185</v>
      </c>
      <c r="F9" s="70">
        <v>50</v>
      </c>
      <c r="G9" s="71">
        <f t="shared" si="1"/>
        <v>9250</v>
      </c>
      <c r="H9" s="84">
        <f>'3'!F8</f>
        <v>11</v>
      </c>
      <c r="I9" s="70">
        <f>I7</f>
        <v>12</v>
      </c>
      <c r="J9" s="71">
        <f t="shared" si="2"/>
        <v>132</v>
      </c>
      <c r="K9" s="84">
        <f>'3'!F15</f>
        <v>20</v>
      </c>
      <c r="L9" s="70">
        <f>L7</f>
        <v>25</v>
      </c>
      <c r="M9" s="71">
        <f t="shared" si="3"/>
        <v>500</v>
      </c>
      <c r="N9" s="68">
        <f>'3'!F9</f>
        <v>118</v>
      </c>
      <c r="O9" s="68">
        <f>O7</f>
        <v>12</v>
      </c>
      <c r="P9" s="71">
        <f t="shared" si="4"/>
        <v>1416</v>
      </c>
      <c r="Q9" s="68">
        <f>'3'!F10</f>
        <v>0</v>
      </c>
      <c r="R9" s="72">
        <f>R7</f>
        <v>7.5</v>
      </c>
      <c r="S9" s="71">
        <f t="shared" si="5"/>
        <v>0</v>
      </c>
      <c r="T9" s="68">
        <f>'3'!F11</f>
        <v>191</v>
      </c>
      <c r="U9" s="72">
        <f>U7</f>
        <v>15</v>
      </c>
      <c r="V9" s="71">
        <f t="shared" si="6"/>
        <v>2865</v>
      </c>
      <c r="W9" s="68">
        <f>'3'!F12</f>
        <v>33</v>
      </c>
      <c r="X9" s="72">
        <f>X7</f>
        <v>10</v>
      </c>
      <c r="Y9" s="71">
        <f t="shared" si="7"/>
        <v>330</v>
      </c>
      <c r="Z9" s="68">
        <f>'3'!F13</f>
        <v>44</v>
      </c>
      <c r="AA9" s="72">
        <f>AA7</f>
        <v>8</v>
      </c>
      <c r="AB9" s="71">
        <f t="shared" si="8"/>
        <v>352</v>
      </c>
      <c r="AC9" s="68">
        <f>'3'!F14</f>
        <v>12</v>
      </c>
      <c r="AD9" s="72">
        <f>AD7</f>
        <v>10</v>
      </c>
      <c r="AE9" s="73">
        <f t="shared" si="9"/>
        <v>120</v>
      </c>
      <c r="AF9" s="68"/>
      <c r="AG9" s="72">
        <f>AG7</f>
        <v>0</v>
      </c>
      <c r="AH9" s="73">
        <f t="shared" si="10"/>
        <v>0</v>
      </c>
      <c r="AI9" s="74"/>
      <c r="AJ9" s="75"/>
      <c r="AK9" s="69">
        <f t="shared" si="11"/>
        <v>14965</v>
      </c>
      <c r="AL9" s="76"/>
      <c r="AM9" s="68">
        <f>'3'!F17</f>
        <v>15</v>
      </c>
      <c r="AN9" s="72">
        <f>AN7</f>
        <v>20</v>
      </c>
      <c r="AO9" s="71">
        <f t="shared" si="12"/>
        <v>300</v>
      </c>
      <c r="AP9" s="68">
        <f>'3'!F18</f>
        <v>38</v>
      </c>
      <c r="AQ9" s="72">
        <v>25</v>
      </c>
      <c r="AR9" s="71">
        <f t="shared" si="13"/>
        <v>950</v>
      </c>
      <c r="AS9" s="68">
        <f>'3'!F21</f>
        <v>0</v>
      </c>
      <c r="AT9" s="70">
        <f>AT7</f>
        <v>15</v>
      </c>
      <c r="AU9" s="71">
        <f t="shared" si="14"/>
        <v>0</v>
      </c>
      <c r="AV9" s="68">
        <f>'3'!F22</f>
        <v>4</v>
      </c>
      <c r="AW9" s="68">
        <v>20</v>
      </c>
      <c r="AX9" s="71">
        <f t="shared" si="15"/>
        <v>80</v>
      </c>
      <c r="AY9" s="68">
        <f>'3'!F26</f>
        <v>0</v>
      </c>
      <c r="AZ9" s="68">
        <v>25</v>
      </c>
      <c r="BA9" s="69">
        <f t="shared" si="16"/>
        <v>0</v>
      </c>
      <c r="BB9" s="68">
        <f>'3'!F27</f>
        <v>7</v>
      </c>
      <c r="BC9" s="68">
        <f t="shared" si="27"/>
        <v>17</v>
      </c>
      <c r="BD9" s="69">
        <f t="shared" si="17"/>
        <v>119</v>
      </c>
      <c r="BE9" s="68">
        <f>'3'!F28</f>
        <v>4</v>
      </c>
      <c r="BF9" s="70">
        <f>BF7</f>
        <v>25</v>
      </c>
      <c r="BG9" s="71">
        <f t="shared" si="18"/>
        <v>100</v>
      </c>
      <c r="BH9" s="68">
        <f>'3'!F23</f>
        <v>0</v>
      </c>
      <c r="BI9" s="70">
        <f>BI7</f>
        <v>35</v>
      </c>
      <c r="BJ9" s="71">
        <f t="shared" si="19"/>
        <v>0</v>
      </c>
      <c r="BK9" s="68">
        <f>'3'!F25</f>
        <v>0</v>
      </c>
      <c r="BL9" s="72">
        <f>BL7</f>
        <v>22</v>
      </c>
      <c r="BM9" s="71">
        <f t="shared" si="20"/>
        <v>0</v>
      </c>
      <c r="BN9" s="68">
        <f>'3'!F24</f>
        <v>6</v>
      </c>
      <c r="BO9" s="68">
        <v>25</v>
      </c>
      <c r="BP9" s="69">
        <f t="shared" si="21"/>
        <v>150</v>
      </c>
      <c r="BQ9" s="68">
        <f>'3'!F19</f>
        <v>0</v>
      </c>
      <c r="BR9" s="70">
        <f>BR7</f>
        <v>40</v>
      </c>
      <c r="BS9" s="77">
        <f t="shared" si="22"/>
        <v>0</v>
      </c>
      <c r="BT9" s="68">
        <f>'3'!F20</f>
        <v>0</v>
      </c>
      <c r="BU9" s="70">
        <f>BU7</f>
        <v>80</v>
      </c>
      <c r="BV9" s="77">
        <f t="shared" si="23"/>
        <v>0</v>
      </c>
      <c r="BW9" s="78"/>
      <c r="BX9" s="79"/>
      <c r="BY9" s="69">
        <f t="shared" si="24"/>
        <v>1699</v>
      </c>
      <c r="BZ9" s="39"/>
      <c r="CA9" s="71">
        <f t="shared" si="25"/>
        <v>16664</v>
      </c>
      <c r="CB9" s="90"/>
      <c r="CC9" s="39"/>
      <c r="CD9" s="39">
        <f t="shared" si="26"/>
        <v>16664</v>
      </c>
    </row>
    <row r="10" spans="1:83" ht="14.5">
      <c r="A10" s="56">
        <v>4</v>
      </c>
      <c r="B10" s="70">
        <f>'4'!F29</f>
        <v>0</v>
      </c>
      <c r="C10" s="68">
        <f>C7</f>
        <v>40</v>
      </c>
      <c r="D10" s="69">
        <f t="shared" si="0"/>
        <v>0</v>
      </c>
      <c r="E10" s="70">
        <f>'4'!F7</f>
        <v>142</v>
      </c>
      <c r="F10" s="70">
        <v>50</v>
      </c>
      <c r="G10" s="71">
        <f t="shared" si="1"/>
        <v>7100</v>
      </c>
      <c r="H10" s="84">
        <f>'4'!F8</f>
        <v>12</v>
      </c>
      <c r="I10" s="70">
        <f>I7</f>
        <v>12</v>
      </c>
      <c r="J10" s="71">
        <f t="shared" si="2"/>
        <v>144</v>
      </c>
      <c r="K10" s="84">
        <f>'4'!F15</f>
        <v>7</v>
      </c>
      <c r="L10" s="70">
        <f>L7</f>
        <v>25</v>
      </c>
      <c r="M10" s="71">
        <f t="shared" si="3"/>
        <v>175</v>
      </c>
      <c r="N10" s="68">
        <f>'4'!F9</f>
        <v>99</v>
      </c>
      <c r="O10" s="68">
        <f>O7</f>
        <v>12</v>
      </c>
      <c r="P10" s="71">
        <f t="shared" si="4"/>
        <v>1188</v>
      </c>
      <c r="Q10" s="68">
        <f>'4'!F10</f>
        <v>0</v>
      </c>
      <c r="R10" s="72">
        <f>R7</f>
        <v>7.5</v>
      </c>
      <c r="S10" s="71">
        <f t="shared" si="5"/>
        <v>0</v>
      </c>
      <c r="T10" s="68">
        <f>'4'!F11</f>
        <v>160</v>
      </c>
      <c r="U10" s="72">
        <f>U7</f>
        <v>15</v>
      </c>
      <c r="V10" s="71">
        <f t="shared" si="6"/>
        <v>2400</v>
      </c>
      <c r="W10" s="68">
        <f>'4'!F12</f>
        <v>24</v>
      </c>
      <c r="X10" s="72">
        <f>X7</f>
        <v>10</v>
      </c>
      <c r="Y10" s="71">
        <f t="shared" si="7"/>
        <v>240</v>
      </c>
      <c r="Z10" s="68">
        <f>'4'!F13</f>
        <v>34</v>
      </c>
      <c r="AA10" s="72">
        <f>AA7</f>
        <v>8</v>
      </c>
      <c r="AB10" s="71">
        <f t="shared" si="8"/>
        <v>272</v>
      </c>
      <c r="AC10" s="68">
        <f>'4'!F14</f>
        <v>10</v>
      </c>
      <c r="AD10" s="72">
        <f>AD7</f>
        <v>10</v>
      </c>
      <c r="AE10" s="73">
        <f t="shared" si="9"/>
        <v>100</v>
      </c>
      <c r="AF10" s="68"/>
      <c r="AG10" s="72">
        <f>AG7</f>
        <v>0</v>
      </c>
      <c r="AH10" s="73">
        <f t="shared" si="10"/>
        <v>0</v>
      </c>
      <c r="AI10" s="74"/>
      <c r="AJ10" s="75"/>
      <c r="AK10" s="69">
        <f t="shared" si="11"/>
        <v>11619</v>
      </c>
      <c r="AL10" s="76"/>
      <c r="AM10" s="68">
        <f>'4'!F17</f>
        <v>4</v>
      </c>
      <c r="AN10" s="72">
        <v>20</v>
      </c>
      <c r="AO10" s="71">
        <f t="shared" si="12"/>
        <v>80</v>
      </c>
      <c r="AP10" s="68">
        <f>'4'!F18</f>
        <v>27</v>
      </c>
      <c r="AQ10" s="72">
        <v>25</v>
      </c>
      <c r="AR10" s="71">
        <f t="shared" si="13"/>
        <v>675</v>
      </c>
      <c r="AS10" s="68">
        <f>'4'!F21</f>
        <v>0</v>
      </c>
      <c r="AT10" s="70">
        <f>AT7</f>
        <v>15</v>
      </c>
      <c r="AU10" s="71">
        <f t="shared" si="14"/>
        <v>0</v>
      </c>
      <c r="AV10" s="68">
        <f>'4'!F22</f>
        <v>3</v>
      </c>
      <c r="AW10" s="68">
        <v>20</v>
      </c>
      <c r="AX10" s="71">
        <f t="shared" si="15"/>
        <v>60</v>
      </c>
      <c r="AY10" s="68">
        <f>'4'!F26</f>
        <v>0</v>
      </c>
      <c r="AZ10" s="68">
        <v>25</v>
      </c>
      <c r="BA10" s="69">
        <f t="shared" si="16"/>
        <v>0</v>
      </c>
      <c r="BB10" s="68">
        <f>'4'!F27</f>
        <v>6</v>
      </c>
      <c r="BC10" s="68">
        <f t="shared" si="27"/>
        <v>17</v>
      </c>
      <c r="BD10" s="69">
        <f t="shared" si="17"/>
        <v>102</v>
      </c>
      <c r="BE10" s="68">
        <f>'4'!F28</f>
        <v>10</v>
      </c>
      <c r="BF10" s="70">
        <f>BF7</f>
        <v>25</v>
      </c>
      <c r="BG10" s="71">
        <f t="shared" si="18"/>
        <v>250</v>
      </c>
      <c r="BH10" s="68">
        <f>'4'!F23</f>
        <v>0</v>
      </c>
      <c r="BI10" s="70">
        <f>BI7</f>
        <v>35</v>
      </c>
      <c r="BJ10" s="71">
        <f t="shared" si="19"/>
        <v>0</v>
      </c>
      <c r="BK10" s="68">
        <f>'4'!F25</f>
        <v>0</v>
      </c>
      <c r="BL10" s="72">
        <f>BL7</f>
        <v>22</v>
      </c>
      <c r="BM10" s="71">
        <f t="shared" si="20"/>
        <v>0</v>
      </c>
      <c r="BN10" s="68">
        <f>'4'!F24</f>
        <v>6</v>
      </c>
      <c r="BO10" s="68">
        <v>25</v>
      </c>
      <c r="BP10" s="69">
        <f t="shared" si="21"/>
        <v>150</v>
      </c>
      <c r="BQ10" s="68">
        <f>'4'!F19</f>
        <v>0</v>
      </c>
      <c r="BR10" s="70">
        <v>50</v>
      </c>
      <c r="BS10" s="77">
        <f t="shared" si="22"/>
        <v>0</v>
      </c>
      <c r="BT10" s="68">
        <f>'4'!F20</f>
        <v>0</v>
      </c>
      <c r="BU10" s="70">
        <f>BU7</f>
        <v>80</v>
      </c>
      <c r="BV10" s="77">
        <f t="shared" si="23"/>
        <v>0</v>
      </c>
      <c r="BW10" s="78"/>
      <c r="BX10" s="79"/>
      <c r="BY10" s="69">
        <f t="shared" si="24"/>
        <v>1317</v>
      </c>
      <c r="BZ10" s="39"/>
      <c r="CA10" s="71">
        <f t="shared" si="25"/>
        <v>12936</v>
      </c>
      <c r="CB10" s="90"/>
      <c r="CC10" s="39"/>
      <c r="CD10" s="39">
        <f t="shared" si="26"/>
        <v>12936</v>
      </c>
    </row>
    <row r="11" spans="1:83" ht="14.5">
      <c r="A11" s="56">
        <v>5</v>
      </c>
      <c r="B11" s="70">
        <f>'5'!F29</f>
        <v>0</v>
      </c>
      <c r="C11" s="68">
        <f>C7</f>
        <v>40</v>
      </c>
      <c r="D11" s="69">
        <f t="shared" si="0"/>
        <v>0</v>
      </c>
      <c r="E11" s="70">
        <f>'5'!F7</f>
        <v>207</v>
      </c>
      <c r="F11" s="70">
        <v>50</v>
      </c>
      <c r="G11" s="71">
        <f t="shared" si="1"/>
        <v>10350</v>
      </c>
      <c r="H11" s="84">
        <f>'5'!F8</f>
        <v>19</v>
      </c>
      <c r="I11" s="70">
        <f>I7</f>
        <v>12</v>
      </c>
      <c r="J11" s="71">
        <f t="shared" si="2"/>
        <v>228</v>
      </c>
      <c r="K11" s="84">
        <f>'5'!F15</f>
        <v>22</v>
      </c>
      <c r="L11" s="70">
        <f>L7</f>
        <v>25</v>
      </c>
      <c r="M11" s="71">
        <f t="shared" si="3"/>
        <v>550</v>
      </c>
      <c r="N11" s="68">
        <f>'5'!F9</f>
        <v>21</v>
      </c>
      <c r="O11" s="68">
        <f>O7</f>
        <v>12</v>
      </c>
      <c r="P11" s="71">
        <f t="shared" si="4"/>
        <v>252</v>
      </c>
      <c r="Q11" s="68">
        <f>'5'!F10</f>
        <v>0</v>
      </c>
      <c r="R11" s="72">
        <f>R7</f>
        <v>7.5</v>
      </c>
      <c r="S11" s="71">
        <f t="shared" si="5"/>
        <v>0</v>
      </c>
      <c r="T11" s="68">
        <f>'5'!F11</f>
        <v>273</v>
      </c>
      <c r="U11" s="72">
        <f>U7</f>
        <v>15</v>
      </c>
      <c r="V11" s="71">
        <f t="shared" si="6"/>
        <v>4095</v>
      </c>
      <c r="W11" s="68">
        <f>'5'!F12</f>
        <v>59</v>
      </c>
      <c r="X11" s="72">
        <f>X7</f>
        <v>10</v>
      </c>
      <c r="Y11" s="71">
        <f t="shared" si="7"/>
        <v>590</v>
      </c>
      <c r="Z11" s="68">
        <f>'5'!F13</f>
        <v>59</v>
      </c>
      <c r="AA11" s="72">
        <f>AA7</f>
        <v>8</v>
      </c>
      <c r="AB11" s="71">
        <f t="shared" si="8"/>
        <v>472</v>
      </c>
      <c r="AC11" s="68">
        <f>'5'!F14</f>
        <v>15</v>
      </c>
      <c r="AD11" s="72">
        <f>AD7</f>
        <v>10</v>
      </c>
      <c r="AE11" s="73">
        <f t="shared" si="9"/>
        <v>150</v>
      </c>
      <c r="AF11" s="68"/>
      <c r="AG11" s="72">
        <f>AG7</f>
        <v>0</v>
      </c>
      <c r="AH11" s="73">
        <f t="shared" si="10"/>
        <v>0</v>
      </c>
      <c r="AI11" s="74"/>
      <c r="AJ11" s="75"/>
      <c r="AK11" s="69">
        <f t="shared" si="11"/>
        <v>16687</v>
      </c>
      <c r="AL11" s="76"/>
      <c r="AM11" s="68">
        <f>'5'!F17</f>
        <v>17</v>
      </c>
      <c r="AN11" s="72">
        <v>20</v>
      </c>
      <c r="AO11" s="71">
        <f t="shared" si="12"/>
        <v>340</v>
      </c>
      <c r="AP11" s="68">
        <f>'5'!F18</f>
        <v>50</v>
      </c>
      <c r="AQ11" s="72">
        <v>25</v>
      </c>
      <c r="AR11" s="71">
        <f t="shared" si="13"/>
        <v>1250</v>
      </c>
      <c r="AS11" s="68">
        <f>'5'!F21</f>
        <v>0</v>
      </c>
      <c r="AT11" s="70">
        <f>AT7</f>
        <v>15</v>
      </c>
      <c r="AU11" s="71">
        <f t="shared" si="14"/>
        <v>0</v>
      </c>
      <c r="AV11" s="68">
        <f>'5'!F22</f>
        <v>10</v>
      </c>
      <c r="AW11" s="68">
        <v>20</v>
      </c>
      <c r="AX11" s="71">
        <f t="shared" si="15"/>
        <v>200</v>
      </c>
      <c r="AY11" s="68">
        <f>'5'!F26</f>
        <v>0</v>
      </c>
      <c r="AZ11" s="68">
        <v>25</v>
      </c>
      <c r="BA11" s="69">
        <f t="shared" si="16"/>
        <v>0</v>
      </c>
      <c r="BB11" s="68">
        <f>'5'!F27</f>
        <v>17</v>
      </c>
      <c r="BC11" s="68">
        <f t="shared" si="27"/>
        <v>17</v>
      </c>
      <c r="BD11" s="69">
        <f t="shared" si="17"/>
        <v>289</v>
      </c>
      <c r="BE11" s="68">
        <f>'5'!F28</f>
        <v>8</v>
      </c>
      <c r="BF11" s="70">
        <f>BF7</f>
        <v>25</v>
      </c>
      <c r="BG11" s="71">
        <f t="shared" si="18"/>
        <v>200</v>
      </c>
      <c r="BH11" s="68">
        <f>'5'!F23</f>
        <v>0</v>
      </c>
      <c r="BI11" s="70">
        <f>BI7</f>
        <v>35</v>
      </c>
      <c r="BJ11" s="71">
        <f t="shared" si="19"/>
        <v>0</v>
      </c>
      <c r="BK11" s="68">
        <f>'5'!F25</f>
        <v>0</v>
      </c>
      <c r="BL11" s="72">
        <f>BL7</f>
        <v>22</v>
      </c>
      <c r="BM11" s="71">
        <f t="shared" si="20"/>
        <v>0</v>
      </c>
      <c r="BN11" s="68">
        <f>'5'!F24</f>
        <v>3</v>
      </c>
      <c r="BO11" s="68">
        <v>25</v>
      </c>
      <c r="BP11" s="69">
        <f t="shared" si="21"/>
        <v>75</v>
      </c>
      <c r="BQ11" s="68">
        <f>'5'!F19</f>
        <v>0</v>
      </c>
      <c r="BR11" s="70">
        <v>50</v>
      </c>
      <c r="BS11" s="77">
        <f t="shared" si="22"/>
        <v>0</v>
      </c>
      <c r="BT11" s="68">
        <f>'5'!F20</f>
        <v>0</v>
      </c>
      <c r="BU11" s="70">
        <f>BU7</f>
        <v>80</v>
      </c>
      <c r="BV11" s="77">
        <f t="shared" si="23"/>
        <v>0</v>
      </c>
      <c r="BW11" s="78"/>
      <c r="BX11" s="79"/>
      <c r="BY11" s="69">
        <f t="shared" si="24"/>
        <v>2354</v>
      </c>
      <c r="BZ11" s="39"/>
      <c r="CA11" s="71">
        <f t="shared" si="25"/>
        <v>19041</v>
      </c>
      <c r="CB11" s="90"/>
      <c r="CC11" s="39"/>
      <c r="CD11" s="39">
        <f t="shared" si="26"/>
        <v>19041</v>
      </c>
    </row>
    <row r="12" spans="1:83" ht="14.5">
      <c r="A12" s="56">
        <v>6</v>
      </c>
      <c r="B12" s="70">
        <f>'6'!F29</f>
        <v>0</v>
      </c>
      <c r="C12" s="68">
        <f>C7</f>
        <v>40</v>
      </c>
      <c r="D12" s="69">
        <f t="shared" si="0"/>
        <v>0</v>
      </c>
      <c r="E12" s="70">
        <f>'6'!F7</f>
        <v>203</v>
      </c>
      <c r="F12" s="70">
        <v>50</v>
      </c>
      <c r="G12" s="71">
        <f t="shared" si="1"/>
        <v>10150</v>
      </c>
      <c r="H12" s="84">
        <f>'6'!F8</f>
        <v>6</v>
      </c>
      <c r="I12" s="70">
        <f>I7</f>
        <v>12</v>
      </c>
      <c r="J12" s="71">
        <f t="shared" si="2"/>
        <v>72</v>
      </c>
      <c r="K12" s="84">
        <f>'6'!F15</f>
        <v>7</v>
      </c>
      <c r="L12" s="70">
        <f>L7</f>
        <v>25</v>
      </c>
      <c r="M12" s="71">
        <f t="shared" si="3"/>
        <v>175</v>
      </c>
      <c r="N12" s="68">
        <f>'6'!F9</f>
        <v>50</v>
      </c>
      <c r="O12" s="68">
        <f>O7</f>
        <v>12</v>
      </c>
      <c r="P12" s="71">
        <f t="shared" si="4"/>
        <v>600</v>
      </c>
      <c r="Q12" s="68">
        <f>'6'!F10</f>
        <v>0</v>
      </c>
      <c r="R12" s="72">
        <f>R7</f>
        <v>7.5</v>
      </c>
      <c r="S12" s="71">
        <f t="shared" si="5"/>
        <v>0</v>
      </c>
      <c r="T12" s="68">
        <f>'6'!F11</f>
        <v>220</v>
      </c>
      <c r="U12" s="72">
        <f>U7</f>
        <v>15</v>
      </c>
      <c r="V12" s="71">
        <f t="shared" si="6"/>
        <v>3300</v>
      </c>
      <c r="W12" s="68">
        <f>'6'!F12</f>
        <v>35</v>
      </c>
      <c r="X12" s="72">
        <f>X7</f>
        <v>10</v>
      </c>
      <c r="Y12" s="71">
        <f t="shared" si="7"/>
        <v>350</v>
      </c>
      <c r="Z12" s="68">
        <f>'6'!F13</f>
        <v>36</v>
      </c>
      <c r="AA12" s="72">
        <f>AA7</f>
        <v>8</v>
      </c>
      <c r="AB12" s="71">
        <f t="shared" si="8"/>
        <v>288</v>
      </c>
      <c r="AC12" s="68">
        <f>'6'!F14</f>
        <v>6</v>
      </c>
      <c r="AD12" s="72">
        <f>AD7</f>
        <v>10</v>
      </c>
      <c r="AE12" s="73">
        <f t="shared" si="9"/>
        <v>60</v>
      </c>
      <c r="AF12" s="68"/>
      <c r="AG12" s="72">
        <f>AG7</f>
        <v>0</v>
      </c>
      <c r="AH12" s="118">
        <f t="shared" si="10"/>
        <v>0</v>
      </c>
      <c r="AI12" s="119"/>
      <c r="AJ12" s="119"/>
      <c r="AK12" s="69">
        <f t="shared" si="11"/>
        <v>14995</v>
      </c>
      <c r="AL12" s="76"/>
      <c r="AM12" s="68">
        <f>'6'!F17</f>
        <v>7</v>
      </c>
      <c r="AN12" s="72">
        <v>20</v>
      </c>
      <c r="AO12" s="71">
        <f t="shared" si="12"/>
        <v>140</v>
      </c>
      <c r="AP12" s="68">
        <f>'6'!F18</f>
        <v>41</v>
      </c>
      <c r="AQ12" s="72">
        <v>25</v>
      </c>
      <c r="AR12" s="71">
        <f t="shared" si="13"/>
        <v>1025</v>
      </c>
      <c r="AS12" s="68">
        <f>'6'!F21</f>
        <v>0</v>
      </c>
      <c r="AT12" s="70">
        <f>AT7</f>
        <v>15</v>
      </c>
      <c r="AU12" s="71">
        <f t="shared" si="14"/>
        <v>0</v>
      </c>
      <c r="AV12" s="68">
        <f>'6'!F22</f>
        <v>7</v>
      </c>
      <c r="AW12" s="68">
        <v>20</v>
      </c>
      <c r="AX12" s="71">
        <f t="shared" si="15"/>
        <v>140</v>
      </c>
      <c r="AY12" s="68">
        <f>'6'!F26</f>
        <v>0</v>
      </c>
      <c r="AZ12" s="68">
        <v>25</v>
      </c>
      <c r="BA12" s="69">
        <f t="shared" si="16"/>
        <v>0</v>
      </c>
      <c r="BB12" s="68">
        <f>'6'!F27</f>
        <v>8</v>
      </c>
      <c r="BC12" s="68">
        <f t="shared" si="27"/>
        <v>17</v>
      </c>
      <c r="BD12" s="69">
        <f t="shared" si="17"/>
        <v>136</v>
      </c>
      <c r="BE12" s="68">
        <f>'6'!F28</f>
        <v>3</v>
      </c>
      <c r="BF12" s="70">
        <f>BF7</f>
        <v>25</v>
      </c>
      <c r="BG12" s="71">
        <f t="shared" si="18"/>
        <v>75</v>
      </c>
      <c r="BH12" s="68">
        <f>'6'!F23</f>
        <v>0</v>
      </c>
      <c r="BI12" s="70">
        <f>BI7</f>
        <v>35</v>
      </c>
      <c r="BJ12" s="71">
        <f t="shared" si="19"/>
        <v>0</v>
      </c>
      <c r="BK12" s="68">
        <f>'6'!F25</f>
        <v>0</v>
      </c>
      <c r="BL12" s="72">
        <f>BL7</f>
        <v>22</v>
      </c>
      <c r="BM12" s="71">
        <f t="shared" si="20"/>
        <v>0</v>
      </c>
      <c r="BN12" s="68">
        <f>'6'!F24</f>
        <v>2</v>
      </c>
      <c r="BO12" s="68">
        <v>25</v>
      </c>
      <c r="BP12" s="69">
        <f t="shared" si="21"/>
        <v>50</v>
      </c>
      <c r="BQ12" s="68">
        <f>'6'!F19</f>
        <v>0</v>
      </c>
      <c r="BR12" s="70">
        <v>50</v>
      </c>
      <c r="BS12" s="77">
        <f t="shared" si="22"/>
        <v>0</v>
      </c>
      <c r="BT12" s="68">
        <f>'6'!F20</f>
        <v>0</v>
      </c>
      <c r="BU12" s="70">
        <f>BU7</f>
        <v>80</v>
      </c>
      <c r="BV12" s="77">
        <f t="shared" si="23"/>
        <v>0</v>
      </c>
      <c r="BW12" s="78"/>
      <c r="BX12" s="79"/>
      <c r="BY12" s="69">
        <f t="shared" si="24"/>
        <v>1566</v>
      </c>
      <c r="BZ12" s="39"/>
      <c r="CA12" s="71">
        <f t="shared" si="25"/>
        <v>16561</v>
      </c>
      <c r="CB12" s="90"/>
      <c r="CC12" s="39"/>
      <c r="CD12" s="39">
        <f t="shared" si="26"/>
        <v>16561</v>
      </c>
    </row>
    <row r="13" spans="1:83" ht="14.5">
      <c r="A13" s="56">
        <v>7</v>
      </c>
      <c r="B13" s="70">
        <f>'7'!F29</f>
        <v>0</v>
      </c>
      <c r="C13" s="68">
        <f>C7</f>
        <v>40</v>
      </c>
      <c r="D13" s="69">
        <f t="shared" si="0"/>
        <v>0</v>
      </c>
      <c r="E13" s="70">
        <f>'7'!F7</f>
        <v>158</v>
      </c>
      <c r="F13" s="70">
        <v>50</v>
      </c>
      <c r="G13" s="71">
        <f t="shared" si="1"/>
        <v>7900</v>
      </c>
      <c r="H13" s="84">
        <f>'7'!F8</f>
        <v>17</v>
      </c>
      <c r="I13" s="70">
        <f>I7</f>
        <v>12</v>
      </c>
      <c r="J13" s="71">
        <f t="shared" si="2"/>
        <v>204</v>
      </c>
      <c r="K13" s="84">
        <f>'7'!F15</f>
        <v>11</v>
      </c>
      <c r="L13" s="70">
        <f>L7</f>
        <v>25</v>
      </c>
      <c r="M13" s="71">
        <f t="shared" si="3"/>
        <v>275</v>
      </c>
      <c r="N13" s="68">
        <f>'7'!F9</f>
        <v>86</v>
      </c>
      <c r="O13" s="68">
        <f>O7</f>
        <v>12</v>
      </c>
      <c r="P13" s="71">
        <f t="shared" si="4"/>
        <v>1032</v>
      </c>
      <c r="Q13" s="68">
        <f>'7'!F10</f>
        <v>0</v>
      </c>
      <c r="R13" s="72">
        <f>R7</f>
        <v>7.5</v>
      </c>
      <c r="S13" s="71">
        <f t="shared" si="5"/>
        <v>0</v>
      </c>
      <c r="T13" s="68">
        <f>'7'!F11</f>
        <v>169</v>
      </c>
      <c r="U13" s="72">
        <f>U7</f>
        <v>15</v>
      </c>
      <c r="V13" s="71">
        <f t="shared" si="6"/>
        <v>2535</v>
      </c>
      <c r="W13" s="68">
        <f>'7'!F12</f>
        <v>34</v>
      </c>
      <c r="X13" s="72">
        <f>X7</f>
        <v>10</v>
      </c>
      <c r="Y13" s="71">
        <f t="shared" si="7"/>
        <v>340</v>
      </c>
      <c r="Z13" s="68">
        <f>'7'!F13</f>
        <v>33</v>
      </c>
      <c r="AA13" s="72">
        <f>AA7</f>
        <v>8</v>
      </c>
      <c r="AB13" s="71">
        <f t="shared" si="8"/>
        <v>264</v>
      </c>
      <c r="AC13" s="68">
        <f>'7'!F14</f>
        <v>11</v>
      </c>
      <c r="AD13" s="72">
        <f>AD7</f>
        <v>10</v>
      </c>
      <c r="AE13" s="73">
        <f t="shared" si="9"/>
        <v>110</v>
      </c>
      <c r="AF13" s="68"/>
      <c r="AG13" s="72">
        <f>AG7</f>
        <v>0</v>
      </c>
      <c r="AH13" s="118">
        <f t="shared" si="10"/>
        <v>0</v>
      </c>
      <c r="AI13" s="119"/>
      <c r="AJ13" s="119"/>
      <c r="AK13" s="69">
        <f t="shared" si="11"/>
        <v>12660</v>
      </c>
      <c r="AL13" s="76"/>
      <c r="AM13" s="68">
        <f>'7'!F17</f>
        <v>8</v>
      </c>
      <c r="AN13" s="72">
        <v>20</v>
      </c>
      <c r="AO13" s="71">
        <f t="shared" si="12"/>
        <v>160</v>
      </c>
      <c r="AP13" s="68">
        <f>'7'!F18</f>
        <v>31</v>
      </c>
      <c r="AQ13" s="72">
        <v>25</v>
      </c>
      <c r="AR13" s="71">
        <f t="shared" si="13"/>
        <v>775</v>
      </c>
      <c r="AS13" s="68">
        <f>'7'!F21</f>
        <v>0</v>
      </c>
      <c r="AT13" s="70">
        <f>AT7</f>
        <v>15</v>
      </c>
      <c r="AU13" s="71">
        <f t="shared" si="14"/>
        <v>0</v>
      </c>
      <c r="AV13" s="68">
        <f>'7'!F22</f>
        <v>9</v>
      </c>
      <c r="AW13" s="68">
        <v>20</v>
      </c>
      <c r="AX13" s="71">
        <f t="shared" si="15"/>
        <v>180</v>
      </c>
      <c r="AY13" s="68">
        <f>'7'!F26</f>
        <v>0</v>
      </c>
      <c r="AZ13" s="68">
        <v>25</v>
      </c>
      <c r="BA13" s="69">
        <f t="shared" si="16"/>
        <v>0</v>
      </c>
      <c r="BB13" s="68">
        <f>'7'!F27</f>
        <v>6</v>
      </c>
      <c r="BC13" s="68">
        <f t="shared" si="27"/>
        <v>17</v>
      </c>
      <c r="BD13" s="69">
        <f t="shared" si="17"/>
        <v>102</v>
      </c>
      <c r="BE13" s="68">
        <f>'7'!F28</f>
        <v>2</v>
      </c>
      <c r="BF13" s="70">
        <f>BF7</f>
        <v>25</v>
      </c>
      <c r="BG13" s="71">
        <f t="shared" si="18"/>
        <v>50</v>
      </c>
      <c r="BH13" s="68">
        <f>'7'!F23</f>
        <v>0</v>
      </c>
      <c r="BI13" s="70">
        <f>BI7</f>
        <v>35</v>
      </c>
      <c r="BJ13" s="71">
        <f t="shared" si="19"/>
        <v>0</v>
      </c>
      <c r="BK13" s="68">
        <f>'7'!F25</f>
        <v>0</v>
      </c>
      <c r="BL13" s="72">
        <f>BL7</f>
        <v>22</v>
      </c>
      <c r="BM13" s="71">
        <f t="shared" si="20"/>
        <v>0</v>
      </c>
      <c r="BN13" s="68">
        <f>'7'!F24</f>
        <v>7</v>
      </c>
      <c r="BO13" s="68">
        <v>25</v>
      </c>
      <c r="BP13" s="69">
        <f t="shared" si="21"/>
        <v>175</v>
      </c>
      <c r="BQ13" s="68">
        <f>'7'!F19</f>
        <v>0</v>
      </c>
      <c r="BR13" s="70">
        <v>50</v>
      </c>
      <c r="BS13" s="77">
        <f t="shared" si="22"/>
        <v>0</v>
      </c>
      <c r="BT13" s="68">
        <f>'7'!F20</f>
        <v>0</v>
      </c>
      <c r="BU13" s="70">
        <f>BU7</f>
        <v>80</v>
      </c>
      <c r="BV13" s="77">
        <f t="shared" si="23"/>
        <v>0</v>
      </c>
      <c r="BW13" s="78"/>
      <c r="BX13" s="79"/>
      <c r="BY13" s="69">
        <f t="shared" si="24"/>
        <v>1442</v>
      </c>
      <c r="BZ13" s="39"/>
      <c r="CA13" s="71">
        <f t="shared" si="25"/>
        <v>14102</v>
      </c>
      <c r="CB13" s="90"/>
      <c r="CC13" s="39"/>
      <c r="CD13" s="39">
        <f t="shared" si="26"/>
        <v>14102</v>
      </c>
    </row>
    <row r="14" spans="1:83" ht="14.5">
      <c r="A14" s="129" t="s">
        <v>23</v>
      </c>
      <c r="B14" s="68">
        <f>SUM(B7:B13)</f>
        <v>0</v>
      </c>
      <c r="C14" s="68"/>
      <c r="D14" s="130">
        <f t="shared" ref="D14:E14" si="28">SUM(D7:D13)</f>
        <v>0</v>
      </c>
      <c r="E14" s="70">
        <f t="shared" si="28"/>
        <v>1278</v>
      </c>
      <c r="F14" s="70"/>
      <c r="G14" s="131">
        <f t="shared" ref="G14:H14" si="29">SUM(G7:G13)</f>
        <v>63900</v>
      </c>
      <c r="H14" s="72">
        <f t="shared" si="29"/>
        <v>92</v>
      </c>
      <c r="I14" s="70"/>
      <c r="J14" s="131">
        <f t="shared" ref="J14:K14" si="30">SUM(J7:J13)</f>
        <v>1104</v>
      </c>
      <c r="K14" s="70">
        <f t="shared" si="30"/>
        <v>103</v>
      </c>
      <c r="L14" s="70"/>
      <c r="M14" s="131">
        <f t="shared" ref="M14:N14" si="31">SUM(M7:M13)</f>
        <v>2575</v>
      </c>
      <c r="N14" s="70">
        <f t="shared" si="31"/>
        <v>452</v>
      </c>
      <c r="O14" s="70"/>
      <c r="P14" s="131">
        <f t="shared" ref="P14:Q14" si="32">SUM(P7:P13)</f>
        <v>5424</v>
      </c>
      <c r="Q14" s="70">
        <f t="shared" si="32"/>
        <v>0</v>
      </c>
      <c r="R14" s="70"/>
      <c r="S14" s="131">
        <f t="shared" ref="S14:T14" si="33">SUM(S7:S13)</f>
        <v>0</v>
      </c>
      <c r="T14" s="70">
        <f t="shared" si="33"/>
        <v>1381</v>
      </c>
      <c r="U14" s="70"/>
      <c r="V14" s="131">
        <f t="shared" ref="V14:W14" si="34">SUM(V7:V13)</f>
        <v>20715</v>
      </c>
      <c r="W14" s="70">
        <f t="shared" si="34"/>
        <v>302</v>
      </c>
      <c r="X14" s="70"/>
      <c r="Y14" s="131">
        <f t="shared" ref="Y14:Z14" si="35">SUM(Y7:Y13)</f>
        <v>3020</v>
      </c>
      <c r="Z14" s="70">
        <f t="shared" si="35"/>
        <v>271</v>
      </c>
      <c r="AA14" s="70"/>
      <c r="AB14" s="132">
        <f t="shared" ref="AB14:AC14" si="36">SUM(AB7:AB13)</f>
        <v>2168</v>
      </c>
      <c r="AC14" s="70">
        <f t="shared" si="36"/>
        <v>81</v>
      </c>
      <c r="AD14" s="70"/>
      <c r="AE14" s="132">
        <f t="shared" ref="AE14:AF14" si="37">SUM(AE7:AE13)</f>
        <v>810</v>
      </c>
      <c r="AF14" s="70">
        <f t="shared" si="37"/>
        <v>0</v>
      </c>
      <c r="AG14" s="70"/>
      <c r="AH14" s="131">
        <f>SUM(AH7:AH13)</f>
        <v>0</v>
      </c>
      <c r="AI14" s="39"/>
      <c r="AJ14" s="39"/>
      <c r="AK14" s="131">
        <f>SUM(AK7:AK13)</f>
        <v>99716</v>
      </c>
      <c r="AL14" s="76"/>
      <c r="AM14" s="68">
        <f>SUM(AM7:AM13)</f>
        <v>83</v>
      </c>
      <c r="AN14" s="70"/>
      <c r="AO14" s="131">
        <f t="shared" ref="AO14:AP14" si="38">SUM(AO7:AO13)</f>
        <v>1660</v>
      </c>
      <c r="AP14" s="70">
        <f t="shared" si="38"/>
        <v>281</v>
      </c>
      <c r="AQ14" s="70"/>
      <c r="AR14" s="131">
        <f t="shared" ref="AR14:AS14" si="39">SUM(AR7:AR13)</f>
        <v>7025</v>
      </c>
      <c r="AS14" s="70">
        <f t="shared" si="39"/>
        <v>0</v>
      </c>
      <c r="AT14" s="70"/>
      <c r="AU14" s="131">
        <f t="shared" ref="AU14:AV14" si="40">SUM(AU7:AU13)</f>
        <v>0</v>
      </c>
      <c r="AV14" s="72">
        <f t="shared" si="40"/>
        <v>46</v>
      </c>
      <c r="AW14" s="70"/>
      <c r="AX14" s="131">
        <f t="shared" ref="AX14:AY14" si="41">SUM(AX7:AX13)</f>
        <v>920</v>
      </c>
      <c r="AY14" s="70">
        <f t="shared" si="41"/>
        <v>0</v>
      </c>
      <c r="AZ14" s="70"/>
      <c r="BA14" s="131">
        <f t="shared" ref="BA14:BB14" si="42">SUM(BA7:BA13)</f>
        <v>0</v>
      </c>
      <c r="BB14" s="70">
        <f t="shared" si="42"/>
        <v>57</v>
      </c>
      <c r="BC14" s="70"/>
      <c r="BD14" s="131">
        <f t="shared" ref="BD14:BE14" si="43">SUM(BD7:BD13)</f>
        <v>969</v>
      </c>
      <c r="BE14" s="70">
        <f t="shared" si="43"/>
        <v>36</v>
      </c>
      <c r="BF14" s="70"/>
      <c r="BG14" s="131">
        <f t="shared" ref="BG14:BH14" si="44">SUM(BG7:BG13)</f>
        <v>900</v>
      </c>
      <c r="BH14" s="70">
        <f t="shared" si="44"/>
        <v>0</v>
      </c>
      <c r="BI14" s="70"/>
      <c r="BJ14" s="131">
        <f t="shared" ref="BJ14:BK14" si="45">SUM(BJ7:BJ13)</f>
        <v>0</v>
      </c>
      <c r="BK14" s="72">
        <f t="shared" si="45"/>
        <v>0</v>
      </c>
      <c r="BL14" s="70"/>
      <c r="BM14" s="131">
        <f t="shared" ref="BM14:BN14" si="46">SUM(BM7:BM13)</f>
        <v>0</v>
      </c>
      <c r="BN14" s="70">
        <f t="shared" si="46"/>
        <v>32</v>
      </c>
      <c r="BO14" s="70"/>
      <c r="BP14" s="131">
        <f t="shared" ref="BP14:BQ14" si="47">SUM(BP7:BP13)</f>
        <v>800</v>
      </c>
      <c r="BQ14" s="70">
        <f t="shared" si="47"/>
        <v>0</v>
      </c>
      <c r="BR14" s="70"/>
      <c r="BS14" s="132">
        <f t="shared" ref="BS14:BT14" si="48">SUM(BS7:BS13)</f>
        <v>0</v>
      </c>
      <c r="BT14" s="70">
        <f t="shared" si="48"/>
        <v>0</v>
      </c>
      <c r="BU14" s="70"/>
      <c r="BV14" s="132">
        <f>SUM(BV7:BV13)</f>
        <v>0</v>
      </c>
      <c r="BW14" s="39"/>
      <c r="BX14" s="39"/>
      <c r="BY14" s="130">
        <f>SUM(BY7:BY13)</f>
        <v>12274</v>
      </c>
      <c r="BZ14" s="39"/>
      <c r="CA14" s="131">
        <f>SUM(CA7:CA13)</f>
        <v>111990</v>
      </c>
      <c r="CB14" s="133"/>
      <c r="CC14" s="39"/>
      <c r="CD14" s="134">
        <f>SUM(CD7:CD13)</f>
        <v>111990</v>
      </c>
    </row>
    <row r="15" spans="1:83" ht="14.5">
      <c r="A15" s="180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</row>
    <row r="16" spans="1:83" ht="14.5">
      <c r="A16" s="18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</row>
    <row r="17" spans="1:82" ht="14.5">
      <c r="A17" s="51" t="s">
        <v>101</v>
      </c>
      <c r="B17" s="460" t="str">
        <f>B5</f>
        <v>MINI CUT</v>
      </c>
      <c r="C17" s="445"/>
      <c r="D17" s="423"/>
      <c r="E17" s="460" t="s">
        <v>30</v>
      </c>
      <c r="F17" s="445"/>
      <c r="G17" s="423"/>
      <c r="H17" s="460" t="s">
        <v>102</v>
      </c>
      <c r="I17" s="445"/>
      <c r="J17" s="423"/>
      <c r="K17" s="460" t="str">
        <f>K5</f>
        <v>Chicken Fillet</v>
      </c>
      <c r="L17" s="445"/>
      <c r="M17" s="423"/>
      <c r="N17" s="460" t="s">
        <v>53</v>
      </c>
      <c r="O17" s="445"/>
      <c r="P17" s="445"/>
      <c r="Q17" s="459" t="s">
        <v>54</v>
      </c>
      <c r="R17" s="445"/>
      <c r="S17" s="423"/>
      <c r="T17" s="448" t="s">
        <v>55</v>
      </c>
      <c r="U17" s="445"/>
      <c r="V17" s="423"/>
      <c r="W17" s="448" t="s">
        <v>56</v>
      </c>
      <c r="X17" s="445"/>
      <c r="Y17" s="423"/>
      <c r="Z17" s="448" t="s">
        <v>57</v>
      </c>
      <c r="AA17" s="445"/>
      <c r="AB17" s="445"/>
      <c r="AC17" s="448" t="s">
        <v>58</v>
      </c>
      <c r="AD17" s="445"/>
      <c r="AE17" s="445"/>
      <c r="AF17" s="448">
        <f>AF5</f>
        <v>0</v>
      </c>
      <c r="AG17" s="445"/>
      <c r="AH17" s="423"/>
      <c r="AI17" s="448" t="str">
        <f>AI5</f>
        <v>SUBTOTAL</v>
      </c>
      <c r="AJ17" s="445"/>
      <c r="AK17" s="423"/>
      <c r="AL17" s="136"/>
      <c r="AM17" s="459" t="s">
        <v>103</v>
      </c>
      <c r="AN17" s="445"/>
      <c r="AO17" s="423"/>
      <c r="AP17" s="448" t="s">
        <v>60</v>
      </c>
      <c r="AQ17" s="445"/>
      <c r="AR17" s="423"/>
      <c r="AS17" s="448" t="s">
        <v>61</v>
      </c>
      <c r="AT17" s="445"/>
      <c r="AU17" s="423"/>
      <c r="AV17" s="448" t="s">
        <v>62</v>
      </c>
      <c r="AW17" s="445"/>
      <c r="AX17" s="423"/>
      <c r="AY17" s="448" t="s">
        <v>63</v>
      </c>
      <c r="AZ17" s="445"/>
      <c r="BA17" s="423"/>
      <c r="BB17" s="448" t="str">
        <f>BB5</f>
        <v>swakto</v>
      </c>
      <c r="BC17" s="445"/>
      <c r="BD17" s="423"/>
      <c r="BE17" s="448" t="str">
        <f>BE5</f>
        <v>Calamansi Juice</v>
      </c>
      <c r="BF17" s="445"/>
      <c r="BG17" s="423"/>
      <c r="BH17" s="448" t="str">
        <f>BH5</f>
        <v>GATORADE</v>
      </c>
      <c r="BI17" s="445"/>
      <c r="BJ17" s="423"/>
      <c r="BK17" s="448" t="s">
        <v>66</v>
      </c>
      <c r="BL17" s="445"/>
      <c r="BM17" s="423"/>
      <c r="BN17" s="448" t="s">
        <v>67</v>
      </c>
      <c r="BO17" s="445"/>
      <c r="BP17" s="423"/>
      <c r="BQ17" s="447" t="str">
        <f>BQ5</f>
        <v>1 LITER</v>
      </c>
      <c r="BR17" s="445"/>
      <c r="BS17" s="423"/>
      <c r="BT17" s="447" t="str">
        <f>BT5</f>
        <v>1.5 L</v>
      </c>
      <c r="BU17" s="445"/>
      <c r="BV17" s="423"/>
      <c r="BW17" s="444" t="s">
        <v>68</v>
      </c>
      <c r="BX17" s="445"/>
      <c r="BY17" s="423"/>
      <c r="BZ17" s="39"/>
      <c r="CA17" s="137" t="s">
        <v>23</v>
      </c>
      <c r="CB17" s="39"/>
      <c r="CC17" s="39"/>
      <c r="CD17" s="39"/>
    </row>
    <row r="18" spans="1:82" ht="14.5">
      <c r="A18" s="56" t="s">
        <v>7</v>
      </c>
      <c r="B18" s="118" t="s">
        <v>71</v>
      </c>
      <c r="C18" s="118" t="s">
        <v>72</v>
      </c>
      <c r="D18" s="118" t="s">
        <v>26</v>
      </c>
      <c r="E18" s="118" t="s">
        <v>71</v>
      </c>
      <c r="F18" s="118" t="s">
        <v>72</v>
      </c>
      <c r="G18" s="118" t="s">
        <v>26</v>
      </c>
      <c r="H18" s="138" t="s">
        <v>71</v>
      </c>
      <c r="I18" s="139" t="s">
        <v>72</v>
      </c>
      <c r="J18" s="140" t="s">
        <v>73</v>
      </c>
      <c r="K18" s="138" t="s">
        <v>71</v>
      </c>
      <c r="L18" s="139" t="s">
        <v>72</v>
      </c>
      <c r="M18" s="140" t="s">
        <v>73</v>
      </c>
      <c r="N18" s="118" t="s">
        <v>71</v>
      </c>
      <c r="O18" s="118" t="s">
        <v>72</v>
      </c>
      <c r="P18" s="118" t="s">
        <v>26</v>
      </c>
      <c r="Q18" s="138" t="s">
        <v>71</v>
      </c>
      <c r="R18" s="139" t="s">
        <v>72</v>
      </c>
      <c r="S18" s="140" t="s">
        <v>73</v>
      </c>
      <c r="T18" s="138" t="s">
        <v>71</v>
      </c>
      <c r="U18" s="139" t="s">
        <v>72</v>
      </c>
      <c r="V18" s="141" t="s">
        <v>73</v>
      </c>
      <c r="W18" s="138" t="s">
        <v>71</v>
      </c>
      <c r="X18" s="139" t="s">
        <v>72</v>
      </c>
      <c r="Y18" s="141" t="s">
        <v>73</v>
      </c>
      <c r="Z18" s="138" t="s">
        <v>71</v>
      </c>
      <c r="AA18" s="139" t="s">
        <v>72</v>
      </c>
      <c r="AB18" s="141" t="s">
        <v>73</v>
      </c>
      <c r="AC18" s="138" t="s">
        <v>71</v>
      </c>
      <c r="AD18" s="139" t="s">
        <v>72</v>
      </c>
      <c r="AE18" s="141" t="s">
        <v>26</v>
      </c>
      <c r="AF18" s="118" t="s">
        <v>71</v>
      </c>
      <c r="AG18" s="118" t="s">
        <v>72</v>
      </c>
      <c r="AH18" s="73" t="s">
        <v>26</v>
      </c>
      <c r="AI18" s="142"/>
      <c r="AJ18" s="143"/>
      <c r="AK18" s="144" t="s">
        <v>73</v>
      </c>
      <c r="AL18" s="136"/>
      <c r="AM18" s="145" t="s">
        <v>71</v>
      </c>
      <c r="AN18" s="146" t="s">
        <v>72</v>
      </c>
      <c r="AO18" s="145" t="s">
        <v>73</v>
      </c>
      <c r="AP18" s="147" t="s">
        <v>71</v>
      </c>
      <c r="AQ18" s="146" t="s">
        <v>72</v>
      </c>
      <c r="AR18" s="145" t="s">
        <v>73</v>
      </c>
      <c r="AS18" s="147" t="s">
        <v>71</v>
      </c>
      <c r="AT18" s="146" t="s">
        <v>72</v>
      </c>
      <c r="AU18" s="145" t="s">
        <v>73</v>
      </c>
      <c r="AV18" s="146" t="s">
        <v>71</v>
      </c>
      <c r="AW18" s="146" t="s">
        <v>72</v>
      </c>
      <c r="AX18" s="146" t="s">
        <v>26</v>
      </c>
      <c r="AY18" s="146" t="s">
        <v>71</v>
      </c>
      <c r="AZ18" s="146" t="s">
        <v>72</v>
      </c>
      <c r="BA18" s="146" t="s">
        <v>26</v>
      </c>
      <c r="BB18" s="146" t="s">
        <v>71</v>
      </c>
      <c r="BC18" s="146" t="s">
        <v>72</v>
      </c>
      <c r="BD18" s="146" t="s">
        <v>26</v>
      </c>
      <c r="BE18" s="146" t="s">
        <v>71</v>
      </c>
      <c r="BF18" s="146" t="s">
        <v>72</v>
      </c>
      <c r="BG18" s="146" t="s">
        <v>26</v>
      </c>
      <c r="BH18" s="146" t="s">
        <v>71</v>
      </c>
      <c r="BI18" s="146" t="s">
        <v>72</v>
      </c>
      <c r="BJ18" s="146" t="s">
        <v>26</v>
      </c>
      <c r="BK18" s="146" t="s">
        <v>71</v>
      </c>
      <c r="BL18" s="146" t="s">
        <v>72</v>
      </c>
      <c r="BM18" s="146" t="s">
        <v>26</v>
      </c>
      <c r="BN18" s="146" t="s">
        <v>71</v>
      </c>
      <c r="BO18" s="146" t="s">
        <v>72</v>
      </c>
      <c r="BP18" s="146" t="s">
        <v>26</v>
      </c>
      <c r="BQ18" s="146" t="s">
        <v>71</v>
      </c>
      <c r="BR18" s="146" t="s">
        <v>72</v>
      </c>
      <c r="BS18" s="147" t="s">
        <v>26</v>
      </c>
      <c r="BT18" s="146" t="s">
        <v>71</v>
      </c>
      <c r="BU18" s="146" t="s">
        <v>72</v>
      </c>
      <c r="BV18" s="147" t="s">
        <v>26</v>
      </c>
      <c r="BW18" s="142"/>
      <c r="BX18" s="143"/>
      <c r="BY18" s="144" t="s">
        <v>26</v>
      </c>
      <c r="BZ18" s="39"/>
      <c r="CA18" s="118" t="s">
        <v>26</v>
      </c>
      <c r="CB18" s="39"/>
      <c r="CC18" s="39"/>
      <c r="CD18" s="39"/>
    </row>
    <row r="19" spans="1:82" ht="14.5">
      <c r="A19" s="56">
        <v>8</v>
      </c>
      <c r="B19" s="70">
        <f>'8'!F29</f>
        <v>0</v>
      </c>
      <c r="C19" s="68">
        <f>C7</f>
        <v>40</v>
      </c>
      <c r="D19" s="69">
        <f t="shared" ref="D19:D25" si="49">B19*C19</f>
        <v>0</v>
      </c>
      <c r="E19" s="70">
        <f>'8'!F7</f>
        <v>243</v>
      </c>
      <c r="F19" s="70">
        <f>F7</f>
        <v>50</v>
      </c>
      <c r="G19" s="71">
        <f t="shared" ref="G19:G25" si="50">E19*F19</f>
        <v>12150</v>
      </c>
      <c r="H19" s="72">
        <f>'8'!F8</f>
        <v>8</v>
      </c>
      <c r="I19" s="70">
        <f>I7</f>
        <v>12</v>
      </c>
      <c r="J19" s="71">
        <f t="shared" ref="J19:J25" si="51">H19*I19</f>
        <v>96</v>
      </c>
      <c r="K19" s="72">
        <f>'8'!F15</f>
        <v>12</v>
      </c>
      <c r="L19" s="70">
        <f>L7</f>
        <v>25</v>
      </c>
      <c r="M19" s="71">
        <f t="shared" ref="M19:M25" si="52">K19*L19</f>
        <v>300</v>
      </c>
      <c r="N19" s="70">
        <f>'8'!F9</f>
        <v>64</v>
      </c>
      <c r="O19" s="70">
        <f>O7</f>
        <v>12</v>
      </c>
      <c r="P19" s="71">
        <f t="shared" ref="P19:P25" si="53">N19*O19</f>
        <v>768</v>
      </c>
      <c r="Q19" s="68">
        <f>'8'!F10</f>
        <v>0</v>
      </c>
      <c r="R19" s="72">
        <f>R7</f>
        <v>7.5</v>
      </c>
      <c r="S19" s="71">
        <f t="shared" ref="S19:S25" si="54">Q19*R19</f>
        <v>0</v>
      </c>
      <c r="T19" s="68">
        <f>'8'!F11</f>
        <v>180</v>
      </c>
      <c r="U19" s="72">
        <f>U7</f>
        <v>15</v>
      </c>
      <c r="V19" s="71">
        <f t="shared" ref="V19:V25" si="55">T19*U19</f>
        <v>2700</v>
      </c>
      <c r="W19" s="68">
        <f>'8'!F12</f>
        <v>44</v>
      </c>
      <c r="X19" s="72">
        <v>10</v>
      </c>
      <c r="Y19" s="71">
        <f t="shared" ref="Y19:Y25" si="56">W19*X19</f>
        <v>440</v>
      </c>
      <c r="Z19" s="68">
        <f>'8'!F13</f>
        <v>41</v>
      </c>
      <c r="AA19" s="72">
        <f>AA7</f>
        <v>8</v>
      </c>
      <c r="AB19" s="71">
        <f t="shared" ref="AB19:AB25" si="57">Z19*AA19</f>
        <v>328</v>
      </c>
      <c r="AC19" s="68">
        <f>'8'!F14</f>
        <v>4</v>
      </c>
      <c r="AD19" s="72">
        <f>AD7</f>
        <v>10</v>
      </c>
      <c r="AE19" s="73">
        <f t="shared" ref="AE19:AE25" si="58">AC19*AD19</f>
        <v>40</v>
      </c>
      <c r="AF19" s="68"/>
      <c r="AG19" s="72">
        <f>AG7</f>
        <v>0</v>
      </c>
      <c r="AH19" s="73">
        <f t="shared" ref="AH19:AH25" si="59">AF19*AG19</f>
        <v>0</v>
      </c>
      <c r="AI19" s="74"/>
      <c r="AJ19" s="75"/>
      <c r="AK19" s="69">
        <f t="shared" ref="AK19:AK25" si="60">D19+G19+J19+M19+P19+S19+V19+Y19+AB19+AE19+AH19</f>
        <v>16822</v>
      </c>
      <c r="AL19" s="76"/>
      <c r="AM19" s="68">
        <f>'8'!F17</f>
        <v>13</v>
      </c>
      <c r="AN19" s="72">
        <v>20</v>
      </c>
      <c r="AO19" s="71">
        <f t="shared" ref="AO19:AO25" si="61">AM19*AN19</f>
        <v>260</v>
      </c>
      <c r="AP19" s="68">
        <f>'8'!F18</f>
        <v>32</v>
      </c>
      <c r="AQ19" s="72">
        <v>25</v>
      </c>
      <c r="AR19" s="71">
        <f t="shared" ref="AR19:AR25" si="62">AP19*AQ19</f>
        <v>800</v>
      </c>
      <c r="AS19" s="68">
        <f>'8'!F21</f>
        <v>0</v>
      </c>
      <c r="AT19" s="70">
        <f>AT7</f>
        <v>15</v>
      </c>
      <c r="AU19" s="71">
        <f t="shared" ref="AU19:AU25" si="63">AS19*AT19</f>
        <v>0</v>
      </c>
      <c r="AV19" s="68">
        <f>'8'!F22</f>
        <v>10</v>
      </c>
      <c r="AW19" s="68">
        <v>20</v>
      </c>
      <c r="AX19" s="71">
        <f t="shared" ref="AX19:AX25" si="64">AV19*AW19</f>
        <v>200</v>
      </c>
      <c r="AY19" s="68">
        <f>'8'!F26</f>
        <v>0</v>
      </c>
      <c r="AZ19" s="68">
        <v>25</v>
      </c>
      <c r="BA19" s="69">
        <f t="shared" ref="BA19:BA25" si="65">AY19*AZ19</f>
        <v>0</v>
      </c>
      <c r="BB19" s="68">
        <f>'8'!F27</f>
        <v>11</v>
      </c>
      <c r="BC19" s="68">
        <v>17</v>
      </c>
      <c r="BD19" s="69">
        <f t="shared" ref="BD19:BD25" si="66">BB19*BC19</f>
        <v>187</v>
      </c>
      <c r="BE19" s="68">
        <f>'8'!F28</f>
        <v>3</v>
      </c>
      <c r="BF19" s="70">
        <f>BF7</f>
        <v>25</v>
      </c>
      <c r="BG19" s="71">
        <f t="shared" ref="BG19:BG25" si="67">BE19*BF19</f>
        <v>75</v>
      </c>
      <c r="BH19" s="68">
        <f>'8'!F23</f>
        <v>0</v>
      </c>
      <c r="BI19" s="70">
        <f>BI7</f>
        <v>35</v>
      </c>
      <c r="BJ19" s="71">
        <f t="shared" ref="BJ19:BJ25" si="68">BH19*BI19</f>
        <v>0</v>
      </c>
      <c r="BK19" s="68">
        <f>'8'!F25</f>
        <v>0</v>
      </c>
      <c r="BL19" s="72">
        <f>BL7</f>
        <v>22</v>
      </c>
      <c r="BM19" s="71">
        <f t="shared" ref="BM19:BM25" si="69">BK19*BL19</f>
        <v>0</v>
      </c>
      <c r="BN19" s="68">
        <f>'8'!F24</f>
        <v>4</v>
      </c>
      <c r="BO19" s="68">
        <v>25</v>
      </c>
      <c r="BP19" s="69">
        <f t="shared" ref="BP19:BP25" si="70">BN19*BO19</f>
        <v>100</v>
      </c>
      <c r="BQ19" s="68">
        <f>'8'!F19</f>
        <v>0</v>
      </c>
      <c r="BR19" s="70">
        <v>50</v>
      </c>
      <c r="BS19" s="77">
        <f t="shared" ref="BS19:BS25" si="71">BQ19*BR19</f>
        <v>0</v>
      </c>
      <c r="BT19" s="68">
        <f>'8'!F20</f>
        <v>0</v>
      </c>
      <c r="BU19" s="70">
        <f>BU7</f>
        <v>80</v>
      </c>
      <c r="BV19" s="77">
        <f t="shared" ref="BV19:BV25" si="72">BT19*BU19</f>
        <v>0</v>
      </c>
      <c r="BW19" s="78"/>
      <c r="BX19" s="79"/>
      <c r="BY19" s="69">
        <f t="shared" ref="BY19:BY25" si="73">AO19+AR19+AU19+AX19+BA19+BD19+BG19+BJ19+BM19+BP19+BS19+BV19</f>
        <v>1622</v>
      </c>
      <c r="BZ19" s="39"/>
      <c r="CA19" s="71">
        <f t="shared" ref="CA19:CA25" si="74">AK19+BY19</f>
        <v>18444</v>
      </c>
      <c r="CB19" s="39"/>
      <c r="CC19" s="39"/>
      <c r="CD19" s="39">
        <f t="shared" ref="CD19:CD25" si="75">CA19-CC19</f>
        <v>18444</v>
      </c>
    </row>
    <row r="20" spans="1:82" ht="14.5">
      <c r="A20" s="56">
        <v>9</v>
      </c>
      <c r="B20" s="68">
        <f>'9'!F29</f>
        <v>0</v>
      </c>
      <c r="C20" s="68">
        <f>C7</f>
        <v>40</v>
      </c>
      <c r="D20" s="69">
        <f t="shared" si="49"/>
        <v>0</v>
      </c>
      <c r="E20" s="68">
        <f>'9'!F7</f>
        <v>226</v>
      </c>
      <c r="F20" s="68">
        <f>F7</f>
        <v>50</v>
      </c>
      <c r="G20" s="71">
        <f t="shared" si="50"/>
        <v>11300</v>
      </c>
      <c r="H20" s="84">
        <f>'9'!F8</f>
        <v>8</v>
      </c>
      <c r="I20" s="70">
        <f>I7</f>
        <v>12</v>
      </c>
      <c r="J20" s="71">
        <f t="shared" si="51"/>
        <v>96</v>
      </c>
      <c r="K20" s="84">
        <f>'9'!F15</f>
        <v>16</v>
      </c>
      <c r="L20" s="70">
        <f>L7</f>
        <v>25</v>
      </c>
      <c r="M20" s="71">
        <f t="shared" si="52"/>
        <v>400</v>
      </c>
      <c r="N20" s="68">
        <f>'9'!F9</f>
        <v>100</v>
      </c>
      <c r="O20" s="68">
        <f>O7</f>
        <v>12</v>
      </c>
      <c r="P20" s="71">
        <f t="shared" si="53"/>
        <v>1200</v>
      </c>
      <c r="Q20" s="68">
        <f>'9'!F10</f>
        <v>0</v>
      </c>
      <c r="R20" s="72">
        <f>R7</f>
        <v>7.5</v>
      </c>
      <c r="S20" s="71">
        <f t="shared" si="54"/>
        <v>0</v>
      </c>
      <c r="T20" s="68">
        <f>'9'!F11</f>
        <v>203</v>
      </c>
      <c r="U20" s="72">
        <f>U7</f>
        <v>15</v>
      </c>
      <c r="V20" s="71">
        <f t="shared" si="55"/>
        <v>3045</v>
      </c>
      <c r="W20" s="68">
        <f>'9'!F12</f>
        <v>39</v>
      </c>
      <c r="X20" s="72">
        <v>10</v>
      </c>
      <c r="Y20" s="71">
        <f t="shared" si="56"/>
        <v>390</v>
      </c>
      <c r="Z20" s="68">
        <f>'9'!F13</f>
        <v>35</v>
      </c>
      <c r="AA20" s="72">
        <f>AA7</f>
        <v>8</v>
      </c>
      <c r="AB20" s="71">
        <f t="shared" si="57"/>
        <v>280</v>
      </c>
      <c r="AC20" s="68">
        <f>'9'!F14</f>
        <v>7</v>
      </c>
      <c r="AD20" s="72">
        <f>AD7</f>
        <v>10</v>
      </c>
      <c r="AE20" s="73">
        <f t="shared" si="58"/>
        <v>70</v>
      </c>
      <c r="AF20" s="68"/>
      <c r="AG20" s="72">
        <f>AG7</f>
        <v>0</v>
      </c>
      <c r="AH20" s="73">
        <f t="shared" si="59"/>
        <v>0</v>
      </c>
      <c r="AI20" s="74"/>
      <c r="AJ20" s="75"/>
      <c r="AK20" s="69">
        <f t="shared" si="60"/>
        <v>16781</v>
      </c>
      <c r="AL20" s="76"/>
      <c r="AM20" s="68">
        <f>'9'!F17</f>
        <v>10</v>
      </c>
      <c r="AN20" s="72">
        <v>20</v>
      </c>
      <c r="AO20" s="71">
        <f t="shared" si="61"/>
        <v>200</v>
      </c>
      <c r="AP20" s="68">
        <f>'9'!F18</f>
        <v>38</v>
      </c>
      <c r="AQ20" s="72">
        <v>25</v>
      </c>
      <c r="AR20" s="71">
        <f t="shared" si="62"/>
        <v>950</v>
      </c>
      <c r="AS20" s="68">
        <f>'9'!F21</f>
        <v>0</v>
      </c>
      <c r="AT20" s="70">
        <f>AT7</f>
        <v>15</v>
      </c>
      <c r="AU20" s="71">
        <f t="shared" si="63"/>
        <v>0</v>
      </c>
      <c r="AV20" s="68">
        <f>'9'!F22</f>
        <v>1</v>
      </c>
      <c r="AW20" s="68">
        <v>20</v>
      </c>
      <c r="AX20" s="71">
        <f t="shared" si="64"/>
        <v>20</v>
      </c>
      <c r="AY20" s="68">
        <f>'9'!F26</f>
        <v>0</v>
      </c>
      <c r="AZ20" s="68">
        <v>25</v>
      </c>
      <c r="BA20" s="69">
        <f t="shared" si="65"/>
        <v>0</v>
      </c>
      <c r="BB20" s="68">
        <f>'9'!F27</f>
        <v>14</v>
      </c>
      <c r="BC20" s="68">
        <v>17</v>
      </c>
      <c r="BD20" s="69">
        <f t="shared" si="66"/>
        <v>238</v>
      </c>
      <c r="BE20" s="68">
        <f>'9'!F28</f>
        <v>0</v>
      </c>
      <c r="BF20" s="70">
        <f>BF7</f>
        <v>25</v>
      </c>
      <c r="BG20" s="71">
        <f t="shared" si="67"/>
        <v>0</v>
      </c>
      <c r="BH20" s="68">
        <f>'9'!F23</f>
        <v>0</v>
      </c>
      <c r="BI20" s="70">
        <f>BI7</f>
        <v>35</v>
      </c>
      <c r="BJ20" s="71">
        <f t="shared" si="68"/>
        <v>0</v>
      </c>
      <c r="BK20" s="68">
        <f>'9'!F25</f>
        <v>0</v>
      </c>
      <c r="BL20" s="72">
        <f>BL7</f>
        <v>22</v>
      </c>
      <c r="BM20" s="71">
        <f t="shared" si="69"/>
        <v>0</v>
      </c>
      <c r="BN20" s="68">
        <f>'9'!F24</f>
        <v>1</v>
      </c>
      <c r="BO20" s="68">
        <v>25</v>
      </c>
      <c r="BP20" s="69">
        <f t="shared" si="70"/>
        <v>25</v>
      </c>
      <c r="BQ20" s="68">
        <f>'9'!F19</f>
        <v>0</v>
      </c>
      <c r="BR20" s="70">
        <v>50</v>
      </c>
      <c r="BS20" s="77">
        <f t="shared" si="71"/>
        <v>0</v>
      </c>
      <c r="BT20" s="68">
        <f>'9'!F20</f>
        <v>0</v>
      </c>
      <c r="BU20" s="70">
        <f>BU7</f>
        <v>80</v>
      </c>
      <c r="BV20" s="77">
        <f t="shared" si="72"/>
        <v>0</v>
      </c>
      <c r="BW20" s="78"/>
      <c r="BX20" s="79"/>
      <c r="BY20" s="69">
        <f t="shared" si="73"/>
        <v>1433</v>
      </c>
      <c r="BZ20" s="39"/>
      <c r="CA20" s="71">
        <f t="shared" si="74"/>
        <v>18214</v>
      </c>
      <c r="CB20" s="90"/>
      <c r="CC20" s="39"/>
      <c r="CD20" s="39">
        <f t="shared" si="75"/>
        <v>18214</v>
      </c>
    </row>
    <row r="21" spans="1:82" ht="15.75" customHeight="1">
      <c r="A21" s="56">
        <v>10</v>
      </c>
      <c r="B21" s="68">
        <f>'10'!F29</f>
        <v>0</v>
      </c>
      <c r="C21" s="68">
        <f>C7</f>
        <v>40</v>
      </c>
      <c r="D21" s="69">
        <f t="shared" si="49"/>
        <v>0</v>
      </c>
      <c r="E21" s="68">
        <f>'10'!F7</f>
        <v>190</v>
      </c>
      <c r="F21" s="68">
        <f>F7</f>
        <v>50</v>
      </c>
      <c r="G21" s="71">
        <f t="shared" si="50"/>
        <v>9500</v>
      </c>
      <c r="H21" s="84">
        <f>'10'!F8</f>
        <v>4</v>
      </c>
      <c r="I21" s="70">
        <f>I7</f>
        <v>12</v>
      </c>
      <c r="J21" s="71">
        <f t="shared" si="51"/>
        <v>48</v>
      </c>
      <c r="K21" s="84">
        <f>'10'!F15</f>
        <v>7</v>
      </c>
      <c r="L21" s="70">
        <f>L7</f>
        <v>25</v>
      </c>
      <c r="M21" s="71">
        <f t="shared" si="52"/>
        <v>175</v>
      </c>
      <c r="N21" s="68">
        <f>'10'!F9</f>
        <v>100</v>
      </c>
      <c r="O21" s="68">
        <f>O7</f>
        <v>12</v>
      </c>
      <c r="P21" s="71">
        <f t="shared" si="53"/>
        <v>1200</v>
      </c>
      <c r="Q21" s="68">
        <f>'10'!F10</f>
        <v>0</v>
      </c>
      <c r="R21" s="72">
        <f>R7</f>
        <v>7.5</v>
      </c>
      <c r="S21" s="71">
        <f t="shared" si="54"/>
        <v>0</v>
      </c>
      <c r="T21" s="68">
        <f>'10'!F11</f>
        <v>167</v>
      </c>
      <c r="U21" s="72">
        <f>U7</f>
        <v>15</v>
      </c>
      <c r="V21" s="71">
        <f t="shared" si="55"/>
        <v>2505</v>
      </c>
      <c r="W21" s="68">
        <f>'10'!F12</f>
        <v>36</v>
      </c>
      <c r="X21" s="72">
        <v>10</v>
      </c>
      <c r="Y21" s="71">
        <f t="shared" si="56"/>
        <v>360</v>
      </c>
      <c r="Z21" s="68">
        <f>'10'!F13</f>
        <v>35</v>
      </c>
      <c r="AA21" s="72">
        <f>AA7</f>
        <v>8</v>
      </c>
      <c r="AB21" s="71">
        <f t="shared" si="57"/>
        <v>280</v>
      </c>
      <c r="AC21" s="68">
        <f>'10'!F14</f>
        <v>5</v>
      </c>
      <c r="AD21" s="72">
        <f>AD7</f>
        <v>10</v>
      </c>
      <c r="AE21" s="73">
        <f t="shared" si="58"/>
        <v>50</v>
      </c>
      <c r="AF21" s="68"/>
      <c r="AG21" s="72">
        <f>AG7</f>
        <v>0</v>
      </c>
      <c r="AH21" s="73">
        <f t="shared" si="59"/>
        <v>0</v>
      </c>
      <c r="AI21" s="74"/>
      <c r="AJ21" s="75"/>
      <c r="AK21" s="69">
        <f t="shared" si="60"/>
        <v>14118</v>
      </c>
      <c r="AL21" s="76"/>
      <c r="AM21" s="68">
        <f>'10'!F17</f>
        <v>8</v>
      </c>
      <c r="AN21" s="72">
        <v>20</v>
      </c>
      <c r="AO21" s="71">
        <f t="shared" si="61"/>
        <v>160</v>
      </c>
      <c r="AP21" s="68">
        <f>'10'!F18</f>
        <v>30</v>
      </c>
      <c r="AQ21" s="72">
        <v>25</v>
      </c>
      <c r="AR21" s="71">
        <f t="shared" si="62"/>
        <v>750</v>
      </c>
      <c r="AS21" s="68">
        <f>'10'!F21</f>
        <v>0</v>
      </c>
      <c r="AT21" s="70">
        <f>AT7</f>
        <v>15</v>
      </c>
      <c r="AU21" s="71">
        <f t="shared" si="63"/>
        <v>0</v>
      </c>
      <c r="AV21" s="68">
        <f>'10'!F22</f>
        <v>2</v>
      </c>
      <c r="AW21" s="68">
        <v>20</v>
      </c>
      <c r="AX21" s="71">
        <f t="shared" si="64"/>
        <v>40</v>
      </c>
      <c r="AY21" s="68">
        <f>'10'!F26</f>
        <v>0</v>
      </c>
      <c r="AZ21" s="68">
        <v>25</v>
      </c>
      <c r="BA21" s="69">
        <f t="shared" si="65"/>
        <v>0</v>
      </c>
      <c r="BB21" s="68">
        <f>'10'!F27</f>
        <v>4</v>
      </c>
      <c r="BC21" s="68">
        <v>17</v>
      </c>
      <c r="BD21" s="69">
        <f t="shared" si="66"/>
        <v>68</v>
      </c>
      <c r="BE21" s="68">
        <f>'10'!F28</f>
        <v>5</v>
      </c>
      <c r="BF21" s="70">
        <f>BF7</f>
        <v>25</v>
      </c>
      <c r="BG21" s="71">
        <f t="shared" si="67"/>
        <v>125</v>
      </c>
      <c r="BH21" s="68">
        <f>'10'!F23</f>
        <v>0</v>
      </c>
      <c r="BI21" s="70">
        <f>BI7</f>
        <v>35</v>
      </c>
      <c r="BJ21" s="71">
        <f t="shared" si="68"/>
        <v>0</v>
      </c>
      <c r="BK21" s="68">
        <f>'10'!F25</f>
        <v>0</v>
      </c>
      <c r="BL21" s="72">
        <f>BL7</f>
        <v>22</v>
      </c>
      <c r="BM21" s="71">
        <f t="shared" si="69"/>
        <v>0</v>
      </c>
      <c r="BN21" s="68">
        <f>'10'!F24</f>
        <v>1</v>
      </c>
      <c r="BO21" s="68">
        <v>25</v>
      </c>
      <c r="BP21" s="69">
        <f t="shared" si="70"/>
        <v>25</v>
      </c>
      <c r="BQ21" s="68">
        <f>'10'!F19</f>
        <v>0</v>
      </c>
      <c r="BR21" s="70">
        <v>50</v>
      </c>
      <c r="BS21" s="77">
        <f t="shared" si="71"/>
        <v>0</v>
      </c>
      <c r="BT21" s="68">
        <f>'10'!F20</f>
        <v>0</v>
      </c>
      <c r="BU21" s="70">
        <f>BU7</f>
        <v>80</v>
      </c>
      <c r="BV21" s="77">
        <f t="shared" si="72"/>
        <v>0</v>
      </c>
      <c r="BW21" s="78"/>
      <c r="BX21" s="79"/>
      <c r="BY21" s="69">
        <f t="shared" si="73"/>
        <v>1168</v>
      </c>
      <c r="BZ21" s="39"/>
      <c r="CA21" s="71">
        <f t="shared" si="74"/>
        <v>15286</v>
      </c>
      <c r="CB21" s="90"/>
      <c r="CC21" s="39"/>
      <c r="CD21" s="39">
        <f t="shared" si="75"/>
        <v>15286</v>
      </c>
    </row>
    <row r="22" spans="1:82" ht="15.75" customHeight="1">
      <c r="A22" s="56">
        <v>11</v>
      </c>
      <c r="B22" s="68">
        <f>'11'!F29</f>
        <v>0</v>
      </c>
      <c r="C22" s="68">
        <f>C7</f>
        <v>40</v>
      </c>
      <c r="D22" s="69">
        <f t="shared" si="49"/>
        <v>0</v>
      </c>
      <c r="E22" s="68">
        <f>'11'!F7</f>
        <v>213</v>
      </c>
      <c r="F22" s="68">
        <f>F7</f>
        <v>50</v>
      </c>
      <c r="G22" s="71">
        <f t="shared" si="50"/>
        <v>10650</v>
      </c>
      <c r="H22" s="84">
        <f>'11'!F8</f>
        <v>7</v>
      </c>
      <c r="I22" s="70">
        <v>12</v>
      </c>
      <c r="J22" s="71">
        <f t="shared" si="51"/>
        <v>84</v>
      </c>
      <c r="K22" s="84">
        <f>'11'!F15</f>
        <v>16</v>
      </c>
      <c r="L22" s="70">
        <f>L7</f>
        <v>25</v>
      </c>
      <c r="M22" s="71">
        <f t="shared" si="52"/>
        <v>400</v>
      </c>
      <c r="N22" s="68">
        <f>'11'!F9</f>
        <v>110</v>
      </c>
      <c r="O22" s="68">
        <f>O7</f>
        <v>12</v>
      </c>
      <c r="P22" s="71">
        <f t="shared" si="53"/>
        <v>1320</v>
      </c>
      <c r="Q22" s="68">
        <f>'11'!F10</f>
        <v>0</v>
      </c>
      <c r="R22" s="72">
        <f>R7</f>
        <v>7.5</v>
      </c>
      <c r="S22" s="71">
        <f t="shared" si="54"/>
        <v>0</v>
      </c>
      <c r="T22" s="68">
        <f>'11'!F11</f>
        <v>190</v>
      </c>
      <c r="U22" s="72">
        <f>U7</f>
        <v>15</v>
      </c>
      <c r="V22" s="71">
        <f t="shared" si="55"/>
        <v>2850</v>
      </c>
      <c r="W22" s="68">
        <f>'11'!F12</f>
        <v>41</v>
      </c>
      <c r="X22" s="72">
        <v>10</v>
      </c>
      <c r="Y22" s="71">
        <f t="shared" si="56"/>
        <v>410</v>
      </c>
      <c r="Z22" s="68">
        <f>'11'!F13</f>
        <v>37</v>
      </c>
      <c r="AA22" s="72">
        <f>AA7</f>
        <v>8</v>
      </c>
      <c r="AB22" s="71">
        <f t="shared" si="57"/>
        <v>296</v>
      </c>
      <c r="AC22" s="68">
        <f>'11'!F14</f>
        <v>12</v>
      </c>
      <c r="AD22" s="72">
        <f>AD7</f>
        <v>10</v>
      </c>
      <c r="AE22" s="73">
        <f t="shared" si="58"/>
        <v>120</v>
      </c>
      <c r="AF22" s="68"/>
      <c r="AG22" s="72">
        <f>AG7</f>
        <v>0</v>
      </c>
      <c r="AH22" s="73">
        <f t="shared" si="59"/>
        <v>0</v>
      </c>
      <c r="AI22" s="74"/>
      <c r="AJ22" s="75"/>
      <c r="AK22" s="69">
        <f t="shared" si="60"/>
        <v>16130</v>
      </c>
      <c r="AL22" s="76"/>
      <c r="AM22" s="68">
        <f>'11'!F17</f>
        <v>16</v>
      </c>
      <c r="AN22" s="72">
        <v>20</v>
      </c>
      <c r="AO22" s="71">
        <f t="shared" si="61"/>
        <v>320</v>
      </c>
      <c r="AP22" s="68">
        <f>'11'!F18</f>
        <v>27</v>
      </c>
      <c r="AQ22" s="72">
        <v>25</v>
      </c>
      <c r="AR22" s="71">
        <f t="shared" si="62"/>
        <v>675</v>
      </c>
      <c r="AS22" s="68">
        <f>'11'!F21</f>
        <v>0</v>
      </c>
      <c r="AT22" s="70">
        <f>AT7</f>
        <v>15</v>
      </c>
      <c r="AU22" s="71">
        <f t="shared" si="63"/>
        <v>0</v>
      </c>
      <c r="AV22" s="68">
        <f>'11'!F22</f>
        <v>1</v>
      </c>
      <c r="AW22" s="68">
        <v>20</v>
      </c>
      <c r="AX22" s="71">
        <f t="shared" si="64"/>
        <v>20</v>
      </c>
      <c r="AY22" s="68">
        <f>'11'!F26</f>
        <v>0</v>
      </c>
      <c r="AZ22" s="68">
        <v>25</v>
      </c>
      <c r="BA22" s="69">
        <f t="shared" si="65"/>
        <v>0</v>
      </c>
      <c r="BB22" s="68">
        <f>'11'!F27</f>
        <v>10</v>
      </c>
      <c r="BC22" s="68">
        <v>17</v>
      </c>
      <c r="BD22" s="69">
        <f t="shared" si="66"/>
        <v>170</v>
      </c>
      <c r="BE22" s="68">
        <f>'11'!F28</f>
        <v>0</v>
      </c>
      <c r="BF22" s="70">
        <f>BF7</f>
        <v>25</v>
      </c>
      <c r="BG22" s="71">
        <f t="shared" si="67"/>
        <v>0</v>
      </c>
      <c r="BH22" s="68">
        <f>'11'!F23</f>
        <v>0</v>
      </c>
      <c r="BI22" s="70">
        <f>BI7</f>
        <v>35</v>
      </c>
      <c r="BJ22" s="71">
        <f t="shared" si="68"/>
        <v>0</v>
      </c>
      <c r="BK22" s="68">
        <f>'11'!F25</f>
        <v>0</v>
      </c>
      <c r="BL22" s="72">
        <f>BL7</f>
        <v>22</v>
      </c>
      <c r="BM22" s="71">
        <f t="shared" si="69"/>
        <v>0</v>
      </c>
      <c r="BN22" s="68">
        <f>'11'!F24</f>
        <v>5</v>
      </c>
      <c r="BO22" s="68">
        <v>25</v>
      </c>
      <c r="BP22" s="69">
        <f t="shared" si="70"/>
        <v>125</v>
      </c>
      <c r="BQ22" s="68">
        <f>'11'!F19</f>
        <v>0</v>
      </c>
      <c r="BR22" s="70">
        <f t="shared" ref="BR22:BR25" si="76">BR10</f>
        <v>50</v>
      </c>
      <c r="BS22" s="77">
        <f t="shared" si="71"/>
        <v>0</v>
      </c>
      <c r="BT22" s="68">
        <f>'11'!F20</f>
        <v>0</v>
      </c>
      <c r="BU22" s="70">
        <f>BU7</f>
        <v>80</v>
      </c>
      <c r="BV22" s="77">
        <f t="shared" si="72"/>
        <v>0</v>
      </c>
      <c r="BW22" s="78"/>
      <c r="BX22" s="79"/>
      <c r="BY22" s="69">
        <f t="shared" si="73"/>
        <v>1310</v>
      </c>
      <c r="BZ22" s="39"/>
      <c r="CA22" s="71">
        <f t="shared" si="74"/>
        <v>17440</v>
      </c>
      <c r="CB22" s="90"/>
      <c r="CC22" s="39"/>
      <c r="CD22" s="39">
        <f t="shared" si="75"/>
        <v>17440</v>
      </c>
    </row>
    <row r="23" spans="1:82" ht="15.75" customHeight="1">
      <c r="A23" s="56">
        <v>12</v>
      </c>
      <c r="B23" s="68">
        <f>'12'!F29</f>
        <v>0</v>
      </c>
      <c r="C23" s="68">
        <f>C7</f>
        <v>40</v>
      </c>
      <c r="D23" s="69">
        <f t="shared" si="49"/>
        <v>0</v>
      </c>
      <c r="E23" s="68">
        <f>'12'!F7</f>
        <v>258</v>
      </c>
      <c r="F23" s="68">
        <f>F7</f>
        <v>50</v>
      </c>
      <c r="G23" s="71">
        <f t="shared" si="50"/>
        <v>12900</v>
      </c>
      <c r="H23" s="84">
        <f>'12'!F8</f>
        <v>12</v>
      </c>
      <c r="I23" s="70">
        <v>12</v>
      </c>
      <c r="J23" s="71">
        <f t="shared" si="51"/>
        <v>144</v>
      </c>
      <c r="K23" s="84">
        <f>'12'!F15</f>
        <v>25</v>
      </c>
      <c r="L23" s="70">
        <f>L7</f>
        <v>25</v>
      </c>
      <c r="M23" s="71">
        <f t="shared" si="52"/>
        <v>625</v>
      </c>
      <c r="N23" s="68">
        <f>'12'!F9</f>
        <v>40</v>
      </c>
      <c r="O23" s="68">
        <f>O7</f>
        <v>12</v>
      </c>
      <c r="P23" s="71">
        <f t="shared" si="53"/>
        <v>480</v>
      </c>
      <c r="Q23" s="68">
        <f>'12'!F10</f>
        <v>0</v>
      </c>
      <c r="R23" s="72">
        <f>R7</f>
        <v>7.5</v>
      </c>
      <c r="S23" s="71">
        <f t="shared" si="54"/>
        <v>0</v>
      </c>
      <c r="T23" s="68">
        <f>'12'!F11</f>
        <v>183</v>
      </c>
      <c r="U23" s="72">
        <f>U7</f>
        <v>15</v>
      </c>
      <c r="V23" s="71">
        <f t="shared" si="55"/>
        <v>2745</v>
      </c>
      <c r="W23" s="68">
        <f>'12'!F12</f>
        <v>65</v>
      </c>
      <c r="X23" s="72">
        <v>10</v>
      </c>
      <c r="Y23" s="71">
        <f t="shared" si="56"/>
        <v>650</v>
      </c>
      <c r="Z23" s="68">
        <f>'12'!F13</f>
        <v>48</v>
      </c>
      <c r="AA23" s="72">
        <f>AA7</f>
        <v>8</v>
      </c>
      <c r="AB23" s="71">
        <f t="shared" si="57"/>
        <v>384</v>
      </c>
      <c r="AC23" s="68">
        <f>'12'!F14</f>
        <v>21</v>
      </c>
      <c r="AD23" s="72">
        <f>AD7</f>
        <v>10</v>
      </c>
      <c r="AE23" s="73">
        <f t="shared" si="58"/>
        <v>210</v>
      </c>
      <c r="AF23" s="68"/>
      <c r="AG23" s="72">
        <f>AG7</f>
        <v>0</v>
      </c>
      <c r="AH23" s="73">
        <f t="shared" si="59"/>
        <v>0</v>
      </c>
      <c r="AI23" s="74"/>
      <c r="AJ23" s="75"/>
      <c r="AK23" s="69">
        <f t="shared" si="60"/>
        <v>18138</v>
      </c>
      <c r="AL23" s="76"/>
      <c r="AM23" s="68">
        <f>'12'!F17</f>
        <v>16</v>
      </c>
      <c r="AN23" s="72">
        <v>20</v>
      </c>
      <c r="AO23" s="71">
        <f t="shared" si="61"/>
        <v>320</v>
      </c>
      <c r="AP23" s="68">
        <f>'12'!F18</f>
        <v>44</v>
      </c>
      <c r="AQ23" s="72">
        <v>25</v>
      </c>
      <c r="AR23" s="71">
        <f t="shared" si="62"/>
        <v>1100</v>
      </c>
      <c r="AS23" s="68">
        <f>'12'!F21</f>
        <v>0</v>
      </c>
      <c r="AT23" s="70">
        <f>AT7</f>
        <v>15</v>
      </c>
      <c r="AU23" s="71">
        <f t="shared" si="63"/>
        <v>0</v>
      </c>
      <c r="AV23" s="68">
        <f>'12'!F22</f>
        <v>9</v>
      </c>
      <c r="AW23" s="68">
        <v>20</v>
      </c>
      <c r="AX23" s="71">
        <f t="shared" si="64"/>
        <v>180</v>
      </c>
      <c r="AY23" s="68">
        <f>'12'!F26</f>
        <v>0</v>
      </c>
      <c r="AZ23" s="68">
        <v>25</v>
      </c>
      <c r="BA23" s="69">
        <f t="shared" si="65"/>
        <v>0</v>
      </c>
      <c r="BB23" s="68">
        <f>'12'!F27</f>
        <v>11</v>
      </c>
      <c r="BC23" s="68">
        <v>17</v>
      </c>
      <c r="BD23" s="69">
        <f t="shared" si="66"/>
        <v>187</v>
      </c>
      <c r="BE23" s="68">
        <f>'12'!F28</f>
        <v>7</v>
      </c>
      <c r="BF23" s="70">
        <f>BF7</f>
        <v>25</v>
      </c>
      <c r="BG23" s="71">
        <f t="shared" si="67"/>
        <v>175</v>
      </c>
      <c r="BH23" s="68">
        <f>'12'!F23</f>
        <v>0</v>
      </c>
      <c r="BI23" s="70">
        <f>BI7</f>
        <v>35</v>
      </c>
      <c r="BJ23" s="71">
        <f t="shared" si="68"/>
        <v>0</v>
      </c>
      <c r="BK23" s="68">
        <f>'12'!F25</f>
        <v>0</v>
      </c>
      <c r="BL23" s="72">
        <f>BL7</f>
        <v>22</v>
      </c>
      <c r="BM23" s="71">
        <f t="shared" si="69"/>
        <v>0</v>
      </c>
      <c r="BN23" s="68">
        <f>'12'!F24</f>
        <v>2</v>
      </c>
      <c r="BO23" s="68">
        <v>25</v>
      </c>
      <c r="BP23" s="69">
        <f t="shared" si="70"/>
        <v>50</v>
      </c>
      <c r="BQ23" s="68">
        <f>'12'!F19</f>
        <v>0</v>
      </c>
      <c r="BR23" s="70">
        <f t="shared" si="76"/>
        <v>50</v>
      </c>
      <c r="BS23" s="77">
        <f t="shared" si="71"/>
        <v>0</v>
      </c>
      <c r="BT23" s="68">
        <f>'12'!F20</f>
        <v>0</v>
      </c>
      <c r="BU23" s="70">
        <f>BU7</f>
        <v>80</v>
      </c>
      <c r="BV23" s="77">
        <f t="shared" si="72"/>
        <v>0</v>
      </c>
      <c r="BW23" s="78"/>
      <c r="BX23" s="79"/>
      <c r="BY23" s="69">
        <f t="shared" si="73"/>
        <v>2012</v>
      </c>
      <c r="BZ23" s="39"/>
      <c r="CA23" s="71">
        <f t="shared" si="74"/>
        <v>20150</v>
      </c>
      <c r="CB23" s="90"/>
      <c r="CC23" s="39"/>
      <c r="CD23" s="39">
        <f t="shared" si="75"/>
        <v>20150</v>
      </c>
    </row>
    <row r="24" spans="1:82" ht="15.75" customHeight="1">
      <c r="A24" s="56">
        <v>13</v>
      </c>
      <c r="B24" s="68">
        <f>'13'!F29</f>
        <v>0</v>
      </c>
      <c r="C24" s="68">
        <f>C7</f>
        <v>40</v>
      </c>
      <c r="D24" s="69">
        <f t="shared" si="49"/>
        <v>0</v>
      </c>
      <c r="E24" s="68">
        <f>'13'!F7</f>
        <v>183</v>
      </c>
      <c r="F24" s="68">
        <f>F7</f>
        <v>50</v>
      </c>
      <c r="G24" s="71">
        <f t="shared" si="50"/>
        <v>9150</v>
      </c>
      <c r="H24" s="84">
        <f>'13'!F8</f>
        <v>6</v>
      </c>
      <c r="I24" s="70">
        <v>12</v>
      </c>
      <c r="J24" s="71">
        <f t="shared" si="51"/>
        <v>72</v>
      </c>
      <c r="K24" s="84">
        <f>'13'!F15</f>
        <v>11</v>
      </c>
      <c r="L24" s="70">
        <f>L7</f>
        <v>25</v>
      </c>
      <c r="M24" s="71">
        <f t="shared" si="52"/>
        <v>275</v>
      </c>
      <c r="N24" s="68">
        <f>'13'!F9</f>
        <v>89</v>
      </c>
      <c r="O24" s="68">
        <f>O7</f>
        <v>12</v>
      </c>
      <c r="P24" s="71">
        <f t="shared" si="53"/>
        <v>1068</v>
      </c>
      <c r="Q24" s="68">
        <f>'13'!F10</f>
        <v>0</v>
      </c>
      <c r="R24" s="72">
        <v>7.5</v>
      </c>
      <c r="S24" s="71">
        <f t="shared" si="54"/>
        <v>0</v>
      </c>
      <c r="T24" s="68">
        <f>'13'!F11</f>
        <v>169</v>
      </c>
      <c r="U24" s="72">
        <f>U7</f>
        <v>15</v>
      </c>
      <c r="V24" s="71">
        <f t="shared" si="55"/>
        <v>2535</v>
      </c>
      <c r="W24" s="68">
        <f>'13'!F12</f>
        <v>39</v>
      </c>
      <c r="X24" s="72">
        <v>10</v>
      </c>
      <c r="Y24" s="71">
        <f t="shared" si="56"/>
        <v>390</v>
      </c>
      <c r="Z24" s="68">
        <f>'13'!F13</f>
        <v>36</v>
      </c>
      <c r="AA24" s="72">
        <f>AA7</f>
        <v>8</v>
      </c>
      <c r="AB24" s="71">
        <f t="shared" si="57"/>
        <v>288</v>
      </c>
      <c r="AC24" s="68">
        <f>'13'!F14</f>
        <v>11</v>
      </c>
      <c r="AD24" s="72">
        <f>AD7</f>
        <v>10</v>
      </c>
      <c r="AE24" s="73">
        <f t="shared" si="58"/>
        <v>110</v>
      </c>
      <c r="AF24" s="68"/>
      <c r="AG24" s="72">
        <f>AG7</f>
        <v>0</v>
      </c>
      <c r="AH24" s="118">
        <f t="shared" si="59"/>
        <v>0</v>
      </c>
      <c r="AI24" s="119"/>
      <c r="AJ24" s="119"/>
      <c r="AK24" s="69">
        <f t="shared" si="60"/>
        <v>13888</v>
      </c>
      <c r="AL24" s="76"/>
      <c r="AM24" s="68">
        <f>'13'!F17</f>
        <v>17</v>
      </c>
      <c r="AN24" s="72">
        <v>20</v>
      </c>
      <c r="AO24" s="71">
        <f t="shared" si="61"/>
        <v>340</v>
      </c>
      <c r="AP24" s="68">
        <f>'13'!F18</f>
        <v>32</v>
      </c>
      <c r="AQ24" s="72">
        <v>25</v>
      </c>
      <c r="AR24" s="71">
        <f t="shared" si="62"/>
        <v>800</v>
      </c>
      <c r="AS24" s="68">
        <f>'13'!F21</f>
        <v>0</v>
      </c>
      <c r="AT24" s="70">
        <f>AT7</f>
        <v>15</v>
      </c>
      <c r="AU24" s="71">
        <f t="shared" si="63"/>
        <v>0</v>
      </c>
      <c r="AV24" s="68">
        <f>'13'!F22</f>
        <v>6</v>
      </c>
      <c r="AW24" s="68">
        <v>20</v>
      </c>
      <c r="AX24" s="71">
        <f t="shared" si="64"/>
        <v>120</v>
      </c>
      <c r="AY24" s="68">
        <f>'13'!F26</f>
        <v>0</v>
      </c>
      <c r="AZ24" s="68">
        <v>25</v>
      </c>
      <c r="BA24" s="69">
        <f t="shared" si="65"/>
        <v>0</v>
      </c>
      <c r="BB24" s="68">
        <f>'13'!F27</f>
        <v>0</v>
      </c>
      <c r="BC24" s="68">
        <v>17</v>
      </c>
      <c r="BD24" s="69">
        <f t="shared" si="66"/>
        <v>0</v>
      </c>
      <c r="BE24" s="68">
        <f>'13'!F28</f>
        <v>2</v>
      </c>
      <c r="BF24" s="70">
        <f>BF7</f>
        <v>25</v>
      </c>
      <c r="BG24" s="71">
        <f t="shared" si="67"/>
        <v>50</v>
      </c>
      <c r="BH24" s="68">
        <f>'13'!F23</f>
        <v>0</v>
      </c>
      <c r="BI24" s="70">
        <f>BI7</f>
        <v>35</v>
      </c>
      <c r="BJ24" s="71">
        <f t="shared" si="68"/>
        <v>0</v>
      </c>
      <c r="BK24" s="68">
        <f>'13'!F25</f>
        <v>0</v>
      </c>
      <c r="BL24" s="72">
        <f>BL7</f>
        <v>22</v>
      </c>
      <c r="BM24" s="71">
        <f t="shared" si="69"/>
        <v>0</v>
      </c>
      <c r="BN24" s="68">
        <f>'13'!F24</f>
        <v>2</v>
      </c>
      <c r="BO24" s="68">
        <v>25</v>
      </c>
      <c r="BP24" s="69">
        <f t="shared" si="70"/>
        <v>50</v>
      </c>
      <c r="BQ24" s="68">
        <f>'13'!F19</f>
        <v>0</v>
      </c>
      <c r="BR24" s="70">
        <f t="shared" si="76"/>
        <v>50</v>
      </c>
      <c r="BS24" s="77">
        <f t="shared" si="71"/>
        <v>0</v>
      </c>
      <c r="BT24" s="68">
        <f>'13'!F20</f>
        <v>0</v>
      </c>
      <c r="BU24" s="70">
        <f>BU7</f>
        <v>80</v>
      </c>
      <c r="BV24" s="77">
        <f t="shared" si="72"/>
        <v>0</v>
      </c>
      <c r="BW24" s="78"/>
      <c r="BX24" s="79"/>
      <c r="BY24" s="69">
        <f t="shared" si="73"/>
        <v>1360</v>
      </c>
      <c r="BZ24" s="39"/>
      <c r="CA24" s="71">
        <f t="shared" si="74"/>
        <v>15248</v>
      </c>
      <c r="CB24" s="90"/>
      <c r="CC24" s="39"/>
      <c r="CD24" s="39">
        <f t="shared" si="75"/>
        <v>15248</v>
      </c>
    </row>
    <row r="25" spans="1:82" ht="15.75" customHeight="1">
      <c r="A25" s="56">
        <v>14</v>
      </c>
      <c r="B25" s="68">
        <f>'14'!F29</f>
        <v>0</v>
      </c>
      <c r="C25" s="68">
        <f>C7</f>
        <v>40</v>
      </c>
      <c r="D25" s="69">
        <f t="shared" si="49"/>
        <v>0</v>
      </c>
      <c r="E25" s="68">
        <f>'14'!F7</f>
        <v>183</v>
      </c>
      <c r="F25" s="68">
        <f>F7</f>
        <v>50</v>
      </c>
      <c r="G25" s="71">
        <f t="shared" si="50"/>
        <v>9150</v>
      </c>
      <c r="H25" s="84">
        <f>'14'!F8</f>
        <v>3</v>
      </c>
      <c r="I25" s="70">
        <v>12</v>
      </c>
      <c r="J25" s="71">
        <f t="shared" si="51"/>
        <v>36</v>
      </c>
      <c r="K25" s="84">
        <f>'14'!F15</f>
        <v>10</v>
      </c>
      <c r="L25" s="70">
        <f>L7</f>
        <v>25</v>
      </c>
      <c r="M25" s="71">
        <f t="shared" si="52"/>
        <v>250</v>
      </c>
      <c r="N25" s="68">
        <f>'14'!F9</f>
        <v>111</v>
      </c>
      <c r="O25" s="68">
        <f>O7</f>
        <v>12</v>
      </c>
      <c r="P25" s="71">
        <f t="shared" si="53"/>
        <v>1332</v>
      </c>
      <c r="Q25" s="68">
        <f>'14'!F10</f>
        <v>0</v>
      </c>
      <c r="R25" s="72">
        <f>R7</f>
        <v>7.5</v>
      </c>
      <c r="S25" s="71">
        <f t="shared" si="54"/>
        <v>0</v>
      </c>
      <c r="T25" s="68">
        <f>'14'!F11</f>
        <v>167</v>
      </c>
      <c r="U25" s="72">
        <f>U7</f>
        <v>15</v>
      </c>
      <c r="V25" s="71">
        <f t="shared" si="55"/>
        <v>2505</v>
      </c>
      <c r="W25" s="68">
        <f>'14'!F12</f>
        <v>26</v>
      </c>
      <c r="X25" s="72">
        <v>10</v>
      </c>
      <c r="Y25" s="71">
        <f t="shared" si="56"/>
        <v>260</v>
      </c>
      <c r="Z25" s="68">
        <f>'14'!F13</f>
        <v>34</v>
      </c>
      <c r="AA25" s="72">
        <f>AA7</f>
        <v>8</v>
      </c>
      <c r="AB25" s="71">
        <f t="shared" si="57"/>
        <v>272</v>
      </c>
      <c r="AC25" s="68">
        <f>'14'!F14</f>
        <v>20</v>
      </c>
      <c r="AD25" s="72">
        <f>AD7</f>
        <v>10</v>
      </c>
      <c r="AE25" s="73">
        <f t="shared" si="58"/>
        <v>200</v>
      </c>
      <c r="AF25" s="68"/>
      <c r="AG25" s="72">
        <f>AG7</f>
        <v>0</v>
      </c>
      <c r="AH25" s="118">
        <f t="shared" si="59"/>
        <v>0</v>
      </c>
      <c r="AI25" s="119"/>
      <c r="AJ25" s="119"/>
      <c r="AK25" s="69">
        <f t="shared" si="60"/>
        <v>14005</v>
      </c>
      <c r="AL25" s="76"/>
      <c r="AM25" s="68">
        <f>'14'!F17</f>
        <v>13</v>
      </c>
      <c r="AN25" s="72">
        <v>20</v>
      </c>
      <c r="AO25" s="71">
        <f t="shared" si="61"/>
        <v>260</v>
      </c>
      <c r="AP25" s="68">
        <f>'14'!F18</f>
        <v>39</v>
      </c>
      <c r="AQ25" s="72">
        <v>25</v>
      </c>
      <c r="AR25" s="71">
        <f t="shared" si="62"/>
        <v>975</v>
      </c>
      <c r="AS25" s="68">
        <f>'14'!F21</f>
        <v>0</v>
      </c>
      <c r="AT25" s="70">
        <f>AT7</f>
        <v>15</v>
      </c>
      <c r="AU25" s="71">
        <f t="shared" si="63"/>
        <v>0</v>
      </c>
      <c r="AV25" s="68">
        <f>'14'!F22</f>
        <v>10</v>
      </c>
      <c r="AW25" s="68">
        <v>20</v>
      </c>
      <c r="AX25" s="71">
        <f t="shared" si="64"/>
        <v>200</v>
      </c>
      <c r="AY25" s="68">
        <f>'14'!F26</f>
        <v>0</v>
      </c>
      <c r="AZ25" s="68">
        <v>25</v>
      </c>
      <c r="BA25" s="69">
        <f t="shared" si="65"/>
        <v>0</v>
      </c>
      <c r="BB25" s="68">
        <f>'14'!F27</f>
        <v>0</v>
      </c>
      <c r="BC25" s="68">
        <v>17</v>
      </c>
      <c r="BD25" s="69">
        <f t="shared" si="66"/>
        <v>0</v>
      </c>
      <c r="BE25" s="68">
        <f>'14'!F28</f>
        <v>8</v>
      </c>
      <c r="BF25" s="70">
        <f>BF7</f>
        <v>25</v>
      </c>
      <c r="BG25" s="71">
        <f t="shared" si="67"/>
        <v>200</v>
      </c>
      <c r="BH25" s="68">
        <f>'14'!F23</f>
        <v>0</v>
      </c>
      <c r="BI25" s="70">
        <f>BI7</f>
        <v>35</v>
      </c>
      <c r="BJ25" s="71">
        <f t="shared" si="68"/>
        <v>0</v>
      </c>
      <c r="BK25" s="68">
        <f>'14'!F25</f>
        <v>0</v>
      </c>
      <c r="BL25" s="72">
        <f>BL7</f>
        <v>22</v>
      </c>
      <c r="BM25" s="71">
        <f t="shared" si="69"/>
        <v>0</v>
      </c>
      <c r="BN25" s="68">
        <f>'14'!F24</f>
        <v>4</v>
      </c>
      <c r="BO25" s="68">
        <v>25</v>
      </c>
      <c r="BP25" s="69">
        <f t="shared" si="70"/>
        <v>100</v>
      </c>
      <c r="BQ25" s="68">
        <f>'14'!F19</f>
        <v>0</v>
      </c>
      <c r="BR25" s="70">
        <f t="shared" si="76"/>
        <v>50</v>
      </c>
      <c r="BS25" s="77">
        <f t="shared" si="71"/>
        <v>0</v>
      </c>
      <c r="BT25" s="68">
        <f>'14'!F20</f>
        <v>0</v>
      </c>
      <c r="BU25" s="70">
        <f>BU7</f>
        <v>80</v>
      </c>
      <c r="BV25" s="77">
        <f t="shared" si="72"/>
        <v>0</v>
      </c>
      <c r="BW25" s="78"/>
      <c r="BX25" s="79"/>
      <c r="BY25" s="69">
        <f t="shared" si="73"/>
        <v>1735</v>
      </c>
      <c r="BZ25" s="39"/>
      <c r="CA25" s="71">
        <f t="shared" si="74"/>
        <v>15740</v>
      </c>
      <c r="CB25" s="90"/>
      <c r="CC25" s="39"/>
      <c r="CD25" s="39">
        <f t="shared" si="75"/>
        <v>15740</v>
      </c>
    </row>
    <row r="26" spans="1:82" ht="15.75" customHeight="1">
      <c r="A26" s="129" t="s">
        <v>23</v>
      </c>
      <c r="B26" s="68">
        <f>SUM(B19:B25)</f>
        <v>0</v>
      </c>
      <c r="C26" s="68"/>
      <c r="D26" s="130">
        <f t="shared" ref="D26:E26" si="77">SUM(D19:D25)</f>
        <v>0</v>
      </c>
      <c r="E26" s="70">
        <f t="shared" si="77"/>
        <v>1496</v>
      </c>
      <c r="F26" s="70"/>
      <c r="G26" s="131">
        <f t="shared" ref="G26:H26" si="78">SUM(G19:G25)</f>
        <v>74800</v>
      </c>
      <c r="H26" s="72">
        <f t="shared" si="78"/>
        <v>48</v>
      </c>
      <c r="I26" s="70"/>
      <c r="J26" s="131">
        <f t="shared" ref="J26:K26" si="79">SUM(J19:J25)</f>
        <v>576</v>
      </c>
      <c r="K26" s="70">
        <f t="shared" si="79"/>
        <v>97</v>
      </c>
      <c r="L26" s="70"/>
      <c r="M26" s="131">
        <f t="shared" ref="M26:N26" si="80">SUM(M19:M25)</f>
        <v>2425</v>
      </c>
      <c r="N26" s="70">
        <f t="shared" si="80"/>
        <v>614</v>
      </c>
      <c r="O26" s="70"/>
      <c r="P26" s="131">
        <f t="shared" ref="P26:Q26" si="81">SUM(P19:P25)</f>
        <v>7368</v>
      </c>
      <c r="Q26" s="70">
        <f t="shared" si="81"/>
        <v>0</v>
      </c>
      <c r="R26" s="70"/>
      <c r="S26" s="131">
        <f t="shared" ref="S26:T26" si="82">SUM(S19:S25)</f>
        <v>0</v>
      </c>
      <c r="T26" s="70">
        <f t="shared" si="82"/>
        <v>1259</v>
      </c>
      <c r="U26" s="70"/>
      <c r="V26" s="131">
        <f t="shared" ref="V26:W26" si="83">SUM(V19:V25)</f>
        <v>18885</v>
      </c>
      <c r="W26" s="70">
        <f t="shared" si="83"/>
        <v>290</v>
      </c>
      <c r="X26" s="70"/>
      <c r="Y26" s="131">
        <f t="shared" ref="Y26:Z26" si="84">SUM(Y19:Y25)</f>
        <v>2900</v>
      </c>
      <c r="Z26" s="70">
        <f t="shared" si="84"/>
        <v>266</v>
      </c>
      <c r="AA26" s="70"/>
      <c r="AB26" s="132">
        <f t="shared" ref="AB26:AC26" si="85">SUM(AB19:AB25)</f>
        <v>2128</v>
      </c>
      <c r="AC26" s="70">
        <f t="shared" si="85"/>
        <v>80</v>
      </c>
      <c r="AD26" s="70"/>
      <c r="AE26" s="132">
        <f t="shared" ref="AE26:AF26" si="86">SUM(AE19:AE25)</f>
        <v>800</v>
      </c>
      <c r="AF26" s="70">
        <f t="shared" si="86"/>
        <v>0</v>
      </c>
      <c r="AG26" s="70"/>
      <c r="AH26" s="131">
        <f>SUM(AH19:AH25)</f>
        <v>0</v>
      </c>
      <c r="AI26" s="39"/>
      <c r="AJ26" s="39"/>
      <c r="AK26" s="131">
        <f>SUM(AK19:AK25)</f>
        <v>109882</v>
      </c>
      <c r="AL26" s="76"/>
      <c r="AM26" s="68">
        <f>SUM(AM19:AM25)</f>
        <v>93</v>
      </c>
      <c r="AN26" s="70"/>
      <c r="AO26" s="131">
        <f t="shared" ref="AO26:AP26" si="87">SUM(AO19:AO25)</f>
        <v>1860</v>
      </c>
      <c r="AP26" s="70">
        <f t="shared" si="87"/>
        <v>242</v>
      </c>
      <c r="AQ26" s="70"/>
      <c r="AR26" s="131">
        <f t="shared" ref="AR26:AS26" si="88">SUM(AR19:AR25)</f>
        <v>6050</v>
      </c>
      <c r="AS26" s="70">
        <f t="shared" si="88"/>
        <v>0</v>
      </c>
      <c r="AT26" s="70"/>
      <c r="AU26" s="131">
        <f t="shared" ref="AU26:AV26" si="89">SUM(AU19:AU25)</f>
        <v>0</v>
      </c>
      <c r="AV26" s="72">
        <f t="shared" si="89"/>
        <v>39</v>
      </c>
      <c r="AW26" s="70"/>
      <c r="AX26" s="131">
        <f t="shared" ref="AX26:AY26" si="90">SUM(AX19:AX25)</f>
        <v>780</v>
      </c>
      <c r="AY26" s="70">
        <f t="shared" si="90"/>
        <v>0</v>
      </c>
      <c r="AZ26" s="70"/>
      <c r="BA26" s="131">
        <f t="shared" ref="BA26:BB26" si="91">SUM(BA19:BA25)</f>
        <v>0</v>
      </c>
      <c r="BB26" s="70">
        <f t="shared" si="91"/>
        <v>50</v>
      </c>
      <c r="BC26" s="70"/>
      <c r="BD26" s="131">
        <f t="shared" ref="BD26:BE26" si="92">SUM(BD19:BD25)</f>
        <v>850</v>
      </c>
      <c r="BE26" s="70">
        <f t="shared" si="92"/>
        <v>25</v>
      </c>
      <c r="BF26" s="70"/>
      <c r="BG26" s="131">
        <f t="shared" ref="BG26:BH26" si="93">SUM(BG19:BG25)</f>
        <v>625</v>
      </c>
      <c r="BH26" s="70">
        <f t="shared" si="93"/>
        <v>0</v>
      </c>
      <c r="BI26" s="70"/>
      <c r="BJ26" s="131">
        <f t="shared" ref="BJ26:BK26" si="94">SUM(BJ19:BJ25)</f>
        <v>0</v>
      </c>
      <c r="BK26" s="72">
        <f t="shared" si="94"/>
        <v>0</v>
      </c>
      <c r="BL26" s="70"/>
      <c r="BM26" s="131">
        <f t="shared" ref="BM26:BN26" si="95">SUM(BM19:BM25)</f>
        <v>0</v>
      </c>
      <c r="BN26" s="70">
        <f t="shared" si="95"/>
        <v>19</v>
      </c>
      <c r="BO26" s="70"/>
      <c r="BP26" s="131">
        <f t="shared" ref="BP26:BQ26" si="96">SUM(BP19:BP25)</f>
        <v>475</v>
      </c>
      <c r="BQ26" s="70">
        <f t="shared" si="96"/>
        <v>0</v>
      </c>
      <c r="BR26" s="70"/>
      <c r="BS26" s="132">
        <f t="shared" ref="BS26:BT26" si="97">SUM(BS19:BS25)</f>
        <v>0</v>
      </c>
      <c r="BT26" s="70">
        <f t="shared" si="97"/>
        <v>0</v>
      </c>
      <c r="BU26" s="70"/>
      <c r="BV26" s="132">
        <f>SUM(BV19:BV25)</f>
        <v>0</v>
      </c>
      <c r="BY26" s="130">
        <f>SUM(BY19:BY25)</f>
        <v>10640</v>
      </c>
      <c r="BZ26" s="39"/>
      <c r="CA26" s="131">
        <f>SUM(CA19:CA25)</f>
        <v>120522</v>
      </c>
      <c r="CB26" s="133"/>
      <c r="CC26" s="39"/>
      <c r="CD26" s="134">
        <f>SUM(CD19:CD25)</f>
        <v>120522</v>
      </c>
    </row>
    <row r="27" spans="1:82" ht="15.75" customHeight="1">
      <c r="A27" s="18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</row>
    <row r="28" spans="1:82" ht="15.75" customHeight="1">
      <c r="A28" s="18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</row>
    <row r="29" spans="1:82" ht="15.75" customHeight="1">
      <c r="A29" s="51" t="s">
        <v>110</v>
      </c>
      <c r="B29" s="460" t="str">
        <f>B5</f>
        <v>MINI CUT</v>
      </c>
      <c r="C29" s="445"/>
      <c r="D29" s="423"/>
      <c r="E29" s="460" t="s">
        <v>30</v>
      </c>
      <c r="F29" s="445"/>
      <c r="G29" s="423"/>
      <c r="H29" s="460" t="s">
        <v>102</v>
      </c>
      <c r="I29" s="445"/>
      <c r="J29" s="423"/>
      <c r="K29" s="460" t="str">
        <f>K17</f>
        <v>Chicken Fillet</v>
      </c>
      <c r="L29" s="445"/>
      <c r="M29" s="423"/>
      <c r="N29" s="460" t="s">
        <v>53</v>
      </c>
      <c r="O29" s="445"/>
      <c r="P29" s="445"/>
      <c r="Q29" s="459" t="s">
        <v>54</v>
      </c>
      <c r="R29" s="445"/>
      <c r="S29" s="423"/>
      <c r="T29" s="448" t="s">
        <v>55</v>
      </c>
      <c r="U29" s="445"/>
      <c r="V29" s="423"/>
      <c r="W29" s="448" t="s">
        <v>56</v>
      </c>
      <c r="X29" s="445"/>
      <c r="Y29" s="423"/>
      <c r="Z29" s="448" t="s">
        <v>57</v>
      </c>
      <c r="AA29" s="445"/>
      <c r="AB29" s="445"/>
      <c r="AC29" s="448" t="s">
        <v>58</v>
      </c>
      <c r="AD29" s="445"/>
      <c r="AE29" s="445"/>
      <c r="AF29" s="448">
        <f>AF5</f>
        <v>0</v>
      </c>
      <c r="AG29" s="445"/>
      <c r="AH29" s="423"/>
      <c r="AI29" s="448" t="str">
        <f>AI5</f>
        <v>SUBTOTAL</v>
      </c>
      <c r="AJ29" s="445"/>
      <c r="AK29" s="423"/>
      <c r="AL29" s="136"/>
      <c r="AM29" s="459" t="s">
        <v>103</v>
      </c>
      <c r="AN29" s="445"/>
      <c r="AO29" s="423"/>
      <c r="AP29" s="448" t="s">
        <v>60</v>
      </c>
      <c r="AQ29" s="445"/>
      <c r="AR29" s="423"/>
      <c r="AS29" s="448" t="s">
        <v>61</v>
      </c>
      <c r="AT29" s="445"/>
      <c r="AU29" s="423"/>
      <c r="AV29" s="448" t="s">
        <v>62</v>
      </c>
      <c r="AW29" s="445"/>
      <c r="AX29" s="423"/>
      <c r="AY29" s="448" t="s">
        <v>63</v>
      </c>
      <c r="AZ29" s="445"/>
      <c r="BA29" s="423"/>
      <c r="BB29" s="448" t="str">
        <f>BB17</f>
        <v>swakto</v>
      </c>
      <c r="BC29" s="445"/>
      <c r="BD29" s="423"/>
      <c r="BE29" s="448" t="s">
        <v>65</v>
      </c>
      <c r="BF29" s="445"/>
      <c r="BG29" s="423"/>
      <c r="BH29" s="448" t="str">
        <f>BH17</f>
        <v>GATORADE</v>
      </c>
      <c r="BI29" s="445"/>
      <c r="BJ29" s="423"/>
      <c r="BK29" s="448" t="s">
        <v>66</v>
      </c>
      <c r="BL29" s="445"/>
      <c r="BM29" s="423"/>
      <c r="BN29" s="448" t="s">
        <v>67</v>
      </c>
      <c r="BO29" s="445"/>
      <c r="BP29" s="423"/>
      <c r="BQ29" s="447" t="str">
        <f>BQ17</f>
        <v>1 LITER</v>
      </c>
      <c r="BR29" s="445"/>
      <c r="BS29" s="423"/>
      <c r="BT29" s="447" t="str">
        <f>BT17</f>
        <v>1.5 L</v>
      </c>
      <c r="BU29" s="445"/>
      <c r="BV29" s="423"/>
      <c r="BW29" s="444" t="s">
        <v>68</v>
      </c>
      <c r="BX29" s="445"/>
      <c r="BY29" s="423"/>
      <c r="BZ29" s="39"/>
      <c r="CA29" s="137" t="s">
        <v>23</v>
      </c>
      <c r="CB29" s="39"/>
      <c r="CC29" s="39"/>
      <c r="CD29" s="39"/>
    </row>
    <row r="30" spans="1:82" ht="15.75" customHeight="1">
      <c r="A30" s="56" t="s">
        <v>7</v>
      </c>
      <c r="B30" s="118" t="s">
        <v>71</v>
      </c>
      <c r="C30" s="118" t="s">
        <v>72</v>
      </c>
      <c r="D30" s="118" t="s">
        <v>26</v>
      </c>
      <c r="E30" s="118" t="s">
        <v>71</v>
      </c>
      <c r="F30" s="118" t="s">
        <v>72</v>
      </c>
      <c r="G30" s="118" t="s">
        <v>26</v>
      </c>
      <c r="H30" s="138" t="s">
        <v>71</v>
      </c>
      <c r="I30" s="139" t="s">
        <v>72</v>
      </c>
      <c r="J30" s="140" t="s">
        <v>73</v>
      </c>
      <c r="K30" s="138" t="s">
        <v>71</v>
      </c>
      <c r="L30" s="139" t="s">
        <v>72</v>
      </c>
      <c r="M30" s="140" t="s">
        <v>73</v>
      </c>
      <c r="N30" s="118" t="s">
        <v>71</v>
      </c>
      <c r="O30" s="118" t="s">
        <v>72</v>
      </c>
      <c r="P30" s="118" t="s">
        <v>26</v>
      </c>
      <c r="Q30" s="138" t="s">
        <v>71</v>
      </c>
      <c r="R30" s="139" t="s">
        <v>72</v>
      </c>
      <c r="S30" s="140" t="s">
        <v>73</v>
      </c>
      <c r="T30" s="138" t="s">
        <v>71</v>
      </c>
      <c r="U30" s="139" t="s">
        <v>72</v>
      </c>
      <c r="V30" s="141" t="s">
        <v>73</v>
      </c>
      <c r="W30" s="138" t="s">
        <v>71</v>
      </c>
      <c r="X30" s="139" t="s">
        <v>72</v>
      </c>
      <c r="Y30" s="141" t="s">
        <v>73</v>
      </c>
      <c r="Z30" s="138" t="s">
        <v>71</v>
      </c>
      <c r="AA30" s="139" t="s">
        <v>72</v>
      </c>
      <c r="AB30" s="141" t="s">
        <v>73</v>
      </c>
      <c r="AC30" s="138" t="s">
        <v>71</v>
      </c>
      <c r="AD30" s="139" t="s">
        <v>72</v>
      </c>
      <c r="AE30" s="141" t="s">
        <v>26</v>
      </c>
      <c r="AF30" s="118" t="s">
        <v>71</v>
      </c>
      <c r="AG30" s="118" t="s">
        <v>72</v>
      </c>
      <c r="AH30" s="118" t="s">
        <v>26</v>
      </c>
      <c r="AI30" s="142"/>
      <c r="AJ30" s="143"/>
      <c r="AK30" s="118" t="s">
        <v>73</v>
      </c>
      <c r="AL30" s="136"/>
      <c r="AM30" s="145" t="s">
        <v>71</v>
      </c>
      <c r="AN30" s="146" t="s">
        <v>72</v>
      </c>
      <c r="AO30" s="145" t="s">
        <v>73</v>
      </c>
      <c r="AP30" s="147" t="s">
        <v>71</v>
      </c>
      <c r="AQ30" s="146" t="s">
        <v>72</v>
      </c>
      <c r="AR30" s="145" t="s">
        <v>73</v>
      </c>
      <c r="AS30" s="147" t="s">
        <v>71</v>
      </c>
      <c r="AT30" s="146" t="s">
        <v>72</v>
      </c>
      <c r="AU30" s="145" t="s">
        <v>73</v>
      </c>
      <c r="AV30" s="146" t="s">
        <v>71</v>
      </c>
      <c r="AW30" s="146" t="s">
        <v>72</v>
      </c>
      <c r="AX30" s="146" t="s">
        <v>26</v>
      </c>
      <c r="AY30" s="146" t="s">
        <v>71</v>
      </c>
      <c r="AZ30" s="146" t="s">
        <v>72</v>
      </c>
      <c r="BA30" s="146" t="s">
        <v>26</v>
      </c>
      <c r="BB30" s="146" t="s">
        <v>71</v>
      </c>
      <c r="BC30" s="146" t="s">
        <v>72</v>
      </c>
      <c r="BD30" s="146" t="s">
        <v>26</v>
      </c>
      <c r="BE30" s="146" t="s">
        <v>71</v>
      </c>
      <c r="BF30" s="146" t="s">
        <v>72</v>
      </c>
      <c r="BG30" s="146" t="s">
        <v>26</v>
      </c>
      <c r="BH30" s="146" t="s">
        <v>71</v>
      </c>
      <c r="BI30" s="146" t="s">
        <v>72</v>
      </c>
      <c r="BJ30" s="146" t="s">
        <v>26</v>
      </c>
      <c r="BK30" s="146" t="s">
        <v>71</v>
      </c>
      <c r="BL30" s="146" t="s">
        <v>72</v>
      </c>
      <c r="BM30" s="146" t="s">
        <v>26</v>
      </c>
      <c r="BN30" s="146" t="s">
        <v>71</v>
      </c>
      <c r="BO30" s="146" t="s">
        <v>72</v>
      </c>
      <c r="BP30" s="146" t="s">
        <v>26</v>
      </c>
      <c r="BQ30" s="146" t="s">
        <v>71</v>
      </c>
      <c r="BR30" s="146" t="s">
        <v>72</v>
      </c>
      <c r="BS30" s="146" t="s">
        <v>26</v>
      </c>
      <c r="BT30" s="146" t="s">
        <v>71</v>
      </c>
      <c r="BU30" s="146" t="s">
        <v>72</v>
      </c>
      <c r="BV30" s="146" t="s">
        <v>26</v>
      </c>
      <c r="BW30" s="142"/>
      <c r="BX30" s="143"/>
      <c r="BY30" s="118" t="s">
        <v>26</v>
      </c>
      <c r="BZ30" s="39"/>
      <c r="CA30" s="118" t="s">
        <v>26</v>
      </c>
      <c r="CB30" s="39"/>
      <c r="CC30" s="39"/>
      <c r="CD30" s="39"/>
    </row>
    <row r="31" spans="1:82" ht="15.75" customHeight="1">
      <c r="A31" s="56">
        <v>15</v>
      </c>
      <c r="B31" s="70">
        <f>'15'!F29</f>
        <v>0</v>
      </c>
      <c r="C31" s="68">
        <f>C7</f>
        <v>40</v>
      </c>
      <c r="D31" s="69">
        <f t="shared" ref="D31:D37" si="98">B31*C31</f>
        <v>0</v>
      </c>
      <c r="E31" s="70">
        <f>'15'!F7</f>
        <v>238</v>
      </c>
      <c r="F31" s="70">
        <v>50</v>
      </c>
      <c r="G31" s="71">
        <f t="shared" ref="G31:G37" si="99">E31*F31</f>
        <v>11900</v>
      </c>
      <c r="H31" s="72">
        <f>'15'!F8</f>
        <v>14</v>
      </c>
      <c r="I31" s="70">
        <v>12</v>
      </c>
      <c r="J31" s="71">
        <f t="shared" ref="J31:J37" si="100">H31*I31</f>
        <v>168</v>
      </c>
      <c r="K31" s="72">
        <f>'15'!F15</f>
        <v>10</v>
      </c>
      <c r="L31" s="70">
        <f>L7</f>
        <v>25</v>
      </c>
      <c r="M31" s="71">
        <f t="shared" ref="M31:M37" si="101">K31*L31</f>
        <v>250</v>
      </c>
      <c r="N31" s="70">
        <f>'15'!F9</f>
        <v>50</v>
      </c>
      <c r="O31" s="70">
        <f>O7</f>
        <v>12</v>
      </c>
      <c r="P31" s="71">
        <f t="shared" ref="P31:P37" si="102">N31*O31</f>
        <v>600</v>
      </c>
      <c r="Q31" s="68">
        <f>'15'!F10</f>
        <v>0</v>
      </c>
      <c r="R31" s="72">
        <f>R7</f>
        <v>7.5</v>
      </c>
      <c r="S31" s="71">
        <f t="shared" ref="S31:S37" si="103">Q31*R31</f>
        <v>0</v>
      </c>
      <c r="T31" s="68">
        <f>'15'!F11</f>
        <v>195</v>
      </c>
      <c r="U31" s="72">
        <f>U7</f>
        <v>15</v>
      </c>
      <c r="V31" s="71">
        <f t="shared" ref="V31:V37" si="104">T31*U31</f>
        <v>2925</v>
      </c>
      <c r="W31" s="68">
        <f>'15'!F12</f>
        <v>36</v>
      </c>
      <c r="X31" s="68">
        <v>10</v>
      </c>
      <c r="Y31" s="71">
        <f t="shared" ref="Y31:Y37" si="105">W31*X31</f>
        <v>360</v>
      </c>
      <c r="Z31" s="68">
        <f>'15'!F13</f>
        <v>42</v>
      </c>
      <c r="AA31" s="72">
        <f>AA7</f>
        <v>8</v>
      </c>
      <c r="AB31" s="71">
        <f t="shared" ref="AB31:AB37" si="106">Z31*AA31</f>
        <v>336</v>
      </c>
      <c r="AC31" s="68">
        <f>'15'!F14</f>
        <v>12</v>
      </c>
      <c r="AD31" s="72">
        <f>AD7</f>
        <v>10</v>
      </c>
      <c r="AE31" s="73">
        <f t="shared" ref="AE31:AE37" si="107">AC31*AD31</f>
        <v>120</v>
      </c>
      <c r="AF31" s="68"/>
      <c r="AG31" s="72">
        <f>AG7</f>
        <v>0</v>
      </c>
      <c r="AH31" s="118">
        <f t="shared" ref="AH31:AH37" si="108">AF31*AG31</f>
        <v>0</v>
      </c>
      <c r="AI31" s="74"/>
      <c r="AJ31" s="75"/>
      <c r="AK31" s="71">
        <f t="shared" ref="AK31:AK37" si="109">D31+G31+J31+M31+P31+S31+V31+Y31+AB31+AE31+AH31</f>
        <v>16659</v>
      </c>
      <c r="AL31" s="76"/>
      <c r="AM31" s="68">
        <f>'15'!F17</f>
        <v>20</v>
      </c>
      <c r="AN31" s="72">
        <v>20</v>
      </c>
      <c r="AO31" s="71">
        <f t="shared" ref="AO31:AO37" si="110">AM31*AN31</f>
        <v>400</v>
      </c>
      <c r="AP31" s="68">
        <f>'15'!F18</f>
        <v>54</v>
      </c>
      <c r="AQ31" s="72">
        <v>25</v>
      </c>
      <c r="AR31" s="71">
        <f t="shared" ref="AR31:AR37" si="111">AP31*AQ31</f>
        <v>1350</v>
      </c>
      <c r="AS31" s="68">
        <f>'15'!F21</f>
        <v>0</v>
      </c>
      <c r="AT31" s="70">
        <f>AT7</f>
        <v>15</v>
      </c>
      <c r="AU31" s="71">
        <f t="shared" ref="AU31:AU37" si="112">AS31*AT31</f>
        <v>0</v>
      </c>
      <c r="AV31" s="68">
        <f>'15'!F22</f>
        <v>6</v>
      </c>
      <c r="AW31" s="68">
        <v>20</v>
      </c>
      <c r="AX31" s="71">
        <f t="shared" ref="AX31:AX37" si="113">AV31*AW31</f>
        <v>120</v>
      </c>
      <c r="AY31" s="68">
        <f>'15'!F26</f>
        <v>0</v>
      </c>
      <c r="AZ31" s="68">
        <v>25</v>
      </c>
      <c r="BA31" s="69">
        <f t="shared" ref="BA31:BA37" si="114">AY31*AZ31</f>
        <v>0</v>
      </c>
      <c r="BB31" s="68">
        <f>'15'!F27</f>
        <v>0</v>
      </c>
      <c r="BC31" s="68">
        <v>17</v>
      </c>
      <c r="BD31" s="69">
        <f t="shared" ref="BD31:BD37" si="115">BB31*BC31</f>
        <v>0</v>
      </c>
      <c r="BE31" s="68">
        <f>'15'!F28</f>
        <v>2</v>
      </c>
      <c r="BF31" s="70">
        <f>BF7</f>
        <v>25</v>
      </c>
      <c r="BG31" s="71">
        <f t="shared" ref="BG31:BG37" si="116">BE31*BF31</f>
        <v>50</v>
      </c>
      <c r="BH31" s="68">
        <f>'15'!F23</f>
        <v>0</v>
      </c>
      <c r="BI31" s="70">
        <f>BI7</f>
        <v>35</v>
      </c>
      <c r="BJ31" s="71">
        <f t="shared" ref="BJ31:BJ37" si="117">BH31*BI31</f>
        <v>0</v>
      </c>
      <c r="BK31" s="68">
        <f>'15'!F25</f>
        <v>0</v>
      </c>
      <c r="BL31" s="72">
        <f>BL7</f>
        <v>22</v>
      </c>
      <c r="BM31" s="71">
        <f t="shared" ref="BM31:BM37" si="118">BK31*BL31</f>
        <v>0</v>
      </c>
      <c r="BN31" s="68">
        <f>'15'!F24</f>
        <v>3</v>
      </c>
      <c r="BO31" s="68">
        <v>25</v>
      </c>
      <c r="BP31" s="69">
        <f t="shared" ref="BP31:BP37" si="119">BN31*BO31</f>
        <v>75</v>
      </c>
      <c r="BQ31" s="68">
        <f>'15'!F19</f>
        <v>0</v>
      </c>
      <c r="BR31" s="70">
        <v>50</v>
      </c>
      <c r="BS31" s="71">
        <f t="shared" ref="BS31:BS37" si="120">BQ31*BR31</f>
        <v>0</v>
      </c>
      <c r="BT31" s="68">
        <f>'15'!F20</f>
        <v>0</v>
      </c>
      <c r="BU31" s="70">
        <f>BU7</f>
        <v>80</v>
      </c>
      <c r="BV31" s="71">
        <f t="shared" ref="BV31:BV37" si="121">BT31*BU31</f>
        <v>0</v>
      </c>
      <c r="BW31" s="78"/>
      <c r="BX31" s="79"/>
      <c r="BY31" s="69">
        <f t="shared" ref="BY31:BY37" si="122">AO31+AR31+AU31+AX31+BA31+BD31+BG31+BJ31+BM31+BP31+BS31+BV31</f>
        <v>1995</v>
      </c>
      <c r="BZ31" s="39"/>
      <c r="CA31" s="71">
        <f t="shared" ref="CA31:CA37" si="123">AK31+BY31</f>
        <v>18654</v>
      </c>
      <c r="CB31" s="39"/>
      <c r="CC31" s="39"/>
      <c r="CD31" s="39">
        <f t="shared" ref="CD31:CD37" si="124">CA31-CC31</f>
        <v>18654</v>
      </c>
    </row>
    <row r="32" spans="1:82" ht="15.75" customHeight="1">
      <c r="A32" s="56">
        <v>16</v>
      </c>
      <c r="B32" s="68">
        <f>'16'!F29</f>
        <v>0</v>
      </c>
      <c r="C32" s="68">
        <f>C7</f>
        <v>40</v>
      </c>
      <c r="D32" s="69">
        <f t="shared" si="98"/>
        <v>0</v>
      </c>
      <c r="E32" s="68">
        <f>'16'!F7</f>
        <v>214</v>
      </c>
      <c r="F32" s="70">
        <v>50</v>
      </c>
      <c r="G32" s="71">
        <f t="shared" si="99"/>
        <v>10700</v>
      </c>
      <c r="H32" s="84">
        <f>'16'!F8</f>
        <v>6</v>
      </c>
      <c r="I32" s="70">
        <v>12</v>
      </c>
      <c r="J32" s="71">
        <f t="shared" si="100"/>
        <v>72</v>
      </c>
      <c r="K32" s="84">
        <f>'16'!F15</f>
        <v>20</v>
      </c>
      <c r="L32" s="70">
        <f>L7</f>
        <v>25</v>
      </c>
      <c r="M32" s="71">
        <f t="shared" si="101"/>
        <v>500</v>
      </c>
      <c r="N32" s="68">
        <f>'16'!F9</f>
        <v>80</v>
      </c>
      <c r="O32" s="68">
        <f>O7</f>
        <v>12</v>
      </c>
      <c r="P32" s="71">
        <f t="shared" si="102"/>
        <v>960</v>
      </c>
      <c r="Q32" s="68">
        <f>'16'!F10</f>
        <v>0</v>
      </c>
      <c r="R32" s="72">
        <f>R7</f>
        <v>7.5</v>
      </c>
      <c r="S32" s="71">
        <f t="shared" si="103"/>
        <v>0</v>
      </c>
      <c r="T32" s="68">
        <f>'16'!F11</f>
        <v>204</v>
      </c>
      <c r="U32" s="72">
        <f>U7</f>
        <v>15</v>
      </c>
      <c r="V32" s="71">
        <f t="shared" si="104"/>
        <v>3060</v>
      </c>
      <c r="W32" s="68">
        <f>'16'!F12</f>
        <v>24</v>
      </c>
      <c r="X32" s="68">
        <v>10</v>
      </c>
      <c r="Y32" s="71">
        <f t="shared" si="105"/>
        <v>240</v>
      </c>
      <c r="Z32" s="68">
        <f>'16'!F13</f>
        <v>25</v>
      </c>
      <c r="AA32" s="72">
        <f>AA7</f>
        <v>8</v>
      </c>
      <c r="AB32" s="71">
        <f t="shared" si="106"/>
        <v>200</v>
      </c>
      <c r="AC32" s="68">
        <f>'16'!F14</f>
        <v>7</v>
      </c>
      <c r="AD32" s="72">
        <f>AD7</f>
        <v>10</v>
      </c>
      <c r="AE32" s="73">
        <f t="shared" si="107"/>
        <v>70</v>
      </c>
      <c r="AF32" s="68"/>
      <c r="AG32" s="72">
        <f>AG7</f>
        <v>0</v>
      </c>
      <c r="AH32" s="118">
        <f t="shared" si="108"/>
        <v>0</v>
      </c>
      <c r="AI32" s="74"/>
      <c r="AJ32" s="75"/>
      <c r="AK32" s="71">
        <f t="shared" si="109"/>
        <v>15802</v>
      </c>
      <c r="AL32" s="76"/>
      <c r="AM32" s="68">
        <f>'16'!F17</f>
        <v>9</v>
      </c>
      <c r="AN32" s="72">
        <v>20</v>
      </c>
      <c r="AO32" s="71">
        <f t="shared" si="110"/>
        <v>180</v>
      </c>
      <c r="AP32" s="68">
        <f>'16'!F18</f>
        <v>47</v>
      </c>
      <c r="AQ32" s="72">
        <v>25</v>
      </c>
      <c r="AR32" s="71">
        <f t="shared" si="111"/>
        <v>1175</v>
      </c>
      <c r="AS32" s="68">
        <f>'16'!F21</f>
        <v>0</v>
      </c>
      <c r="AT32" s="70">
        <f>AT7</f>
        <v>15</v>
      </c>
      <c r="AU32" s="71">
        <f t="shared" si="112"/>
        <v>0</v>
      </c>
      <c r="AV32" s="68">
        <f>'16'!F22</f>
        <v>6</v>
      </c>
      <c r="AW32" s="68">
        <v>20</v>
      </c>
      <c r="AX32" s="71">
        <f t="shared" si="113"/>
        <v>120</v>
      </c>
      <c r="AY32" s="68">
        <f>'16'!F26</f>
        <v>0</v>
      </c>
      <c r="AZ32" s="68">
        <v>25</v>
      </c>
      <c r="BA32" s="69">
        <f t="shared" si="114"/>
        <v>0</v>
      </c>
      <c r="BB32" s="68">
        <f>'16'!F27</f>
        <v>0</v>
      </c>
      <c r="BC32" s="68">
        <v>17</v>
      </c>
      <c r="BD32" s="69">
        <f t="shared" si="115"/>
        <v>0</v>
      </c>
      <c r="BE32" s="68">
        <f>'16'!F28</f>
        <v>6</v>
      </c>
      <c r="BF32" s="70">
        <f>BF7</f>
        <v>25</v>
      </c>
      <c r="BG32" s="71">
        <f t="shared" si="116"/>
        <v>150</v>
      </c>
      <c r="BH32" s="68">
        <f>'16'!F23</f>
        <v>0</v>
      </c>
      <c r="BI32" s="70">
        <f>BI7</f>
        <v>35</v>
      </c>
      <c r="BJ32" s="71">
        <f t="shared" si="117"/>
        <v>0</v>
      </c>
      <c r="BK32" s="68">
        <f>'16'!F25</f>
        <v>0</v>
      </c>
      <c r="BL32" s="72">
        <f>BL7</f>
        <v>22</v>
      </c>
      <c r="BM32" s="71">
        <f t="shared" si="118"/>
        <v>0</v>
      </c>
      <c r="BN32" s="68">
        <f>'16'!F24</f>
        <v>4</v>
      </c>
      <c r="BO32" s="68">
        <v>25</v>
      </c>
      <c r="BP32" s="69">
        <f t="shared" si="119"/>
        <v>100</v>
      </c>
      <c r="BQ32" s="68">
        <f>'16'!F19</f>
        <v>0</v>
      </c>
      <c r="BR32" s="70">
        <v>50</v>
      </c>
      <c r="BS32" s="71">
        <f t="shared" si="120"/>
        <v>0</v>
      </c>
      <c r="BT32" s="68">
        <f>'16'!F20</f>
        <v>0</v>
      </c>
      <c r="BU32" s="70">
        <f>BU7</f>
        <v>80</v>
      </c>
      <c r="BV32" s="71">
        <f t="shared" si="121"/>
        <v>0</v>
      </c>
      <c r="BW32" s="78"/>
      <c r="BX32" s="79"/>
      <c r="BY32" s="69">
        <f t="shared" si="122"/>
        <v>1725</v>
      </c>
      <c r="BZ32" s="39"/>
      <c r="CA32" s="71">
        <f t="shared" si="123"/>
        <v>17527</v>
      </c>
      <c r="CB32" s="90"/>
      <c r="CC32" s="39"/>
      <c r="CD32" s="39">
        <f t="shared" si="124"/>
        <v>17527</v>
      </c>
    </row>
    <row r="33" spans="1:84" ht="15.75" customHeight="1">
      <c r="A33" s="56">
        <v>17</v>
      </c>
      <c r="B33" s="68">
        <f>'17'!F29</f>
        <v>0</v>
      </c>
      <c r="C33" s="68">
        <f>C7</f>
        <v>40</v>
      </c>
      <c r="D33" s="69">
        <f t="shared" si="98"/>
        <v>0</v>
      </c>
      <c r="E33" s="68">
        <f>'17'!F7</f>
        <v>217</v>
      </c>
      <c r="F33" s="70">
        <v>50</v>
      </c>
      <c r="G33" s="71">
        <f t="shared" si="99"/>
        <v>10850</v>
      </c>
      <c r="H33" s="84">
        <f>'17'!F8</f>
        <v>15</v>
      </c>
      <c r="I33" s="70">
        <v>12</v>
      </c>
      <c r="J33" s="71">
        <f t="shared" si="100"/>
        <v>180</v>
      </c>
      <c r="K33" s="84">
        <f>'17'!F15</f>
        <v>10</v>
      </c>
      <c r="L33" s="70">
        <f>L7</f>
        <v>25</v>
      </c>
      <c r="M33" s="71">
        <f t="shared" si="101"/>
        <v>250</v>
      </c>
      <c r="N33" s="68">
        <f>'17'!F9</f>
        <v>110</v>
      </c>
      <c r="O33" s="68">
        <f>O7</f>
        <v>12</v>
      </c>
      <c r="P33" s="71">
        <f t="shared" si="102"/>
        <v>1320</v>
      </c>
      <c r="Q33" s="68">
        <f>'17'!F10</f>
        <v>0</v>
      </c>
      <c r="R33" s="72">
        <f>R7</f>
        <v>7.5</v>
      </c>
      <c r="S33" s="71">
        <f t="shared" si="103"/>
        <v>0</v>
      </c>
      <c r="T33" s="68">
        <f>'17'!F11</f>
        <v>200</v>
      </c>
      <c r="U33" s="72">
        <f>U7</f>
        <v>15</v>
      </c>
      <c r="V33" s="71">
        <f t="shared" si="104"/>
        <v>3000</v>
      </c>
      <c r="W33" s="68">
        <f>'17'!F12</f>
        <v>34</v>
      </c>
      <c r="X33" s="68">
        <v>10</v>
      </c>
      <c r="Y33" s="71">
        <f t="shared" si="105"/>
        <v>340</v>
      </c>
      <c r="Z33" s="68">
        <f>'17'!F13</f>
        <v>31</v>
      </c>
      <c r="AA33" s="72">
        <f>AA7</f>
        <v>8</v>
      </c>
      <c r="AB33" s="71">
        <f t="shared" si="106"/>
        <v>248</v>
      </c>
      <c r="AC33" s="68">
        <f>'17'!F14</f>
        <v>0</v>
      </c>
      <c r="AD33" s="72">
        <f>AD7</f>
        <v>10</v>
      </c>
      <c r="AE33" s="73">
        <f t="shared" si="107"/>
        <v>0</v>
      </c>
      <c r="AF33" s="68"/>
      <c r="AG33" s="72">
        <f>AG7</f>
        <v>0</v>
      </c>
      <c r="AH33" s="118">
        <f t="shared" si="108"/>
        <v>0</v>
      </c>
      <c r="AI33" s="74"/>
      <c r="AJ33" s="75"/>
      <c r="AK33" s="71">
        <f t="shared" si="109"/>
        <v>16188</v>
      </c>
      <c r="AL33" s="76"/>
      <c r="AM33" s="68">
        <f>'17'!F17</f>
        <v>14</v>
      </c>
      <c r="AN33" s="72">
        <v>20</v>
      </c>
      <c r="AO33" s="71">
        <f t="shared" si="110"/>
        <v>280</v>
      </c>
      <c r="AP33" s="68">
        <f>'17'!F18</f>
        <v>45</v>
      </c>
      <c r="AQ33" s="72">
        <v>25</v>
      </c>
      <c r="AR33" s="71">
        <f t="shared" si="111"/>
        <v>1125</v>
      </c>
      <c r="AS33" s="68">
        <f>'17'!F21</f>
        <v>0</v>
      </c>
      <c r="AT33" s="70">
        <f>AT7</f>
        <v>15</v>
      </c>
      <c r="AU33" s="71">
        <f t="shared" si="112"/>
        <v>0</v>
      </c>
      <c r="AV33" s="68">
        <f>'17'!F22</f>
        <v>9</v>
      </c>
      <c r="AW33" s="68">
        <v>20</v>
      </c>
      <c r="AX33" s="71">
        <f t="shared" si="113"/>
        <v>180</v>
      </c>
      <c r="AY33" s="68">
        <f>'17'!F26</f>
        <v>0</v>
      </c>
      <c r="AZ33" s="68">
        <v>25</v>
      </c>
      <c r="BA33" s="69">
        <f t="shared" si="114"/>
        <v>0</v>
      </c>
      <c r="BB33" s="68">
        <f>'17'!F27</f>
        <v>0</v>
      </c>
      <c r="BC33" s="68">
        <v>17</v>
      </c>
      <c r="BD33" s="69">
        <f t="shared" si="115"/>
        <v>0</v>
      </c>
      <c r="BE33" s="68">
        <f>'17'!F28</f>
        <v>4</v>
      </c>
      <c r="BF33" s="70">
        <f>BF7</f>
        <v>25</v>
      </c>
      <c r="BG33" s="71">
        <f t="shared" si="116"/>
        <v>100</v>
      </c>
      <c r="BH33" s="68">
        <f>'17'!F23</f>
        <v>0</v>
      </c>
      <c r="BI33" s="70">
        <f>BI7</f>
        <v>35</v>
      </c>
      <c r="BJ33" s="71">
        <f t="shared" si="117"/>
        <v>0</v>
      </c>
      <c r="BK33" s="68">
        <f>'17'!F25</f>
        <v>0</v>
      </c>
      <c r="BL33" s="72">
        <f>BL7</f>
        <v>22</v>
      </c>
      <c r="BM33" s="71">
        <f t="shared" si="118"/>
        <v>0</v>
      </c>
      <c r="BN33" s="68">
        <f>'17'!F24</f>
        <v>1</v>
      </c>
      <c r="BO33" s="68">
        <v>25</v>
      </c>
      <c r="BP33" s="69">
        <f t="shared" si="119"/>
        <v>25</v>
      </c>
      <c r="BQ33" s="68">
        <f>'17'!F19</f>
        <v>0</v>
      </c>
      <c r="BR33" s="70">
        <v>50</v>
      </c>
      <c r="BS33" s="71">
        <f t="shared" si="120"/>
        <v>0</v>
      </c>
      <c r="BT33" s="68">
        <f>'17'!F20</f>
        <v>0</v>
      </c>
      <c r="BU33" s="70">
        <f>BU7</f>
        <v>80</v>
      </c>
      <c r="BV33" s="71">
        <f t="shared" si="121"/>
        <v>0</v>
      </c>
      <c r="BW33" s="78"/>
      <c r="BX33" s="79"/>
      <c r="BY33" s="69">
        <f t="shared" si="122"/>
        <v>1710</v>
      </c>
      <c r="BZ33" s="39"/>
      <c r="CA33" s="71">
        <f t="shared" si="123"/>
        <v>17898</v>
      </c>
      <c r="CB33" s="90"/>
      <c r="CC33" s="39"/>
      <c r="CD33" s="39">
        <f t="shared" si="124"/>
        <v>17898</v>
      </c>
    </row>
    <row r="34" spans="1:84" ht="15.75" customHeight="1">
      <c r="A34" s="56">
        <v>18</v>
      </c>
      <c r="B34" s="68">
        <f>'18'!F29</f>
        <v>0</v>
      </c>
      <c r="C34" s="68">
        <f>C7</f>
        <v>40</v>
      </c>
      <c r="D34" s="69">
        <f t="shared" si="98"/>
        <v>0</v>
      </c>
      <c r="E34" s="68">
        <f>'18'!F7</f>
        <v>195</v>
      </c>
      <c r="F34" s="70">
        <v>50</v>
      </c>
      <c r="G34" s="71">
        <f t="shared" si="99"/>
        <v>9750</v>
      </c>
      <c r="H34" s="84">
        <f>'18'!F8</f>
        <v>23</v>
      </c>
      <c r="I34" s="70">
        <v>12</v>
      </c>
      <c r="J34" s="71">
        <f t="shared" si="100"/>
        <v>276</v>
      </c>
      <c r="K34" s="84">
        <f>'18'!F15</f>
        <v>20</v>
      </c>
      <c r="L34" s="70">
        <f>L7</f>
        <v>25</v>
      </c>
      <c r="M34" s="71">
        <f t="shared" si="101"/>
        <v>500</v>
      </c>
      <c r="N34" s="68">
        <f>'18'!F9</f>
        <v>100</v>
      </c>
      <c r="O34" s="68">
        <f>O7</f>
        <v>12</v>
      </c>
      <c r="P34" s="71">
        <f t="shared" si="102"/>
        <v>1200</v>
      </c>
      <c r="Q34" s="68">
        <f>'18'!F10</f>
        <v>0</v>
      </c>
      <c r="R34" s="72">
        <f>R7</f>
        <v>7.5</v>
      </c>
      <c r="S34" s="71">
        <f t="shared" si="103"/>
        <v>0</v>
      </c>
      <c r="T34" s="68">
        <f>'18'!F11</f>
        <v>197</v>
      </c>
      <c r="U34" s="72">
        <f>U7</f>
        <v>15</v>
      </c>
      <c r="V34" s="71">
        <f t="shared" si="104"/>
        <v>2955</v>
      </c>
      <c r="W34" s="68">
        <f>'18'!F12</f>
        <v>50</v>
      </c>
      <c r="X34" s="68">
        <v>10</v>
      </c>
      <c r="Y34" s="71">
        <f t="shared" si="105"/>
        <v>500</v>
      </c>
      <c r="Z34" s="68">
        <f>'18'!F13</f>
        <v>47</v>
      </c>
      <c r="AA34" s="72">
        <f>AA7</f>
        <v>8</v>
      </c>
      <c r="AB34" s="71">
        <f t="shared" si="106"/>
        <v>376</v>
      </c>
      <c r="AC34" s="68">
        <f>'18'!F14</f>
        <v>0</v>
      </c>
      <c r="AD34" s="72">
        <f>AD7</f>
        <v>10</v>
      </c>
      <c r="AE34" s="73">
        <f t="shared" si="107"/>
        <v>0</v>
      </c>
      <c r="AF34" s="68"/>
      <c r="AG34" s="72">
        <f>AG7</f>
        <v>0</v>
      </c>
      <c r="AH34" s="118">
        <f t="shared" si="108"/>
        <v>0</v>
      </c>
      <c r="AI34" s="74"/>
      <c r="AJ34" s="75"/>
      <c r="AK34" s="71">
        <f t="shared" si="109"/>
        <v>15557</v>
      </c>
      <c r="AL34" s="76"/>
      <c r="AM34" s="68">
        <f>'18'!F17</f>
        <v>13</v>
      </c>
      <c r="AN34" s="72">
        <v>20</v>
      </c>
      <c r="AO34" s="71">
        <f t="shared" si="110"/>
        <v>260</v>
      </c>
      <c r="AP34" s="68">
        <f>'18'!F18</f>
        <v>28</v>
      </c>
      <c r="AQ34" s="72">
        <v>25</v>
      </c>
      <c r="AR34" s="71">
        <f t="shared" si="111"/>
        <v>700</v>
      </c>
      <c r="AS34" s="68">
        <f>'18'!F21</f>
        <v>0</v>
      </c>
      <c r="AT34" s="70">
        <f>AT7</f>
        <v>15</v>
      </c>
      <c r="AU34" s="71">
        <f t="shared" si="112"/>
        <v>0</v>
      </c>
      <c r="AV34" s="68">
        <f>'18'!F22</f>
        <v>7</v>
      </c>
      <c r="AW34" s="68">
        <v>20</v>
      </c>
      <c r="AX34" s="71">
        <f t="shared" si="113"/>
        <v>140</v>
      </c>
      <c r="AY34" s="68">
        <f>'18'!F26</f>
        <v>0</v>
      </c>
      <c r="AZ34" s="68">
        <v>25</v>
      </c>
      <c r="BA34" s="69">
        <f t="shared" si="114"/>
        <v>0</v>
      </c>
      <c r="BB34" s="68">
        <f>'18'!F27</f>
        <v>0</v>
      </c>
      <c r="BC34" s="68">
        <v>17</v>
      </c>
      <c r="BD34" s="69">
        <f t="shared" si="115"/>
        <v>0</v>
      </c>
      <c r="BE34" s="68">
        <f>'18'!F28</f>
        <v>2</v>
      </c>
      <c r="BF34" s="70">
        <f>BF7</f>
        <v>25</v>
      </c>
      <c r="BG34" s="71">
        <f t="shared" si="116"/>
        <v>50</v>
      </c>
      <c r="BH34" s="68">
        <f>'18'!F23</f>
        <v>0</v>
      </c>
      <c r="BI34" s="70">
        <f>BI7</f>
        <v>35</v>
      </c>
      <c r="BJ34" s="71">
        <f t="shared" si="117"/>
        <v>0</v>
      </c>
      <c r="BK34" s="68">
        <f>'18'!F25</f>
        <v>0</v>
      </c>
      <c r="BL34" s="72">
        <f>BL7</f>
        <v>22</v>
      </c>
      <c r="BM34" s="71">
        <f t="shared" si="118"/>
        <v>0</v>
      </c>
      <c r="BN34" s="68">
        <f>'18'!F24</f>
        <v>1</v>
      </c>
      <c r="BO34" s="68">
        <v>25</v>
      </c>
      <c r="BP34" s="69">
        <f t="shared" si="119"/>
        <v>25</v>
      </c>
      <c r="BQ34" s="68">
        <f>'18'!F19</f>
        <v>0</v>
      </c>
      <c r="BR34" s="70">
        <f t="shared" ref="BR34:BR37" si="125">BR10</f>
        <v>50</v>
      </c>
      <c r="BS34" s="71">
        <f t="shared" si="120"/>
        <v>0</v>
      </c>
      <c r="BT34" s="68">
        <f>'18'!F20</f>
        <v>0</v>
      </c>
      <c r="BU34" s="70">
        <f>BU7</f>
        <v>80</v>
      </c>
      <c r="BV34" s="71">
        <f t="shared" si="121"/>
        <v>0</v>
      </c>
      <c r="BW34" s="78"/>
      <c r="BX34" s="79"/>
      <c r="BY34" s="69">
        <f t="shared" si="122"/>
        <v>1175</v>
      </c>
      <c r="BZ34" s="39"/>
      <c r="CA34" s="71">
        <f t="shared" si="123"/>
        <v>16732</v>
      </c>
      <c r="CB34" s="90"/>
      <c r="CC34" s="39"/>
      <c r="CD34" s="39">
        <f t="shared" si="124"/>
        <v>16732</v>
      </c>
    </row>
    <row r="35" spans="1:84" ht="15.75" customHeight="1">
      <c r="A35" s="56">
        <v>19</v>
      </c>
      <c r="B35" s="68">
        <f>'19'!F29</f>
        <v>0</v>
      </c>
      <c r="C35" s="68">
        <f>C7</f>
        <v>40</v>
      </c>
      <c r="D35" s="69">
        <f t="shared" si="98"/>
        <v>0</v>
      </c>
      <c r="E35" s="68">
        <f>'19'!F7</f>
        <v>236</v>
      </c>
      <c r="F35" s="70">
        <v>50</v>
      </c>
      <c r="G35" s="71">
        <f t="shared" si="99"/>
        <v>11800</v>
      </c>
      <c r="H35" s="84">
        <f>'19'!F8</f>
        <v>5</v>
      </c>
      <c r="I35" s="70">
        <v>12</v>
      </c>
      <c r="J35" s="71">
        <f t="shared" si="100"/>
        <v>60</v>
      </c>
      <c r="K35" s="84">
        <f>'19'!F15</f>
        <v>25</v>
      </c>
      <c r="L35" s="70">
        <f>L7</f>
        <v>25</v>
      </c>
      <c r="M35" s="71">
        <f t="shared" si="101"/>
        <v>625</v>
      </c>
      <c r="N35" s="68">
        <f>'19'!F9</f>
        <v>120</v>
      </c>
      <c r="O35" s="68">
        <f>O7</f>
        <v>12</v>
      </c>
      <c r="P35" s="71">
        <f t="shared" si="102"/>
        <v>1440</v>
      </c>
      <c r="Q35" s="68">
        <f>'19'!F10</f>
        <v>0</v>
      </c>
      <c r="R35" s="72">
        <f>R7</f>
        <v>7.5</v>
      </c>
      <c r="S35" s="71">
        <f t="shared" si="103"/>
        <v>0</v>
      </c>
      <c r="T35" s="68">
        <f>'19'!F11</f>
        <v>229</v>
      </c>
      <c r="U35" s="72">
        <f>U7</f>
        <v>15</v>
      </c>
      <c r="V35" s="71">
        <f t="shared" si="104"/>
        <v>3435</v>
      </c>
      <c r="W35" s="68">
        <f>'19'!F12</f>
        <v>34</v>
      </c>
      <c r="X35" s="68">
        <v>10</v>
      </c>
      <c r="Y35" s="71">
        <f t="shared" si="105"/>
        <v>340</v>
      </c>
      <c r="Z35" s="68">
        <f>'19'!F13</f>
        <v>44</v>
      </c>
      <c r="AA35" s="72">
        <f>AA7</f>
        <v>8</v>
      </c>
      <c r="AB35" s="71">
        <f t="shared" si="106"/>
        <v>352</v>
      </c>
      <c r="AC35" s="68">
        <f>'19'!F14</f>
        <v>0</v>
      </c>
      <c r="AD35" s="72">
        <f>AD7</f>
        <v>10</v>
      </c>
      <c r="AE35" s="73">
        <f t="shared" si="107"/>
        <v>0</v>
      </c>
      <c r="AF35" s="68"/>
      <c r="AG35" s="72">
        <f>AG7</f>
        <v>0</v>
      </c>
      <c r="AH35" s="118">
        <f t="shared" si="108"/>
        <v>0</v>
      </c>
      <c r="AI35" s="74"/>
      <c r="AJ35" s="75"/>
      <c r="AK35" s="71">
        <f t="shared" si="109"/>
        <v>18052</v>
      </c>
      <c r="AL35" s="76"/>
      <c r="AM35" s="68">
        <f>'19'!F17</f>
        <v>21</v>
      </c>
      <c r="AN35" s="72">
        <v>20</v>
      </c>
      <c r="AO35" s="71">
        <f t="shared" si="110"/>
        <v>420</v>
      </c>
      <c r="AP35" s="68">
        <f>'19'!F18</f>
        <v>61</v>
      </c>
      <c r="AQ35" s="72">
        <v>25</v>
      </c>
      <c r="AR35" s="71">
        <f t="shared" si="111"/>
        <v>1525</v>
      </c>
      <c r="AS35" s="68">
        <f>'19'!F21</f>
        <v>0</v>
      </c>
      <c r="AT35" s="70">
        <f>AT7</f>
        <v>15</v>
      </c>
      <c r="AU35" s="71">
        <f t="shared" si="112"/>
        <v>0</v>
      </c>
      <c r="AV35" s="68">
        <f>'19'!F22</f>
        <v>9</v>
      </c>
      <c r="AW35" s="68">
        <v>20</v>
      </c>
      <c r="AX35" s="71">
        <f t="shared" si="113"/>
        <v>180</v>
      </c>
      <c r="AY35" s="68">
        <f>'19'!F26</f>
        <v>0</v>
      </c>
      <c r="AZ35" s="68">
        <v>25</v>
      </c>
      <c r="BA35" s="69">
        <f t="shared" si="114"/>
        <v>0</v>
      </c>
      <c r="BB35" s="68">
        <f>'19'!F27</f>
        <v>0</v>
      </c>
      <c r="BC35" s="68">
        <v>17</v>
      </c>
      <c r="BD35" s="69">
        <f t="shared" si="115"/>
        <v>0</v>
      </c>
      <c r="BE35" s="68">
        <f>'19'!F28</f>
        <v>1</v>
      </c>
      <c r="BF35" s="70">
        <f>BF7</f>
        <v>25</v>
      </c>
      <c r="BG35" s="71">
        <f t="shared" si="116"/>
        <v>25</v>
      </c>
      <c r="BH35" s="68">
        <f>'19'!F23</f>
        <v>0</v>
      </c>
      <c r="BI35" s="70">
        <f>BI7</f>
        <v>35</v>
      </c>
      <c r="BJ35" s="71">
        <f t="shared" si="117"/>
        <v>0</v>
      </c>
      <c r="BK35" s="68">
        <f>'19'!F25</f>
        <v>0</v>
      </c>
      <c r="BL35" s="72">
        <f>BL7</f>
        <v>22</v>
      </c>
      <c r="BM35" s="71">
        <f t="shared" si="118"/>
        <v>0</v>
      </c>
      <c r="BN35" s="68">
        <f>'19'!F24</f>
        <v>4</v>
      </c>
      <c r="BO35" s="68">
        <v>25</v>
      </c>
      <c r="BP35" s="69">
        <f t="shared" si="119"/>
        <v>100</v>
      </c>
      <c r="BQ35" s="68">
        <f>'19'!F19</f>
        <v>0</v>
      </c>
      <c r="BR35" s="70">
        <f t="shared" si="125"/>
        <v>50</v>
      </c>
      <c r="BS35" s="71">
        <f t="shared" si="120"/>
        <v>0</v>
      </c>
      <c r="BT35" s="68">
        <f>'19'!F20</f>
        <v>0</v>
      </c>
      <c r="BU35" s="70">
        <f>BU7</f>
        <v>80</v>
      </c>
      <c r="BV35" s="71">
        <f t="shared" si="121"/>
        <v>0</v>
      </c>
      <c r="BW35" s="78"/>
      <c r="BX35" s="79"/>
      <c r="BY35" s="69">
        <f t="shared" si="122"/>
        <v>2250</v>
      </c>
      <c r="BZ35" s="39"/>
      <c r="CA35" s="71">
        <f t="shared" si="123"/>
        <v>20302</v>
      </c>
      <c r="CB35" s="90"/>
      <c r="CC35" s="39"/>
      <c r="CD35" s="39">
        <f t="shared" si="124"/>
        <v>20302</v>
      </c>
    </row>
    <row r="36" spans="1:84" ht="15.75" customHeight="1">
      <c r="A36" s="56">
        <v>20</v>
      </c>
      <c r="B36" s="68">
        <f>'20'!F29</f>
        <v>0</v>
      </c>
      <c r="C36" s="68">
        <v>40</v>
      </c>
      <c r="D36" s="69">
        <f t="shared" si="98"/>
        <v>0</v>
      </c>
      <c r="E36" s="68">
        <f>'20'!F7</f>
        <v>176</v>
      </c>
      <c r="F36" s="70">
        <v>50</v>
      </c>
      <c r="G36" s="71">
        <f t="shared" si="99"/>
        <v>8800</v>
      </c>
      <c r="H36" s="84">
        <f>'20'!F8</f>
        <v>5</v>
      </c>
      <c r="I36" s="70">
        <v>12</v>
      </c>
      <c r="J36" s="71">
        <f t="shared" si="100"/>
        <v>60</v>
      </c>
      <c r="K36" s="84">
        <f>'20'!F15</f>
        <v>13</v>
      </c>
      <c r="L36" s="70">
        <f>L7</f>
        <v>25</v>
      </c>
      <c r="M36" s="71">
        <f t="shared" si="101"/>
        <v>325</v>
      </c>
      <c r="N36" s="68">
        <f>'20'!F9</f>
        <v>90</v>
      </c>
      <c r="O36" s="68">
        <f>O7</f>
        <v>12</v>
      </c>
      <c r="P36" s="71">
        <f t="shared" si="102"/>
        <v>1080</v>
      </c>
      <c r="Q36" s="68">
        <f>'20'!F10</f>
        <v>0</v>
      </c>
      <c r="R36" s="72">
        <f>R7</f>
        <v>7.5</v>
      </c>
      <c r="S36" s="71">
        <f t="shared" si="103"/>
        <v>0</v>
      </c>
      <c r="T36" s="68">
        <f>'20'!F11</f>
        <v>185</v>
      </c>
      <c r="U36" s="72">
        <f>U7</f>
        <v>15</v>
      </c>
      <c r="V36" s="71">
        <f t="shared" si="104"/>
        <v>2775</v>
      </c>
      <c r="W36" s="68">
        <f>'20'!F12</f>
        <v>25</v>
      </c>
      <c r="X36" s="68">
        <v>10</v>
      </c>
      <c r="Y36" s="71">
        <f t="shared" si="105"/>
        <v>250</v>
      </c>
      <c r="Z36" s="68">
        <f>'20'!F13</f>
        <v>25</v>
      </c>
      <c r="AA36" s="72">
        <f>AA7</f>
        <v>8</v>
      </c>
      <c r="AB36" s="71">
        <f t="shared" si="106"/>
        <v>200</v>
      </c>
      <c r="AC36" s="68">
        <f>'20'!F14</f>
        <v>0</v>
      </c>
      <c r="AD36" s="72">
        <f>AD7</f>
        <v>10</v>
      </c>
      <c r="AE36" s="73">
        <f t="shared" si="107"/>
        <v>0</v>
      </c>
      <c r="AF36" s="68"/>
      <c r="AG36" s="72">
        <f>AG7</f>
        <v>0</v>
      </c>
      <c r="AH36" s="118">
        <f t="shared" si="108"/>
        <v>0</v>
      </c>
      <c r="AI36" s="119"/>
      <c r="AJ36" s="119"/>
      <c r="AK36" s="71">
        <f t="shared" si="109"/>
        <v>13490</v>
      </c>
      <c r="AL36" s="76"/>
      <c r="AM36" s="68">
        <f>'20'!F17</f>
        <v>9</v>
      </c>
      <c r="AN36" s="72">
        <v>20</v>
      </c>
      <c r="AO36" s="71">
        <f t="shared" si="110"/>
        <v>180</v>
      </c>
      <c r="AP36" s="68">
        <f>'20'!F18</f>
        <v>44</v>
      </c>
      <c r="AQ36" s="72">
        <v>25</v>
      </c>
      <c r="AR36" s="71">
        <f t="shared" si="111"/>
        <v>1100</v>
      </c>
      <c r="AS36" s="68">
        <f>'20'!F21</f>
        <v>0</v>
      </c>
      <c r="AT36" s="70">
        <f>AT7</f>
        <v>15</v>
      </c>
      <c r="AU36" s="71">
        <f t="shared" si="112"/>
        <v>0</v>
      </c>
      <c r="AV36" s="68">
        <f>'20'!F22</f>
        <v>12</v>
      </c>
      <c r="AW36" s="68">
        <v>20</v>
      </c>
      <c r="AX36" s="71">
        <f t="shared" si="113"/>
        <v>240</v>
      </c>
      <c r="AY36" s="68">
        <f>'20'!F26</f>
        <v>0</v>
      </c>
      <c r="AZ36" s="68">
        <v>25</v>
      </c>
      <c r="BA36" s="69">
        <f t="shared" si="114"/>
        <v>0</v>
      </c>
      <c r="BB36" s="68">
        <f>'20'!F27</f>
        <v>0</v>
      </c>
      <c r="BC36" s="68">
        <v>17</v>
      </c>
      <c r="BD36" s="69">
        <f t="shared" si="115"/>
        <v>0</v>
      </c>
      <c r="BE36" s="68">
        <f>'20'!F28</f>
        <v>2</v>
      </c>
      <c r="BF36" s="70">
        <f>BF7</f>
        <v>25</v>
      </c>
      <c r="BG36" s="71">
        <f t="shared" si="116"/>
        <v>50</v>
      </c>
      <c r="BH36" s="68">
        <f>'20'!F23</f>
        <v>0</v>
      </c>
      <c r="BI36" s="70">
        <f>BI7</f>
        <v>35</v>
      </c>
      <c r="BJ36" s="71">
        <f t="shared" si="117"/>
        <v>0</v>
      </c>
      <c r="BK36" s="68">
        <f>'20'!F25</f>
        <v>0</v>
      </c>
      <c r="BL36" s="72">
        <f>BL7</f>
        <v>22</v>
      </c>
      <c r="BM36" s="71">
        <f t="shared" si="118"/>
        <v>0</v>
      </c>
      <c r="BN36" s="68">
        <f>'20'!F24</f>
        <v>2</v>
      </c>
      <c r="BO36" s="68">
        <v>25</v>
      </c>
      <c r="BP36" s="69">
        <f t="shared" si="119"/>
        <v>50</v>
      </c>
      <c r="BQ36" s="68">
        <f>'20'!F19</f>
        <v>0</v>
      </c>
      <c r="BR36" s="70">
        <f t="shared" si="125"/>
        <v>50</v>
      </c>
      <c r="BS36" s="71">
        <f t="shared" si="120"/>
        <v>0</v>
      </c>
      <c r="BT36" s="68">
        <f>'20'!F20</f>
        <v>0</v>
      </c>
      <c r="BU36" s="70">
        <f>BU7</f>
        <v>80</v>
      </c>
      <c r="BV36" s="71">
        <f t="shared" si="121"/>
        <v>0</v>
      </c>
      <c r="BW36" s="78"/>
      <c r="BX36" s="79"/>
      <c r="BY36" s="69">
        <f t="shared" si="122"/>
        <v>1620</v>
      </c>
      <c r="BZ36" s="39"/>
      <c r="CA36" s="71">
        <f t="shared" si="123"/>
        <v>15110</v>
      </c>
      <c r="CB36" s="90"/>
      <c r="CC36" s="39"/>
      <c r="CD36" s="39">
        <f t="shared" si="124"/>
        <v>15110</v>
      </c>
    </row>
    <row r="37" spans="1:84" ht="15.75" customHeight="1">
      <c r="A37" s="56">
        <v>21</v>
      </c>
      <c r="B37" s="68">
        <f>'21'!F29</f>
        <v>0</v>
      </c>
      <c r="C37" s="68">
        <v>40</v>
      </c>
      <c r="D37" s="69">
        <f t="shared" si="98"/>
        <v>0</v>
      </c>
      <c r="E37" s="68">
        <f>'21'!F7</f>
        <v>182</v>
      </c>
      <c r="F37" s="70">
        <v>50</v>
      </c>
      <c r="G37" s="71">
        <f t="shared" si="99"/>
        <v>9100</v>
      </c>
      <c r="H37" s="84">
        <f>'21'!F8</f>
        <v>15</v>
      </c>
      <c r="I37" s="70">
        <v>12</v>
      </c>
      <c r="J37" s="71">
        <f t="shared" si="100"/>
        <v>180</v>
      </c>
      <c r="K37" s="84">
        <f>'21'!F15</f>
        <v>22</v>
      </c>
      <c r="L37" s="70">
        <f>L7</f>
        <v>25</v>
      </c>
      <c r="M37" s="71">
        <f t="shared" si="101"/>
        <v>550</v>
      </c>
      <c r="N37" s="68">
        <f>'21'!F9</f>
        <v>120</v>
      </c>
      <c r="O37" s="68">
        <f>O7</f>
        <v>12</v>
      </c>
      <c r="P37" s="71">
        <f t="shared" si="102"/>
        <v>1440</v>
      </c>
      <c r="Q37" s="68">
        <f>'21'!F10</f>
        <v>0</v>
      </c>
      <c r="R37" s="72">
        <f>R7</f>
        <v>7.5</v>
      </c>
      <c r="S37" s="71">
        <f t="shared" si="103"/>
        <v>0</v>
      </c>
      <c r="T37" s="68">
        <f>'21'!F11</f>
        <v>169</v>
      </c>
      <c r="U37" s="72">
        <f>U7</f>
        <v>15</v>
      </c>
      <c r="V37" s="71">
        <f t="shared" si="104"/>
        <v>2535</v>
      </c>
      <c r="W37" s="68">
        <f>'21'!F12</f>
        <v>33</v>
      </c>
      <c r="X37" s="68">
        <v>10</v>
      </c>
      <c r="Y37" s="71">
        <f t="shared" si="105"/>
        <v>330</v>
      </c>
      <c r="Z37" s="68">
        <f>'21'!F13</f>
        <v>42</v>
      </c>
      <c r="AA37" s="72">
        <f>AA7</f>
        <v>8</v>
      </c>
      <c r="AB37" s="71">
        <f t="shared" si="106"/>
        <v>336</v>
      </c>
      <c r="AC37" s="68">
        <f>'21'!F14</f>
        <v>10</v>
      </c>
      <c r="AD37" s="72">
        <f>AD7</f>
        <v>10</v>
      </c>
      <c r="AE37" s="73">
        <f t="shared" si="107"/>
        <v>100</v>
      </c>
      <c r="AF37" s="68"/>
      <c r="AG37" s="72">
        <f>AG7</f>
        <v>0</v>
      </c>
      <c r="AH37" s="118">
        <f t="shared" si="108"/>
        <v>0</v>
      </c>
      <c r="AI37" s="119"/>
      <c r="AJ37" s="119"/>
      <c r="AK37" s="71">
        <f t="shared" si="109"/>
        <v>14571</v>
      </c>
      <c r="AL37" s="76"/>
      <c r="AM37" s="68">
        <f>'21'!F17</f>
        <v>6</v>
      </c>
      <c r="AN37" s="72">
        <v>20</v>
      </c>
      <c r="AO37" s="71">
        <f t="shared" si="110"/>
        <v>120</v>
      </c>
      <c r="AP37" s="68">
        <f>'21'!F18</f>
        <v>38</v>
      </c>
      <c r="AQ37" s="72">
        <v>25</v>
      </c>
      <c r="AR37" s="71">
        <f t="shared" si="111"/>
        <v>950</v>
      </c>
      <c r="AS37" s="68">
        <f>'21'!F21</f>
        <v>0</v>
      </c>
      <c r="AT37" s="70">
        <f>AT7</f>
        <v>15</v>
      </c>
      <c r="AU37" s="71">
        <f t="shared" si="112"/>
        <v>0</v>
      </c>
      <c r="AV37" s="68">
        <f>'21'!F22</f>
        <v>8</v>
      </c>
      <c r="AW37" s="68">
        <v>20</v>
      </c>
      <c r="AX37" s="71">
        <f t="shared" si="113"/>
        <v>160</v>
      </c>
      <c r="AY37" s="68">
        <f>'21'!F26</f>
        <v>0</v>
      </c>
      <c r="AZ37" s="68">
        <v>25</v>
      </c>
      <c r="BA37" s="69">
        <f t="shared" si="114"/>
        <v>0</v>
      </c>
      <c r="BB37" s="68">
        <f>'21'!F27</f>
        <v>0</v>
      </c>
      <c r="BC37" s="68">
        <v>17</v>
      </c>
      <c r="BD37" s="69">
        <f t="shared" si="115"/>
        <v>0</v>
      </c>
      <c r="BE37" s="68">
        <f>'21'!F28</f>
        <v>3</v>
      </c>
      <c r="BF37" s="70">
        <f>BF7</f>
        <v>25</v>
      </c>
      <c r="BG37" s="71">
        <f t="shared" si="116"/>
        <v>75</v>
      </c>
      <c r="BH37" s="68">
        <f>'21'!F23</f>
        <v>0</v>
      </c>
      <c r="BI37" s="70">
        <f>BI7</f>
        <v>35</v>
      </c>
      <c r="BJ37" s="71">
        <f t="shared" si="117"/>
        <v>0</v>
      </c>
      <c r="BK37" s="68">
        <f>'21'!F25</f>
        <v>0</v>
      </c>
      <c r="BL37" s="72">
        <f>BL7</f>
        <v>22</v>
      </c>
      <c r="BM37" s="71">
        <f t="shared" si="118"/>
        <v>0</v>
      </c>
      <c r="BN37" s="68">
        <f>'21'!F24</f>
        <v>3</v>
      </c>
      <c r="BO37" s="68">
        <v>25</v>
      </c>
      <c r="BP37" s="69">
        <f t="shared" si="119"/>
        <v>75</v>
      </c>
      <c r="BQ37" s="68">
        <f>'21'!F19</f>
        <v>0</v>
      </c>
      <c r="BR37" s="70">
        <f t="shared" si="125"/>
        <v>50</v>
      </c>
      <c r="BS37" s="71">
        <f t="shared" si="120"/>
        <v>0</v>
      </c>
      <c r="BT37" s="68">
        <f>'21'!F20</f>
        <v>0</v>
      </c>
      <c r="BU37" s="70">
        <f>BU7</f>
        <v>80</v>
      </c>
      <c r="BV37" s="71">
        <f t="shared" si="121"/>
        <v>0</v>
      </c>
      <c r="BW37" s="78"/>
      <c r="BX37" s="79"/>
      <c r="BY37" s="69">
        <f t="shared" si="122"/>
        <v>1380</v>
      </c>
      <c r="BZ37" s="39"/>
      <c r="CA37" s="71">
        <f t="shared" si="123"/>
        <v>15951</v>
      </c>
      <c r="CB37" s="90"/>
      <c r="CC37" s="39"/>
      <c r="CD37" s="39">
        <f t="shared" si="124"/>
        <v>15951</v>
      </c>
    </row>
    <row r="38" spans="1:84" ht="15.75" customHeight="1">
      <c r="A38" s="129" t="s">
        <v>23</v>
      </c>
      <c r="B38" s="68">
        <f>SUM(B31:B37)</f>
        <v>0</v>
      </c>
      <c r="C38" s="68"/>
      <c r="D38" s="130">
        <f t="shared" ref="D38:E38" si="126">SUM(D31:D37)</f>
        <v>0</v>
      </c>
      <c r="E38" s="70">
        <f t="shared" si="126"/>
        <v>1458</v>
      </c>
      <c r="F38" s="70"/>
      <c r="G38" s="131">
        <f t="shared" ref="G38:H38" si="127">SUM(G31:G37)</f>
        <v>72900</v>
      </c>
      <c r="H38" s="72">
        <f t="shared" si="127"/>
        <v>83</v>
      </c>
      <c r="I38" s="70"/>
      <c r="J38" s="131">
        <f t="shared" ref="J38:K38" si="128">SUM(J31:J37)</f>
        <v>996</v>
      </c>
      <c r="K38" s="70">
        <f t="shared" si="128"/>
        <v>120</v>
      </c>
      <c r="L38" s="70"/>
      <c r="M38" s="131">
        <f t="shared" ref="M38:N38" si="129">SUM(M31:M37)</f>
        <v>3000</v>
      </c>
      <c r="N38" s="70">
        <f t="shared" si="129"/>
        <v>670</v>
      </c>
      <c r="O38" s="70"/>
      <c r="P38" s="131">
        <f t="shared" ref="P38:Q38" si="130">SUM(P31:P37)</f>
        <v>8040</v>
      </c>
      <c r="Q38" s="70">
        <f t="shared" si="130"/>
        <v>0</v>
      </c>
      <c r="R38" s="70"/>
      <c r="S38" s="131">
        <f t="shared" ref="S38:T38" si="131">SUM(S31:S37)</f>
        <v>0</v>
      </c>
      <c r="T38" s="70">
        <f t="shared" si="131"/>
        <v>1379</v>
      </c>
      <c r="U38" s="70"/>
      <c r="V38" s="131">
        <f t="shared" ref="V38:W38" si="132">SUM(V31:V37)</f>
        <v>20685</v>
      </c>
      <c r="W38" s="70">
        <f t="shared" si="132"/>
        <v>236</v>
      </c>
      <c r="X38" s="70"/>
      <c r="Y38" s="131">
        <f t="shared" ref="Y38:Z38" si="133">SUM(Y31:Y37)</f>
        <v>2360</v>
      </c>
      <c r="Z38" s="70">
        <f t="shared" si="133"/>
        <v>256</v>
      </c>
      <c r="AA38" s="70"/>
      <c r="AB38" s="132">
        <f t="shared" ref="AB38:AC38" si="134">SUM(AB31:AB37)</f>
        <v>2048</v>
      </c>
      <c r="AC38" s="70">
        <f t="shared" si="134"/>
        <v>29</v>
      </c>
      <c r="AD38" s="70"/>
      <c r="AE38" s="132">
        <f t="shared" ref="AE38:AF38" si="135">SUM(AE31:AE37)</f>
        <v>290</v>
      </c>
      <c r="AF38" s="70">
        <f t="shared" si="135"/>
        <v>0</v>
      </c>
      <c r="AG38" s="70"/>
      <c r="AH38" s="131">
        <f>SUM(AH31:AH37)</f>
        <v>0</v>
      </c>
      <c r="AI38" s="39"/>
      <c r="AJ38" s="39"/>
      <c r="AK38" s="131">
        <f>SUM(AK31:AK37)</f>
        <v>110319</v>
      </c>
      <c r="AL38" s="76"/>
      <c r="AM38" s="68">
        <f>SUM(AM31:AM37)</f>
        <v>92</v>
      </c>
      <c r="AN38" s="70"/>
      <c r="AO38" s="131">
        <f t="shared" ref="AO38:AP38" si="136">SUM(AO31:AO37)</f>
        <v>1840</v>
      </c>
      <c r="AP38" s="70">
        <f t="shared" si="136"/>
        <v>317</v>
      </c>
      <c r="AQ38" s="70"/>
      <c r="AR38" s="131">
        <f t="shared" ref="AR38:AS38" si="137">SUM(AR31:AR37)</f>
        <v>7925</v>
      </c>
      <c r="AS38" s="70">
        <f t="shared" si="137"/>
        <v>0</v>
      </c>
      <c r="AT38" s="70"/>
      <c r="AU38" s="131">
        <f t="shared" ref="AU38:AV38" si="138">SUM(AU31:AU37)</f>
        <v>0</v>
      </c>
      <c r="AV38" s="72">
        <f t="shared" si="138"/>
        <v>57</v>
      </c>
      <c r="AW38" s="70"/>
      <c r="AX38" s="131">
        <f t="shared" ref="AX38:AY38" si="139">SUM(AX31:AX37)</f>
        <v>1140</v>
      </c>
      <c r="AY38" s="70">
        <f t="shared" si="139"/>
        <v>0</v>
      </c>
      <c r="AZ38" s="70"/>
      <c r="BA38" s="131">
        <f t="shared" ref="BA38:BB38" si="140">SUM(BA31:BA37)</f>
        <v>0</v>
      </c>
      <c r="BB38" s="70">
        <f t="shared" si="140"/>
        <v>0</v>
      </c>
      <c r="BC38" s="70"/>
      <c r="BD38" s="131">
        <f t="shared" ref="BD38:BE38" si="141">SUM(BD31:BD37)</f>
        <v>0</v>
      </c>
      <c r="BE38" s="70">
        <f t="shared" si="141"/>
        <v>20</v>
      </c>
      <c r="BF38" s="70"/>
      <c r="BG38" s="131">
        <f t="shared" ref="BG38:BH38" si="142">SUM(BG31:BG37)</f>
        <v>500</v>
      </c>
      <c r="BH38" s="70">
        <f t="shared" si="142"/>
        <v>0</v>
      </c>
      <c r="BI38" s="70"/>
      <c r="BJ38" s="131">
        <f t="shared" ref="BJ38:BK38" si="143">SUM(BJ31:BJ37)</f>
        <v>0</v>
      </c>
      <c r="BK38" s="72">
        <f t="shared" si="143"/>
        <v>0</v>
      </c>
      <c r="BL38" s="70"/>
      <c r="BM38" s="131">
        <f t="shared" ref="BM38:BN38" si="144">SUM(BM31:BM37)</f>
        <v>0</v>
      </c>
      <c r="BN38" s="70">
        <f t="shared" si="144"/>
        <v>18</v>
      </c>
      <c r="BO38" s="70"/>
      <c r="BP38" s="131">
        <f t="shared" ref="BP38:BQ38" si="145">SUM(BP31:BP37)</f>
        <v>450</v>
      </c>
      <c r="BQ38" s="70">
        <f t="shared" si="145"/>
        <v>0</v>
      </c>
      <c r="BR38" s="70"/>
      <c r="BS38" s="131">
        <f t="shared" ref="BS38:BT38" si="146">SUM(BS31:BS37)</f>
        <v>0</v>
      </c>
      <c r="BT38" s="70">
        <f t="shared" si="146"/>
        <v>0</v>
      </c>
      <c r="BU38" s="70"/>
      <c r="BV38" s="131">
        <f>SUM(BV31:BV37)</f>
        <v>0</v>
      </c>
      <c r="BW38" s="78"/>
      <c r="BX38" s="79"/>
      <c r="BY38" s="131">
        <f>SUM(BY31:BY37)</f>
        <v>11855</v>
      </c>
      <c r="BZ38" s="39"/>
      <c r="CA38" s="131">
        <f>SUM(CA31:CA37)</f>
        <v>122174</v>
      </c>
      <c r="CB38" s="133"/>
      <c r="CC38" s="39"/>
      <c r="CD38" s="134">
        <f>SUM(CD31:CD37)</f>
        <v>122174</v>
      </c>
      <c r="CE38" s="39"/>
      <c r="CF38" s="39"/>
    </row>
    <row r="39" spans="1:84" ht="15.75" customHeight="1">
      <c r="A39" s="180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</row>
    <row r="40" spans="1:84" ht="15.75" customHeight="1">
      <c r="A40" s="18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</row>
    <row r="41" spans="1:84" ht="15.75" customHeight="1">
      <c r="A41" s="51" t="s">
        <v>112</v>
      </c>
      <c r="B41" s="460" t="s">
        <v>109</v>
      </c>
      <c r="C41" s="445"/>
      <c r="D41" s="423"/>
      <c r="E41" s="460" t="s">
        <v>30</v>
      </c>
      <c r="F41" s="445"/>
      <c r="G41" s="423"/>
      <c r="H41" s="460" t="s">
        <v>102</v>
      </c>
      <c r="I41" s="445"/>
      <c r="J41" s="423"/>
      <c r="K41" s="460" t="str">
        <f>K29</f>
        <v>Chicken Fillet</v>
      </c>
      <c r="L41" s="445"/>
      <c r="M41" s="423"/>
      <c r="N41" s="460" t="s">
        <v>53</v>
      </c>
      <c r="O41" s="445"/>
      <c r="P41" s="445"/>
      <c r="Q41" s="459" t="s">
        <v>54</v>
      </c>
      <c r="R41" s="445"/>
      <c r="S41" s="423"/>
      <c r="T41" s="448" t="s">
        <v>55</v>
      </c>
      <c r="U41" s="445"/>
      <c r="V41" s="423"/>
      <c r="W41" s="448" t="s">
        <v>56</v>
      </c>
      <c r="X41" s="445"/>
      <c r="Y41" s="423"/>
      <c r="Z41" s="448" t="s">
        <v>57</v>
      </c>
      <c r="AA41" s="445"/>
      <c r="AB41" s="445"/>
      <c r="AC41" s="448" t="s">
        <v>58</v>
      </c>
      <c r="AD41" s="445"/>
      <c r="AE41" s="445"/>
      <c r="AF41" s="448">
        <f>AF5</f>
        <v>0</v>
      </c>
      <c r="AG41" s="445"/>
      <c r="AH41" s="423"/>
      <c r="AI41" s="448" t="str">
        <f>AI5</f>
        <v>SUBTOTAL</v>
      </c>
      <c r="AJ41" s="445"/>
      <c r="AK41" s="423"/>
      <c r="AL41" s="136"/>
      <c r="AM41" s="459" t="s">
        <v>103</v>
      </c>
      <c r="AN41" s="445"/>
      <c r="AO41" s="423"/>
      <c r="AP41" s="448" t="s">
        <v>60</v>
      </c>
      <c r="AQ41" s="445"/>
      <c r="AR41" s="423"/>
      <c r="AS41" s="448" t="s">
        <v>61</v>
      </c>
      <c r="AT41" s="445"/>
      <c r="AU41" s="423"/>
      <c r="AV41" s="448" t="s">
        <v>62</v>
      </c>
      <c r="AW41" s="445"/>
      <c r="AX41" s="423"/>
      <c r="AY41" s="448" t="s">
        <v>63</v>
      </c>
      <c r="AZ41" s="445"/>
      <c r="BA41" s="423"/>
      <c r="BB41" s="448" t="str">
        <f>BB29</f>
        <v>swakto</v>
      </c>
      <c r="BC41" s="445"/>
      <c r="BD41" s="423"/>
      <c r="BE41" s="448" t="s">
        <v>65</v>
      </c>
      <c r="BF41" s="445"/>
      <c r="BG41" s="423"/>
      <c r="BH41" s="448" t="str">
        <f>BH29</f>
        <v>GATORADE</v>
      </c>
      <c r="BI41" s="445"/>
      <c r="BJ41" s="423"/>
      <c r="BK41" s="448" t="s">
        <v>66</v>
      </c>
      <c r="BL41" s="445"/>
      <c r="BM41" s="423"/>
      <c r="BN41" s="448" t="s">
        <v>67</v>
      </c>
      <c r="BO41" s="445"/>
      <c r="BP41" s="423"/>
      <c r="BQ41" s="447" t="str">
        <f>BQ29</f>
        <v>1 LITER</v>
      </c>
      <c r="BR41" s="445"/>
      <c r="BS41" s="423"/>
      <c r="BT41" s="447" t="str">
        <f>BT29</f>
        <v>1.5 L</v>
      </c>
      <c r="BU41" s="445"/>
      <c r="BV41" s="423"/>
      <c r="BW41" s="444" t="s">
        <v>68</v>
      </c>
      <c r="BX41" s="445"/>
      <c r="BY41" s="423"/>
      <c r="BZ41" s="39"/>
      <c r="CA41" s="137" t="s">
        <v>23</v>
      </c>
      <c r="CB41" s="39"/>
      <c r="CC41" s="39"/>
      <c r="CD41" s="39"/>
    </row>
    <row r="42" spans="1:84" ht="15.75" customHeight="1">
      <c r="A42" s="56" t="s">
        <v>7</v>
      </c>
      <c r="B42" s="118" t="s">
        <v>71</v>
      </c>
      <c r="C42" s="118" t="s">
        <v>72</v>
      </c>
      <c r="D42" s="118" t="s">
        <v>26</v>
      </c>
      <c r="E42" s="118" t="s">
        <v>71</v>
      </c>
      <c r="F42" s="118" t="s">
        <v>72</v>
      </c>
      <c r="G42" s="118" t="s">
        <v>26</v>
      </c>
      <c r="H42" s="138" t="s">
        <v>71</v>
      </c>
      <c r="I42" s="139" t="s">
        <v>72</v>
      </c>
      <c r="J42" s="140" t="s">
        <v>73</v>
      </c>
      <c r="K42" s="138" t="s">
        <v>71</v>
      </c>
      <c r="L42" s="139" t="s">
        <v>72</v>
      </c>
      <c r="M42" s="140" t="s">
        <v>73</v>
      </c>
      <c r="N42" s="118" t="s">
        <v>71</v>
      </c>
      <c r="O42" s="118" t="s">
        <v>72</v>
      </c>
      <c r="P42" s="118" t="s">
        <v>26</v>
      </c>
      <c r="Q42" s="138" t="s">
        <v>71</v>
      </c>
      <c r="R42" s="139" t="s">
        <v>72</v>
      </c>
      <c r="S42" s="140" t="s">
        <v>73</v>
      </c>
      <c r="T42" s="138" t="s">
        <v>71</v>
      </c>
      <c r="U42" s="139" t="s">
        <v>72</v>
      </c>
      <c r="V42" s="141" t="s">
        <v>73</v>
      </c>
      <c r="W42" s="138" t="s">
        <v>71</v>
      </c>
      <c r="X42" s="139" t="s">
        <v>72</v>
      </c>
      <c r="Y42" s="141" t="s">
        <v>73</v>
      </c>
      <c r="Z42" s="138" t="s">
        <v>71</v>
      </c>
      <c r="AA42" s="139" t="s">
        <v>72</v>
      </c>
      <c r="AB42" s="141" t="s">
        <v>73</v>
      </c>
      <c r="AC42" s="138" t="s">
        <v>71</v>
      </c>
      <c r="AD42" s="139" t="s">
        <v>72</v>
      </c>
      <c r="AE42" s="141" t="s">
        <v>26</v>
      </c>
      <c r="AF42" s="118" t="s">
        <v>71</v>
      </c>
      <c r="AG42" s="118" t="s">
        <v>72</v>
      </c>
      <c r="AH42" s="118" t="s">
        <v>26</v>
      </c>
      <c r="AI42" s="142"/>
      <c r="AJ42" s="143"/>
      <c r="AK42" s="118" t="s">
        <v>73</v>
      </c>
      <c r="AL42" s="136"/>
      <c r="AM42" s="145" t="s">
        <v>71</v>
      </c>
      <c r="AN42" s="146" t="s">
        <v>72</v>
      </c>
      <c r="AO42" s="145" t="s">
        <v>73</v>
      </c>
      <c r="AP42" s="147" t="s">
        <v>71</v>
      </c>
      <c r="AQ42" s="146" t="s">
        <v>72</v>
      </c>
      <c r="AR42" s="145" t="s">
        <v>73</v>
      </c>
      <c r="AS42" s="147" t="s">
        <v>71</v>
      </c>
      <c r="AT42" s="146" t="s">
        <v>72</v>
      </c>
      <c r="AU42" s="145" t="s">
        <v>73</v>
      </c>
      <c r="AV42" s="146" t="s">
        <v>71</v>
      </c>
      <c r="AW42" s="146" t="s">
        <v>72</v>
      </c>
      <c r="AX42" s="146" t="s">
        <v>26</v>
      </c>
      <c r="AY42" s="146" t="s">
        <v>71</v>
      </c>
      <c r="AZ42" s="146" t="s">
        <v>72</v>
      </c>
      <c r="BA42" s="146" t="s">
        <v>26</v>
      </c>
      <c r="BB42" s="146" t="s">
        <v>71</v>
      </c>
      <c r="BC42" s="146" t="s">
        <v>72</v>
      </c>
      <c r="BD42" s="146" t="s">
        <v>26</v>
      </c>
      <c r="BE42" s="146" t="s">
        <v>71</v>
      </c>
      <c r="BF42" s="146" t="s">
        <v>72</v>
      </c>
      <c r="BG42" s="146" t="s">
        <v>26</v>
      </c>
      <c r="BH42" s="146" t="s">
        <v>71</v>
      </c>
      <c r="BI42" s="146" t="s">
        <v>72</v>
      </c>
      <c r="BJ42" s="146" t="s">
        <v>26</v>
      </c>
      <c r="BK42" s="146" t="s">
        <v>71</v>
      </c>
      <c r="BL42" s="146" t="s">
        <v>72</v>
      </c>
      <c r="BM42" s="146" t="s">
        <v>26</v>
      </c>
      <c r="BN42" s="146" t="s">
        <v>71</v>
      </c>
      <c r="BO42" s="146" t="s">
        <v>72</v>
      </c>
      <c r="BP42" s="146" t="s">
        <v>26</v>
      </c>
      <c r="BQ42" s="146" t="s">
        <v>71</v>
      </c>
      <c r="BR42" s="146" t="s">
        <v>72</v>
      </c>
      <c r="BS42" s="147" t="s">
        <v>26</v>
      </c>
      <c r="BT42" s="146" t="s">
        <v>71</v>
      </c>
      <c r="BU42" s="146" t="s">
        <v>72</v>
      </c>
      <c r="BV42" s="147" t="s">
        <v>26</v>
      </c>
      <c r="BW42" s="142"/>
      <c r="BX42" s="143"/>
      <c r="BY42" s="144" t="s">
        <v>26</v>
      </c>
      <c r="BZ42" s="39"/>
      <c r="CA42" s="118" t="s">
        <v>26</v>
      </c>
      <c r="CB42" s="39"/>
      <c r="CC42" s="39"/>
      <c r="CD42" s="39"/>
    </row>
    <row r="43" spans="1:84" ht="15.75" customHeight="1">
      <c r="A43" s="193">
        <v>22</v>
      </c>
      <c r="B43" s="70">
        <f>'22'!F29</f>
        <v>0</v>
      </c>
      <c r="C43" s="68">
        <v>40</v>
      </c>
      <c r="D43" s="69">
        <f t="shared" ref="D43:D52" si="147">B43*C43</f>
        <v>0</v>
      </c>
      <c r="E43" s="70">
        <f>'22'!F7</f>
        <v>172</v>
      </c>
      <c r="F43" s="70">
        <v>50</v>
      </c>
      <c r="G43" s="71">
        <f t="shared" ref="G43:G52" si="148">E43*F43</f>
        <v>8600</v>
      </c>
      <c r="H43" s="72">
        <f>'22'!F8</f>
        <v>7</v>
      </c>
      <c r="I43" s="70">
        <v>12</v>
      </c>
      <c r="J43" s="71">
        <f t="shared" ref="J43:J52" si="149">H43*I43</f>
        <v>84</v>
      </c>
      <c r="K43" s="72">
        <f>'22'!F15</f>
        <v>15</v>
      </c>
      <c r="L43" s="70">
        <f>L7</f>
        <v>25</v>
      </c>
      <c r="M43" s="71">
        <f t="shared" ref="M43:M52" si="150">K43*L43</f>
        <v>375</v>
      </c>
      <c r="N43" s="70">
        <f>'22'!F9</f>
        <v>100</v>
      </c>
      <c r="O43" s="70">
        <f>O7</f>
        <v>12</v>
      </c>
      <c r="P43" s="71">
        <f t="shared" ref="P43:P52" si="151">N43*O43</f>
        <v>1200</v>
      </c>
      <c r="Q43" s="68">
        <f>'22'!F10</f>
        <v>0</v>
      </c>
      <c r="R43" s="72">
        <f>R7</f>
        <v>7.5</v>
      </c>
      <c r="S43" s="71">
        <f t="shared" ref="S43:S52" si="152">Q43*R43</f>
        <v>0</v>
      </c>
      <c r="T43" s="68">
        <f>'22'!F11</f>
        <v>192</v>
      </c>
      <c r="U43" s="72">
        <f>U7</f>
        <v>15</v>
      </c>
      <c r="V43" s="71">
        <f t="shared" ref="V43:V52" si="153">T43*U43</f>
        <v>2880</v>
      </c>
      <c r="W43" s="68">
        <f>'22'!F12</f>
        <v>34</v>
      </c>
      <c r="X43" s="68">
        <v>10</v>
      </c>
      <c r="Y43" s="71">
        <f t="shared" ref="Y43:Y52" si="154">W43*X43</f>
        <v>340</v>
      </c>
      <c r="Z43" s="68">
        <f>'22'!F13</f>
        <v>47</v>
      </c>
      <c r="AA43" s="72">
        <f>AA7</f>
        <v>8</v>
      </c>
      <c r="AB43" s="71">
        <f t="shared" ref="AB43:AB52" si="155">Z43*AA43</f>
        <v>376</v>
      </c>
      <c r="AC43" s="68">
        <f>'22'!F14</f>
        <v>13</v>
      </c>
      <c r="AD43" s="72">
        <f>AD7</f>
        <v>10</v>
      </c>
      <c r="AE43" s="73">
        <f t="shared" ref="AE43:AE52" si="156">AC43*AD43</f>
        <v>130</v>
      </c>
      <c r="AF43" s="68"/>
      <c r="AG43" s="72">
        <f>AG7</f>
        <v>0</v>
      </c>
      <c r="AH43" s="118">
        <f t="shared" ref="AH43:AH52" si="157">AF43*AG43</f>
        <v>0</v>
      </c>
      <c r="AI43" s="74"/>
      <c r="AJ43" s="75"/>
      <c r="AK43" s="71">
        <f t="shared" ref="AK43:AK52" si="158">D43+G43+J43+M43+P43+S43+V43+Y43+AB43+AE43+AH43</f>
        <v>13985</v>
      </c>
      <c r="AL43" s="76"/>
      <c r="AM43" s="68">
        <f>'22'!F17</f>
        <v>10</v>
      </c>
      <c r="AN43" s="72">
        <v>20</v>
      </c>
      <c r="AO43" s="71">
        <f t="shared" ref="AO43:AO52" si="159">AM43*AN43</f>
        <v>200</v>
      </c>
      <c r="AP43" s="68">
        <f>'22'!F18</f>
        <v>44</v>
      </c>
      <c r="AQ43" s="72">
        <v>25</v>
      </c>
      <c r="AR43" s="71">
        <f t="shared" ref="AR43:AR52" si="160">AP43*AQ43</f>
        <v>1100</v>
      </c>
      <c r="AS43" s="68">
        <f>'22'!F21</f>
        <v>0</v>
      </c>
      <c r="AT43" s="70">
        <f>AT7</f>
        <v>15</v>
      </c>
      <c r="AU43" s="71">
        <f t="shared" ref="AU43:AU52" si="161">AS43*AT43</f>
        <v>0</v>
      </c>
      <c r="AV43" s="68">
        <f>'22'!F22</f>
        <v>7</v>
      </c>
      <c r="AW43" s="68">
        <v>20</v>
      </c>
      <c r="AX43" s="71">
        <f t="shared" ref="AX43:AX52" si="162">AV43*AW43</f>
        <v>140</v>
      </c>
      <c r="AY43" s="68">
        <f>'22'!F26</f>
        <v>0</v>
      </c>
      <c r="AZ43" s="68">
        <v>25</v>
      </c>
      <c r="BA43" s="69">
        <f t="shared" ref="BA43:BA52" si="163">AY43*AZ43</f>
        <v>0</v>
      </c>
      <c r="BB43" s="68">
        <f>'22'!F27</f>
        <v>0</v>
      </c>
      <c r="BC43" s="68">
        <v>17</v>
      </c>
      <c r="BD43" s="69">
        <f t="shared" ref="BD43:BD52" si="164">BB43*BC43</f>
        <v>0</v>
      </c>
      <c r="BE43" s="68">
        <f>'22'!F28</f>
        <v>4</v>
      </c>
      <c r="BF43" s="70">
        <f t="shared" ref="BF43:BF49" si="165">BF7</f>
        <v>25</v>
      </c>
      <c r="BG43" s="71">
        <f t="shared" ref="BG43:BG52" si="166">BE43*BF43</f>
        <v>100</v>
      </c>
      <c r="BH43" s="68">
        <f>'22'!F23</f>
        <v>0</v>
      </c>
      <c r="BI43" s="70">
        <f>BI7</f>
        <v>35</v>
      </c>
      <c r="BJ43" s="71">
        <f t="shared" ref="BJ43:BJ52" si="167">BH43*BI43</f>
        <v>0</v>
      </c>
      <c r="BK43" s="68">
        <f>'22'!F25</f>
        <v>0</v>
      </c>
      <c r="BL43" s="72">
        <f>BL7</f>
        <v>22</v>
      </c>
      <c r="BM43" s="71">
        <f t="shared" ref="BM43:BM52" si="168">BK43*BL43</f>
        <v>0</v>
      </c>
      <c r="BN43" s="68">
        <f>'22'!F24</f>
        <v>4</v>
      </c>
      <c r="BO43" s="68">
        <v>25</v>
      </c>
      <c r="BP43" s="69">
        <f t="shared" ref="BP43:BP52" si="169">BN43*BO43</f>
        <v>100</v>
      </c>
      <c r="BQ43" s="68">
        <f>'22'!F19</f>
        <v>0</v>
      </c>
      <c r="BR43" s="70">
        <v>50</v>
      </c>
      <c r="BS43" s="77">
        <f t="shared" ref="BS43:BS52" si="170">BQ43*BR43</f>
        <v>0</v>
      </c>
      <c r="BT43" s="68">
        <f>'22'!F20</f>
        <v>0</v>
      </c>
      <c r="BU43" s="70">
        <f>BU7</f>
        <v>80</v>
      </c>
      <c r="BV43" s="77">
        <f t="shared" ref="BV43:BV52" si="171">BT43*BU43</f>
        <v>0</v>
      </c>
      <c r="BW43" s="78"/>
      <c r="BX43" s="79"/>
      <c r="BY43" s="69">
        <f t="shared" ref="BY43:BY52" si="172">AO43+AR43+AU43+AX43+BA43+BD43+BG43+BJ43+BM43+BP43+BS43+BV43</f>
        <v>1640</v>
      </c>
      <c r="BZ43" s="39"/>
      <c r="CA43" s="71">
        <f t="shared" ref="CA43:CA52" si="173">AK43+BY43</f>
        <v>15625</v>
      </c>
      <c r="CB43" s="39"/>
      <c r="CC43" s="39"/>
      <c r="CD43" s="39">
        <f t="shared" ref="CD43:CD52" si="174">CA43-CC43</f>
        <v>15625</v>
      </c>
    </row>
    <row r="44" spans="1:84" ht="15.75" customHeight="1">
      <c r="A44" s="193">
        <v>23</v>
      </c>
      <c r="B44" s="68">
        <f>'23'!F29</f>
        <v>0</v>
      </c>
      <c r="C44" s="68">
        <v>40</v>
      </c>
      <c r="D44" s="69">
        <f t="shared" si="147"/>
        <v>0</v>
      </c>
      <c r="E44" s="68">
        <f>'23'!F7</f>
        <v>194</v>
      </c>
      <c r="F44" s="70">
        <v>50</v>
      </c>
      <c r="G44" s="71">
        <f t="shared" si="148"/>
        <v>9700</v>
      </c>
      <c r="H44" s="84">
        <f>'23'!F8</f>
        <v>14</v>
      </c>
      <c r="I44" s="70">
        <v>12</v>
      </c>
      <c r="J44" s="71">
        <f t="shared" si="149"/>
        <v>168</v>
      </c>
      <c r="K44" s="84">
        <f>'23'!F15</f>
        <v>11</v>
      </c>
      <c r="L44" s="70">
        <f>L7</f>
        <v>25</v>
      </c>
      <c r="M44" s="71">
        <f t="shared" si="150"/>
        <v>275</v>
      </c>
      <c r="N44" s="68">
        <f>'23'!F9</f>
        <v>109</v>
      </c>
      <c r="O44" s="68">
        <f>O7</f>
        <v>12</v>
      </c>
      <c r="P44" s="71">
        <f t="shared" si="151"/>
        <v>1308</v>
      </c>
      <c r="Q44" s="68">
        <f>'23'!F10</f>
        <v>0</v>
      </c>
      <c r="R44" s="72">
        <f>R7</f>
        <v>7.5</v>
      </c>
      <c r="S44" s="71">
        <f t="shared" si="152"/>
        <v>0</v>
      </c>
      <c r="T44" s="68">
        <f>'23'!F11</f>
        <v>190</v>
      </c>
      <c r="U44" s="72">
        <f>U7</f>
        <v>15</v>
      </c>
      <c r="V44" s="71">
        <f t="shared" si="153"/>
        <v>2850</v>
      </c>
      <c r="W44" s="68">
        <f>'23'!F12</f>
        <v>24</v>
      </c>
      <c r="X44" s="68">
        <v>10</v>
      </c>
      <c r="Y44" s="71">
        <f t="shared" si="154"/>
        <v>240</v>
      </c>
      <c r="Z44" s="68">
        <f>'23'!F13</f>
        <v>54</v>
      </c>
      <c r="AA44" s="72">
        <f>AA7</f>
        <v>8</v>
      </c>
      <c r="AB44" s="71">
        <f t="shared" si="155"/>
        <v>432</v>
      </c>
      <c r="AC44" s="68">
        <f>'23'!F14</f>
        <v>10</v>
      </c>
      <c r="AD44" s="72">
        <f>AD7</f>
        <v>10</v>
      </c>
      <c r="AE44" s="73">
        <f t="shared" si="156"/>
        <v>100</v>
      </c>
      <c r="AF44" s="68"/>
      <c r="AG44" s="72">
        <f>AG7</f>
        <v>0</v>
      </c>
      <c r="AH44" s="118">
        <f t="shared" si="157"/>
        <v>0</v>
      </c>
      <c r="AI44" s="74"/>
      <c r="AJ44" s="75"/>
      <c r="AK44" s="71">
        <f t="shared" si="158"/>
        <v>15073</v>
      </c>
      <c r="AL44" s="76"/>
      <c r="AM44" s="68">
        <f>'23'!F17</f>
        <v>12</v>
      </c>
      <c r="AN44" s="72">
        <v>20</v>
      </c>
      <c r="AO44" s="71">
        <f t="shared" si="159"/>
        <v>240</v>
      </c>
      <c r="AP44" s="68">
        <f>'23'!F18</f>
        <v>37</v>
      </c>
      <c r="AQ44" s="72">
        <v>25</v>
      </c>
      <c r="AR44" s="71">
        <f t="shared" si="160"/>
        <v>925</v>
      </c>
      <c r="AS44" s="68">
        <f>'23'!F21</f>
        <v>0</v>
      </c>
      <c r="AT44" s="70">
        <f>AT7</f>
        <v>15</v>
      </c>
      <c r="AU44" s="71">
        <f t="shared" si="161"/>
        <v>0</v>
      </c>
      <c r="AV44" s="68">
        <f>'23'!F22</f>
        <v>7</v>
      </c>
      <c r="AW44" s="68">
        <v>20</v>
      </c>
      <c r="AX44" s="71">
        <f t="shared" si="162"/>
        <v>140</v>
      </c>
      <c r="AY44" s="68">
        <f>'23'!F26</f>
        <v>0</v>
      </c>
      <c r="AZ44" s="68">
        <v>25</v>
      </c>
      <c r="BA44" s="69">
        <f t="shared" si="163"/>
        <v>0</v>
      </c>
      <c r="BB44" s="68">
        <f>'23'!F27</f>
        <v>0</v>
      </c>
      <c r="BC44" s="68">
        <v>17</v>
      </c>
      <c r="BD44" s="69">
        <f t="shared" si="164"/>
        <v>0</v>
      </c>
      <c r="BE44" s="68">
        <f>'23'!F28</f>
        <v>3</v>
      </c>
      <c r="BF44" s="70">
        <f t="shared" si="165"/>
        <v>25</v>
      </c>
      <c r="BG44" s="71">
        <f t="shared" si="166"/>
        <v>75</v>
      </c>
      <c r="BH44" s="68">
        <f>'23'!F23</f>
        <v>0</v>
      </c>
      <c r="BI44" s="70">
        <f>BI7</f>
        <v>35</v>
      </c>
      <c r="BJ44" s="71">
        <f t="shared" si="167"/>
        <v>0</v>
      </c>
      <c r="BK44" s="68">
        <f>'23'!F25</f>
        <v>0</v>
      </c>
      <c r="BL44" s="72">
        <f>BL7</f>
        <v>22</v>
      </c>
      <c r="BM44" s="71">
        <f t="shared" si="168"/>
        <v>0</v>
      </c>
      <c r="BN44" s="68">
        <f>'23'!F24</f>
        <v>2</v>
      </c>
      <c r="BO44" s="68">
        <v>25</v>
      </c>
      <c r="BP44" s="69">
        <f t="shared" si="169"/>
        <v>50</v>
      </c>
      <c r="BQ44" s="68">
        <f>'23'!F19</f>
        <v>0</v>
      </c>
      <c r="BR44" s="70">
        <v>50</v>
      </c>
      <c r="BS44" s="77">
        <f t="shared" si="170"/>
        <v>0</v>
      </c>
      <c r="BT44" s="68">
        <f>'23'!F20</f>
        <v>0</v>
      </c>
      <c r="BU44" s="70">
        <f>BU7</f>
        <v>80</v>
      </c>
      <c r="BV44" s="77">
        <f t="shared" si="171"/>
        <v>0</v>
      </c>
      <c r="BW44" s="78"/>
      <c r="BX44" s="79"/>
      <c r="BY44" s="69">
        <f t="shared" si="172"/>
        <v>1430</v>
      </c>
      <c r="BZ44" s="39"/>
      <c r="CA44" s="71">
        <f t="shared" si="173"/>
        <v>16503</v>
      </c>
      <c r="CB44" s="90"/>
      <c r="CC44" s="39"/>
      <c r="CD44" s="39">
        <f t="shared" si="174"/>
        <v>16503</v>
      </c>
    </row>
    <row r="45" spans="1:84" ht="15.75" customHeight="1">
      <c r="A45" s="193">
        <v>24</v>
      </c>
      <c r="B45" s="68">
        <f>'24'!F29</f>
        <v>0</v>
      </c>
      <c r="C45" s="68">
        <v>40</v>
      </c>
      <c r="D45" s="69">
        <f t="shared" si="147"/>
        <v>0</v>
      </c>
      <c r="E45" s="68">
        <f>'24'!F7</f>
        <v>203</v>
      </c>
      <c r="F45" s="70">
        <v>50</v>
      </c>
      <c r="G45" s="71">
        <f t="shared" si="148"/>
        <v>10150</v>
      </c>
      <c r="H45" s="84">
        <f>'24'!F8</f>
        <v>6</v>
      </c>
      <c r="I45" s="70">
        <v>12</v>
      </c>
      <c r="J45" s="71">
        <f t="shared" si="149"/>
        <v>72</v>
      </c>
      <c r="K45" s="84">
        <f>'24'!F15</f>
        <v>30</v>
      </c>
      <c r="L45" s="70">
        <f>L7</f>
        <v>25</v>
      </c>
      <c r="M45" s="71">
        <f t="shared" si="150"/>
        <v>750</v>
      </c>
      <c r="N45" s="68">
        <f>'24'!F9</f>
        <v>111</v>
      </c>
      <c r="O45" s="68">
        <f>O7</f>
        <v>12</v>
      </c>
      <c r="P45" s="71">
        <f t="shared" si="151"/>
        <v>1332</v>
      </c>
      <c r="Q45" s="68">
        <f>'24'!F10</f>
        <v>0</v>
      </c>
      <c r="R45" s="72">
        <f>R7</f>
        <v>7.5</v>
      </c>
      <c r="S45" s="71">
        <f t="shared" si="152"/>
        <v>0</v>
      </c>
      <c r="T45" s="68">
        <f>'24'!F11</f>
        <v>202</v>
      </c>
      <c r="U45" s="72">
        <f>U7</f>
        <v>15</v>
      </c>
      <c r="V45" s="71">
        <f t="shared" si="153"/>
        <v>3030</v>
      </c>
      <c r="W45" s="68">
        <f>'24'!F12</f>
        <v>33</v>
      </c>
      <c r="X45" s="68">
        <v>10</v>
      </c>
      <c r="Y45" s="71">
        <f t="shared" si="154"/>
        <v>330</v>
      </c>
      <c r="Z45" s="68">
        <f>'24'!F13</f>
        <v>51</v>
      </c>
      <c r="AA45" s="72">
        <f>AA7</f>
        <v>8</v>
      </c>
      <c r="AB45" s="71">
        <f t="shared" si="155"/>
        <v>408</v>
      </c>
      <c r="AC45" s="68">
        <f>'24'!F14</f>
        <v>7</v>
      </c>
      <c r="AD45" s="72">
        <f>AD7</f>
        <v>10</v>
      </c>
      <c r="AE45" s="73">
        <f t="shared" si="156"/>
        <v>70</v>
      </c>
      <c r="AF45" s="68"/>
      <c r="AG45" s="72">
        <f>AG7</f>
        <v>0</v>
      </c>
      <c r="AH45" s="118">
        <f t="shared" si="157"/>
        <v>0</v>
      </c>
      <c r="AI45" s="74"/>
      <c r="AJ45" s="75"/>
      <c r="AK45" s="71">
        <f t="shared" si="158"/>
        <v>16142</v>
      </c>
      <c r="AL45" s="76"/>
      <c r="AM45" s="68">
        <f>'24'!F17</f>
        <v>16</v>
      </c>
      <c r="AN45" s="72">
        <v>20</v>
      </c>
      <c r="AO45" s="71">
        <f t="shared" si="159"/>
        <v>320</v>
      </c>
      <c r="AP45" s="68">
        <f>'24'!F18</f>
        <v>25</v>
      </c>
      <c r="AQ45" s="72">
        <v>25</v>
      </c>
      <c r="AR45" s="71">
        <f t="shared" si="160"/>
        <v>625</v>
      </c>
      <c r="AS45" s="68">
        <f>'24'!F21</f>
        <v>0</v>
      </c>
      <c r="AT45" s="70">
        <f>AT7</f>
        <v>15</v>
      </c>
      <c r="AU45" s="71">
        <f t="shared" si="161"/>
        <v>0</v>
      </c>
      <c r="AV45" s="68">
        <f>'24'!F22</f>
        <v>5</v>
      </c>
      <c r="AW45" s="68">
        <v>20</v>
      </c>
      <c r="AX45" s="71">
        <f t="shared" si="162"/>
        <v>100</v>
      </c>
      <c r="AY45" s="68">
        <f>'24'!F26</f>
        <v>0</v>
      </c>
      <c r="AZ45" s="68">
        <v>25</v>
      </c>
      <c r="BA45" s="69">
        <f t="shared" si="163"/>
        <v>0</v>
      </c>
      <c r="BB45" s="68">
        <f>'24'!F27</f>
        <v>0</v>
      </c>
      <c r="BC45" s="68">
        <v>17</v>
      </c>
      <c r="BD45" s="69">
        <f t="shared" si="164"/>
        <v>0</v>
      </c>
      <c r="BE45" s="68">
        <f>'24'!F28</f>
        <v>5</v>
      </c>
      <c r="BF45" s="70">
        <f t="shared" si="165"/>
        <v>25</v>
      </c>
      <c r="BG45" s="71">
        <f t="shared" si="166"/>
        <v>125</v>
      </c>
      <c r="BH45" s="68">
        <f>'24'!F23</f>
        <v>0</v>
      </c>
      <c r="BI45" s="70">
        <f>BI7</f>
        <v>35</v>
      </c>
      <c r="BJ45" s="71">
        <f t="shared" si="167"/>
        <v>0</v>
      </c>
      <c r="BK45" s="68">
        <f>'24'!F25</f>
        <v>0</v>
      </c>
      <c r="BL45" s="72">
        <f>BL7</f>
        <v>22</v>
      </c>
      <c r="BM45" s="71">
        <f t="shared" si="168"/>
        <v>0</v>
      </c>
      <c r="BN45" s="68">
        <f>'24'!F24</f>
        <v>1</v>
      </c>
      <c r="BO45" s="68">
        <v>25</v>
      </c>
      <c r="BP45" s="69">
        <f t="shared" si="169"/>
        <v>25</v>
      </c>
      <c r="BQ45" s="68">
        <f>'24'!F19</f>
        <v>0</v>
      </c>
      <c r="BR45" s="70">
        <v>50</v>
      </c>
      <c r="BS45" s="77">
        <f t="shared" si="170"/>
        <v>0</v>
      </c>
      <c r="BT45" s="68">
        <f>'24'!F20</f>
        <v>0</v>
      </c>
      <c r="BU45" s="70">
        <f>BU7</f>
        <v>80</v>
      </c>
      <c r="BV45" s="77">
        <f t="shared" si="171"/>
        <v>0</v>
      </c>
      <c r="BW45" s="78"/>
      <c r="BX45" s="79"/>
      <c r="BY45" s="69">
        <f t="shared" si="172"/>
        <v>1195</v>
      </c>
      <c r="BZ45" s="39"/>
      <c r="CA45" s="71">
        <f t="shared" si="173"/>
        <v>17337</v>
      </c>
      <c r="CB45" s="90"/>
      <c r="CC45" s="39"/>
      <c r="CD45" s="39">
        <f t="shared" si="174"/>
        <v>17337</v>
      </c>
    </row>
    <row r="46" spans="1:84" ht="15.75" customHeight="1">
      <c r="A46" s="193">
        <v>25</v>
      </c>
      <c r="B46" s="68">
        <f>'25'!F29</f>
        <v>0</v>
      </c>
      <c r="C46" s="68">
        <v>40</v>
      </c>
      <c r="D46" s="69">
        <f t="shared" si="147"/>
        <v>0</v>
      </c>
      <c r="E46" s="68">
        <f>'25'!F7</f>
        <v>169</v>
      </c>
      <c r="F46" s="70">
        <v>50</v>
      </c>
      <c r="G46" s="71">
        <f t="shared" si="148"/>
        <v>8450</v>
      </c>
      <c r="H46" s="84">
        <f>'25'!F8</f>
        <v>10</v>
      </c>
      <c r="I46" s="70">
        <v>12</v>
      </c>
      <c r="J46" s="71">
        <f t="shared" si="149"/>
        <v>120</v>
      </c>
      <c r="K46" s="84">
        <f>'25'!F15</f>
        <v>13</v>
      </c>
      <c r="L46" s="70">
        <f>L7</f>
        <v>25</v>
      </c>
      <c r="M46" s="71">
        <f t="shared" si="150"/>
        <v>325</v>
      </c>
      <c r="N46" s="68">
        <f>'25'!F9</f>
        <v>110</v>
      </c>
      <c r="O46" s="68">
        <f>O7</f>
        <v>12</v>
      </c>
      <c r="P46" s="71">
        <f t="shared" si="151"/>
        <v>1320</v>
      </c>
      <c r="Q46" s="68">
        <f>'25'!F10</f>
        <v>0</v>
      </c>
      <c r="R46" s="72">
        <f>R7</f>
        <v>7.5</v>
      </c>
      <c r="S46" s="71">
        <f t="shared" si="152"/>
        <v>0</v>
      </c>
      <c r="T46" s="68">
        <f>'25'!F11</f>
        <v>186</v>
      </c>
      <c r="U46" s="72">
        <f>U7</f>
        <v>15</v>
      </c>
      <c r="V46" s="71">
        <f t="shared" si="153"/>
        <v>2790</v>
      </c>
      <c r="W46" s="68">
        <f>'25'!F12</f>
        <v>30</v>
      </c>
      <c r="X46" s="68">
        <v>10</v>
      </c>
      <c r="Y46" s="71">
        <f t="shared" si="154"/>
        <v>300</v>
      </c>
      <c r="Z46" s="68">
        <f>'25'!F13</f>
        <v>25</v>
      </c>
      <c r="AA46" s="70">
        <v>8</v>
      </c>
      <c r="AB46" s="71">
        <f t="shared" si="155"/>
        <v>200</v>
      </c>
      <c r="AC46" s="68">
        <f>'25'!F14</f>
        <v>0</v>
      </c>
      <c r="AD46" s="72">
        <f>AD7</f>
        <v>10</v>
      </c>
      <c r="AE46" s="73">
        <f t="shared" si="156"/>
        <v>0</v>
      </c>
      <c r="AF46" s="68"/>
      <c r="AG46" s="72">
        <f>AG7</f>
        <v>0</v>
      </c>
      <c r="AH46" s="118">
        <f t="shared" si="157"/>
        <v>0</v>
      </c>
      <c r="AI46" s="74"/>
      <c r="AJ46" s="75"/>
      <c r="AK46" s="71">
        <f t="shared" si="158"/>
        <v>13505</v>
      </c>
      <c r="AL46" s="76"/>
      <c r="AM46" s="68">
        <f>'25'!F17</f>
        <v>17</v>
      </c>
      <c r="AN46" s="72">
        <v>20</v>
      </c>
      <c r="AO46" s="71">
        <f t="shared" si="159"/>
        <v>340</v>
      </c>
      <c r="AP46" s="68">
        <f>'25'!F18</f>
        <v>33</v>
      </c>
      <c r="AQ46" s="72">
        <v>25</v>
      </c>
      <c r="AR46" s="71">
        <f t="shared" si="160"/>
        <v>825</v>
      </c>
      <c r="AS46" s="68">
        <f>'25'!F21</f>
        <v>0</v>
      </c>
      <c r="AT46" s="70">
        <f>AT7</f>
        <v>15</v>
      </c>
      <c r="AU46" s="71">
        <f t="shared" si="161"/>
        <v>0</v>
      </c>
      <c r="AV46" s="68">
        <f>'25'!F22</f>
        <v>3</v>
      </c>
      <c r="AW46" s="68">
        <v>20</v>
      </c>
      <c r="AX46" s="71">
        <f t="shared" si="162"/>
        <v>60</v>
      </c>
      <c r="AY46" s="68">
        <f>'25'!F26</f>
        <v>0</v>
      </c>
      <c r="AZ46" s="68">
        <v>25</v>
      </c>
      <c r="BA46" s="69">
        <f t="shared" si="163"/>
        <v>0</v>
      </c>
      <c r="BB46" s="68">
        <f>'25'!F27</f>
        <v>0</v>
      </c>
      <c r="BC46" s="68">
        <v>17</v>
      </c>
      <c r="BD46" s="69">
        <f t="shared" si="164"/>
        <v>0</v>
      </c>
      <c r="BE46" s="68">
        <f>'25'!F28</f>
        <v>3</v>
      </c>
      <c r="BF46" s="70">
        <f t="shared" si="165"/>
        <v>25</v>
      </c>
      <c r="BG46" s="71">
        <f t="shared" si="166"/>
        <v>75</v>
      </c>
      <c r="BH46" s="68">
        <f>'25'!F23</f>
        <v>0</v>
      </c>
      <c r="BI46" s="70">
        <f>BI7</f>
        <v>35</v>
      </c>
      <c r="BJ46" s="71">
        <f t="shared" si="167"/>
        <v>0</v>
      </c>
      <c r="BK46" s="68">
        <f>'25'!F25</f>
        <v>0</v>
      </c>
      <c r="BL46" s="72">
        <f>BL7</f>
        <v>22</v>
      </c>
      <c r="BM46" s="71">
        <f t="shared" si="168"/>
        <v>0</v>
      </c>
      <c r="BN46" s="68">
        <f>'25'!F24</f>
        <v>3</v>
      </c>
      <c r="BO46" s="68">
        <v>25</v>
      </c>
      <c r="BP46" s="69">
        <f t="shared" si="169"/>
        <v>75</v>
      </c>
      <c r="BQ46" s="68">
        <f>'25'!F19</f>
        <v>0</v>
      </c>
      <c r="BR46" s="70">
        <v>50</v>
      </c>
      <c r="BS46" s="77">
        <f t="shared" si="170"/>
        <v>0</v>
      </c>
      <c r="BT46" s="68">
        <f>'25'!F20</f>
        <v>0</v>
      </c>
      <c r="BU46" s="70">
        <f>BU7</f>
        <v>80</v>
      </c>
      <c r="BV46" s="77">
        <f t="shared" si="171"/>
        <v>0</v>
      </c>
      <c r="BW46" s="78"/>
      <c r="BX46" s="79"/>
      <c r="BY46" s="69">
        <f t="shared" si="172"/>
        <v>1375</v>
      </c>
      <c r="BZ46" s="39"/>
      <c r="CA46" s="71">
        <f t="shared" si="173"/>
        <v>14880</v>
      </c>
      <c r="CB46" s="90"/>
      <c r="CC46" s="39"/>
      <c r="CD46" s="39">
        <f t="shared" si="174"/>
        <v>14880</v>
      </c>
    </row>
    <row r="47" spans="1:84" ht="15.75" customHeight="1">
      <c r="A47" s="193">
        <v>26</v>
      </c>
      <c r="B47" s="68">
        <f>'26'!F29</f>
        <v>0</v>
      </c>
      <c r="C47" s="68">
        <v>40</v>
      </c>
      <c r="D47" s="69">
        <f t="shared" si="147"/>
        <v>0</v>
      </c>
      <c r="E47" s="68">
        <f>'26'!F7</f>
        <v>211</v>
      </c>
      <c r="F47" s="70">
        <v>50</v>
      </c>
      <c r="G47" s="71">
        <f t="shared" si="148"/>
        <v>10550</v>
      </c>
      <c r="H47" s="84">
        <f>'26'!F8</f>
        <v>18</v>
      </c>
      <c r="I47" s="70">
        <v>12</v>
      </c>
      <c r="J47" s="71">
        <f t="shared" si="149"/>
        <v>216</v>
      </c>
      <c r="K47" s="84">
        <f>'26'!F15</f>
        <v>30</v>
      </c>
      <c r="L47" s="70">
        <f>L7</f>
        <v>25</v>
      </c>
      <c r="M47" s="71">
        <f t="shared" si="150"/>
        <v>750</v>
      </c>
      <c r="N47" s="68">
        <f>'26'!F9</f>
        <v>90</v>
      </c>
      <c r="O47" s="68">
        <f>O7</f>
        <v>12</v>
      </c>
      <c r="P47" s="71">
        <f t="shared" si="151"/>
        <v>1080</v>
      </c>
      <c r="Q47" s="68">
        <f>'26'!F10</f>
        <v>0</v>
      </c>
      <c r="R47" s="72">
        <f>R7</f>
        <v>7.5</v>
      </c>
      <c r="S47" s="71">
        <f t="shared" si="152"/>
        <v>0</v>
      </c>
      <c r="T47" s="68">
        <f>'26'!F11</f>
        <v>220</v>
      </c>
      <c r="U47" s="72">
        <f>U7</f>
        <v>15</v>
      </c>
      <c r="V47" s="71">
        <f t="shared" si="153"/>
        <v>3300</v>
      </c>
      <c r="W47" s="68">
        <f>'26'!F12</f>
        <v>58</v>
      </c>
      <c r="X47" s="68">
        <v>10</v>
      </c>
      <c r="Y47" s="71">
        <f t="shared" si="154"/>
        <v>580</v>
      </c>
      <c r="Z47" s="68">
        <f>'26'!F13</f>
        <v>36</v>
      </c>
      <c r="AA47" s="70">
        <v>8</v>
      </c>
      <c r="AB47" s="71">
        <f t="shared" si="155"/>
        <v>288</v>
      </c>
      <c r="AC47" s="68">
        <f>'26'!F14</f>
        <v>0</v>
      </c>
      <c r="AD47" s="72">
        <f>AD7</f>
        <v>10</v>
      </c>
      <c r="AE47" s="73">
        <f t="shared" si="156"/>
        <v>0</v>
      </c>
      <c r="AF47" s="68"/>
      <c r="AG47" s="72">
        <f>AG7</f>
        <v>0</v>
      </c>
      <c r="AH47" s="118">
        <f t="shared" si="157"/>
        <v>0</v>
      </c>
      <c r="AI47" s="74"/>
      <c r="AJ47" s="75"/>
      <c r="AK47" s="71">
        <f t="shared" si="158"/>
        <v>16764</v>
      </c>
      <c r="AL47" s="76"/>
      <c r="AM47" s="68">
        <f>'26'!F17</f>
        <v>13</v>
      </c>
      <c r="AN47" s="72">
        <v>20</v>
      </c>
      <c r="AO47" s="71">
        <f t="shared" si="159"/>
        <v>260</v>
      </c>
      <c r="AP47" s="68">
        <f>'26'!F18</f>
        <v>64</v>
      </c>
      <c r="AQ47" s="72">
        <v>25</v>
      </c>
      <c r="AR47" s="71">
        <f t="shared" si="160"/>
        <v>1600</v>
      </c>
      <c r="AS47" s="68">
        <f>'26'!F21</f>
        <v>0</v>
      </c>
      <c r="AT47" s="70">
        <f>AT7</f>
        <v>15</v>
      </c>
      <c r="AU47" s="71">
        <f t="shared" si="161"/>
        <v>0</v>
      </c>
      <c r="AV47" s="68">
        <f>'26'!F22</f>
        <v>6</v>
      </c>
      <c r="AW47" s="68">
        <v>20</v>
      </c>
      <c r="AX47" s="71">
        <f t="shared" si="162"/>
        <v>120</v>
      </c>
      <c r="AY47" s="68">
        <f>'26'!F26</f>
        <v>0</v>
      </c>
      <c r="AZ47" s="68">
        <v>25</v>
      </c>
      <c r="BA47" s="69">
        <f t="shared" si="163"/>
        <v>0</v>
      </c>
      <c r="BB47" s="68">
        <f>'26'!F27</f>
        <v>0</v>
      </c>
      <c r="BC47" s="68">
        <v>17</v>
      </c>
      <c r="BD47" s="69">
        <f t="shared" si="164"/>
        <v>0</v>
      </c>
      <c r="BE47" s="68">
        <f>'26'!F28</f>
        <v>0</v>
      </c>
      <c r="BF47" s="70">
        <f t="shared" si="165"/>
        <v>25</v>
      </c>
      <c r="BG47" s="71">
        <f t="shared" si="166"/>
        <v>0</v>
      </c>
      <c r="BH47" s="68">
        <f>'26'!F23</f>
        <v>0</v>
      </c>
      <c r="BI47" s="70">
        <f>BI7</f>
        <v>35</v>
      </c>
      <c r="BJ47" s="71">
        <f t="shared" si="167"/>
        <v>0</v>
      </c>
      <c r="BK47" s="68">
        <f>'26'!F25</f>
        <v>0</v>
      </c>
      <c r="BL47" s="72">
        <f>BL7</f>
        <v>22</v>
      </c>
      <c r="BM47" s="71">
        <f t="shared" si="168"/>
        <v>0</v>
      </c>
      <c r="BN47" s="68">
        <f>'26'!F24</f>
        <v>6</v>
      </c>
      <c r="BO47" s="68">
        <v>25</v>
      </c>
      <c r="BP47" s="69">
        <f t="shared" si="169"/>
        <v>150</v>
      </c>
      <c r="BQ47" s="68">
        <f>'26'!F19</f>
        <v>0</v>
      </c>
      <c r="BR47" s="70">
        <v>50</v>
      </c>
      <c r="BS47" s="77">
        <f t="shared" si="170"/>
        <v>0</v>
      </c>
      <c r="BT47" s="68">
        <f>'26'!F20</f>
        <v>0</v>
      </c>
      <c r="BU47" s="70">
        <f>BU7</f>
        <v>80</v>
      </c>
      <c r="BV47" s="77">
        <f t="shared" si="171"/>
        <v>0</v>
      </c>
      <c r="BW47" s="78"/>
      <c r="BX47" s="79"/>
      <c r="BY47" s="69">
        <f t="shared" si="172"/>
        <v>2130</v>
      </c>
      <c r="BZ47" s="39"/>
      <c r="CA47" s="71">
        <f t="shared" si="173"/>
        <v>18894</v>
      </c>
      <c r="CB47" s="90"/>
      <c r="CC47" s="39"/>
      <c r="CD47" s="39">
        <f t="shared" si="174"/>
        <v>18894</v>
      </c>
    </row>
    <row r="48" spans="1:84" ht="15.75" customHeight="1">
      <c r="A48" s="193">
        <v>27</v>
      </c>
      <c r="B48" s="68">
        <f>'27'!F29</f>
        <v>0</v>
      </c>
      <c r="C48" s="68">
        <v>40</v>
      </c>
      <c r="D48" s="69">
        <f t="shared" si="147"/>
        <v>0</v>
      </c>
      <c r="E48" s="68">
        <f>'27'!F7</f>
        <v>184</v>
      </c>
      <c r="F48" s="70">
        <v>50</v>
      </c>
      <c r="G48" s="71">
        <f t="shared" si="148"/>
        <v>9200</v>
      </c>
      <c r="H48" s="84">
        <f>'27'!F8</f>
        <v>10</v>
      </c>
      <c r="I48" s="70">
        <v>12</v>
      </c>
      <c r="J48" s="71">
        <f t="shared" si="149"/>
        <v>120</v>
      </c>
      <c r="K48" s="84">
        <f>'27'!F15</f>
        <v>9</v>
      </c>
      <c r="L48" s="70">
        <f>L7</f>
        <v>25</v>
      </c>
      <c r="M48" s="71">
        <f t="shared" si="150"/>
        <v>225</v>
      </c>
      <c r="N48" s="68">
        <f>'27'!F9</f>
        <v>90</v>
      </c>
      <c r="O48" s="68">
        <f>O7</f>
        <v>12</v>
      </c>
      <c r="P48" s="71">
        <f t="shared" si="151"/>
        <v>1080</v>
      </c>
      <c r="Q48" s="68">
        <f>'27'!F10</f>
        <v>0</v>
      </c>
      <c r="R48" s="72">
        <v>7.5</v>
      </c>
      <c r="S48" s="71">
        <f t="shared" si="152"/>
        <v>0</v>
      </c>
      <c r="T48" s="68">
        <f>'27'!F11</f>
        <v>176</v>
      </c>
      <c r="U48" s="72">
        <f>U7</f>
        <v>15</v>
      </c>
      <c r="V48" s="71">
        <f t="shared" si="153"/>
        <v>2640</v>
      </c>
      <c r="W48" s="68">
        <f>'27'!F12</f>
        <v>22</v>
      </c>
      <c r="X48" s="68">
        <v>10</v>
      </c>
      <c r="Y48" s="71">
        <f t="shared" si="154"/>
        <v>220</v>
      </c>
      <c r="Z48" s="68">
        <f>'27'!F13</f>
        <v>31</v>
      </c>
      <c r="AA48" s="72">
        <v>8</v>
      </c>
      <c r="AB48" s="71">
        <f t="shared" si="155"/>
        <v>248</v>
      </c>
      <c r="AC48" s="68">
        <f>'27'!F14</f>
        <v>9</v>
      </c>
      <c r="AD48" s="72">
        <f>AD7</f>
        <v>10</v>
      </c>
      <c r="AE48" s="73">
        <f t="shared" si="156"/>
        <v>90</v>
      </c>
      <c r="AF48" s="68"/>
      <c r="AG48" s="72">
        <f>AG7</f>
        <v>0</v>
      </c>
      <c r="AH48" s="118">
        <f t="shared" si="157"/>
        <v>0</v>
      </c>
      <c r="AI48" s="119"/>
      <c r="AJ48" s="119"/>
      <c r="AK48" s="71">
        <f t="shared" si="158"/>
        <v>13823</v>
      </c>
      <c r="AL48" s="76"/>
      <c r="AM48" s="68">
        <f>'27'!F17</f>
        <v>14</v>
      </c>
      <c r="AN48" s="72">
        <v>20</v>
      </c>
      <c r="AO48" s="71">
        <f t="shared" si="159"/>
        <v>280</v>
      </c>
      <c r="AP48" s="68">
        <f>'27'!F18</f>
        <v>42</v>
      </c>
      <c r="AQ48" s="72">
        <v>25</v>
      </c>
      <c r="AR48" s="71">
        <f t="shared" si="160"/>
        <v>1050</v>
      </c>
      <c r="AS48" s="68">
        <f>'27'!F21</f>
        <v>0</v>
      </c>
      <c r="AT48" s="70">
        <f>AT7</f>
        <v>15</v>
      </c>
      <c r="AU48" s="71">
        <f t="shared" si="161"/>
        <v>0</v>
      </c>
      <c r="AV48" s="68">
        <f>'27'!F22</f>
        <v>12</v>
      </c>
      <c r="AW48" s="68">
        <v>20</v>
      </c>
      <c r="AX48" s="71">
        <f t="shared" si="162"/>
        <v>240</v>
      </c>
      <c r="AY48" s="68">
        <f>'27'!F26</f>
        <v>0</v>
      </c>
      <c r="AZ48" s="68">
        <v>25</v>
      </c>
      <c r="BA48" s="69">
        <f t="shared" si="163"/>
        <v>0</v>
      </c>
      <c r="BB48" s="68">
        <f>'27'!F27</f>
        <v>0</v>
      </c>
      <c r="BC48" s="68">
        <v>17</v>
      </c>
      <c r="BD48" s="69">
        <f t="shared" si="164"/>
        <v>0</v>
      </c>
      <c r="BE48" s="68">
        <f>'27'!F28</f>
        <v>0</v>
      </c>
      <c r="BF48" s="70">
        <f t="shared" si="165"/>
        <v>25</v>
      </c>
      <c r="BG48" s="71">
        <f t="shared" si="166"/>
        <v>0</v>
      </c>
      <c r="BH48" s="68">
        <f>'27'!F23</f>
        <v>0</v>
      </c>
      <c r="BI48" s="70">
        <f>BI7</f>
        <v>35</v>
      </c>
      <c r="BJ48" s="71">
        <f t="shared" si="167"/>
        <v>0</v>
      </c>
      <c r="BK48" s="68">
        <f>'27'!F25</f>
        <v>0</v>
      </c>
      <c r="BL48" s="72">
        <f>BL7</f>
        <v>22</v>
      </c>
      <c r="BM48" s="71">
        <f t="shared" si="168"/>
        <v>0</v>
      </c>
      <c r="BN48" s="68">
        <f>'27'!F24</f>
        <v>0</v>
      </c>
      <c r="BO48" s="68">
        <v>25</v>
      </c>
      <c r="BP48" s="69">
        <f t="shared" si="169"/>
        <v>0</v>
      </c>
      <c r="BQ48" s="68">
        <f>'27'!F19</f>
        <v>0</v>
      </c>
      <c r="BR48" s="70">
        <v>50</v>
      </c>
      <c r="BS48" s="77">
        <f t="shared" si="170"/>
        <v>0</v>
      </c>
      <c r="BT48" s="68">
        <f>'27'!F20</f>
        <v>0</v>
      </c>
      <c r="BU48" s="70">
        <f>BU7</f>
        <v>80</v>
      </c>
      <c r="BV48" s="77">
        <f t="shared" si="171"/>
        <v>0</v>
      </c>
      <c r="BW48" s="78"/>
      <c r="BX48" s="79"/>
      <c r="BY48" s="69">
        <f t="shared" si="172"/>
        <v>1570</v>
      </c>
      <c r="BZ48" s="39"/>
      <c r="CA48" s="71">
        <f t="shared" si="173"/>
        <v>15393</v>
      </c>
      <c r="CB48" s="90"/>
      <c r="CC48" s="39"/>
      <c r="CD48" s="39">
        <f t="shared" si="174"/>
        <v>15393</v>
      </c>
    </row>
    <row r="49" spans="1:83" ht="15.75" customHeight="1">
      <c r="A49" s="193">
        <v>28</v>
      </c>
      <c r="B49" s="68">
        <f>'28'!F29</f>
        <v>0</v>
      </c>
      <c r="C49" s="68">
        <v>40</v>
      </c>
      <c r="D49" s="69">
        <f t="shared" si="147"/>
        <v>0</v>
      </c>
      <c r="E49" s="68">
        <f>'28'!F7</f>
        <v>167</v>
      </c>
      <c r="F49" s="70">
        <v>50</v>
      </c>
      <c r="G49" s="71">
        <f t="shared" si="148"/>
        <v>8350</v>
      </c>
      <c r="H49" s="84">
        <f>'28'!F8</f>
        <v>15</v>
      </c>
      <c r="I49" s="70">
        <v>12</v>
      </c>
      <c r="J49" s="71">
        <f t="shared" si="149"/>
        <v>180</v>
      </c>
      <c r="K49" s="84">
        <f>'28'!F15</f>
        <v>9</v>
      </c>
      <c r="L49" s="70">
        <f>L7</f>
        <v>25</v>
      </c>
      <c r="M49" s="71">
        <f t="shared" si="150"/>
        <v>225</v>
      </c>
      <c r="N49" s="68">
        <f>'28'!F9</f>
        <v>110</v>
      </c>
      <c r="O49" s="68">
        <f>O7</f>
        <v>12</v>
      </c>
      <c r="P49" s="71">
        <f t="shared" si="151"/>
        <v>1320</v>
      </c>
      <c r="Q49" s="68">
        <f>'28'!F10</f>
        <v>0</v>
      </c>
      <c r="R49" s="72">
        <f>R7</f>
        <v>7.5</v>
      </c>
      <c r="S49" s="71">
        <f t="shared" si="152"/>
        <v>0</v>
      </c>
      <c r="T49" s="68">
        <f>'28'!F11</f>
        <v>176</v>
      </c>
      <c r="U49" s="72">
        <f>U7</f>
        <v>15</v>
      </c>
      <c r="V49" s="71">
        <f t="shared" si="153"/>
        <v>2640</v>
      </c>
      <c r="W49" s="68">
        <f>'28'!F12</f>
        <v>38</v>
      </c>
      <c r="X49" s="68">
        <v>10</v>
      </c>
      <c r="Y49" s="71">
        <f t="shared" si="154"/>
        <v>380</v>
      </c>
      <c r="Z49" s="68">
        <f>'28'!F13</f>
        <v>28</v>
      </c>
      <c r="AA49" s="72">
        <v>8</v>
      </c>
      <c r="AB49" s="71">
        <f t="shared" si="155"/>
        <v>224</v>
      </c>
      <c r="AC49" s="68">
        <f>'28'!F14</f>
        <v>11</v>
      </c>
      <c r="AD49" s="72">
        <f>AD7</f>
        <v>10</v>
      </c>
      <c r="AE49" s="73">
        <f t="shared" si="156"/>
        <v>110</v>
      </c>
      <c r="AF49" s="68"/>
      <c r="AG49" s="72">
        <f>AG7</f>
        <v>0</v>
      </c>
      <c r="AH49" s="118">
        <f t="shared" si="157"/>
        <v>0</v>
      </c>
      <c r="AI49" s="119"/>
      <c r="AJ49" s="119"/>
      <c r="AK49" s="71">
        <f t="shared" si="158"/>
        <v>13429</v>
      </c>
      <c r="AL49" s="76"/>
      <c r="AM49" s="68">
        <f>'28'!F17</f>
        <v>13</v>
      </c>
      <c r="AN49" s="72">
        <v>20</v>
      </c>
      <c r="AO49" s="71">
        <f t="shared" si="159"/>
        <v>260</v>
      </c>
      <c r="AP49" s="68">
        <f>'28'!F18</f>
        <v>52</v>
      </c>
      <c r="AQ49" s="72">
        <v>25</v>
      </c>
      <c r="AR49" s="71">
        <f t="shared" si="160"/>
        <v>1300</v>
      </c>
      <c r="AS49" s="68">
        <f>'28'!F21</f>
        <v>0</v>
      </c>
      <c r="AT49" s="70">
        <f>AT7</f>
        <v>15</v>
      </c>
      <c r="AU49" s="71">
        <f t="shared" si="161"/>
        <v>0</v>
      </c>
      <c r="AV49" s="68">
        <f>'28'!F22</f>
        <v>7</v>
      </c>
      <c r="AW49" s="68">
        <v>20</v>
      </c>
      <c r="AX49" s="71">
        <f t="shared" si="162"/>
        <v>140</v>
      </c>
      <c r="AY49" s="68">
        <f>'28'!F26</f>
        <v>0</v>
      </c>
      <c r="AZ49" s="68">
        <v>25</v>
      </c>
      <c r="BA49" s="69">
        <f t="shared" si="163"/>
        <v>0</v>
      </c>
      <c r="BB49" s="68">
        <f>'28'!F27</f>
        <v>0</v>
      </c>
      <c r="BC49" s="68">
        <v>17</v>
      </c>
      <c r="BD49" s="69">
        <f t="shared" si="164"/>
        <v>0</v>
      </c>
      <c r="BE49" s="68">
        <f>'28'!F28</f>
        <v>0</v>
      </c>
      <c r="BF49" s="70">
        <f t="shared" si="165"/>
        <v>25</v>
      </c>
      <c r="BG49" s="71">
        <f t="shared" si="166"/>
        <v>0</v>
      </c>
      <c r="BH49" s="68">
        <f>'28'!F23</f>
        <v>0</v>
      </c>
      <c r="BI49" s="70">
        <f>BI7</f>
        <v>35</v>
      </c>
      <c r="BJ49" s="71">
        <f t="shared" si="167"/>
        <v>0</v>
      </c>
      <c r="BK49" s="68">
        <f>'28'!F25</f>
        <v>0</v>
      </c>
      <c r="BL49" s="72">
        <f>BL7</f>
        <v>22</v>
      </c>
      <c r="BM49" s="71">
        <f t="shared" si="168"/>
        <v>0</v>
      </c>
      <c r="BN49" s="68">
        <f>'28'!F24</f>
        <v>1</v>
      </c>
      <c r="BO49" s="68">
        <v>25</v>
      </c>
      <c r="BP49" s="69">
        <f t="shared" si="169"/>
        <v>25</v>
      </c>
      <c r="BQ49" s="68">
        <f>'28'!F19</f>
        <v>0</v>
      </c>
      <c r="BR49" s="70">
        <v>50</v>
      </c>
      <c r="BS49" s="77">
        <f t="shared" si="170"/>
        <v>0</v>
      </c>
      <c r="BT49" s="68">
        <f>'28'!F20</f>
        <v>0</v>
      </c>
      <c r="BU49" s="70">
        <v>80</v>
      </c>
      <c r="BV49" s="77">
        <f t="shared" si="171"/>
        <v>0</v>
      </c>
      <c r="BW49" s="78"/>
      <c r="BX49" s="79"/>
      <c r="BY49" s="69">
        <f t="shared" si="172"/>
        <v>1725</v>
      </c>
      <c r="BZ49" s="39"/>
      <c r="CA49" s="71">
        <f t="shared" si="173"/>
        <v>15154</v>
      </c>
      <c r="CB49" s="90"/>
      <c r="CC49" s="39"/>
      <c r="CD49" s="39">
        <f t="shared" si="174"/>
        <v>15154</v>
      </c>
    </row>
    <row r="50" spans="1:83" ht="15.75" customHeight="1">
      <c r="A50" s="193">
        <v>29</v>
      </c>
      <c r="B50" s="68">
        <f>'29'!F29</f>
        <v>0</v>
      </c>
      <c r="C50" s="68">
        <v>40</v>
      </c>
      <c r="D50" s="69">
        <f t="shared" si="147"/>
        <v>0</v>
      </c>
      <c r="E50" s="68">
        <f>'29'!F7</f>
        <v>118</v>
      </c>
      <c r="F50" s="70">
        <v>50</v>
      </c>
      <c r="G50" s="71">
        <f t="shared" si="148"/>
        <v>5900</v>
      </c>
      <c r="H50" s="84">
        <f>'29'!F8</f>
        <v>18</v>
      </c>
      <c r="I50" s="70">
        <v>12</v>
      </c>
      <c r="J50" s="71">
        <f t="shared" si="149"/>
        <v>216</v>
      </c>
      <c r="K50" s="84">
        <f>'29'!F15</f>
        <v>13</v>
      </c>
      <c r="L50" s="70">
        <f>L7</f>
        <v>25</v>
      </c>
      <c r="M50" s="71">
        <f t="shared" si="150"/>
        <v>325</v>
      </c>
      <c r="N50" s="68">
        <f>'29'!F9</f>
        <v>106</v>
      </c>
      <c r="O50" s="68">
        <f>O7</f>
        <v>12</v>
      </c>
      <c r="P50" s="71">
        <f t="shared" si="151"/>
        <v>1272</v>
      </c>
      <c r="Q50" s="68">
        <f>'29'!F10</f>
        <v>0</v>
      </c>
      <c r="R50" s="72">
        <f>R7</f>
        <v>7.5</v>
      </c>
      <c r="S50" s="71">
        <f t="shared" si="152"/>
        <v>0</v>
      </c>
      <c r="T50" s="68">
        <f>'29'!F11</f>
        <v>182</v>
      </c>
      <c r="U50" s="72">
        <f>U7</f>
        <v>15</v>
      </c>
      <c r="V50" s="71">
        <f t="shared" si="153"/>
        <v>2730</v>
      </c>
      <c r="W50" s="68">
        <f>'29'!F12</f>
        <v>46</v>
      </c>
      <c r="X50" s="68">
        <v>10</v>
      </c>
      <c r="Y50" s="71">
        <f t="shared" si="154"/>
        <v>460</v>
      </c>
      <c r="Z50" s="68">
        <f>'29'!F13</f>
        <v>26</v>
      </c>
      <c r="AA50" s="72">
        <v>8</v>
      </c>
      <c r="AB50" s="71">
        <f t="shared" si="155"/>
        <v>208</v>
      </c>
      <c r="AC50" s="68">
        <f>'29'!F14</f>
        <v>3</v>
      </c>
      <c r="AD50" s="72">
        <f>AD7</f>
        <v>10</v>
      </c>
      <c r="AE50" s="73">
        <f t="shared" si="156"/>
        <v>30</v>
      </c>
      <c r="AF50" s="68"/>
      <c r="AG50" s="72">
        <f>AG7</f>
        <v>0</v>
      </c>
      <c r="AH50" s="118">
        <f t="shared" si="157"/>
        <v>0</v>
      </c>
      <c r="AI50" s="39"/>
      <c r="AJ50" s="39"/>
      <c r="AK50" s="71">
        <f t="shared" si="158"/>
        <v>11141</v>
      </c>
      <c r="AL50" s="76"/>
      <c r="AM50" s="68">
        <f>'29'!F17</f>
        <v>13</v>
      </c>
      <c r="AN50" s="72">
        <v>20</v>
      </c>
      <c r="AO50" s="71">
        <f t="shared" si="159"/>
        <v>260</v>
      </c>
      <c r="AP50" s="68">
        <f>'29'!F18</f>
        <v>41</v>
      </c>
      <c r="AQ50" s="72">
        <v>25</v>
      </c>
      <c r="AR50" s="71">
        <f t="shared" si="160"/>
        <v>1025</v>
      </c>
      <c r="AS50" s="68">
        <f>'29'!F21</f>
        <v>0</v>
      </c>
      <c r="AT50" s="70">
        <f>AT7</f>
        <v>15</v>
      </c>
      <c r="AU50" s="71">
        <f t="shared" si="161"/>
        <v>0</v>
      </c>
      <c r="AV50" s="68">
        <f>'29'!F22</f>
        <v>15</v>
      </c>
      <c r="AW50" s="68">
        <v>20</v>
      </c>
      <c r="AX50" s="71">
        <f t="shared" si="162"/>
        <v>300</v>
      </c>
      <c r="AY50" s="68">
        <f>'29'!F26</f>
        <v>0</v>
      </c>
      <c r="AZ50" s="68">
        <v>25</v>
      </c>
      <c r="BA50" s="69">
        <f t="shared" si="163"/>
        <v>0</v>
      </c>
      <c r="BB50" s="68">
        <f>'29'!F27</f>
        <v>0</v>
      </c>
      <c r="BC50" s="68">
        <v>17</v>
      </c>
      <c r="BD50" s="69">
        <f t="shared" si="164"/>
        <v>0</v>
      </c>
      <c r="BE50" s="68">
        <f>'29'!F28</f>
        <v>0</v>
      </c>
      <c r="BF50" s="70">
        <v>25</v>
      </c>
      <c r="BG50" s="71">
        <f t="shared" si="166"/>
        <v>0</v>
      </c>
      <c r="BH50" s="68">
        <f>'29'!F23</f>
        <v>0</v>
      </c>
      <c r="BI50" s="70">
        <f>BI7</f>
        <v>35</v>
      </c>
      <c r="BJ50" s="71">
        <f t="shared" si="167"/>
        <v>0</v>
      </c>
      <c r="BK50" s="68">
        <f>'29'!F25</f>
        <v>0</v>
      </c>
      <c r="BL50" s="72">
        <f>BL7</f>
        <v>22</v>
      </c>
      <c r="BM50" s="71">
        <f t="shared" si="168"/>
        <v>0</v>
      </c>
      <c r="BN50" s="68">
        <f>'29'!F24</f>
        <v>2</v>
      </c>
      <c r="BO50" s="68">
        <v>25</v>
      </c>
      <c r="BP50" s="69">
        <f t="shared" si="169"/>
        <v>50</v>
      </c>
      <c r="BQ50" s="68">
        <f>'29'!F19</f>
        <v>0</v>
      </c>
      <c r="BR50" s="70">
        <v>50</v>
      </c>
      <c r="BS50" s="77">
        <f t="shared" si="170"/>
        <v>0</v>
      </c>
      <c r="BT50" s="68">
        <f>'29'!F20</f>
        <v>0</v>
      </c>
      <c r="BU50" s="70">
        <v>80</v>
      </c>
      <c r="BV50" s="77">
        <f t="shared" si="171"/>
        <v>0</v>
      </c>
      <c r="BW50" s="78"/>
      <c r="BX50" s="79"/>
      <c r="BY50" s="69">
        <f t="shared" si="172"/>
        <v>1635</v>
      </c>
      <c r="BZ50" s="39"/>
      <c r="CA50" s="71">
        <f t="shared" si="173"/>
        <v>12776</v>
      </c>
      <c r="CB50" s="90"/>
      <c r="CC50" s="39"/>
      <c r="CD50" s="39">
        <f t="shared" si="174"/>
        <v>12776</v>
      </c>
    </row>
    <row r="51" spans="1:83" ht="15.75" customHeight="1">
      <c r="A51" s="193">
        <v>30</v>
      </c>
      <c r="B51" s="68">
        <f>'30'!F29</f>
        <v>0</v>
      </c>
      <c r="C51" s="68">
        <v>40</v>
      </c>
      <c r="D51" s="69">
        <f t="shared" si="147"/>
        <v>0</v>
      </c>
      <c r="E51" s="68">
        <f>'30'!F7</f>
        <v>182</v>
      </c>
      <c r="F51" s="70">
        <v>50</v>
      </c>
      <c r="G51" s="71">
        <f t="shared" si="148"/>
        <v>9100</v>
      </c>
      <c r="H51" s="84">
        <f>'30'!F8</f>
        <v>10</v>
      </c>
      <c r="I51" s="70">
        <v>12</v>
      </c>
      <c r="J51" s="71">
        <f t="shared" si="149"/>
        <v>120</v>
      </c>
      <c r="K51" s="84">
        <f>'30'!F15</f>
        <v>19</v>
      </c>
      <c r="L51" s="70">
        <f>L7</f>
        <v>25</v>
      </c>
      <c r="M51" s="71">
        <f t="shared" si="150"/>
        <v>475</v>
      </c>
      <c r="N51" s="68">
        <f>'30'!F9</f>
        <v>94</v>
      </c>
      <c r="O51" s="68">
        <f>O7</f>
        <v>12</v>
      </c>
      <c r="P51" s="71">
        <f t="shared" si="151"/>
        <v>1128</v>
      </c>
      <c r="Q51" s="68">
        <f>'30'!F10</f>
        <v>0</v>
      </c>
      <c r="R51" s="72">
        <f>R7</f>
        <v>7.5</v>
      </c>
      <c r="S51" s="71">
        <f t="shared" si="152"/>
        <v>0</v>
      </c>
      <c r="T51" s="68">
        <f>'30'!F11</f>
        <v>158</v>
      </c>
      <c r="U51" s="72">
        <f>U7</f>
        <v>15</v>
      </c>
      <c r="V51" s="71">
        <f t="shared" si="153"/>
        <v>2370</v>
      </c>
      <c r="W51" s="68">
        <f>'30'!F12</f>
        <v>29</v>
      </c>
      <c r="X51" s="68">
        <v>10</v>
      </c>
      <c r="Y51" s="71">
        <f t="shared" si="154"/>
        <v>290</v>
      </c>
      <c r="Z51" s="68">
        <f>'30'!F13</f>
        <v>36</v>
      </c>
      <c r="AA51" s="72">
        <v>8</v>
      </c>
      <c r="AB51" s="71">
        <f t="shared" si="155"/>
        <v>288</v>
      </c>
      <c r="AC51" s="68">
        <f>'30'!F14</f>
        <v>3</v>
      </c>
      <c r="AD51" s="72">
        <f>AD7</f>
        <v>10</v>
      </c>
      <c r="AE51" s="73">
        <f t="shared" si="156"/>
        <v>30</v>
      </c>
      <c r="AF51" s="68"/>
      <c r="AG51" s="72">
        <f>AG7</f>
        <v>0</v>
      </c>
      <c r="AH51" s="118">
        <f t="shared" si="157"/>
        <v>0</v>
      </c>
      <c r="AI51" s="119"/>
      <c r="AJ51" s="119"/>
      <c r="AK51" s="71">
        <f t="shared" si="158"/>
        <v>13801</v>
      </c>
      <c r="AL51" s="76"/>
      <c r="AM51" s="68">
        <f>'30'!F17</f>
        <v>17</v>
      </c>
      <c r="AN51" s="72">
        <v>20</v>
      </c>
      <c r="AO51" s="71">
        <f t="shared" si="159"/>
        <v>340</v>
      </c>
      <c r="AP51" s="68">
        <f>'30'!F18</f>
        <v>34</v>
      </c>
      <c r="AQ51" s="72">
        <v>25</v>
      </c>
      <c r="AR51" s="71">
        <f t="shared" si="160"/>
        <v>850</v>
      </c>
      <c r="AS51" s="68">
        <f>'30'!F21</f>
        <v>0</v>
      </c>
      <c r="AT51" s="70">
        <f>AT7</f>
        <v>15</v>
      </c>
      <c r="AU51" s="71">
        <f t="shared" si="161"/>
        <v>0</v>
      </c>
      <c r="AV51" s="68">
        <f>'30'!F22</f>
        <v>16</v>
      </c>
      <c r="AW51" s="68">
        <v>20</v>
      </c>
      <c r="AX51" s="71">
        <f t="shared" si="162"/>
        <v>320</v>
      </c>
      <c r="AY51" s="68">
        <f>'30'!F26</f>
        <v>0</v>
      </c>
      <c r="AZ51" s="68">
        <v>25</v>
      </c>
      <c r="BA51" s="69">
        <f t="shared" si="163"/>
        <v>0</v>
      </c>
      <c r="BB51" s="68">
        <f>'30'!F27</f>
        <v>0</v>
      </c>
      <c r="BC51" s="68">
        <v>17</v>
      </c>
      <c r="BD51" s="69">
        <f t="shared" si="164"/>
        <v>0</v>
      </c>
      <c r="BE51" s="68">
        <f>'30'!F28</f>
        <v>0</v>
      </c>
      <c r="BF51" s="70">
        <v>25</v>
      </c>
      <c r="BG51" s="71">
        <f t="shared" si="166"/>
        <v>0</v>
      </c>
      <c r="BH51" s="68">
        <f>'30'!F23</f>
        <v>0</v>
      </c>
      <c r="BI51" s="70">
        <f>BI7</f>
        <v>35</v>
      </c>
      <c r="BJ51" s="71">
        <f t="shared" si="167"/>
        <v>0</v>
      </c>
      <c r="BK51" s="68">
        <f>'30'!F25</f>
        <v>0</v>
      </c>
      <c r="BL51" s="72">
        <f>BL7</f>
        <v>22</v>
      </c>
      <c r="BM51" s="71">
        <f t="shared" si="168"/>
        <v>0</v>
      </c>
      <c r="BN51" s="68">
        <f>'30'!F24</f>
        <v>3</v>
      </c>
      <c r="BO51" s="68">
        <v>25</v>
      </c>
      <c r="BP51" s="69">
        <f t="shared" si="169"/>
        <v>75</v>
      </c>
      <c r="BQ51" s="68">
        <f>'30'!F19</f>
        <v>0</v>
      </c>
      <c r="BR51" s="70">
        <v>50</v>
      </c>
      <c r="BS51" s="77">
        <f t="shared" si="170"/>
        <v>0</v>
      </c>
      <c r="BT51" s="68">
        <f>'30'!F20</f>
        <v>0</v>
      </c>
      <c r="BU51" s="70">
        <v>80</v>
      </c>
      <c r="BV51" s="77">
        <f t="shared" si="171"/>
        <v>0</v>
      </c>
      <c r="BW51" s="78"/>
      <c r="BX51" s="79"/>
      <c r="BY51" s="69">
        <f t="shared" si="172"/>
        <v>1585</v>
      </c>
      <c r="BZ51" s="39"/>
      <c r="CA51" s="71">
        <f t="shared" si="173"/>
        <v>15386</v>
      </c>
      <c r="CB51" s="90"/>
      <c r="CC51" s="39"/>
      <c r="CD51" s="39">
        <f t="shared" si="174"/>
        <v>15386</v>
      </c>
    </row>
    <row r="52" spans="1:83" ht="15.75" customHeight="1">
      <c r="A52" s="193">
        <v>31</v>
      </c>
      <c r="B52" s="68">
        <f>'31'!F29</f>
        <v>0</v>
      </c>
      <c r="C52" s="68">
        <v>40</v>
      </c>
      <c r="D52" s="69">
        <f t="shared" si="147"/>
        <v>0</v>
      </c>
      <c r="E52" s="68">
        <f>'31'!F7</f>
        <v>180</v>
      </c>
      <c r="F52" s="70">
        <v>50</v>
      </c>
      <c r="G52" s="71">
        <f t="shared" si="148"/>
        <v>9000</v>
      </c>
      <c r="H52" s="84">
        <f>'31'!F8</f>
        <v>7</v>
      </c>
      <c r="I52" s="70">
        <v>12</v>
      </c>
      <c r="J52" s="71">
        <f t="shared" si="149"/>
        <v>84</v>
      </c>
      <c r="K52" s="84">
        <f>'31'!F15</f>
        <v>9</v>
      </c>
      <c r="L52" s="70">
        <f>L7</f>
        <v>25</v>
      </c>
      <c r="M52" s="71">
        <f t="shared" si="150"/>
        <v>225</v>
      </c>
      <c r="N52" s="68">
        <f>'31'!F9</f>
        <v>126</v>
      </c>
      <c r="O52" s="68">
        <f>O7</f>
        <v>12</v>
      </c>
      <c r="P52" s="71">
        <f t="shared" si="151"/>
        <v>1512</v>
      </c>
      <c r="Q52" s="68">
        <f>'31'!F10</f>
        <v>0</v>
      </c>
      <c r="R52" s="72">
        <f>R7</f>
        <v>7.5</v>
      </c>
      <c r="S52" s="71">
        <f t="shared" si="152"/>
        <v>0</v>
      </c>
      <c r="T52" s="68">
        <f>'31'!F11</f>
        <v>173</v>
      </c>
      <c r="U52" s="72">
        <f>U7</f>
        <v>15</v>
      </c>
      <c r="V52" s="71">
        <f t="shared" si="153"/>
        <v>2595</v>
      </c>
      <c r="W52" s="68">
        <f>'31'!F12</f>
        <v>38</v>
      </c>
      <c r="X52" s="68">
        <v>10</v>
      </c>
      <c r="Y52" s="71">
        <f t="shared" si="154"/>
        <v>380</v>
      </c>
      <c r="Z52" s="68">
        <f>'31'!F13</f>
        <v>26</v>
      </c>
      <c r="AA52" s="72">
        <v>8</v>
      </c>
      <c r="AB52" s="71">
        <f t="shared" si="155"/>
        <v>208</v>
      </c>
      <c r="AC52" s="68">
        <f>'31'!F14</f>
        <v>11</v>
      </c>
      <c r="AD52" s="72">
        <f>AD7</f>
        <v>10</v>
      </c>
      <c r="AE52" s="73">
        <f t="shared" si="156"/>
        <v>110</v>
      </c>
      <c r="AF52" s="68"/>
      <c r="AG52" s="72">
        <f>AG7</f>
        <v>0</v>
      </c>
      <c r="AH52" s="118">
        <f t="shared" si="157"/>
        <v>0</v>
      </c>
      <c r="AI52" s="119"/>
      <c r="AJ52" s="119"/>
      <c r="AK52" s="71">
        <f t="shared" si="158"/>
        <v>14114</v>
      </c>
      <c r="AL52" s="76"/>
      <c r="AM52" s="68">
        <f>'31'!F17</f>
        <v>14</v>
      </c>
      <c r="AN52" s="72">
        <v>20</v>
      </c>
      <c r="AO52" s="71">
        <f t="shared" si="159"/>
        <v>280</v>
      </c>
      <c r="AP52" s="68">
        <f>'31'!F18</f>
        <v>45</v>
      </c>
      <c r="AQ52" s="72">
        <v>25</v>
      </c>
      <c r="AR52" s="71">
        <f t="shared" si="160"/>
        <v>1125</v>
      </c>
      <c r="AS52" s="68">
        <f>'31'!F21</f>
        <v>0</v>
      </c>
      <c r="AT52" s="70">
        <f>AT7</f>
        <v>15</v>
      </c>
      <c r="AU52" s="71">
        <f t="shared" si="161"/>
        <v>0</v>
      </c>
      <c r="AV52" s="68">
        <f>'31'!F22</f>
        <v>9</v>
      </c>
      <c r="AW52" s="68">
        <v>20</v>
      </c>
      <c r="AX52" s="71">
        <f t="shared" si="162"/>
        <v>180</v>
      </c>
      <c r="AY52" s="68">
        <f>'31'!F26</f>
        <v>0</v>
      </c>
      <c r="AZ52" s="68">
        <v>25</v>
      </c>
      <c r="BA52" s="69">
        <f t="shared" si="163"/>
        <v>0</v>
      </c>
      <c r="BB52" s="68">
        <f>'31'!F27</f>
        <v>0</v>
      </c>
      <c r="BC52" s="68">
        <v>17</v>
      </c>
      <c r="BD52" s="69">
        <f t="shared" si="164"/>
        <v>0</v>
      </c>
      <c r="BE52" s="68">
        <f>'31'!F28</f>
        <v>0</v>
      </c>
      <c r="BF52" s="70">
        <v>25</v>
      </c>
      <c r="BG52" s="71">
        <f t="shared" si="166"/>
        <v>0</v>
      </c>
      <c r="BH52" s="68">
        <f>'31'!F23</f>
        <v>0</v>
      </c>
      <c r="BI52" s="70">
        <f>BI7</f>
        <v>35</v>
      </c>
      <c r="BJ52" s="71">
        <f t="shared" si="167"/>
        <v>0</v>
      </c>
      <c r="BK52" s="68">
        <f>'31'!F25</f>
        <v>0</v>
      </c>
      <c r="BL52" s="72">
        <f>BL7</f>
        <v>22</v>
      </c>
      <c r="BM52" s="71">
        <f t="shared" si="168"/>
        <v>0</v>
      </c>
      <c r="BN52" s="68">
        <f>'31'!F24</f>
        <v>2</v>
      </c>
      <c r="BO52" s="68">
        <v>25</v>
      </c>
      <c r="BP52" s="69">
        <f t="shared" si="169"/>
        <v>50</v>
      </c>
      <c r="BQ52" s="68">
        <f>'31'!F19</f>
        <v>0</v>
      </c>
      <c r="BR52" s="70">
        <v>50</v>
      </c>
      <c r="BS52" s="77">
        <f t="shared" si="170"/>
        <v>0</v>
      </c>
      <c r="BT52" s="68">
        <f>'31'!F20</f>
        <v>0</v>
      </c>
      <c r="BU52" s="70">
        <v>80</v>
      </c>
      <c r="BV52" s="77">
        <f t="shared" si="171"/>
        <v>0</v>
      </c>
      <c r="BW52" s="39"/>
      <c r="BX52" s="39"/>
      <c r="BY52" s="69">
        <f t="shared" si="172"/>
        <v>1635</v>
      </c>
      <c r="BZ52" s="39"/>
      <c r="CA52" s="71">
        <f t="shared" si="173"/>
        <v>15749</v>
      </c>
      <c r="CB52" s="90"/>
      <c r="CC52" s="39"/>
      <c r="CD52" s="39">
        <f t="shared" si="174"/>
        <v>15749</v>
      </c>
    </row>
    <row r="53" spans="1:83" ht="15.75" customHeight="1">
      <c r="A53" s="129" t="s">
        <v>23</v>
      </c>
      <c r="B53" s="68">
        <f>SUM(B43:B52)</f>
        <v>0</v>
      </c>
      <c r="C53" s="68"/>
      <c r="D53" s="130">
        <f t="shared" ref="D53:E53" si="175">SUM(D43:D52)</f>
        <v>0</v>
      </c>
      <c r="E53" s="70">
        <f t="shared" si="175"/>
        <v>1780</v>
      </c>
      <c r="F53" s="70"/>
      <c r="G53" s="131">
        <f t="shared" ref="G53:H53" si="176">SUM(G43:G52)</f>
        <v>89000</v>
      </c>
      <c r="H53" s="72">
        <f t="shared" si="176"/>
        <v>115</v>
      </c>
      <c r="I53" s="70"/>
      <c r="J53" s="131">
        <f t="shared" ref="J53:K53" si="177">SUM(J43:J52)</f>
        <v>1380</v>
      </c>
      <c r="K53" s="70">
        <f t="shared" si="177"/>
        <v>158</v>
      </c>
      <c r="L53" s="70"/>
      <c r="M53" s="131">
        <f t="shared" ref="M53:N53" si="178">SUM(M43:M52)</f>
        <v>3950</v>
      </c>
      <c r="N53" s="70">
        <f t="shared" si="178"/>
        <v>1046</v>
      </c>
      <c r="O53" s="70"/>
      <c r="P53" s="131">
        <f t="shared" ref="P53:Q53" si="179">SUM(P43:P52)</f>
        <v>12552</v>
      </c>
      <c r="Q53" s="70">
        <f t="shared" si="179"/>
        <v>0</v>
      </c>
      <c r="R53" s="70"/>
      <c r="S53" s="131">
        <f t="shared" ref="S53:T53" si="180">SUM(S43:S52)</f>
        <v>0</v>
      </c>
      <c r="T53" s="70">
        <f t="shared" si="180"/>
        <v>1855</v>
      </c>
      <c r="U53" s="70"/>
      <c r="V53" s="131">
        <f t="shared" ref="V53:W53" si="181">SUM(V43:V52)</f>
        <v>27825</v>
      </c>
      <c r="W53" s="70">
        <f t="shared" si="181"/>
        <v>352</v>
      </c>
      <c r="X53" s="70"/>
      <c r="Y53" s="131">
        <f t="shared" ref="Y53:Z53" si="182">SUM(Y43:Y52)</f>
        <v>3520</v>
      </c>
      <c r="Z53" s="70">
        <f t="shared" si="182"/>
        <v>360</v>
      </c>
      <c r="AA53" s="70"/>
      <c r="AB53" s="132">
        <f t="shared" ref="AB53:AC53" si="183">SUM(AB43:AB52)</f>
        <v>2880</v>
      </c>
      <c r="AC53" s="70">
        <f t="shared" si="183"/>
        <v>67</v>
      </c>
      <c r="AD53" s="70"/>
      <c r="AE53" s="132">
        <f t="shared" ref="AE53:AF53" si="184">SUM(AE43:AE52)</f>
        <v>670</v>
      </c>
      <c r="AF53" s="70">
        <f t="shared" si="184"/>
        <v>0</v>
      </c>
      <c r="AG53" s="70"/>
      <c r="AH53" s="131">
        <f>SUM(AH43:AH52)</f>
        <v>0</v>
      </c>
      <c r="AI53" s="39"/>
      <c r="AJ53" s="39"/>
      <c r="AK53" s="131">
        <f>SUM(AK43:AK52)</f>
        <v>141777</v>
      </c>
      <c r="AL53" s="76"/>
      <c r="AM53" s="68">
        <f>SUM(AM43:AM52)</f>
        <v>139</v>
      </c>
      <c r="AN53" s="70"/>
      <c r="AO53" s="131">
        <f t="shared" ref="AO53:AP53" si="185">SUM(AO43:AO52)</f>
        <v>2780</v>
      </c>
      <c r="AP53" s="70">
        <f t="shared" si="185"/>
        <v>417</v>
      </c>
      <c r="AQ53" s="70"/>
      <c r="AR53" s="131">
        <f t="shared" ref="AR53:AS53" si="186">SUM(AR43:AR52)</f>
        <v>10425</v>
      </c>
      <c r="AS53" s="70">
        <f t="shared" si="186"/>
        <v>0</v>
      </c>
      <c r="AT53" s="70"/>
      <c r="AU53" s="131">
        <f t="shared" ref="AU53:AV53" si="187">SUM(AU43:AU52)</f>
        <v>0</v>
      </c>
      <c r="AV53" s="72">
        <f t="shared" si="187"/>
        <v>87</v>
      </c>
      <c r="AW53" s="70"/>
      <c r="AX53" s="131">
        <f t="shared" ref="AX53:AY53" si="188">SUM(AX43:AX52)</f>
        <v>1740</v>
      </c>
      <c r="AY53" s="70">
        <f t="shared" si="188"/>
        <v>0</v>
      </c>
      <c r="AZ53" s="70"/>
      <c r="BA53" s="131">
        <f t="shared" ref="BA53:BB53" si="189">SUM(BA43:BA52)</f>
        <v>0</v>
      </c>
      <c r="BB53" s="70">
        <f t="shared" si="189"/>
        <v>0</v>
      </c>
      <c r="BC53" s="70"/>
      <c r="BD53" s="131">
        <f t="shared" ref="BD53:BE53" si="190">SUM(BD43:BD52)</f>
        <v>0</v>
      </c>
      <c r="BE53" s="70">
        <f t="shared" si="190"/>
        <v>15</v>
      </c>
      <c r="BF53" s="70"/>
      <c r="BG53" s="131">
        <f t="shared" ref="BG53:BH53" si="191">SUM(BG43:BG52)</f>
        <v>375</v>
      </c>
      <c r="BH53" s="70">
        <f t="shared" si="191"/>
        <v>0</v>
      </c>
      <c r="BI53" s="70"/>
      <c r="BJ53" s="131">
        <f t="shared" ref="BJ53:BK53" si="192">SUM(BJ43:BJ52)</f>
        <v>0</v>
      </c>
      <c r="BK53" s="72">
        <f t="shared" si="192"/>
        <v>0</v>
      </c>
      <c r="BL53" s="70"/>
      <c r="BM53" s="131">
        <f t="shared" ref="BM53:BN53" si="193">SUM(BM43:BM52)</f>
        <v>0</v>
      </c>
      <c r="BN53" s="70">
        <f t="shared" si="193"/>
        <v>24</v>
      </c>
      <c r="BO53" s="68"/>
      <c r="BP53" s="131">
        <f t="shared" ref="BP53:BQ53" si="194">SUM(BP43:BP52)</f>
        <v>600</v>
      </c>
      <c r="BQ53" s="70">
        <f t="shared" si="194"/>
        <v>0</v>
      </c>
      <c r="BR53" s="70"/>
      <c r="BS53" s="132">
        <f t="shared" ref="BS53:BT53" si="195">SUM(BS43:BS52)</f>
        <v>0</v>
      </c>
      <c r="BT53" s="70">
        <f t="shared" si="195"/>
        <v>0</v>
      </c>
      <c r="BU53" s="70"/>
      <c r="BV53" s="132">
        <f>SUM(BV43:BV52)</f>
        <v>0</v>
      </c>
      <c r="BW53" s="39"/>
      <c r="BX53" s="39"/>
      <c r="BY53" s="130">
        <f>SUM(BY43:BY52)</f>
        <v>15920</v>
      </c>
      <c r="BZ53" s="39"/>
      <c r="CA53" s="131">
        <f>SUM(CA43:CA52)</f>
        <v>157697</v>
      </c>
      <c r="CB53" s="78"/>
      <c r="CC53" s="39"/>
      <c r="CD53" s="134">
        <f>SUM(CD43:CD52)</f>
        <v>157697</v>
      </c>
    </row>
    <row r="54" spans="1:83" ht="7.5" customHeight="1">
      <c r="A54" s="180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</row>
    <row r="55" spans="1:83" ht="15.75" customHeight="1">
      <c r="A55" s="183" t="s">
        <v>23</v>
      </c>
      <c r="B55" s="184">
        <f>B14+B26+B38+B53</f>
        <v>0</v>
      </c>
      <c r="C55" s="185"/>
      <c r="D55" s="186">
        <f t="shared" ref="D55:E55" si="196">D14+D26+D38+D53</f>
        <v>0</v>
      </c>
      <c r="E55" s="187">
        <f t="shared" si="196"/>
        <v>6012</v>
      </c>
      <c r="F55" s="6"/>
      <c r="G55" s="188">
        <f t="shared" ref="G55:H55" si="197">G14+G26+G38+G53</f>
        <v>300600</v>
      </c>
      <c r="H55" s="187">
        <f t="shared" si="197"/>
        <v>338</v>
      </c>
      <c r="I55" s="6"/>
      <c r="J55" s="188">
        <f t="shared" ref="J55:K55" si="198">J14+J26+J38+J53</f>
        <v>4056</v>
      </c>
      <c r="K55" s="187">
        <f t="shared" si="198"/>
        <v>478</v>
      </c>
      <c r="L55" s="6"/>
      <c r="M55" s="188">
        <f t="shared" ref="M55:N55" si="199">M14+M26+M38+M53</f>
        <v>11950</v>
      </c>
      <c r="N55" s="187">
        <f t="shared" si="199"/>
        <v>2782</v>
      </c>
      <c r="O55" s="6"/>
      <c r="P55" s="188">
        <f t="shared" ref="P55:Q55" si="200">P14+P26+P38+P53</f>
        <v>33384</v>
      </c>
      <c r="Q55" s="187">
        <f t="shared" si="200"/>
        <v>0</v>
      </c>
      <c r="R55" s="6"/>
      <c r="S55" s="188">
        <f t="shared" ref="S55:T55" si="201">S14+S26+S38+S53</f>
        <v>0</v>
      </c>
      <c r="T55" s="187">
        <f t="shared" si="201"/>
        <v>5874</v>
      </c>
      <c r="U55" s="6"/>
      <c r="V55" s="188">
        <f t="shared" ref="V55:W55" si="202">V14+V26+V38+V53</f>
        <v>88110</v>
      </c>
      <c r="W55" s="187">
        <f t="shared" si="202"/>
        <v>1180</v>
      </c>
      <c r="X55" s="6"/>
      <c r="Y55" s="188">
        <f t="shared" ref="Y55:Z55" si="203">Y14+Y26+Y38+Y53</f>
        <v>11800</v>
      </c>
      <c r="Z55" s="187">
        <f t="shared" si="203"/>
        <v>1153</v>
      </c>
      <c r="AA55" s="6"/>
      <c r="AB55" s="188">
        <f t="shared" ref="AB55:AC55" si="204">AB14+AB26+AB38+AB53</f>
        <v>9224</v>
      </c>
      <c r="AC55" s="187">
        <f t="shared" si="204"/>
        <v>257</v>
      </c>
      <c r="AD55" s="6"/>
      <c r="AE55" s="188">
        <f t="shared" ref="AE55:AF55" si="205">AE14+AE26+AE38+AE53</f>
        <v>2570</v>
      </c>
      <c r="AF55" s="187">
        <f t="shared" si="205"/>
        <v>0</v>
      </c>
      <c r="AG55" s="6"/>
      <c r="AH55" s="188">
        <f>AH14+AH26+AH38+AH53</f>
        <v>0</v>
      </c>
      <c r="AI55" s="6"/>
      <c r="AJ55" s="6"/>
      <c r="AK55" s="188">
        <f>AK14+AK26+AK38+AK53</f>
        <v>461694</v>
      </c>
      <c r="AL55" s="6"/>
      <c r="AM55" s="6">
        <f>AM14+AM26+AM38+AM53</f>
        <v>407</v>
      </c>
      <c r="AN55" s="6"/>
      <c r="AO55" s="187">
        <f t="shared" ref="AO55:AP55" si="206">AO14+AO26+AO38+AO53</f>
        <v>8140</v>
      </c>
      <c r="AP55" s="6">
        <f t="shared" si="206"/>
        <v>1257</v>
      </c>
      <c r="AQ55" s="6"/>
      <c r="AR55" s="189">
        <f t="shared" ref="AR55:AS55" si="207">AR14+AR26+AR38+AR53</f>
        <v>31425</v>
      </c>
      <c r="AS55" s="187">
        <f t="shared" si="207"/>
        <v>0</v>
      </c>
      <c r="AT55" s="6"/>
      <c r="AU55" s="188">
        <f t="shared" ref="AU55:AV55" si="208">AU14+AU26+AU38+AU53</f>
        <v>0</v>
      </c>
      <c r="AV55" s="187">
        <f t="shared" si="208"/>
        <v>229</v>
      </c>
      <c r="AW55" s="6"/>
      <c r="AX55" s="188">
        <f t="shared" ref="AX55:AY55" si="209">AX14+AX26+AX38+AX53</f>
        <v>4580</v>
      </c>
      <c r="AY55" s="187">
        <f t="shared" si="209"/>
        <v>0</v>
      </c>
      <c r="AZ55" s="6"/>
      <c r="BA55" s="188">
        <f t="shared" ref="BA55:BB55" si="210">BA14+BA26+BA38+BA53</f>
        <v>0</v>
      </c>
      <c r="BB55" s="187">
        <f t="shared" si="210"/>
        <v>107</v>
      </c>
      <c r="BC55" s="6"/>
      <c r="BD55" s="188">
        <f t="shared" ref="BD55:BE55" si="211">BD14+BD26+BD38+BD53</f>
        <v>1819</v>
      </c>
      <c r="BE55" s="187">
        <f t="shared" si="211"/>
        <v>96</v>
      </c>
      <c r="BF55" s="6"/>
      <c r="BG55" s="188">
        <f t="shared" ref="BG55:BH55" si="212">BG14+BG26+BG38+BG53</f>
        <v>2400</v>
      </c>
      <c r="BH55" s="187">
        <f t="shared" si="212"/>
        <v>0</v>
      </c>
      <c r="BI55" s="6"/>
      <c r="BJ55" s="188">
        <f t="shared" ref="BJ55:BK55" si="213">BJ14+BJ26+BJ38+BJ53</f>
        <v>0</v>
      </c>
      <c r="BK55" s="187">
        <f t="shared" si="213"/>
        <v>0</v>
      </c>
      <c r="BL55" s="6"/>
      <c r="BM55" s="188">
        <f t="shared" ref="BM55:BN55" si="214">BM14+BM26+BM38+BM53</f>
        <v>0</v>
      </c>
      <c r="BN55" s="187">
        <f t="shared" si="214"/>
        <v>93</v>
      </c>
      <c r="BO55" s="6"/>
      <c r="BP55" s="188">
        <f t="shared" ref="BP55:BQ55" si="215">BP14+BP26+BP38+BP53</f>
        <v>2325</v>
      </c>
      <c r="BQ55" s="187">
        <f t="shared" si="215"/>
        <v>0</v>
      </c>
      <c r="BR55" s="6"/>
      <c r="BS55" s="188">
        <f t="shared" ref="BS55:BT55" si="216">BS14+BS26+BS38+BS53</f>
        <v>0</v>
      </c>
      <c r="BT55" s="187">
        <f t="shared" si="216"/>
        <v>0</v>
      </c>
      <c r="BU55" s="6"/>
      <c r="BV55" s="188">
        <f>BV14+BV26+BV38+BV53</f>
        <v>0</v>
      </c>
      <c r="BW55" s="6"/>
      <c r="BX55" s="6"/>
      <c r="BY55" s="188">
        <f>BY14+BY26+BY38+BY53</f>
        <v>50689</v>
      </c>
      <c r="BZ55" s="6"/>
      <c r="CA55" s="190">
        <f>CA14+CA26+CA38+CA53</f>
        <v>512383</v>
      </c>
      <c r="CB55" s="6">
        <f>CA55/30</f>
        <v>17079.433333333334</v>
      </c>
      <c r="CC55" s="6"/>
      <c r="CD55" s="6"/>
      <c r="CE55" s="188">
        <f>BY14+BY26+BY38+BY53</f>
        <v>50689</v>
      </c>
    </row>
    <row r="56" spans="1:83" ht="15.75" customHeight="1">
      <c r="A56" s="180"/>
      <c r="B56" s="50"/>
      <c r="C56" s="50"/>
      <c r="D56" s="50"/>
      <c r="E56" s="6">
        <f>E55/29</f>
        <v>207.31034482758622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</row>
    <row r="57" spans="1:83" ht="15.75" customHeight="1">
      <c r="A57" s="180"/>
      <c r="S57" s="3" t="s">
        <v>121</v>
      </c>
      <c r="T57" s="3">
        <f>T55/16</f>
        <v>367.125</v>
      </c>
    </row>
    <row r="58" spans="1:83" ht="15.75" customHeight="1">
      <c r="A58" s="180"/>
      <c r="T58" s="3">
        <f>T57/33</f>
        <v>11.125</v>
      </c>
    </row>
    <row r="59" spans="1:83" ht="15.75" customHeight="1">
      <c r="A59" s="180"/>
      <c r="E59" s="48">
        <f>E55/350</f>
        <v>17.177142857142858</v>
      </c>
      <c r="F59" s="48">
        <f>E59/3</f>
        <v>5.725714285714286</v>
      </c>
      <c r="G59" s="48">
        <f>E59*314.3</f>
        <v>5398.7760000000007</v>
      </c>
    </row>
    <row r="60" spans="1:83" ht="15.75" customHeight="1">
      <c r="A60" s="180"/>
      <c r="J60" s="3">
        <f>1100/3.5</f>
        <v>314.28571428571428</v>
      </c>
    </row>
    <row r="61" spans="1:83" ht="15.75" customHeight="1">
      <c r="A61" s="180"/>
    </row>
    <row r="62" spans="1:83" ht="15.75" customHeight="1">
      <c r="A62" s="180"/>
    </row>
    <row r="63" spans="1:83" ht="15.75" customHeight="1">
      <c r="A63" s="180"/>
    </row>
    <row r="64" spans="1:83" ht="15.75" customHeight="1">
      <c r="A64" s="180"/>
    </row>
    <row r="65" spans="1:1" ht="15.75" customHeight="1">
      <c r="A65" s="180"/>
    </row>
    <row r="66" spans="1:1" ht="15.75" customHeight="1">
      <c r="A66" s="180"/>
    </row>
    <row r="67" spans="1:1" ht="15.75" customHeight="1">
      <c r="A67" s="180"/>
    </row>
    <row r="68" spans="1:1" ht="15.75" customHeight="1">
      <c r="A68" s="180"/>
    </row>
    <row r="69" spans="1:1" ht="15.75" customHeight="1">
      <c r="A69" s="180"/>
    </row>
    <row r="70" spans="1:1" ht="15.75" customHeight="1">
      <c r="A70" s="180"/>
    </row>
    <row r="71" spans="1:1" ht="15.75" customHeight="1">
      <c r="A71" s="180"/>
    </row>
    <row r="72" spans="1:1" ht="15.75" customHeight="1">
      <c r="A72" s="180"/>
    </row>
    <row r="73" spans="1:1" ht="15.75" customHeight="1">
      <c r="A73" s="180"/>
    </row>
    <row r="74" spans="1:1" ht="15.75" customHeight="1">
      <c r="A74" s="180"/>
    </row>
    <row r="75" spans="1:1" ht="15.75" customHeight="1">
      <c r="A75" s="180"/>
    </row>
    <row r="76" spans="1:1" ht="15.75" customHeight="1">
      <c r="A76" s="180"/>
    </row>
    <row r="77" spans="1:1" ht="15.75" customHeight="1">
      <c r="A77" s="180"/>
    </row>
    <row r="78" spans="1:1" ht="15.75" customHeight="1">
      <c r="A78" s="180"/>
    </row>
    <row r="79" spans="1:1" ht="15.75" customHeight="1">
      <c r="A79" s="180"/>
    </row>
    <row r="80" spans="1:1" ht="15.75" customHeight="1">
      <c r="A80" s="180"/>
    </row>
    <row r="81" spans="1:1" ht="15.75" customHeight="1">
      <c r="A81" s="180"/>
    </row>
    <row r="82" spans="1:1" ht="15.75" customHeight="1">
      <c r="A82" s="180"/>
    </row>
    <row r="83" spans="1:1" ht="15.75" customHeight="1">
      <c r="A83" s="180"/>
    </row>
    <row r="84" spans="1:1" ht="15.75" customHeight="1">
      <c r="A84" s="180"/>
    </row>
    <row r="85" spans="1:1" ht="15.75" customHeight="1">
      <c r="A85" s="180"/>
    </row>
    <row r="86" spans="1:1" ht="15.75" customHeight="1">
      <c r="A86" s="180"/>
    </row>
    <row r="87" spans="1:1" ht="15.75" customHeight="1">
      <c r="A87" s="180"/>
    </row>
    <row r="88" spans="1:1" ht="15.75" customHeight="1">
      <c r="A88" s="180"/>
    </row>
    <row r="89" spans="1:1" ht="15.75" customHeight="1">
      <c r="A89" s="180"/>
    </row>
    <row r="90" spans="1:1" ht="15.75" customHeight="1">
      <c r="A90" s="180"/>
    </row>
    <row r="91" spans="1:1" ht="15.75" customHeight="1">
      <c r="A91" s="180"/>
    </row>
    <row r="92" spans="1:1" ht="15.75" customHeight="1">
      <c r="A92" s="180"/>
    </row>
    <row r="93" spans="1:1" ht="15.75" customHeight="1">
      <c r="A93" s="180"/>
    </row>
    <row r="94" spans="1:1" ht="15.75" customHeight="1">
      <c r="A94" s="180"/>
    </row>
    <row r="95" spans="1:1" ht="15.75" customHeight="1">
      <c r="A95" s="180"/>
    </row>
    <row r="96" spans="1:1" ht="15.75" customHeight="1">
      <c r="A96" s="180"/>
    </row>
    <row r="97" spans="1:1" ht="15.75" customHeight="1">
      <c r="A97" s="180"/>
    </row>
    <row r="98" spans="1:1" ht="15.75" customHeight="1">
      <c r="A98" s="180"/>
    </row>
    <row r="99" spans="1:1" ht="15.75" customHeight="1">
      <c r="A99" s="180"/>
    </row>
    <row r="100" spans="1:1" ht="15.75" customHeight="1">
      <c r="A100" s="180"/>
    </row>
    <row r="101" spans="1:1" ht="15.75" customHeight="1">
      <c r="A101" s="180"/>
    </row>
    <row r="102" spans="1:1" ht="15.75" customHeight="1">
      <c r="A102" s="180"/>
    </row>
    <row r="103" spans="1:1" ht="15.75" customHeight="1">
      <c r="A103" s="180"/>
    </row>
    <row r="104" spans="1:1" ht="15.75" customHeight="1">
      <c r="A104" s="180"/>
    </row>
    <row r="105" spans="1:1" ht="15.75" customHeight="1">
      <c r="A105" s="180"/>
    </row>
    <row r="106" spans="1:1" ht="15.75" customHeight="1">
      <c r="A106" s="180"/>
    </row>
    <row r="107" spans="1:1" ht="15.75" customHeight="1">
      <c r="A107" s="180"/>
    </row>
    <row r="108" spans="1:1" ht="15.75" customHeight="1">
      <c r="A108" s="180"/>
    </row>
    <row r="109" spans="1:1" ht="15.75" customHeight="1">
      <c r="A109" s="180"/>
    </row>
    <row r="110" spans="1:1" ht="15.75" customHeight="1">
      <c r="A110" s="180"/>
    </row>
    <row r="111" spans="1:1" ht="15.75" customHeight="1">
      <c r="A111" s="180"/>
    </row>
    <row r="112" spans="1:1" ht="15.75" customHeight="1">
      <c r="A112" s="180"/>
    </row>
    <row r="113" spans="1:1" ht="15.75" customHeight="1">
      <c r="A113" s="180"/>
    </row>
    <row r="114" spans="1:1" ht="15.75" customHeight="1">
      <c r="A114" s="180"/>
    </row>
    <row r="115" spans="1:1" ht="15.75" customHeight="1">
      <c r="A115" s="180"/>
    </row>
    <row r="116" spans="1:1" ht="15.75" customHeight="1">
      <c r="A116" s="180"/>
    </row>
    <row r="117" spans="1:1" ht="15.75" customHeight="1">
      <c r="A117" s="180"/>
    </row>
    <row r="118" spans="1:1" ht="15.75" customHeight="1">
      <c r="A118" s="180"/>
    </row>
    <row r="119" spans="1:1" ht="15.75" customHeight="1">
      <c r="A119" s="180"/>
    </row>
    <row r="120" spans="1:1" ht="15.75" customHeight="1">
      <c r="A120" s="180"/>
    </row>
    <row r="121" spans="1:1" ht="15.75" customHeight="1">
      <c r="A121" s="180"/>
    </row>
    <row r="122" spans="1:1" ht="15.75" customHeight="1">
      <c r="A122" s="180"/>
    </row>
    <row r="123" spans="1:1" ht="15.75" customHeight="1">
      <c r="A123" s="180"/>
    </row>
    <row r="124" spans="1:1" ht="15.75" customHeight="1">
      <c r="A124" s="180"/>
    </row>
    <row r="125" spans="1:1" ht="15.75" customHeight="1">
      <c r="A125" s="180"/>
    </row>
    <row r="126" spans="1:1" ht="15.75" customHeight="1">
      <c r="A126" s="180"/>
    </row>
    <row r="127" spans="1:1" ht="15.75" customHeight="1">
      <c r="A127" s="180"/>
    </row>
    <row r="128" spans="1:1" ht="15.75" customHeight="1">
      <c r="A128" s="180"/>
    </row>
    <row r="129" spans="1:1" ht="15.75" customHeight="1">
      <c r="A129" s="180"/>
    </row>
    <row r="130" spans="1:1" ht="15.75" customHeight="1">
      <c r="A130" s="180"/>
    </row>
    <row r="131" spans="1:1" ht="15.75" customHeight="1">
      <c r="A131" s="180"/>
    </row>
    <row r="132" spans="1:1" ht="15.75" customHeight="1">
      <c r="A132" s="180"/>
    </row>
    <row r="133" spans="1:1" ht="15.75" customHeight="1">
      <c r="A133" s="180"/>
    </row>
    <row r="134" spans="1:1" ht="15.75" customHeight="1">
      <c r="A134" s="180"/>
    </row>
    <row r="135" spans="1:1" ht="15.75" customHeight="1">
      <c r="A135" s="180"/>
    </row>
    <row r="136" spans="1:1" ht="15.75" customHeight="1">
      <c r="A136" s="180"/>
    </row>
    <row r="137" spans="1:1" ht="15.75" customHeight="1">
      <c r="A137" s="180"/>
    </row>
    <row r="138" spans="1:1" ht="15.75" customHeight="1">
      <c r="A138" s="180"/>
    </row>
    <row r="139" spans="1:1" ht="15.75" customHeight="1">
      <c r="A139" s="180"/>
    </row>
    <row r="140" spans="1:1" ht="15.75" customHeight="1">
      <c r="A140" s="180"/>
    </row>
    <row r="141" spans="1:1" ht="15.75" customHeight="1">
      <c r="A141" s="180"/>
    </row>
    <row r="142" spans="1:1" ht="15.75" customHeight="1">
      <c r="A142" s="180"/>
    </row>
    <row r="143" spans="1:1" ht="15.75" customHeight="1">
      <c r="A143" s="180"/>
    </row>
    <row r="144" spans="1:1" ht="15.75" customHeight="1">
      <c r="A144" s="180"/>
    </row>
    <row r="145" spans="1:1" ht="15.75" customHeight="1">
      <c r="A145" s="180"/>
    </row>
    <row r="146" spans="1:1" ht="15.75" customHeight="1">
      <c r="A146" s="180"/>
    </row>
    <row r="147" spans="1:1" ht="15.75" customHeight="1">
      <c r="A147" s="180"/>
    </row>
    <row r="148" spans="1:1" ht="15.75" customHeight="1">
      <c r="A148" s="180"/>
    </row>
    <row r="149" spans="1:1" ht="15.75" customHeight="1">
      <c r="A149" s="180"/>
    </row>
    <row r="150" spans="1:1" ht="15.75" customHeight="1">
      <c r="A150" s="180"/>
    </row>
    <row r="151" spans="1:1" ht="15.75" customHeight="1">
      <c r="A151" s="180"/>
    </row>
    <row r="152" spans="1:1" ht="15.75" customHeight="1">
      <c r="A152" s="180"/>
    </row>
    <row r="153" spans="1:1" ht="15.75" customHeight="1">
      <c r="A153" s="180"/>
    </row>
    <row r="154" spans="1:1" ht="15.75" customHeight="1">
      <c r="A154" s="180"/>
    </row>
    <row r="155" spans="1:1" ht="15.75" customHeight="1">
      <c r="A155" s="180"/>
    </row>
    <row r="156" spans="1:1" ht="15.75" customHeight="1">
      <c r="A156" s="180"/>
    </row>
    <row r="157" spans="1:1" ht="15.75" customHeight="1">
      <c r="A157" s="180"/>
    </row>
    <row r="158" spans="1:1" ht="15.75" customHeight="1">
      <c r="A158" s="180"/>
    </row>
    <row r="159" spans="1:1" ht="15.75" customHeight="1">
      <c r="A159" s="180"/>
    </row>
    <row r="160" spans="1:1" ht="15.75" customHeight="1">
      <c r="A160" s="180"/>
    </row>
    <row r="161" spans="1:1" ht="15.75" customHeight="1">
      <c r="A161" s="180"/>
    </row>
    <row r="162" spans="1:1" ht="15.75" customHeight="1">
      <c r="A162" s="180"/>
    </row>
    <row r="163" spans="1:1" ht="15.75" customHeight="1">
      <c r="A163" s="180"/>
    </row>
    <row r="164" spans="1:1" ht="15.75" customHeight="1">
      <c r="A164" s="180"/>
    </row>
    <row r="165" spans="1:1" ht="15.75" customHeight="1">
      <c r="A165" s="180"/>
    </row>
    <row r="166" spans="1:1" ht="15.75" customHeight="1">
      <c r="A166" s="180"/>
    </row>
    <row r="167" spans="1:1" ht="15.75" customHeight="1">
      <c r="A167" s="180"/>
    </row>
    <row r="168" spans="1:1" ht="15.75" customHeight="1">
      <c r="A168" s="180"/>
    </row>
    <row r="169" spans="1:1" ht="15.75" customHeight="1">
      <c r="A169" s="180"/>
    </row>
    <row r="170" spans="1:1" ht="15.75" customHeight="1">
      <c r="A170" s="180"/>
    </row>
    <row r="171" spans="1:1" ht="15.75" customHeight="1">
      <c r="A171" s="180"/>
    </row>
    <row r="172" spans="1:1" ht="15.75" customHeight="1">
      <c r="A172" s="180"/>
    </row>
    <row r="173" spans="1:1" ht="15.75" customHeight="1">
      <c r="A173" s="180"/>
    </row>
    <row r="174" spans="1:1" ht="15.75" customHeight="1">
      <c r="A174" s="180"/>
    </row>
    <row r="175" spans="1:1" ht="15.75" customHeight="1">
      <c r="A175" s="180"/>
    </row>
    <row r="176" spans="1:1" ht="15.75" customHeight="1">
      <c r="A176" s="180"/>
    </row>
    <row r="177" spans="1:1" ht="15.75" customHeight="1">
      <c r="A177" s="180"/>
    </row>
    <row r="178" spans="1:1" ht="15.75" customHeight="1">
      <c r="A178" s="180"/>
    </row>
    <row r="179" spans="1:1" ht="15.75" customHeight="1">
      <c r="A179" s="180"/>
    </row>
    <row r="180" spans="1:1" ht="15.75" customHeight="1">
      <c r="A180" s="180"/>
    </row>
    <row r="181" spans="1:1" ht="15.75" customHeight="1">
      <c r="A181" s="180"/>
    </row>
    <row r="182" spans="1:1" ht="15.75" customHeight="1">
      <c r="A182" s="180"/>
    </row>
    <row r="183" spans="1:1" ht="15.75" customHeight="1">
      <c r="A183" s="180"/>
    </row>
    <row r="184" spans="1:1" ht="15.75" customHeight="1">
      <c r="A184" s="180"/>
    </row>
    <row r="185" spans="1:1" ht="15.75" customHeight="1">
      <c r="A185" s="180"/>
    </row>
    <row r="186" spans="1:1" ht="15.75" customHeight="1">
      <c r="A186" s="180"/>
    </row>
    <row r="187" spans="1:1" ht="15.75" customHeight="1">
      <c r="A187" s="180"/>
    </row>
    <row r="188" spans="1:1" ht="15.75" customHeight="1">
      <c r="A188" s="180"/>
    </row>
    <row r="189" spans="1:1" ht="15.75" customHeight="1">
      <c r="A189" s="180"/>
    </row>
    <row r="190" spans="1:1" ht="15.75" customHeight="1">
      <c r="A190" s="180"/>
    </row>
    <row r="191" spans="1:1" ht="15.75" customHeight="1">
      <c r="A191" s="180"/>
    </row>
    <row r="192" spans="1:1" ht="15.75" customHeight="1">
      <c r="A192" s="180"/>
    </row>
    <row r="193" spans="1:1" ht="15.75" customHeight="1">
      <c r="A193" s="180"/>
    </row>
    <row r="194" spans="1:1" ht="15.75" customHeight="1">
      <c r="A194" s="180"/>
    </row>
    <row r="195" spans="1:1" ht="15.75" customHeight="1">
      <c r="A195" s="180"/>
    </row>
    <row r="196" spans="1:1" ht="15.75" customHeight="1">
      <c r="A196" s="180"/>
    </row>
    <row r="197" spans="1:1" ht="15.75" customHeight="1">
      <c r="A197" s="180"/>
    </row>
    <row r="198" spans="1:1" ht="15.75" customHeight="1">
      <c r="A198" s="180"/>
    </row>
    <row r="199" spans="1:1" ht="15.75" customHeight="1">
      <c r="A199" s="180"/>
    </row>
    <row r="200" spans="1:1" ht="15.75" customHeight="1">
      <c r="A200" s="180"/>
    </row>
    <row r="201" spans="1:1" ht="15.75" customHeight="1">
      <c r="A201" s="180"/>
    </row>
    <row r="202" spans="1:1" ht="15.75" customHeight="1">
      <c r="A202" s="180"/>
    </row>
    <row r="203" spans="1:1" ht="15.75" customHeight="1">
      <c r="A203" s="180"/>
    </row>
    <row r="204" spans="1:1" ht="15.75" customHeight="1">
      <c r="A204" s="180"/>
    </row>
    <row r="205" spans="1:1" ht="15.75" customHeight="1">
      <c r="A205" s="180"/>
    </row>
    <row r="206" spans="1:1" ht="15.75" customHeight="1">
      <c r="A206" s="180"/>
    </row>
    <row r="207" spans="1:1" ht="15.75" customHeight="1">
      <c r="A207" s="180"/>
    </row>
    <row r="208" spans="1:1" ht="15.75" customHeight="1">
      <c r="A208" s="180"/>
    </row>
    <row r="209" spans="1:1" ht="15.75" customHeight="1">
      <c r="A209" s="180"/>
    </row>
    <row r="210" spans="1:1" ht="15.75" customHeight="1">
      <c r="A210" s="180"/>
    </row>
    <row r="211" spans="1:1" ht="15.75" customHeight="1">
      <c r="A211" s="180"/>
    </row>
    <row r="212" spans="1:1" ht="15.75" customHeight="1">
      <c r="A212" s="180"/>
    </row>
    <row r="213" spans="1:1" ht="15.75" customHeight="1">
      <c r="A213" s="180"/>
    </row>
    <row r="214" spans="1:1" ht="15.75" customHeight="1">
      <c r="A214" s="180"/>
    </row>
    <row r="215" spans="1:1" ht="15.75" customHeight="1">
      <c r="A215" s="180"/>
    </row>
    <row r="216" spans="1:1" ht="15.75" customHeight="1">
      <c r="A216" s="180"/>
    </row>
    <row r="217" spans="1:1" ht="15.75" customHeight="1">
      <c r="A217" s="180"/>
    </row>
    <row r="218" spans="1:1" ht="15.75" customHeight="1">
      <c r="A218" s="180"/>
    </row>
    <row r="219" spans="1:1" ht="15.75" customHeight="1">
      <c r="A219" s="180"/>
    </row>
    <row r="220" spans="1:1" ht="15.75" customHeight="1">
      <c r="A220" s="180"/>
    </row>
    <row r="221" spans="1:1" ht="15.75" customHeight="1">
      <c r="A221" s="180"/>
    </row>
    <row r="222" spans="1:1" ht="15.75" customHeight="1">
      <c r="A222" s="180"/>
    </row>
    <row r="223" spans="1:1" ht="15.75" customHeight="1">
      <c r="A223" s="180"/>
    </row>
    <row r="224" spans="1:1" ht="15.75" customHeight="1">
      <c r="A224" s="180"/>
    </row>
    <row r="225" spans="1:1" ht="15.75" customHeight="1">
      <c r="A225" s="180"/>
    </row>
    <row r="226" spans="1:1" ht="15.75" customHeight="1">
      <c r="A226" s="180"/>
    </row>
    <row r="227" spans="1:1" ht="15.75" customHeight="1">
      <c r="A227" s="180"/>
    </row>
    <row r="228" spans="1:1" ht="15.75" customHeight="1">
      <c r="A228" s="180"/>
    </row>
    <row r="229" spans="1:1" ht="15.75" customHeight="1">
      <c r="A229" s="180"/>
    </row>
    <row r="230" spans="1:1" ht="15.75" customHeight="1">
      <c r="A230" s="180"/>
    </row>
    <row r="231" spans="1:1" ht="15.75" customHeight="1">
      <c r="A231" s="180"/>
    </row>
    <row r="232" spans="1:1" ht="15.75" customHeight="1">
      <c r="A232" s="180"/>
    </row>
    <row r="233" spans="1:1" ht="15.75" customHeight="1">
      <c r="A233" s="180"/>
    </row>
    <row r="234" spans="1:1" ht="15.75" customHeight="1">
      <c r="A234" s="180"/>
    </row>
    <row r="235" spans="1:1" ht="15.75" customHeight="1">
      <c r="A235" s="180"/>
    </row>
    <row r="236" spans="1:1" ht="15.75" customHeight="1">
      <c r="A236" s="180"/>
    </row>
    <row r="237" spans="1:1" ht="15.75" customHeight="1">
      <c r="A237" s="180"/>
    </row>
    <row r="238" spans="1:1" ht="15.75" customHeight="1">
      <c r="A238" s="180"/>
    </row>
    <row r="239" spans="1:1" ht="15.75" customHeight="1">
      <c r="A239" s="180"/>
    </row>
    <row r="240" spans="1:1" ht="15.75" customHeight="1">
      <c r="A240" s="180"/>
    </row>
    <row r="241" spans="1:1" ht="15.75" customHeight="1">
      <c r="A241" s="180"/>
    </row>
    <row r="242" spans="1:1" ht="15.75" customHeight="1">
      <c r="A242" s="180"/>
    </row>
    <row r="243" spans="1:1" ht="15.75" customHeight="1">
      <c r="A243" s="180"/>
    </row>
    <row r="244" spans="1:1" ht="15.75" customHeight="1">
      <c r="A244" s="180"/>
    </row>
    <row r="245" spans="1:1" ht="15.75" customHeight="1">
      <c r="A245" s="180"/>
    </row>
    <row r="246" spans="1:1" ht="15.75" customHeight="1">
      <c r="A246" s="180"/>
    </row>
    <row r="247" spans="1:1" ht="15.75" customHeight="1">
      <c r="A247" s="180"/>
    </row>
    <row r="248" spans="1:1" ht="15.75" customHeight="1">
      <c r="A248" s="180"/>
    </row>
    <row r="249" spans="1:1" ht="15.75" customHeight="1">
      <c r="A249" s="180"/>
    </row>
    <row r="250" spans="1:1" ht="15.75" customHeight="1">
      <c r="A250" s="180"/>
    </row>
    <row r="251" spans="1:1" ht="15.75" customHeight="1">
      <c r="A251" s="180"/>
    </row>
    <row r="252" spans="1:1" ht="15.75" customHeight="1">
      <c r="A252" s="180"/>
    </row>
    <row r="253" spans="1:1" ht="15.75" customHeight="1">
      <c r="A253" s="180"/>
    </row>
    <row r="254" spans="1:1" ht="15.75" customHeight="1">
      <c r="A254" s="180"/>
    </row>
    <row r="255" spans="1:1" ht="15.75" customHeight="1">
      <c r="A255" s="180"/>
    </row>
    <row r="256" spans="1:1" ht="15.75" customHeight="1">
      <c r="A256" s="180"/>
    </row>
    <row r="257" spans="1:1" ht="15.75" customHeight="1">
      <c r="A257" s="180"/>
    </row>
    <row r="258" spans="1:1" ht="15.75" customHeight="1">
      <c r="A258" s="180"/>
    </row>
    <row r="259" spans="1:1" ht="15.75" customHeight="1">
      <c r="A259" s="180"/>
    </row>
    <row r="260" spans="1:1" ht="15.75" customHeight="1">
      <c r="A260" s="180"/>
    </row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B17:D17"/>
    <mergeCell ref="E17:G17"/>
    <mergeCell ref="H17:J17"/>
    <mergeCell ref="K17:M17"/>
    <mergeCell ref="N17:P17"/>
    <mergeCell ref="BT41:BV41"/>
    <mergeCell ref="BW41:BY41"/>
    <mergeCell ref="AS41:AU41"/>
    <mergeCell ref="AV41:AX41"/>
    <mergeCell ref="AY41:BA41"/>
    <mergeCell ref="BB41:BD41"/>
    <mergeCell ref="BE41:BG41"/>
    <mergeCell ref="BH41:BJ41"/>
    <mergeCell ref="BK41:BM41"/>
    <mergeCell ref="W41:Y41"/>
    <mergeCell ref="Z41:AB41"/>
    <mergeCell ref="AC41:AE41"/>
    <mergeCell ref="AF41:AH41"/>
    <mergeCell ref="AI41:AK41"/>
    <mergeCell ref="AM41:AO41"/>
    <mergeCell ref="AP41:AR41"/>
    <mergeCell ref="BN41:BP41"/>
    <mergeCell ref="BQ41:BS41"/>
    <mergeCell ref="B29:D29"/>
    <mergeCell ref="E29:G29"/>
    <mergeCell ref="H29:J29"/>
    <mergeCell ref="K29:M29"/>
    <mergeCell ref="N29:P29"/>
    <mergeCell ref="Q29:S29"/>
    <mergeCell ref="T29:V29"/>
    <mergeCell ref="B41:D41"/>
    <mergeCell ref="E41:G41"/>
    <mergeCell ref="H41:J41"/>
    <mergeCell ref="K41:M41"/>
    <mergeCell ref="N41:P41"/>
    <mergeCell ref="Q41:S41"/>
    <mergeCell ref="T41:V41"/>
    <mergeCell ref="BT29:BV29"/>
    <mergeCell ref="BW29:BY29"/>
    <mergeCell ref="AS29:AU29"/>
    <mergeCell ref="AV29:AX29"/>
    <mergeCell ref="AY29:BA29"/>
    <mergeCell ref="BB29:BD29"/>
    <mergeCell ref="BE29:BG29"/>
    <mergeCell ref="BH29:BJ29"/>
    <mergeCell ref="BK29:BM29"/>
    <mergeCell ref="W29:Y29"/>
    <mergeCell ref="Z29:AB29"/>
    <mergeCell ref="AC29:AE29"/>
    <mergeCell ref="AF29:AH29"/>
    <mergeCell ref="AI29:AK29"/>
    <mergeCell ref="AM29:AO29"/>
    <mergeCell ref="AP29:AR29"/>
    <mergeCell ref="BN29:BP29"/>
    <mergeCell ref="BQ29:BS29"/>
    <mergeCell ref="BT17:BV17"/>
    <mergeCell ref="BW17:BY17"/>
    <mergeCell ref="AM17:AO17"/>
    <mergeCell ref="AP17:AR17"/>
    <mergeCell ref="AY17:BA17"/>
    <mergeCell ref="BB17:BD17"/>
    <mergeCell ref="BE17:BG17"/>
    <mergeCell ref="BH17:BJ17"/>
    <mergeCell ref="BK17:BM17"/>
    <mergeCell ref="AS17:AU17"/>
    <mergeCell ref="AV17:AX17"/>
    <mergeCell ref="Q17:S17"/>
    <mergeCell ref="T17:V17"/>
    <mergeCell ref="W17:Y17"/>
    <mergeCell ref="Z17:AB17"/>
    <mergeCell ref="AC17:AE17"/>
    <mergeCell ref="AF17:AH17"/>
    <mergeCell ref="AI17:AK17"/>
    <mergeCell ref="BN17:BP17"/>
    <mergeCell ref="BQ17:BS17"/>
    <mergeCell ref="CD5:CD6"/>
    <mergeCell ref="E1:I1"/>
    <mergeCell ref="BN1:CE3"/>
    <mergeCell ref="A2:D2"/>
    <mergeCell ref="A3:B3"/>
    <mergeCell ref="C3:H3"/>
    <mergeCell ref="B5:D5"/>
    <mergeCell ref="E5:G5"/>
    <mergeCell ref="BW5:BY5"/>
    <mergeCell ref="N5:P5"/>
    <mergeCell ref="Q5:S5"/>
    <mergeCell ref="T5:V5"/>
    <mergeCell ref="W5:Y5"/>
    <mergeCell ref="Z5:AB5"/>
    <mergeCell ref="AC5:AE5"/>
    <mergeCell ref="AF5:AH5"/>
    <mergeCell ref="AI5:AK5"/>
    <mergeCell ref="AM5:AO5"/>
    <mergeCell ref="AP5:AR5"/>
    <mergeCell ref="AS5:AU5"/>
    <mergeCell ref="AV5:AX5"/>
    <mergeCell ref="H5:J5"/>
    <mergeCell ref="K5:M5"/>
    <mergeCell ref="AY5:BA5"/>
    <mergeCell ref="BB5:BD5"/>
    <mergeCell ref="BE5:BG5"/>
    <mergeCell ref="BH5:BJ5"/>
    <mergeCell ref="BK5:BM5"/>
    <mergeCell ref="BN5:BP5"/>
    <mergeCell ref="BQ5:BS5"/>
    <mergeCell ref="BT5:BV5"/>
    <mergeCell ref="CC5:CC6"/>
  </mergeCells>
  <pageMargins left="0.69930555555555596" right="0.69930555555555596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H1000"/>
  <sheetViews>
    <sheetView workbookViewId="0"/>
  </sheetViews>
  <sheetFormatPr defaultColWidth="14.453125" defaultRowHeight="15" customHeight="1"/>
  <cols>
    <col min="1" max="1" width="6.08984375" customWidth="1"/>
    <col min="3" max="3" width="12" customWidth="1"/>
    <col min="4" max="4" width="10.81640625" customWidth="1"/>
    <col min="5" max="5" width="8.81640625" customWidth="1"/>
    <col min="6" max="6" width="10.54296875" customWidth="1"/>
    <col min="7" max="7" width="13.453125" customWidth="1"/>
    <col min="8" max="8" width="12.7265625" customWidth="1"/>
    <col min="9" max="9" width="10" customWidth="1"/>
    <col min="10" max="10" width="9.54296875" customWidth="1"/>
    <col min="11" max="11" width="10.26953125" customWidth="1"/>
    <col min="12" max="12" width="11.08984375" customWidth="1"/>
    <col min="13" max="13" width="9.453125" customWidth="1"/>
    <col min="14" max="14" width="12.54296875" customWidth="1"/>
    <col min="15" max="15" width="10.26953125" customWidth="1"/>
    <col min="16" max="16" width="11.453125" customWidth="1"/>
    <col min="17" max="17" width="8.7265625" customWidth="1"/>
    <col min="18" max="18" width="8.54296875" customWidth="1"/>
    <col min="19" max="19" width="11.26953125" customWidth="1"/>
    <col min="20" max="20" width="11" customWidth="1"/>
    <col min="21" max="21" width="10.54296875" customWidth="1"/>
    <col min="23" max="23" width="11.453125" customWidth="1"/>
    <col min="24" max="24" width="11.08984375" customWidth="1"/>
    <col min="25" max="25" width="10.54296875" customWidth="1"/>
    <col min="26" max="26" width="12.54296875" customWidth="1"/>
    <col min="27" max="27" width="11.26953125" customWidth="1"/>
    <col min="28" max="28" width="11.08984375" customWidth="1"/>
    <col min="29" max="29" width="10.81640625" customWidth="1"/>
    <col min="30" max="30" width="11.81640625" customWidth="1"/>
    <col min="31" max="31" width="10.26953125" customWidth="1"/>
  </cols>
  <sheetData>
    <row r="2" spans="1:34" ht="14.5">
      <c r="A2" s="37" t="s">
        <v>7</v>
      </c>
      <c r="B2" s="37" t="s">
        <v>113</v>
      </c>
      <c r="C2" s="37" t="s">
        <v>114</v>
      </c>
      <c r="D2" s="37" t="s">
        <v>115</v>
      </c>
      <c r="E2" s="37" t="s">
        <v>116</v>
      </c>
      <c r="F2" s="37" t="s">
        <v>117</v>
      </c>
    </row>
    <row r="3" spans="1:34" ht="16.5" customHeight="1">
      <c r="A3" s="194">
        <v>1</v>
      </c>
      <c r="B3" s="195">
        <f>'Check and balance'!B4</f>
        <v>14797</v>
      </c>
      <c r="C3" s="195">
        <f>'Check and balance'!T4</f>
        <v>0</v>
      </c>
      <c r="D3" s="195">
        <f>'Check and balance'!I4-'Check and balance'!Q4</f>
        <v>4270</v>
      </c>
      <c r="E3" s="195">
        <f>'Check and balance'!M4</f>
        <v>0</v>
      </c>
      <c r="F3" s="195">
        <f t="shared" ref="F3:F33" si="0">B3+C3-D3-E3</f>
        <v>10527</v>
      </c>
      <c r="G3" s="195">
        <f>'Check and balance'!S4</f>
        <v>8827</v>
      </c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5" t="str">
        <f>OPEX!AH4</f>
        <v>ADMIN COST</v>
      </c>
      <c r="AG3" s="196" t="str">
        <f>OPEX!AI4</f>
        <v>TRANSPO (SUPERVISORS REPLENISHMENT)</v>
      </c>
      <c r="AH3" s="196">
        <f>OPEX!AK4</f>
        <v>0</v>
      </c>
    </row>
    <row r="4" spans="1:34" ht="14.5">
      <c r="A4" s="37">
        <f t="shared" ref="A4:A33" si="1">A3+1</f>
        <v>2</v>
      </c>
      <c r="B4" s="195">
        <f>'Check and balance'!B5</f>
        <v>17889</v>
      </c>
      <c r="C4" s="195">
        <f>'Check and balance'!T5</f>
        <v>0</v>
      </c>
      <c r="D4" s="195">
        <f>'Check and balance'!I5-'Check and balance'!Q5</f>
        <v>1284</v>
      </c>
      <c r="E4" s="195">
        <f>'Check and balance'!M5</f>
        <v>60</v>
      </c>
      <c r="F4" s="195">
        <f t="shared" si="0"/>
        <v>16545</v>
      </c>
      <c r="G4" s="195">
        <f>'Check and balance'!S5</f>
        <v>14450</v>
      </c>
      <c r="H4" s="195">
        <f t="shared" ref="H4:H33" si="2">F4-G4</f>
        <v>2095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</row>
    <row r="5" spans="1:34" ht="14.5">
      <c r="A5" s="37">
        <f t="shared" si="1"/>
        <v>3</v>
      </c>
      <c r="B5" s="195">
        <f>'Check and balance'!B6</f>
        <v>16664</v>
      </c>
      <c r="C5" s="195">
        <f>'Check and balance'!T6</f>
        <v>8.5</v>
      </c>
      <c r="D5" s="195">
        <f>'Check and balance'!I6-'Check and balance'!Q6</f>
        <v>1091</v>
      </c>
      <c r="E5" s="195">
        <f>'Check and balance'!M6</f>
        <v>0</v>
      </c>
      <c r="F5" s="195">
        <f t="shared" si="0"/>
        <v>15581.5</v>
      </c>
      <c r="G5" s="195">
        <f>'Check and balance'!S6</f>
        <v>11181.5</v>
      </c>
      <c r="H5" s="195">
        <f t="shared" si="2"/>
        <v>4400</v>
      </c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</row>
    <row r="6" spans="1:34" ht="14.5">
      <c r="A6" s="37">
        <f t="shared" si="1"/>
        <v>4</v>
      </c>
      <c r="B6" s="195">
        <f>'Check and balance'!B7</f>
        <v>12936</v>
      </c>
      <c r="C6" s="195">
        <f>'Check and balance'!T7</f>
        <v>0.5</v>
      </c>
      <c r="D6" s="195">
        <f>'Check and balance'!I7-'Check and balance'!Q7</f>
        <v>10562.5</v>
      </c>
      <c r="E6" s="195">
        <f>'Check and balance'!M7</f>
        <v>90</v>
      </c>
      <c r="F6" s="195">
        <f t="shared" si="0"/>
        <v>2284</v>
      </c>
      <c r="G6" s="195">
        <f>'Check and balance'!S7</f>
        <v>2424</v>
      </c>
      <c r="H6" s="195">
        <f t="shared" si="2"/>
        <v>-140</v>
      </c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</row>
    <row r="7" spans="1:34" ht="14.5">
      <c r="A7" s="37">
        <f t="shared" si="1"/>
        <v>5</v>
      </c>
      <c r="B7" s="195">
        <f>'Check and balance'!B8</f>
        <v>19041</v>
      </c>
      <c r="C7" s="195">
        <f>'Check and balance'!T8</f>
        <v>5.5</v>
      </c>
      <c r="D7" s="195">
        <f>'Check and balance'!I8-'Check and balance'!Q8</f>
        <v>4270</v>
      </c>
      <c r="E7" s="195">
        <f>'Check and balance'!M8</f>
        <v>500</v>
      </c>
      <c r="F7" s="195">
        <f t="shared" si="0"/>
        <v>14276.5</v>
      </c>
      <c r="G7" s="195">
        <f>'Check and balance'!S8</f>
        <v>12279</v>
      </c>
      <c r="H7" s="195">
        <f t="shared" si="2"/>
        <v>1997.5</v>
      </c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</row>
    <row r="8" spans="1:34" ht="14.5">
      <c r="A8" s="37">
        <f t="shared" si="1"/>
        <v>6</v>
      </c>
      <c r="B8" s="195">
        <f>'Check and balance'!B9</f>
        <v>16561</v>
      </c>
      <c r="C8" s="195">
        <f>'Check and balance'!T9</f>
        <v>6.5</v>
      </c>
      <c r="D8" s="195">
        <f>'Check and balance'!I9-'Check and balance'!Q9</f>
        <v>5185</v>
      </c>
      <c r="E8" s="195">
        <f>'Check and balance'!M9</f>
        <v>60</v>
      </c>
      <c r="F8" s="195">
        <f t="shared" si="0"/>
        <v>11322.5</v>
      </c>
      <c r="G8" s="195">
        <f>'Check and balance'!S9</f>
        <v>9207.5</v>
      </c>
      <c r="H8" s="195">
        <f t="shared" si="2"/>
        <v>2115</v>
      </c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</row>
    <row r="9" spans="1:34" ht="14.5">
      <c r="A9" s="37">
        <f t="shared" si="1"/>
        <v>7</v>
      </c>
      <c r="B9" s="195">
        <f>'Check and balance'!B10</f>
        <v>14102</v>
      </c>
      <c r="C9" s="195">
        <f>'Check and balance'!T10</f>
        <v>2</v>
      </c>
      <c r="D9" s="195">
        <f>'Check and balance'!I10-'Check and balance'!Q10</f>
        <v>2160</v>
      </c>
      <c r="E9" s="195">
        <f>'Check and balance'!M10</f>
        <v>530</v>
      </c>
      <c r="F9" s="195">
        <f t="shared" si="0"/>
        <v>11414</v>
      </c>
      <c r="G9" s="195">
        <f>'Check and balance'!S10</f>
        <v>6410</v>
      </c>
      <c r="H9" s="195">
        <f t="shared" si="2"/>
        <v>5004</v>
      </c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</row>
    <row r="10" spans="1:34" ht="14.5">
      <c r="A10" s="37">
        <f t="shared" si="1"/>
        <v>8</v>
      </c>
      <c r="B10" s="195">
        <f>'Check and balance'!B11</f>
        <v>18444</v>
      </c>
      <c r="C10" s="195">
        <f>'Check and balance'!T11</f>
        <v>2.2900000000008731</v>
      </c>
      <c r="D10" s="195">
        <f>'Check and balance'!I11-'Check and balance'!Q11</f>
        <v>6775.2900000000009</v>
      </c>
      <c r="E10" s="195">
        <f>'Check and balance'!M11</f>
        <v>0</v>
      </c>
      <c r="F10" s="195">
        <f t="shared" si="0"/>
        <v>11671</v>
      </c>
      <c r="G10" s="195">
        <f>'Check and balance'!S11</f>
        <v>10141</v>
      </c>
      <c r="H10" s="195">
        <f t="shared" si="2"/>
        <v>1530</v>
      </c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</row>
    <row r="11" spans="1:34" ht="14.5">
      <c r="A11" s="37">
        <f t="shared" si="1"/>
        <v>9</v>
      </c>
      <c r="B11" s="195">
        <f>'Check and balance'!B12</f>
        <v>18214</v>
      </c>
      <c r="C11" s="195">
        <f>'Check and balance'!T12</f>
        <v>4.25</v>
      </c>
      <c r="D11" s="195">
        <f>'Check and balance'!I12-'Check and balance'!Q12</f>
        <v>8378.25</v>
      </c>
      <c r="E11" s="195">
        <f>'Check and balance'!M12</f>
        <v>60</v>
      </c>
      <c r="F11" s="195">
        <f t="shared" si="0"/>
        <v>9780</v>
      </c>
      <c r="G11" s="195">
        <f>'Check and balance'!S12</f>
        <v>8250</v>
      </c>
      <c r="H11" s="195">
        <f t="shared" si="2"/>
        <v>1530</v>
      </c>
    </row>
    <row r="12" spans="1:34" ht="14.5">
      <c r="A12" s="37">
        <f t="shared" si="1"/>
        <v>10</v>
      </c>
      <c r="B12" s="195">
        <f>'Check and balance'!B13</f>
        <v>15286</v>
      </c>
      <c r="C12" s="195">
        <f>'Check and balance'!T13</f>
        <v>0</v>
      </c>
      <c r="D12" s="195">
        <f>'Check and balance'!I13-'Check and balance'!Q13</f>
        <v>5000</v>
      </c>
      <c r="E12" s="195">
        <f>'Check and balance'!M13</f>
        <v>0</v>
      </c>
      <c r="F12" s="195">
        <f t="shared" si="0"/>
        <v>10286</v>
      </c>
      <c r="G12" s="195">
        <f>'Check and balance'!S13</f>
        <v>6781</v>
      </c>
      <c r="H12" s="195">
        <f t="shared" si="2"/>
        <v>3505</v>
      </c>
    </row>
    <row r="13" spans="1:34" ht="14.5">
      <c r="A13" s="37">
        <f t="shared" si="1"/>
        <v>11</v>
      </c>
      <c r="B13" s="195">
        <f>'Check and balance'!B14</f>
        <v>17440</v>
      </c>
      <c r="C13" s="195">
        <f>'Check and balance'!T14</f>
        <v>0.5</v>
      </c>
      <c r="D13" s="195">
        <f>'Check and balance'!I14-'Check and balance'!Q14</f>
        <v>14762.5</v>
      </c>
      <c r="E13" s="195">
        <f>'Check and balance'!M14</f>
        <v>60</v>
      </c>
      <c r="F13" s="195">
        <f t="shared" si="0"/>
        <v>2618</v>
      </c>
      <c r="G13" s="195">
        <f>'Check and balance'!S14</f>
        <v>2295</v>
      </c>
      <c r="H13" s="195">
        <f t="shared" si="2"/>
        <v>323</v>
      </c>
    </row>
    <row r="14" spans="1:34" ht="14.5">
      <c r="A14" s="37">
        <f t="shared" si="1"/>
        <v>12</v>
      </c>
      <c r="B14" s="195">
        <f>'Check and balance'!B15</f>
        <v>20150</v>
      </c>
      <c r="C14" s="195">
        <f>'Check and balance'!T15</f>
        <v>5.1399999999994179</v>
      </c>
      <c r="D14" s="195">
        <f>'Check and balance'!I15-'Check and balance'!Q15</f>
        <v>1022.14</v>
      </c>
      <c r="E14" s="195">
        <f>'Check and balance'!M15</f>
        <v>0</v>
      </c>
      <c r="F14" s="195">
        <f t="shared" si="0"/>
        <v>19133</v>
      </c>
      <c r="G14" s="195">
        <f>'Check and balance'!S15</f>
        <v>17603</v>
      </c>
      <c r="H14" s="195">
        <f t="shared" si="2"/>
        <v>1530</v>
      </c>
    </row>
    <row r="15" spans="1:34" ht="14.5">
      <c r="A15" s="37">
        <f t="shared" si="1"/>
        <v>13</v>
      </c>
      <c r="B15" s="195">
        <f>'Check and balance'!B16</f>
        <v>15248</v>
      </c>
      <c r="C15" s="195">
        <f>'Check and balance'!T16</f>
        <v>1</v>
      </c>
      <c r="D15" s="195">
        <f>'Check and balance'!I16-'Check and balance'!Q16</f>
        <v>275</v>
      </c>
      <c r="E15" s="195">
        <f>'Check and balance'!M16</f>
        <v>90</v>
      </c>
      <c r="F15" s="195">
        <f t="shared" si="0"/>
        <v>14884</v>
      </c>
      <c r="G15" s="195">
        <f>'Check and balance'!S16</f>
        <v>12159</v>
      </c>
      <c r="H15" s="195">
        <f t="shared" si="2"/>
        <v>2725</v>
      </c>
    </row>
    <row r="16" spans="1:34" ht="14.5">
      <c r="A16" s="37">
        <f t="shared" si="1"/>
        <v>14</v>
      </c>
      <c r="B16" s="195">
        <f>'Check and balance'!B17</f>
        <v>15740</v>
      </c>
      <c r="C16" s="195">
        <f>'Check and balance'!T17</f>
        <v>0</v>
      </c>
      <c r="D16" s="195">
        <f>'Check and balance'!I17-'Check and balance'!Q17</f>
        <v>6409.5</v>
      </c>
      <c r="E16" s="195">
        <f>'Check and balance'!M17</f>
        <v>0</v>
      </c>
      <c r="F16" s="195">
        <f t="shared" si="0"/>
        <v>9330.5</v>
      </c>
      <c r="G16" s="195">
        <f>'Check and balance'!S17</f>
        <v>5359.5</v>
      </c>
      <c r="H16" s="195">
        <f t="shared" si="2"/>
        <v>3971</v>
      </c>
    </row>
    <row r="17" spans="1:8" ht="14.5">
      <c r="A17" s="37">
        <f t="shared" si="1"/>
        <v>15</v>
      </c>
      <c r="B17" s="195">
        <f>'Check and balance'!B18</f>
        <v>18654</v>
      </c>
      <c r="C17" s="195">
        <f>'Check and balance'!T18</f>
        <v>-0.13000000000101863</v>
      </c>
      <c r="D17" s="195">
        <f>'Check and balance'!I18-'Check and balance'!Q18</f>
        <v>3007.87</v>
      </c>
      <c r="E17" s="195">
        <f>'Check and balance'!M18</f>
        <v>90</v>
      </c>
      <c r="F17" s="195">
        <f t="shared" si="0"/>
        <v>15556</v>
      </c>
      <c r="G17" s="195">
        <f>'Check and balance'!S18</f>
        <v>14026</v>
      </c>
      <c r="H17" s="195">
        <f t="shared" si="2"/>
        <v>1530</v>
      </c>
    </row>
    <row r="18" spans="1:8" ht="14.5">
      <c r="A18" s="37">
        <f t="shared" si="1"/>
        <v>16</v>
      </c>
      <c r="B18" s="195">
        <f>'Check and balance'!B19</f>
        <v>17527</v>
      </c>
      <c r="C18" s="195">
        <f>'Check and balance'!T19</f>
        <v>1</v>
      </c>
      <c r="D18" s="195">
        <f>'Check and balance'!I19-'Check and balance'!Q19</f>
        <v>4060</v>
      </c>
      <c r="E18" s="195">
        <f>'Check and balance'!M19</f>
        <v>0</v>
      </c>
      <c r="F18" s="195">
        <f t="shared" si="0"/>
        <v>13468</v>
      </c>
      <c r="G18" s="195">
        <f>'Check and balance'!S19</f>
        <v>11853</v>
      </c>
      <c r="H18" s="195">
        <f t="shared" si="2"/>
        <v>1615</v>
      </c>
    </row>
    <row r="19" spans="1:8" ht="14.5">
      <c r="A19" s="37">
        <f t="shared" si="1"/>
        <v>17</v>
      </c>
      <c r="B19" s="195">
        <f>'Check and balance'!B20</f>
        <v>17898</v>
      </c>
      <c r="C19" s="195">
        <f>'Check and balance'!T20</f>
        <v>0.69000000000050932</v>
      </c>
      <c r="D19" s="195">
        <f>'Check and balance'!I20-'Check and balance'!Q20</f>
        <v>4200.6900000000005</v>
      </c>
      <c r="E19" s="195">
        <f>'Check and balance'!M20</f>
        <v>90</v>
      </c>
      <c r="F19" s="195">
        <f t="shared" si="0"/>
        <v>13608.000000000002</v>
      </c>
      <c r="G19" s="195">
        <f>'Check and balance'!S20</f>
        <v>10438</v>
      </c>
      <c r="H19" s="195">
        <f t="shared" si="2"/>
        <v>3170.0000000000018</v>
      </c>
    </row>
    <row r="20" spans="1:8" ht="14.5">
      <c r="A20" s="37">
        <f t="shared" si="1"/>
        <v>18</v>
      </c>
      <c r="B20" s="195">
        <f>'Check and balance'!B21</f>
        <v>16732</v>
      </c>
      <c r="C20" s="195">
        <f>'Check and balance'!T21</f>
        <v>0.56999999999970896</v>
      </c>
      <c r="D20" s="195">
        <f>'Check and balance'!I21-'Check and balance'!Q21</f>
        <v>13123.57</v>
      </c>
      <c r="E20" s="195">
        <f>'Check and balance'!M21</f>
        <v>30</v>
      </c>
      <c r="F20" s="195">
        <f t="shared" si="0"/>
        <v>3579</v>
      </c>
      <c r="G20" s="195">
        <f>'Check and balance'!S21</f>
        <v>2379</v>
      </c>
      <c r="H20" s="195">
        <f t="shared" si="2"/>
        <v>1200</v>
      </c>
    </row>
    <row r="21" spans="1:8" ht="15.75" customHeight="1">
      <c r="A21" s="37">
        <f t="shared" si="1"/>
        <v>19</v>
      </c>
      <c r="B21" s="195">
        <f>'Check and balance'!B22</f>
        <v>20302</v>
      </c>
      <c r="C21" s="195">
        <f>'Check and balance'!T22</f>
        <v>0.86999999999898137</v>
      </c>
      <c r="D21" s="195">
        <f>'Check and balance'!I22-'Check and balance'!Q22</f>
        <v>85.87</v>
      </c>
      <c r="E21" s="195">
        <f>'Check and balance'!M22</f>
        <v>0</v>
      </c>
      <c r="F21" s="195">
        <f t="shared" si="0"/>
        <v>20217</v>
      </c>
      <c r="G21" s="195">
        <f>'Check and balance'!S22</f>
        <v>18092</v>
      </c>
      <c r="H21" s="195">
        <f t="shared" si="2"/>
        <v>2125</v>
      </c>
    </row>
    <row r="22" spans="1:8" ht="15.75" customHeight="1">
      <c r="A22" s="37">
        <f t="shared" si="1"/>
        <v>20</v>
      </c>
      <c r="B22" s="195">
        <f>'Check and balance'!B23</f>
        <v>15110</v>
      </c>
      <c r="C22" s="195">
        <f>'Check and balance'!T23</f>
        <v>1.9500000000007276</v>
      </c>
      <c r="D22" s="195">
        <f>'Check and balance'!I23-'Check and balance'!Q23</f>
        <v>555.95000000000005</v>
      </c>
      <c r="E22" s="195">
        <f>'Check and balance'!M23</f>
        <v>90</v>
      </c>
      <c r="F22" s="195">
        <f t="shared" si="0"/>
        <v>14466</v>
      </c>
      <c r="G22" s="195">
        <f>'Check and balance'!S23</f>
        <v>12936</v>
      </c>
      <c r="H22" s="195">
        <f t="shared" si="2"/>
        <v>1530</v>
      </c>
    </row>
    <row r="23" spans="1:8" ht="15.75" customHeight="1">
      <c r="A23" s="37">
        <f t="shared" si="1"/>
        <v>21</v>
      </c>
      <c r="B23" s="195">
        <f>'Check and balance'!B24</f>
        <v>15951</v>
      </c>
      <c r="C23" s="195">
        <f>'Check and balance'!T24</f>
        <v>1.819999999999709</v>
      </c>
      <c r="D23" s="195">
        <f>'Check and balance'!I24-'Check and balance'!Q24</f>
        <v>564.82000000000016</v>
      </c>
      <c r="E23" s="195">
        <f>'Check and balance'!M24</f>
        <v>135</v>
      </c>
      <c r="F23" s="195">
        <f t="shared" si="0"/>
        <v>15253</v>
      </c>
      <c r="G23" s="195">
        <f>'Check and balance'!S24</f>
        <v>8075</v>
      </c>
      <c r="H23" s="195">
        <f t="shared" si="2"/>
        <v>7178</v>
      </c>
    </row>
    <row r="24" spans="1:8" ht="15.75" customHeight="1">
      <c r="A24" s="37">
        <f t="shared" si="1"/>
        <v>22</v>
      </c>
      <c r="B24" s="195">
        <f>'Check and balance'!B25</f>
        <v>15625</v>
      </c>
      <c r="C24" s="195">
        <f>'Check and balance'!T25</f>
        <v>1</v>
      </c>
      <c r="D24" s="195">
        <f>'Check and balance'!I25-'Check and balance'!Q25</f>
        <v>1444</v>
      </c>
      <c r="E24" s="195">
        <f>'Check and balance'!M25</f>
        <v>0</v>
      </c>
      <c r="F24" s="195">
        <f t="shared" si="0"/>
        <v>14182</v>
      </c>
      <c r="G24" s="195">
        <f>'Check and balance'!S25</f>
        <v>11947</v>
      </c>
      <c r="H24" s="195">
        <f t="shared" si="2"/>
        <v>2235</v>
      </c>
    </row>
    <row r="25" spans="1:8" ht="15.75" customHeight="1">
      <c r="A25" s="37">
        <f t="shared" si="1"/>
        <v>23</v>
      </c>
      <c r="B25" s="195">
        <f>'Check and balance'!B26</f>
        <v>16503</v>
      </c>
      <c r="C25" s="195">
        <f>'Check and balance'!T26</f>
        <v>1.069999999999709</v>
      </c>
      <c r="D25" s="195">
        <f>'Check and balance'!I26-'Check and balance'!Q26</f>
        <v>7239.07</v>
      </c>
      <c r="E25" s="195">
        <f>'Check and balance'!M26</f>
        <v>60</v>
      </c>
      <c r="F25" s="195">
        <f t="shared" si="0"/>
        <v>9205</v>
      </c>
      <c r="G25" s="195">
        <f>'Check and balance'!S26</f>
        <v>7505</v>
      </c>
      <c r="H25" s="195">
        <f t="shared" si="2"/>
        <v>1700</v>
      </c>
    </row>
    <row r="26" spans="1:8" ht="15.75" customHeight="1">
      <c r="A26" s="37">
        <f t="shared" si="1"/>
        <v>24</v>
      </c>
      <c r="B26" s="195">
        <f>'Check and balance'!B27</f>
        <v>17337</v>
      </c>
      <c r="C26" s="195">
        <f>'Check and balance'!T27</f>
        <v>0</v>
      </c>
      <c r="D26" s="195">
        <f>'Check and balance'!I27-'Check and balance'!Q27</f>
        <v>2961.75</v>
      </c>
      <c r="E26" s="195">
        <f>'Check and balance'!M27</f>
        <v>0</v>
      </c>
      <c r="F26" s="195">
        <f t="shared" si="0"/>
        <v>14375.25</v>
      </c>
      <c r="G26" s="195">
        <f>'Check and balance'!S27</f>
        <v>10785.25</v>
      </c>
      <c r="H26" s="195">
        <f t="shared" si="2"/>
        <v>3590</v>
      </c>
    </row>
    <row r="27" spans="1:8" ht="15.75" customHeight="1">
      <c r="A27" s="37">
        <f t="shared" si="1"/>
        <v>25</v>
      </c>
      <c r="B27" s="195">
        <f>'Check and balance'!B28</f>
        <v>14880</v>
      </c>
      <c r="C27" s="195">
        <f>'Check and balance'!T28</f>
        <v>-14.430000000000291</v>
      </c>
      <c r="D27" s="195">
        <f>'Check and balance'!I28-'Check and balance'!Q28</f>
        <v>10623.57</v>
      </c>
      <c r="E27" s="195">
        <f>'Check and balance'!M28</f>
        <v>60</v>
      </c>
      <c r="F27" s="195">
        <f t="shared" si="0"/>
        <v>4182</v>
      </c>
      <c r="G27" s="195">
        <f>'Check and balance'!S28</f>
        <v>3482</v>
      </c>
      <c r="H27" s="195">
        <f t="shared" si="2"/>
        <v>700</v>
      </c>
    </row>
    <row r="28" spans="1:8" ht="15.75" customHeight="1">
      <c r="A28" s="37">
        <f t="shared" si="1"/>
        <v>26</v>
      </c>
      <c r="B28" s="195">
        <f>'Check and balance'!B29</f>
        <v>18894</v>
      </c>
      <c r="C28" s="195">
        <f>'Check and balance'!T29</f>
        <v>2.2399999999997817</v>
      </c>
      <c r="D28" s="195">
        <f>'Check and balance'!I29-'Check and balance'!Q29</f>
        <v>4932.99</v>
      </c>
      <c r="E28" s="195">
        <f>'Check and balance'!M29</f>
        <v>0</v>
      </c>
      <c r="F28" s="195">
        <f t="shared" si="0"/>
        <v>13963.249999999998</v>
      </c>
      <c r="G28" s="195">
        <f>'Check and balance'!S29</f>
        <v>12263.25</v>
      </c>
      <c r="H28" s="195">
        <f t="shared" si="2"/>
        <v>1699.9999999999982</v>
      </c>
    </row>
    <row r="29" spans="1:8" ht="15.75" customHeight="1">
      <c r="A29" s="37">
        <f t="shared" si="1"/>
        <v>27</v>
      </c>
      <c r="B29" s="195">
        <f>'Check and balance'!B30</f>
        <v>15393</v>
      </c>
      <c r="C29" s="195">
        <f>'Check and balance'!T30</f>
        <v>10</v>
      </c>
      <c r="D29" s="195">
        <f>'Check and balance'!I30-'Check and balance'!Q30</f>
        <v>0</v>
      </c>
      <c r="E29" s="195">
        <f>'Check and balance'!M30</f>
        <v>90</v>
      </c>
      <c r="F29" s="195">
        <f t="shared" si="0"/>
        <v>15313</v>
      </c>
      <c r="G29" s="195">
        <f>'Check and balance'!S30</f>
        <v>13293</v>
      </c>
      <c r="H29" s="195">
        <f t="shared" si="2"/>
        <v>2020</v>
      </c>
    </row>
    <row r="30" spans="1:8" ht="15.75" customHeight="1">
      <c r="A30" s="37">
        <f t="shared" si="1"/>
        <v>28</v>
      </c>
      <c r="B30" s="195">
        <f>'Check and balance'!B31</f>
        <v>15154</v>
      </c>
      <c r="C30" s="195">
        <f>'Check and balance'!T31</f>
        <v>5.75</v>
      </c>
      <c r="D30" s="195">
        <f>'Check and balance'!I31-'Check and balance'!Q31</f>
        <v>139.75</v>
      </c>
      <c r="E30" s="195">
        <f>'Check and balance'!M31</f>
        <v>0</v>
      </c>
      <c r="F30" s="195">
        <f t="shared" si="0"/>
        <v>15020</v>
      </c>
      <c r="G30" s="195">
        <f>'Check and balance'!S31</f>
        <v>9050</v>
      </c>
      <c r="H30" s="195">
        <f t="shared" si="2"/>
        <v>5970</v>
      </c>
    </row>
    <row r="31" spans="1:8" ht="15.75" customHeight="1">
      <c r="A31" s="37">
        <f t="shared" si="1"/>
        <v>29</v>
      </c>
      <c r="B31" s="195">
        <f>'Check and balance'!B32</f>
        <v>12776</v>
      </c>
      <c r="C31" s="195">
        <f>'Check and balance'!T32</f>
        <v>0</v>
      </c>
      <c r="D31" s="195">
        <f>'Check and balance'!I32-'Check and balance'!Q32</f>
        <v>198</v>
      </c>
      <c r="E31" s="195">
        <f>'Check and balance'!M32</f>
        <v>60</v>
      </c>
      <c r="F31" s="195">
        <f t="shared" si="0"/>
        <v>12518</v>
      </c>
      <c r="G31" s="195">
        <f>'Check and balance'!S32</f>
        <v>10903</v>
      </c>
      <c r="H31" s="195">
        <f t="shared" si="2"/>
        <v>1615</v>
      </c>
    </row>
    <row r="32" spans="1:8" ht="15.75" customHeight="1">
      <c r="A32" s="37">
        <f t="shared" si="1"/>
        <v>30</v>
      </c>
      <c r="B32" s="195">
        <f>'Check and balance'!B33</f>
        <v>15386</v>
      </c>
      <c r="C32" s="195">
        <f>'Check and balance'!T33</f>
        <v>1</v>
      </c>
      <c r="D32" s="195">
        <f>'Check and balance'!I33-'Check and balance'!Q33</f>
        <v>15</v>
      </c>
      <c r="E32" s="195">
        <f>'Check and balance'!M33</f>
        <v>0</v>
      </c>
      <c r="F32" s="195">
        <f t="shared" si="0"/>
        <v>15372</v>
      </c>
      <c r="G32" s="195">
        <f>'Check and balance'!S33</f>
        <v>13372</v>
      </c>
      <c r="H32" s="195">
        <f t="shared" si="2"/>
        <v>2000</v>
      </c>
    </row>
    <row r="33" spans="1:8" ht="15.75" customHeight="1">
      <c r="A33" s="37">
        <f t="shared" si="1"/>
        <v>31</v>
      </c>
      <c r="B33" s="195">
        <f>'Check and balance'!B34</f>
        <v>15749</v>
      </c>
      <c r="C33" s="195">
        <f>'Check and balance'!T34</f>
        <v>6</v>
      </c>
      <c r="D33" s="195">
        <f>'Check and balance'!I34-'Check and balance'!Q34</f>
        <v>0</v>
      </c>
      <c r="E33" s="195">
        <f>'Check and balance'!M34</f>
        <v>0</v>
      </c>
      <c r="F33" s="195">
        <f t="shared" si="0"/>
        <v>15755</v>
      </c>
      <c r="G33" s="195">
        <f>'Check and balance'!S34</f>
        <v>12746</v>
      </c>
      <c r="H33" s="195">
        <f t="shared" si="2"/>
        <v>3009</v>
      </c>
    </row>
    <row r="34" spans="1:8" ht="15.75" customHeight="1"/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22.08984375" customWidth="1"/>
    <col min="2" max="2" width="13.26953125" customWidth="1"/>
    <col min="3" max="3" width="6.453125" customWidth="1"/>
    <col min="4" max="4" width="15.54296875" customWidth="1"/>
    <col min="5" max="5" width="13.81640625" customWidth="1"/>
    <col min="6" max="6" width="14.08984375" customWidth="1"/>
    <col min="7" max="7" width="16" customWidth="1"/>
    <col min="8" max="8" width="14.54296875" customWidth="1"/>
    <col min="9" max="9" width="14.26953125" customWidth="1"/>
    <col min="10" max="10" width="6.7265625" customWidth="1"/>
    <col min="11" max="11" width="16.453125" customWidth="1"/>
    <col min="12" max="12" width="1.453125" customWidth="1"/>
    <col min="13" max="13" width="17.81640625" customWidth="1"/>
    <col min="14" max="14" width="13.7265625" customWidth="1"/>
    <col min="15" max="15" width="6.453125" customWidth="1"/>
    <col min="16" max="16" width="14.08984375" customWidth="1"/>
    <col min="17" max="17" width="1" customWidth="1"/>
    <col min="18" max="18" width="13.453125" customWidth="1"/>
    <col min="19" max="19" width="7" customWidth="1"/>
    <col min="20" max="20" width="14.26953125" customWidth="1"/>
    <col min="21" max="26" width="14" customWidth="1"/>
  </cols>
  <sheetData>
    <row r="1" spans="1:20" ht="27.5">
      <c r="A1" s="158" t="str">
        <f>GROSS!A1</f>
        <v>CRISPY KING FOOD STATION :</v>
      </c>
      <c r="B1" s="158"/>
      <c r="C1" s="200"/>
      <c r="D1" s="201"/>
      <c r="E1" s="201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</row>
    <row r="2" spans="1:20" ht="18.5">
      <c r="A2" s="479" t="s">
        <v>118</v>
      </c>
      <c r="B2" s="438"/>
      <c r="C2" s="201"/>
      <c r="D2" s="201"/>
      <c r="E2" s="201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</row>
    <row r="3" spans="1:20" ht="18.5">
      <c r="A3" s="171" t="s">
        <v>38</v>
      </c>
      <c r="B3" s="480"/>
      <c r="C3" s="438"/>
      <c r="D3" s="438"/>
      <c r="E3" s="171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0" ht="16.5">
      <c r="A4" s="201"/>
      <c r="B4" s="201"/>
      <c r="C4" s="201"/>
      <c r="D4" s="201"/>
      <c r="E4" s="201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</row>
    <row r="5" spans="1:20" ht="16.5">
      <c r="A5" s="203" t="s">
        <v>119</v>
      </c>
      <c r="B5" s="204"/>
      <c r="C5" s="204"/>
      <c r="D5" s="204"/>
      <c r="E5" s="204"/>
      <c r="F5" s="204"/>
      <c r="G5" s="204"/>
      <c r="H5" s="204"/>
      <c r="I5" s="204"/>
      <c r="J5" s="204"/>
      <c r="K5" s="205"/>
      <c r="L5" s="204"/>
      <c r="M5" s="204"/>
      <c r="N5" s="204"/>
      <c r="O5" s="204"/>
      <c r="P5" s="204"/>
      <c r="Q5" s="204"/>
      <c r="R5" s="204"/>
      <c r="S5" s="204"/>
      <c r="T5" s="204"/>
    </row>
    <row r="6" spans="1:20" ht="14.5">
      <c r="A6" s="481" t="s">
        <v>90</v>
      </c>
      <c r="B6" s="478" t="s">
        <v>91</v>
      </c>
      <c r="C6" s="445"/>
      <c r="D6" s="423"/>
      <c r="E6" s="478" t="s">
        <v>92</v>
      </c>
      <c r="F6" s="445"/>
      <c r="G6" s="478" t="s">
        <v>93</v>
      </c>
      <c r="H6" s="423"/>
      <c r="I6" s="478" t="s">
        <v>94</v>
      </c>
      <c r="J6" s="445"/>
      <c r="K6" s="423"/>
      <c r="L6" s="96"/>
      <c r="M6" s="481" t="s">
        <v>90</v>
      </c>
      <c r="N6" s="478" t="s">
        <v>95</v>
      </c>
      <c r="O6" s="445"/>
      <c r="P6" s="423"/>
      <c r="Q6" s="207"/>
      <c r="R6" s="478" t="s">
        <v>96</v>
      </c>
      <c r="S6" s="445"/>
      <c r="T6" s="423"/>
    </row>
    <row r="7" spans="1:20" ht="23.25" customHeight="1">
      <c r="A7" s="436"/>
      <c r="B7" s="208" t="s">
        <v>97</v>
      </c>
      <c r="C7" s="209" t="s">
        <v>98</v>
      </c>
      <c r="D7" s="208" t="s">
        <v>99</v>
      </c>
      <c r="E7" s="208" t="s">
        <v>97</v>
      </c>
      <c r="F7" s="208" t="s">
        <v>99</v>
      </c>
      <c r="G7" s="208" t="s">
        <v>97</v>
      </c>
      <c r="H7" s="208" t="s">
        <v>99</v>
      </c>
      <c r="I7" s="208" t="s">
        <v>97</v>
      </c>
      <c r="J7" s="209" t="s">
        <v>98</v>
      </c>
      <c r="K7" s="210" t="s">
        <v>99</v>
      </c>
      <c r="L7" s="96"/>
      <c r="M7" s="436"/>
      <c r="N7" s="208" t="s">
        <v>97</v>
      </c>
      <c r="O7" s="209" t="s">
        <v>98</v>
      </c>
      <c r="P7" s="208" t="s">
        <v>99</v>
      </c>
      <c r="Q7" s="207"/>
      <c r="R7" s="208" t="s">
        <v>97</v>
      </c>
      <c r="S7" s="208" t="s">
        <v>100</v>
      </c>
      <c r="T7" s="208" t="s">
        <v>99</v>
      </c>
    </row>
    <row r="8" spans="1:20" ht="14.5">
      <c r="A8" s="211" t="str">
        <f>'1'!A7</f>
        <v>SPECIAL CUT</v>
      </c>
      <c r="B8" s="212">
        <f>'1'!B7</f>
        <v>175</v>
      </c>
      <c r="C8" s="216">
        <f>DELIVERIES!F7</f>
        <v>35</v>
      </c>
      <c r="D8" s="111">
        <f t="shared" ref="D8:D16" si="0">B8*C8</f>
        <v>6125</v>
      </c>
      <c r="E8" s="109">
        <f>DELIVERIES!E14</f>
        <v>1350</v>
      </c>
      <c r="F8" s="109">
        <f>DELIVERIES!G14</f>
        <v>47250</v>
      </c>
      <c r="G8" s="217">
        <f>B.O!E14</f>
        <v>0</v>
      </c>
      <c r="H8" s="111">
        <f>B.O!G14</f>
        <v>0</v>
      </c>
      <c r="I8" s="109">
        <f t="shared" ref="I8:I16" si="1">B8+E8-G8-N8</f>
        <v>247</v>
      </c>
      <c r="J8" s="103">
        <f t="shared" ref="J8:J16" si="2">C8</f>
        <v>35</v>
      </c>
      <c r="K8" s="107">
        <f t="shared" ref="K8:K16" si="3">I8*J8</f>
        <v>8645</v>
      </c>
      <c r="L8" s="108"/>
      <c r="M8" s="211" t="str">
        <f t="shared" ref="M8:M32" si="4">A8</f>
        <v>SPECIAL CUT</v>
      </c>
      <c r="N8" s="109">
        <f t="shared" ref="N8:N16" si="5">R8</f>
        <v>1278</v>
      </c>
      <c r="O8" s="110">
        <f t="shared" ref="O8:O16" si="6">C8</f>
        <v>35</v>
      </c>
      <c r="P8" s="111">
        <f>'DAILY COGS'!G14</f>
        <v>44730</v>
      </c>
      <c r="Q8" s="112"/>
      <c r="R8" s="109">
        <f>GROSS!E14</f>
        <v>1278</v>
      </c>
      <c r="S8" s="109">
        <f>GROSS!F7</f>
        <v>50</v>
      </c>
      <c r="T8" s="104">
        <f>GROSS!G14</f>
        <v>63900</v>
      </c>
    </row>
    <row r="9" spans="1:20" ht="14.5">
      <c r="A9" s="211" t="str">
        <f>'1'!A8</f>
        <v>NGOHIONG</v>
      </c>
      <c r="B9" s="219">
        <f>'1'!B8</f>
        <v>23</v>
      </c>
      <c r="C9" s="220">
        <f>DELIVERIES!I7</f>
        <v>8.5</v>
      </c>
      <c r="D9" s="111">
        <f t="shared" si="0"/>
        <v>195.5</v>
      </c>
      <c r="E9" s="113">
        <f>DELIVERIES!H14</f>
        <v>80</v>
      </c>
      <c r="F9" s="109">
        <f>DELIVERIES!J14</f>
        <v>680</v>
      </c>
      <c r="G9" s="217">
        <f>B.O!H14</f>
        <v>0</v>
      </c>
      <c r="H9" s="111">
        <f>B.O!J14</f>
        <v>0</v>
      </c>
      <c r="I9" s="109">
        <f t="shared" si="1"/>
        <v>11</v>
      </c>
      <c r="J9" s="103">
        <f t="shared" si="2"/>
        <v>8.5</v>
      </c>
      <c r="K9" s="107">
        <f t="shared" si="3"/>
        <v>93.5</v>
      </c>
      <c r="L9" s="114"/>
      <c r="M9" s="211" t="str">
        <f t="shared" si="4"/>
        <v>NGOHIONG</v>
      </c>
      <c r="N9" s="109">
        <f t="shared" si="5"/>
        <v>92</v>
      </c>
      <c r="O9" s="110">
        <f t="shared" si="6"/>
        <v>8.5</v>
      </c>
      <c r="P9" s="111">
        <f>'DAILY COGS'!J14</f>
        <v>782</v>
      </c>
      <c r="Q9" s="115"/>
      <c r="R9" s="113">
        <f>GROSS!H14</f>
        <v>92</v>
      </c>
      <c r="S9" s="113">
        <f>GROSS!I7</f>
        <v>12</v>
      </c>
      <c r="T9" s="104">
        <f>GROSS!J14</f>
        <v>1104</v>
      </c>
    </row>
    <row r="10" spans="1:20" ht="14.5">
      <c r="A10" s="211" t="str">
        <f>'1'!A9</f>
        <v>NECK</v>
      </c>
      <c r="B10" s="219">
        <f>'1'!B9</f>
        <v>16</v>
      </c>
      <c r="C10" s="220">
        <f>DELIVERIES!O7</f>
        <v>7</v>
      </c>
      <c r="D10" s="111">
        <f t="shared" si="0"/>
        <v>112</v>
      </c>
      <c r="E10" s="113">
        <f>DELIVERIES!N14</f>
        <v>500</v>
      </c>
      <c r="F10" s="109">
        <f>DELIVERIES!P14</f>
        <v>3500</v>
      </c>
      <c r="G10" s="222">
        <f>B.O!N14</f>
        <v>0</v>
      </c>
      <c r="H10" s="111">
        <f>B.O!P14</f>
        <v>0</v>
      </c>
      <c r="I10" s="109">
        <f t="shared" si="1"/>
        <v>64</v>
      </c>
      <c r="J10" s="103">
        <f t="shared" si="2"/>
        <v>7</v>
      </c>
      <c r="K10" s="107">
        <f t="shared" si="3"/>
        <v>448</v>
      </c>
      <c r="L10" s="114"/>
      <c r="M10" s="211" t="str">
        <f t="shared" si="4"/>
        <v>NECK</v>
      </c>
      <c r="N10" s="109">
        <f t="shared" si="5"/>
        <v>452</v>
      </c>
      <c r="O10" s="110">
        <f t="shared" si="6"/>
        <v>7</v>
      </c>
      <c r="P10" s="111">
        <f>'DAILY COGS'!P14</f>
        <v>3164</v>
      </c>
      <c r="Q10" s="115"/>
      <c r="R10" s="113">
        <f>GROSS!N14</f>
        <v>452</v>
      </c>
      <c r="S10" s="113">
        <f>GROSS!O7</f>
        <v>12</v>
      </c>
      <c r="T10" s="104">
        <f>GROSS!P14</f>
        <v>5424</v>
      </c>
    </row>
    <row r="11" spans="1:20" ht="14.5">
      <c r="A11" s="211" t="str">
        <f>'1'!A10</f>
        <v>SIOMAI</v>
      </c>
      <c r="B11" s="219">
        <f>'1'!B10</f>
        <v>39</v>
      </c>
      <c r="C11" s="220">
        <f>DELIVERIES!R7</f>
        <v>5.5</v>
      </c>
      <c r="D11" s="111">
        <f t="shared" si="0"/>
        <v>214.5</v>
      </c>
      <c r="E11" s="113">
        <f>DELIVERIES!Q14</f>
        <v>0</v>
      </c>
      <c r="F11" s="109">
        <f>DELIVERIES!S14</f>
        <v>0</v>
      </c>
      <c r="G11" s="224">
        <f>B.O!Q14</f>
        <v>0</v>
      </c>
      <c r="H11" s="111">
        <f>B.O!S14</f>
        <v>0</v>
      </c>
      <c r="I11" s="109">
        <f t="shared" si="1"/>
        <v>39</v>
      </c>
      <c r="J11" s="103">
        <f t="shared" si="2"/>
        <v>5.5</v>
      </c>
      <c r="K11" s="107">
        <f t="shared" si="3"/>
        <v>214.5</v>
      </c>
      <c r="L11" s="114"/>
      <c r="M11" s="211" t="str">
        <f t="shared" si="4"/>
        <v>SIOMAI</v>
      </c>
      <c r="N11" s="109">
        <f t="shared" si="5"/>
        <v>0</v>
      </c>
      <c r="O11" s="110">
        <f t="shared" si="6"/>
        <v>5.5</v>
      </c>
      <c r="P11" s="111">
        <f>'DAILY COGS'!S14</f>
        <v>0</v>
      </c>
      <c r="Q11" s="115"/>
      <c r="R11" s="113">
        <f>GROSS!Q14</f>
        <v>0</v>
      </c>
      <c r="S11" s="113">
        <f>GROSS!R7</f>
        <v>7.5</v>
      </c>
      <c r="T11" s="104">
        <f>GROSS!S14</f>
        <v>0</v>
      </c>
    </row>
    <row r="12" spans="1:20" ht="14.5">
      <c r="A12" s="211" t="str">
        <f>'1'!A11</f>
        <v>RICE</v>
      </c>
      <c r="B12" s="212">
        <f>'1'!B11</f>
        <v>15</v>
      </c>
      <c r="C12" s="220">
        <f>DELIVERIES!U7</f>
        <v>8.5</v>
      </c>
      <c r="D12" s="111">
        <f t="shared" si="0"/>
        <v>127.5</v>
      </c>
      <c r="E12" s="113">
        <f>DELIVERIES!T14</f>
        <v>1395</v>
      </c>
      <c r="F12" s="109">
        <f>DELIVERIES!V14</f>
        <v>11857.5</v>
      </c>
      <c r="G12" s="224">
        <f>B.O!T14</f>
        <v>0</v>
      </c>
      <c r="H12" s="111">
        <f>B.O!V14</f>
        <v>0</v>
      </c>
      <c r="I12" s="109">
        <f t="shared" si="1"/>
        <v>29</v>
      </c>
      <c r="J12" s="103">
        <f t="shared" si="2"/>
        <v>8.5</v>
      </c>
      <c r="K12" s="107">
        <f t="shared" si="3"/>
        <v>246.5</v>
      </c>
      <c r="L12" s="114"/>
      <c r="M12" s="211" t="str">
        <f t="shared" si="4"/>
        <v>RICE</v>
      </c>
      <c r="N12" s="109">
        <f t="shared" si="5"/>
        <v>1381</v>
      </c>
      <c r="O12" s="110">
        <f t="shared" si="6"/>
        <v>8.5</v>
      </c>
      <c r="P12" s="111">
        <f>'DAILY COGS'!V14</f>
        <v>11738.5</v>
      </c>
      <c r="Q12" s="115"/>
      <c r="R12" s="113">
        <f>GROSS!T14</f>
        <v>1381</v>
      </c>
      <c r="S12" s="113">
        <f>GROSS!U7</f>
        <v>15</v>
      </c>
      <c r="T12" s="104">
        <f>GROSS!V14</f>
        <v>20715</v>
      </c>
    </row>
    <row r="13" spans="1:20" ht="14.5">
      <c r="A13" s="211" t="str">
        <f>'1'!A12</f>
        <v>BOLA BOLA</v>
      </c>
      <c r="B13" s="219">
        <f>'1'!B12</f>
        <v>70</v>
      </c>
      <c r="C13" s="220">
        <f>DELIVERIES!X7</f>
        <v>6</v>
      </c>
      <c r="D13" s="111">
        <f t="shared" si="0"/>
        <v>420</v>
      </c>
      <c r="E13" s="113">
        <f>DELIVERIES!W14</f>
        <v>300</v>
      </c>
      <c r="F13" s="109">
        <f>DELIVERIES!Y14</f>
        <v>1800</v>
      </c>
      <c r="G13" s="224">
        <f>B.O!W14</f>
        <v>0</v>
      </c>
      <c r="H13" s="111">
        <f>B.O!Y14</f>
        <v>0</v>
      </c>
      <c r="I13" s="109">
        <f t="shared" si="1"/>
        <v>68</v>
      </c>
      <c r="J13" s="103">
        <f t="shared" si="2"/>
        <v>6</v>
      </c>
      <c r="K13" s="107">
        <f t="shared" si="3"/>
        <v>408</v>
      </c>
      <c r="L13" s="114"/>
      <c r="M13" s="211" t="str">
        <f t="shared" si="4"/>
        <v>BOLA BOLA</v>
      </c>
      <c r="N13" s="109">
        <f t="shared" si="5"/>
        <v>302</v>
      </c>
      <c r="O13" s="110">
        <f t="shared" si="6"/>
        <v>6</v>
      </c>
      <c r="P13" s="111">
        <f>'DAILY COGS'!Y14</f>
        <v>1812</v>
      </c>
      <c r="Q13" s="115"/>
      <c r="R13" s="113">
        <f>GROSS!W14</f>
        <v>302</v>
      </c>
      <c r="S13" s="113">
        <f>GROSS!X7</f>
        <v>10</v>
      </c>
      <c r="T13" s="104">
        <f>GROSS!Y14</f>
        <v>3020</v>
      </c>
    </row>
    <row r="14" spans="1:20" ht="14.5">
      <c r="A14" s="211" t="str">
        <f>'1'!A13</f>
        <v>LUMPIA</v>
      </c>
      <c r="B14" s="219">
        <f>'1'!B13</f>
        <v>32</v>
      </c>
      <c r="C14" s="220">
        <f>DELIVERIES!AA7</f>
        <v>6</v>
      </c>
      <c r="D14" s="111">
        <f t="shared" si="0"/>
        <v>192</v>
      </c>
      <c r="E14" s="113">
        <f>DELIVERIES!Z14</f>
        <v>300</v>
      </c>
      <c r="F14" s="109">
        <f>DELIVERIES!AB14</f>
        <v>1800</v>
      </c>
      <c r="G14" s="224">
        <f>B.O!Z14</f>
        <v>0</v>
      </c>
      <c r="H14" s="111">
        <f>B.O!AB14</f>
        <v>0</v>
      </c>
      <c r="I14" s="109">
        <f t="shared" si="1"/>
        <v>61</v>
      </c>
      <c r="J14" s="103">
        <f t="shared" si="2"/>
        <v>6</v>
      </c>
      <c r="K14" s="107">
        <f t="shared" si="3"/>
        <v>366</v>
      </c>
      <c r="L14" s="114"/>
      <c r="M14" s="211" t="str">
        <f t="shared" si="4"/>
        <v>LUMPIA</v>
      </c>
      <c r="N14" s="109">
        <f t="shared" si="5"/>
        <v>271</v>
      </c>
      <c r="O14" s="110">
        <f t="shared" si="6"/>
        <v>6</v>
      </c>
      <c r="P14" s="111">
        <f>'DAILY COGS'!AB14</f>
        <v>1626</v>
      </c>
      <c r="Q14" s="115"/>
      <c r="R14" s="113">
        <f>GROSS!Z14</f>
        <v>271</v>
      </c>
      <c r="S14" s="113">
        <f>GROSS!AA7</f>
        <v>8</v>
      </c>
      <c r="T14" s="104">
        <f>GROSS!AB14</f>
        <v>2168</v>
      </c>
    </row>
    <row r="15" spans="1:20" ht="14.5">
      <c r="A15" s="211" t="str">
        <f>'1'!A14</f>
        <v>ATSARA</v>
      </c>
      <c r="B15" s="219">
        <f>'1'!B14</f>
        <v>34</v>
      </c>
      <c r="C15" s="220">
        <f>DELIVERIES!AD7</f>
        <v>8</v>
      </c>
      <c r="D15" s="111">
        <f t="shared" si="0"/>
        <v>272</v>
      </c>
      <c r="E15" s="113">
        <f>DELIVERIES!AC14</f>
        <v>80</v>
      </c>
      <c r="F15" s="109">
        <f>DELIVERIES!AE14</f>
        <v>640</v>
      </c>
      <c r="G15" s="224">
        <f>B.O!AC14</f>
        <v>0</v>
      </c>
      <c r="H15" s="111">
        <f>B.O!AE14</f>
        <v>0</v>
      </c>
      <c r="I15" s="109">
        <f t="shared" si="1"/>
        <v>33</v>
      </c>
      <c r="J15" s="103">
        <f t="shared" si="2"/>
        <v>8</v>
      </c>
      <c r="K15" s="107">
        <f t="shared" si="3"/>
        <v>264</v>
      </c>
      <c r="L15" s="114"/>
      <c r="M15" s="211" t="str">
        <f t="shared" si="4"/>
        <v>ATSARA</v>
      </c>
      <c r="N15" s="109">
        <f t="shared" si="5"/>
        <v>81</v>
      </c>
      <c r="O15" s="110">
        <f t="shared" si="6"/>
        <v>8</v>
      </c>
      <c r="P15" s="111">
        <f>'DAILY COGS'!AE14</f>
        <v>648</v>
      </c>
      <c r="Q15" s="115"/>
      <c r="R15" s="113">
        <f>GROSS!AC14</f>
        <v>81</v>
      </c>
      <c r="S15" s="113">
        <f>GROSS!AD7</f>
        <v>10</v>
      </c>
      <c r="T15" s="104">
        <f>GROSS!AE14</f>
        <v>810</v>
      </c>
    </row>
    <row r="16" spans="1:20" ht="14.5">
      <c r="A16" s="211" t="str">
        <f>'1'!A15</f>
        <v>Chicken Fillet</v>
      </c>
      <c r="B16" s="219">
        <f>'1'!B15</f>
        <v>40</v>
      </c>
      <c r="C16" s="220">
        <f>DELIVERIES!L7</f>
        <v>18</v>
      </c>
      <c r="D16" s="111">
        <f t="shared" si="0"/>
        <v>720</v>
      </c>
      <c r="E16" s="113">
        <f>DELIVERIES!K14</f>
        <v>100</v>
      </c>
      <c r="F16" s="109">
        <f>C16*E16</f>
        <v>1800</v>
      </c>
      <c r="G16" s="224">
        <f>B.O!Q14</f>
        <v>0</v>
      </c>
      <c r="H16" s="111">
        <f>B.O!M14</f>
        <v>0</v>
      </c>
      <c r="I16" s="109">
        <f t="shared" si="1"/>
        <v>37</v>
      </c>
      <c r="J16" s="103">
        <f t="shared" si="2"/>
        <v>18</v>
      </c>
      <c r="K16" s="107">
        <f t="shared" si="3"/>
        <v>666</v>
      </c>
      <c r="L16" s="114"/>
      <c r="M16" s="211" t="str">
        <f t="shared" si="4"/>
        <v>Chicken Fillet</v>
      </c>
      <c r="N16" s="109">
        <f t="shared" si="5"/>
        <v>103</v>
      </c>
      <c r="O16" s="110">
        <f t="shared" si="6"/>
        <v>18</v>
      </c>
      <c r="P16" s="111">
        <f>'DAILY COGS'!M14</f>
        <v>1854</v>
      </c>
      <c r="Q16" s="115"/>
      <c r="R16" s="113">
        <f>GROSS!K14</f>
        <v>103</v>
      </c>
      <c r="S16" s="113">
        <f>GROSS!L7</f>
        <v>25</v>
      </c>
      <c r="T16" s="104">
        <f>GROSS!M14</f>
        <v>2575</v>
      </c>
    </row>
    <row r="17" spans="1:26" ht="14.5">
      <c r="A17" s="227" t="str">
        <f>'1'!A16</f>
        <v>SUB TOTAL</v>
      </c>
      <c r="B17" s="228"/>
      <c r="C17" s="229"/>
      <c r="D17" s="121">
        <f>SUM(D8:D16)</f>
        <v>8378.5</v>
      </c>
      <c r="E17" s="121"/>
      <c r="F17" s="121">
        <f>SUM(F8:F16)</f>
        <v>69327.5</v>
      </c>
      <c r="G17" s="121"/>
      <c r="H17" s="121">
        <f>SUM(H8:H16)</f>
        <v>0</v>
      </c>
      <c r="I17" s="121"/>
      <c r="J17" s="121"/>
      <c r="K17" s="121">
        <f>SUM(K8:K16)</f>
        <v>11351.5</v>
      </c>
      <c r="L17" s="230"/>
      <c r="M17" s="227" t="str">
        <f t="shared" si="4"/>
        <v>SUB TOTAL</v>
      </c>
      <c r="N17" s="231"/>
      <c r="O17" s="232"/>
      <c r="P17" s="233">
        <f>SUM(P8:P16)</f>
        <v>66354.5</v>
      </c>
      <c r="Q17" s="234"/>
      <c r="R17" s="231"/>
      <c r="S17" s="231"/>
      <c r="T17" s="233">
        <f>SUM(T8:T16)</f>
        <v>99716</v>
      </c>
      <c r="U17" s="50"/>
      <c r="V17" s="50"/>
      <c r="W17" s="50"/>
      <c r="X17" s="50"/>
      <c r="Y17" s="50"/>
      <c r="Z17" s="50"/>
    </row>
    <row r="18" spans="1:26" ht="14.5">
      <c r="A18" s="211" t="str">
        <f>'1'!A17</f>
        <v>8 oz</v>
      </c>
      <c r="B18" s="235">
        <f>'1'!B17</f>
        <v>70</v>
      </c>
      <c r="C18" s="220">
        <f>DELIVERIES!AQ7</f>
        <v>8.75</v>
      </c>
      <c r="D18" s="111">
        <f t="shared" ref="D18:D30" si="7">B18*C18</f>
        <v>612.5</v>
      </c>
      <c r="E18" s="113">
        <f>DELIVERIES!AP14</f>
        <v>96</v>
      </c>
      <c r="F18" s="109">
        <f>DELIVERIES!AR14</f>
        <v>840</v>
      </c>
      <c r="G18" s="224">
        <f>B.O!AM14</f>
        <v>0</v>
      </c>
      <c r="H18" s="111">
        <f>B.O!AO14</f>
        <v>0</v>
      </c>
      <c r="I18" s="109">
        <f t="shared" ref="I18:I30" si="8">B18+E18-G18-N18</f>
        <v>83</v>
      </c>
      <c r="J18" s="103">
        <f t="shared" ref="J18:J30" si="9">C18</f>
        <v>8.75</v>
      </c>
      <c r="K18" s="107">
        <f t="shared" ref="K18:K30" si="10">I18*J18</f>
        <v>726.25</v>
      </c>
      <c r="L18" s="114"/>
      <c r="M18" s="101" t="str">
        <f t="shared" si="4"/>
        <v>8 oz</v>
      </c>
      <c r="N18" s="113">
        <f t="shared" ref="N18:N30" si="11">R18</f>
        <v>83</v>
      </c>
      <c r="O18" s="110">
        <f t="shared" ref="O18:O31" si="12">C18</f>
        <v>8.75</v>
      </c>
      <c r="P18" s="111">
        <f>'DAILY COGS'!AO14</f>
        <v>726.25</v>
      </c>
      <c r="Q18" s="115"/>
      <c r="R18" s="113">
        <f>GROSS!AM14</f>
        <v>83</v>
      </c>
      <c r="S18" s="113">
        <f>GROSS!AN7</f>
        <v>20</v>
      </c>
      <c r="T18" s="148">
        <f>GROSS!AO14</f>
        <v>1660</v>
      </c>
    </row>
    <row r="19" spans="1:26" ht="14.5">
      <c r="A19" s="211" t="str">
        <f>'1'!A18</f>
        <v>12 oz</v>
      </c>
      <c r="B19" s="235">
        <f>'1'!B18</f>
        <v>227</v>
      </c>
      <c r="C19" s="220">
        <f>DELIVERIES!AT7</f>
        <v>12.25</v>
      </c>
      <c r="D19" s="111">
        <f t="shared" si="7"/>
        <v>2780.75</v>
      </c>
      <c r="E19" s="113">
        <f>DELIVERIES!AS14</f>
        <v>288</v>
      </c>
      <c r="F19" s="109">
        <f>DELIVERIES!AU14</f>
        <v>3528</v>
      </c>
      <c r="G19" s="224">
        <f>B.O!AP14</f>
        <v>0</v>
      </c>
      <c r="H19" s="111">
        <f>B.O!AR14</f>
        <v>0</v>
      </c>
      <c r="I19" s="109">
        <f t="shared" si="8"/>
        <v>234</v>
      </c>
      <c r="J19" s="103">
        <f t="shared" si="9"/>
        <v>12.25</v>
      </c>
      <c r="K19" s="107">
        <f t="shared" si="10"/>
        <v>2866.5</v>
      </c>
      <c r="L19" s="114"/>
      <c r="M19" s="101" t="str">
        <f t="shared" si="4"/>
        <v>12 oz</v>
      </c>
      <c r="N19" s="113">
        <f t="shared" si="11"/>
        <v>281</v>
      </c>
      <c r="O19" s="110">
        <f t="shared" si="12"/>
        <v>12.25</v>
      </c>
      <c r="P19" s="111">
        <f>'DAILY COGS'!AR14</f>
        <v>3442.25</v>
      </c>
      <c r="Q19" s="236"/>
      <c r="R19" s="113">
        <f>GROSS!AP14</f>
        <v>281</v>
      </c>
      <c r="S19" s="113">
        <f>GROSS!AQ7</f>
        <v>25</v>
      </c>
      <c r="T19" s="148">
        <f>GROSS!AR14</f>
        <v>7025</v>
      </c>
    </row>
    <row r="20" spans="1:26" ht="14.5">
      <c r="A20" s="211" t="str">
        <f>'1'!A19</f>
        <v>1 LITER</v>
      </c>
      <c r="B20" s="235">
        <f>'1'!B19</f>
        <v>0</v>
      </c>
      <c r="C20" s="220">
        <f>DELIVERIES!BU7</f>
        <v>30.25</v>
      </c>
      <c r="D20" s="111">
        <f t="shared" si="7"/>
        <v>0</v>
      </c>
      <c r="E20" s="113">
        <f>DELIVERIES!BT14</f>
        <v>0</v>
      </c>
      <c r="F20" s="109">
        <f>DELIVERIES!BV14</f>
        <v>0</v>
      </c>
      <c r="G20" s="224">
        <f>B.O!BQ14</f>
        <v>0</v>
      </c>
      <c r="H20" s="111">
        <f>B.O!BS14</f>
        <v>0</v>
      </c>
      <c r="I20" s="109">
        <f t="shared" si="8"/>
        <v>0</v>
      </c>
      <c r="J20" s="103">
        <f t="shared" si="9"/>
        <v>30.25</v>
      </c>
      <c r="K20" s="107">
        <f t="shared" si="10"/>
        <v>0</v>
      </c>
      <c r="L20" s="114"/>
      <c r="M20" s="211" t="str">
        <f t="shared" si="4"/>
        <v>1 LITER</v>
      </c>
      <c r="N20" s="113">
        <f t="shared" si="11"/>
        <v>0</v>
      </c>
      <c r="O20" s="110">
        <f t="shared" si="12"/>
        <v>30.25</v>
      </c>
      <c r="P20" s="111">
        <f>'DAILY COGS'!BS14</f>
        <v>0</v>
      </c>
      <c r="Q20" s="115"/>
      <c r="R20" s="113">
        <f>GROSS!BQ14</f>
        <v>0</v>
      </c>
      <c r="S20" s="113">
        <f>GROSS!BR7</f>
        <v>40</v>
      </c>
      <c r="T20" s="148">
        <f>GROSS!BS14</f>
        <v>0</v>
      </c>
    </row>
    <row r="21" spans="1:26" ht="15.75" customHeight="1">
      <c r="A21" s="211" t="str">
        <f>'1'!A20</f>
        <v>1.5 L</v>
      </c>
      <c r="B21" s="235">
        <f>'1'!B20</f>
        <v>0</v>
      </c>
      <c r="C21" s="220">
        <f>DELIVERIES!BX7</f>
        <v>15.916666666659999</v>
      </c>
      <c r="D21" s="111">
        <f t="shared" si="7"/>
        <v>0</v>
      </c>
      <c r="E21" s="113">
        <f>DELIVERIES!BW14</f>
        <v>0</v>
      </c>
      <c r="F21" s="109">
        <f>DELIVERIES!BY14</f>
        <v>0</v>
      </c>
      <c r="G21" s="224">
        <f>B.O!BT14</f>
        <v>0</v>
      </c>
      <c r="H21" s="111">
        <f>B.O!BV14</f>
        <v>0</v>
      </c>
      <c r="I21" s="109">
        <f t="shared" si="8"/>
        <v>0</v>
      </c>
      <c r="J21" s="103">
        <f t="shared" si="9"/>
        <v>15.916666666659999</v>
      </c>
      <c r="K21" s="107">
        <f t="shared" si="10"/>
        <v>0</v>
      </c>
      <c r="L21" s="114"/>
      <c r="M21" s="211" t="str">
        <f t="shared" si="4"/>
        <v>1.5 L</v>
      </c>
      <c r="N21" s="113">
        <f t="shared" si="11"/>
        <v>0</v>
      </c>
      <c r="O21" s="110">
        <f t="shared" si="12"/>
        <v>15.916666666659999</v>
      </c>
      <c r="P21" s="111">
        <f>'DAILY COGS'!BV14</f>
        <v>0</v>
      </c>
      <c r="Q21" s="115"/>
      <c r="R21" s="113">
        <f>GROSS!BT14</f>
        <v>0</v>
      </c>
      <c r="S21" s="113">
        <f>GROSS!BU7</f>
        <v>80</v>
      </c>
      <c r="T21" s="148">
        <f>GROSS!BV14</f>
        <v>0</v>
      </c>
    </row>
    <row r="22" spans="1:26" ht="15.75" customHeight="1">
      <c r="A22" s="211" t="str">
        <f>'1'!A21</f>
        <v>Water 350ml</v>
      </c>
      <c r="B22" s="235">
        <f>'1'!B21</f>
        <v>0</v>
      </c>
      <c r="C22" s="220">
        <f>DELIVERIES!AW7</f>
        <v>7.9166666666600003</v>
      </c>
      <c r="D22" s="111">
        <f t="shared" si="7"/>
        <v>0</v>
      </c>
      <c r="E22" s="113">
        <f>DELIVERIES!AV14</f>
        <v>0</v>
      </c>
      <c r="F22" s="109">
        <f>DELIVERIES!AX14</f>
        <v>0</v>
      </c>
      <c r="G22" s="224">
        <f>B.O!AS14</f>
        <v>0</v>
      </c>
      <c r="H22" s="111">
        <f>B.O!AU14</f>
        <v>0</v>
      </c>
      <c r="I22" s="109">
        <f t="shared" si="8"/>
        <v>0</v>
      </c>
      <c r="J22" s="103">
        <f t="shared" si="9"/>
        <v>7.9166666666600003</v>
      </c>
      <c r="K22" s="107">
        <f t="shared" si="10"/>
        <v>0</v>
      </c>
      <c r="L22" s="114"/>
      <c r="M22" s="211" t="str">
        <f t="shared" si="4"/>
        <v>Water 350ml</v>
      </c>
      <c r="N22" s="113">
        <f t="shared" si="11"/>
        <v>0</v>
      </c>
      <c r="O22" s="110">
        <f t="shared" si="12"/>
        <v>7.9166666666600003</v>
      </c>
      <c r="P22" s="111">
        <f>'DAILY COGS'!AU14</f>
        <v>0</v>
      </c>
      <c r="Q22" s="115"/>
      <c r="R22" s="113">
        <f>GROSS!AS14</f>
        <v>0</v>
      </c>
      <c r="S22" s="113">
        <f>GROSS!AT7</f>
        <v>15</v>
      </c>
      <c r="T22" s="148">
        <f>GROSS!AU14</f>
        <v>0</v>
      </c>
    </row>
    <row r="23" spans="1:26" ht="15.75" customHeight="1">
      <c r="A23" s="211" t="str">
        <f>'1'!A22</f>
        <v>Water 500ml</v>
      </c>
      <c r="B23" s="235">
        <f>'1'!B22</f>
        <v>85</v>
      </c>
      <c r="C23" s="220">
        <f>DELIVERIES!AZ7</f>
        <v>9.7916666666666661</v>
      </c>
      <c r="D23" s="111">
        <f t="shared" si="7"/>
        <v>832.29166666666663</v>
      </c>
      <c r="E23" s="113">
        <f>DELIVERIES!AY14</f>
        <v>0</v>
      </c>
      <c r="F23" s="109">
        <f>DELIVERIES!BA14</f>
        <v>0</v>
      </c>
      <c r="G23" s="224">
        <f>B.O!AV14</f>
        <v>0</v>
      </c>
      <c r="H23" s="111">
        <f t="shared" ref="H23:H30" si="13">G23*C23</f>
        <v>0</v>
      </c>
      <c r="I23" s="109">
        <f t="shared" si="8"/>
        <v>39</v>
      </c>
      <c r="J23" s="103">
        <f t="shared" si="9"/>
        <v>9.7916666666666661</v>
      </c>
      <c r="K23" s="107">
        <f t="shared" si="10"/>
        <v>381.875</v>
      </c>
      <c r="L23" s="114"/>
      <c r="M23" s="211" t="str">
        <f t="shared" si="4"/>
        <v>Water 500ml</v>
      </c>
      <c r="N23" s="113">
        <f t="shared" si="11"/>
        <v>46</v>
      </c>
      <c r="O23" s="110">
        <f t="shared" si="12"/>
        <v>9.7916666666666661</v>
      </c>
      <c r="P23" s="111">
        <f>'DAILY COGS'!AX14</f>
        <v>450.41666666666663</v>
      </c>
      <c r="Q23" s="115"/>
      <c r="R23" s="113">
        <f>GROSS!AV14</f>
        <v>46</v>
      </c>
      <c r="S23" s="113">
        <f>GROSS!AW7</f>
        <v>20</v>
      </c>
      <c r="T23" s="148">
        <f>GROSS!AX14</f>
        <v>920</v>
      </c>
    </row>
    <row r="24" spans="1:26" ht="15.75" customHeight="1">
      <c r="A24" s="211" t="str">
        <f>'1'!A23</f>
        <v>GATORADE</v>
      </c>
      <c r="B24" s="235">
        <f>'1'!B23</f>
        <v>0</v>
      </c>
      <c r="C24" s="220">
        <f>DELIVERIES!BL7</f>
        <v>23</v>
      </c>
      <c r="D24" s="111">
        <f t="shared" si="7"/>
        <v>0</v>
      </c>
      <c r="E24" s="113">
        <f>DELIVERIES!BK14</f>
        <v>0</v>
      </c>
      <c r="F24" s="109">
        <f>DELIVERIES!BM14</f>
        <v>0</v>
      </c>
      <c r="G24" s="224">
        <f>B.O!BH14</f>
        <v>0</v>
      </c>
      <c r="H24" s="111">
        <f t="shared" si="13"/>
        <v>0</v>
      </c>
      <c r="I24" s="109">
        <f t="shared" si="8"/>
        <v>0</v>
      </c>
      <c r="J24" s="103">
        <f t="shared" si="9"/>
        <v>23</v>
      </c>
      <c r="K24" s="107">
        <f t="shared" si="10"/>
        <v>0</v>
      </c>
      <c r="L24" s="114"/>
      <c r="M24" s="211" t="str">
        <f t="shared" si="4"/>
        <v>GATORADE</v>
      </c>
      <c r="N24" s="113">
        <f t="shared" si="11"/>
        <v>0</v>
      </c>
      <c r="O24" s="110">
        <f t="shared" si="12"/>
        <v>23</v>
      </c>
      <c r="P24" s="111">
        <f>'DAILY COGS'!BJ14</f>
        <v>0</v>
      </c>
      <c r="Q24" s="115"/>
      <c r="R24" s="113">
        <f>GROSS!BH14</f>
        <v>0</v>
      </c>
      <c r="S24" s="113">
        <f>GROSS!BI7</f>
        <v>35</v>
      </c>
      <c r="T24" s="148">
        <f>GROSS!BJ14</f>
        <v>0</v>
      </c>
    </row>
    <row r="25" spans="1:26" ht="15.75" customHeight="1">
      <c r="A25" s="211" t="str">
        <f>'1'!A24</f>
        <v>STING</v>
      </c>
      <c r="B25" s="235">
        <f>'1'!B24</f>
        <v>26</v>
      </c>
      <c r="C25" s="220">
        <f>DELIVERIES!BR7</f>
        <v>12.75</v>
      </c>
      <c r="D25" s="111">
        <f t="shared" si="7"/>
        <v>331.5</v>
      </c>
      <c r="E25" s="113">
        <f>DELIVERIES!BQ14</f>
        <v>24</v>
      </c>
      <c r="F25" s="109">
        <f>DELIVERIES!BS14</f>
        <v>306</v>
      </c>
      <c r="G25" s="224">
        <f>B.O!BN14</f>
        <v>0</v>
      </c>
      <c r="H25" s="111">
        <f t="shared" si="13"/>
        <v>0</v>
      </c>
      <c r="I25" s="109">
        <f t="shared" si="8"/>
        <v>18</v>
      </c>
      <c r="J25" s="103">
        <f t="shared" si="9"/>
        <v>12.75</v>
      </c>
      <c r="K25" s="107">
        <f t="shared" si="10"/>
        <v>229.5</v>
      </c>
      <c r="L25" s="114"/>
      <c r="M25" s="211" t="str">
        <f t="shared" si="4"/>
        <v>STING</v>
      </c>
      <c r="N25" s="113">
        <f t="shared" si="11"/>
        <v>32</v>
      </c>
      <c r="O25" s="110">
        <f t="shared" si="12"/>
        <v>12.75</v>
      </c>
      <c r="P25" s="111">
        <f>'DAILY COGS'!BP14</f>
        <v>408</v>
      </c>
      <c r="Q25" s="115"/>
      <c r="R25" s="113">
        <f>GROSS!BN14</f>
        <v>32</v>
      </c>
      <c r="S25" s="113">
        <f>GROSS!BO7</f>
        <v>25</v>
      </c>
      <c r="T25" s="148">
        <f>GROSS!BP14</f>
        <v>800</v>
      </c>
    </row>
    <row r="26" spans="1:26" ht="15.75" customHeight="1">
      <c r="A26" s="211" t="str">
        <f>'1'!A25</f>
        <v>TROPICANA</v>
      </c>
      <c r="B26" s="235">
        <f>'1'!B25</f>
        <v>0</v>
      </c>
      <c r="C26" s="220">
        <f>DELIVERIES!BO7</f>
        <v>12.5</v>
      </c>
      <c r="D26" s="111">
        <f t="shared" si="7"/>
        <v>0</v>
      </c>
      <c r="E26" s="113">
        <f>DELIVERIES!BN14</f>
        <v>0</v>
      </c>
      <c r="F26" s="109">
        <f>DELIVERIES!BP14</f>
        <v>0</v>
      </c>
      <c r="G26" s="224">
        <f>B.O!BK14</f>
        <v>0</v>
      </c>
      <c r="H26" s="111">
        <f t="shared" si="13"/>
        <v>0</v>
      </c>
      <c r="I26" s="109">
        <f t="shared" si="8"/>
        <v>0</v>
      </c>
      <c r="J26" s="103">
        <f t="shared" si="9"/>
        <v>12.5</v>
      </c>
      <c r="K26" s="107">
        <f t="shared" si="10"/>
        <v>0</v>
      </c>
      <c r="L26" s="114"/>
      <c r="M26" s="211" t="str">
        <f t="shared" si="4"/>
        <v>TROPICANA</v>
      </c>
      <c r="N26" s="113">
        <f t="shared" si="11"/>
        <v>0</v>
      </c>
      <c r="O26" s="110">
        <f t="shared" si="12"/>
        <v>12.5</v>
      </c>
      <c r="P26" s="111">
        <f>'DAILY COGS'!BM14</f>
        <v>0</v>
      </c>
      <c r="Q26" s="115"/>
      <c r="R26" s="113">
        <f>GROSS!BK14</f>
        <v>0</v>
      </c>
      <c r="S26" s="113">
        <f>GROSS!BL7</f>
        <v>22</v>
      </c>
      <c r="T26" s="148">
        <f>GROSS!BM14</f>
        <v>0</v>
      </c>
    </row>
    <row r="27" spans="1:26" ht="15.75" customHeight="1">
      <c r="A27" s="211" t="str">
        <f>'1'!A26</f>
        <v>PANALO</v>
      </c>
      <c r="B27" s="235">
        <f>'1'!B26</f>
        <v>0</v>
      </c>
      <c r="C27" s="220">
        <f>DELIVERIES!BC7</f>
        <v>16.333333333333332</v>
      </c>
      <c r="D27" s="111">
        <f t="shared" si="7"/>
        <v>0</v>
      </c>
      <c r="E27" s="113">
        <f>DELIVERIES!BB14</f>
        <v>0</v>
      </c>
      <c r="F27" s="109">
        <f>DELIVERIES!BD14</f>
        <v>0</v>
      </c>
      <c r="G27" s="224">
        <f>B.O!AY14</f>
        <v>0</v>
      </c>
      <c r="H27" s="111">
        <f t="shared" si="13"/>
        <v>0</v>
      </c>
      <c r="I27" s="109">
        <f t="shared" si="8"/>
        <v>0</v>
      </c>
      <c r="J27" s="103">
        <f t="shared" si="9"/>
        <v>16.333333333333332</v>
      </c>
      <c r="K27" s="107">
        <f t="shared" si="10"/>
        <v>0</v>
      </c>
      <c r="L27" s="114"/>
      <c r="M27" s="211" t="str">
        <f t="shared" si="4"/>
        <v>PANALO</v>
      </c>
      <c r="N27" s="113">
        <f t="shared" si="11"/>
        <v>0</v>
      </c>
      <c r="O27" s="110">
        <f t="shared" si="12"/>
        <v>16.333333333333332</v>
      </c>
      <c r="P27" s="111">
        <f>'DAILY COGS'!BA14</f>
        <v>0</v>
      </c>
      <c r="Q27" s="115"/>
      <c r="R27" s="113">
        <f>GROSS!AY14</f>
        <v>0</v>
      </c>
      <c r="S27" s="113">
        <f>GROSS!AZ7</f>
        <v>25</v>
      </c>
      <c r="T27" s="148">
        <f>GROSS!BA14</f>
        <v>0</v>
      </c>
    </row>
    <row r="28" spans="1:26" ht="15.75" customHeight="1">
      <c r="A28" s="211" t="str">
        <f>'1'!A27</f>
        <v>SWAKTO</v>
      </c>
      <c r="B28" s="235">
        <f>'1'!B27</f>
        <v>107</v>
      </c>
      <c r="C28" s="220">
        <f>DELIVERIES!BF7</f>
        <v>11.5</v>
      </c>
      <c r="D28" s="111">
        <f t="shared" si="7"/>
        <v>1230.5</v>
      </c>
      <c r="E28" s="113">
        <f>DELIVERIES!BE14</f>
        <v>0</v>
      </c>
      <c r="F28" s="109">
        <f>DELIVERIES!BG14</f>
        <v>0</v>
      </c>
      <c r="G28" s="224">
        <f>B.O!BB14</f>
        <v>0</v>
      </c>
      <c r="H28" s="111">
        <f t="shared" si="13"/>
        <v>0</v>
      </c>
      <c r="I28" s="109">
        <f t="shared" si="8"/>
        <v>50</v>
      </c>
      <c r="J28" s="103">
        <f t="shared" si="9"/>
        <v>11.5</v>
      </c>
      <c r="K28" s="107">
        <f t="shared" si="10"/>
        <v>575</v>
      </c>
      <c r="L28" s="114"/>
      <c r="M28" s="211" t="str">
        <f t="shared" si="4"/>
        <v>SWAKTO</v>
      </c>
      <c r="N28" s="113">
        <f t="shared" si="11"/>
        <v>57</v>
      </c>
      <c r="O28" s="110">
        <f t="shared" si="12"/>
        <v>11.5</v>
      </c>
      <c r="P28" s="111">
        <f>'DAILY COGS'!BD14</f>
        <v>655.5</v>
      </c>
      <c r="Q28" s="115"/>
      <c r="R28" s="113">
        <f>GROSS!BB14</f>
        <v>57</v>
      </c>
      <c r="S28" s="113">
        <f>GROSS!BC7</f>
        <v>17</v>
      </c>
      <c r="T28" s="148">
        <f>GROSS!BD14</f>
        <v>969</v>
      </c>
    </row>
    <row r="29" spans="1:26" ht="15.75" customHeight="1">
      <c r="A29" s="211" t="str">
        <f>'1'!A28</f>
        <v>CALAMANSI JUICE</v>
      </c>
      <c r="B29" s="235">
        <f>'1'!B28</f>
        <v>88</v>
      </c>
      <c r="C29" s="220">
        <f>DELIVERIES!BI7</f>
        <v>20</v>
      </c>
      <c r="D29" s="111">
        <f t="shared" si="7"/>
        <v>1760</v>
      </c>
      <c r="E29" s="113">
        <f>DELIVERIES!BH14</f>
        <v>0</v>
      </c>
      <c r="F29" s="109">
        <f>DELIVERIES!BJ14</f>
        <v>0</v>
      </c>
      <c r="G29" s="224">
        <f>B.O!BE14</f>
        <v>0</v>
      </c>
      <c r="H29" s="111">
        <f t="shared" si="13"/>
        <v>0</v>
      </c>
      <c r="I29" s="109">
        <f t="shared" si="8"/>
        <v>52</v>
      </c>
      <c r="J29" s="103">
        <f t="shared" si="9"/>
        <v>20</v>
      </c>
      <c r="K29" s="107">
        <f t="shared" si="10"/>
        <v>1040</v>
      </c>
      <c r="L29" s="114"/>
      <c r="M29" s="211" t="str">
        <f t="shared" si="4"/>
        <v>CALAMANSI JUICE</v>
      </c>
      <c r="N29" s="113">
        <f t="shared" si="11"/>
        <v>36</v>
      </c>
      <c r="O29" s="110">
        <f t="shared" si="12"/>
        <v>20</v>
      </c>
      <c r="P29" s="111">
        <f>'DAILY COGS'!BG14</f>
        <v>720</v>
      </c>
      <c r="Q29" s="115"/>
      <c r="R29" s="113">
        <f>GROSS!BE14</f>
        <v>36</v>
      </c>
      <c r="S29" s="113">
        <f>GROSS!BF7</f>
        <v>25</v>
      </c>
      <c r="T29" s="148">
        <f>GROSS!BG14</f>
        <v>900</v>
      </c>
    </row>
    <row r="30" spans="1:26" ht="15.75" customHeight="1">
      <c r="A30" s="211" t="str">
        <f>'1'!A29</f>
        <v>PREMIUM CUT</v>
      </c>
      <c r="B30" s="235">
        <f>'1'!B29</f>
        <v>0</v>
      </c>
      <c r="C30" s="220">
        <f>DELIVERIES!C7</f>
        <v>30</v>
      </c>
      <c r="D30" s="111">
        <f t="shared" si="7"/>
        <v>0</v>
      </c>
      <c r="E30" s="113">
        <f>DELIVERIES!B14</f>
        <v>0</v>
      </c>
      <c r="F30" s="109">
        <f>C30*E30</f>
        <v>0</v>
      </c>
      <c r="G30" s="224">
        <f>B.O!B14</f>
        <v>0</v>
      </c>
      <c r="H30" s="111">
        <f t="shared" si="13"/>
        <v>0</v>
      </c>
      <c r="I30" s="109">
        <f t="shared" si="8"/>
        <v>0</v>
      </c>
      <c r="J30" s="103">
        <f t="shared" si="9"/>
        <v>30</v>
      </c>
      <c r="K30" s="107">
        <f t="shared" si="10"/>
        <v>0</v>
      </c>
      <c r="L30" s="114"/>
      <c r="M30" s="211" t="str">
        <f t="shared" si="4"/>
        <v>PREMIUM CUT</v>
      </c>
      <c r="N30" s="113">
        <f t="shared" si="11"/>
        <v>0</v>
      </c>
      <c r="O30" s="110">
        <f t="shared" si="12"/>
        <v>30</v>
      </c>
      <c r="P30" s="111">
        <f>'DAILY COGS'!D14</f>
        <v>0</v>
      </c>
      <c r="Q30" s="115"/>
      <c r="R30" s="113">
        <f>GROSS!B14</f>
        <v>0</v>
      </c>
      <c r="S30" s="113">
        <f>GROSS!C13</f>
        <v>40</v>
      </c>
      <c r="T30" s="148">
        <f>R30*S30</f>
        <v>0</v>
      </c>
    </row>
    <row r="31" spans="1:26" ht="15.75" customHeight="1">
      <c r="A31" s="227" t="str">
        <f>'1'!A30</f>
        <v>SUB TOTAL</v>
      </c>
      <c r="B31" s="238"/>
      <c r="C31" s="239"/>
      <c r="D31" s="127">
        <f t="shared" ref="D31:I31" si="14">SUM(D18:D30)</f>
        <v>7547.541666666667</v>
      </c>
      <c r="E31" s="127">
        <f t="shared" si="14"/>
        <v>408</v>
      </c>
      <c r="F31" s="127">
        <f t="shared" si="14"/>
        <v>4674</v>
      </c>
      <c r="G31" s="127">
        <f t="shared" si="14"/>
        <v>0</v>
      </c>
      <c r="H31" s="127">
        <f t="shared" si="14"/>
        <v>0</v>
      </c>
      <c r="I31" s="127">
        <f t="shared" si="14"/>
        <v>476</v>
      </c>
      <c r="J31" s="127"/>
      <c r="K31" s="127">
        <f>SUM(K18:K30)</f>
        <v>5819.125</v>
      </c>
      <c r="L31" s="124"/>
      <c r="M31" s="242" t="str">
        <f t="shared" si="4"/>
        <v>SUB TOTAL</v>
      </c>
      <c r="N31" s="122"/>
      <c r="O31" s="125">
        <f t="shared" si="12"/>
        <v>0</v>
      </c>
      <c r="P31" s="127">
        <f>SUM(P18:P30)</f>
        <v>6402.416666666667</v>
      </c>
      <c r="Q31" s="126"/>
      <c r="R31" s="122">
        <f>GROSS!BW14</f>
        <v>0</v>
      </c>
      <c r="S31" s="122">
        <f>GROSS!BX7</f>
        <v>0</v>
      </c>
      <c r="T31" s="127">
        <f>SUM(T18:T30)</f>
        <v>12274</v>
      </c>
    </row>
    <row r="32" spans="1:26" ht="15.75" customHeight="1">
      <c r="A32" s="149" t="s">
        <v>23</v>
      </c>
      <c r="B32" s="150"/>
      <c r="C32" s="150"/>
      <c r="D32" s="151">
        <f t="shared" ref="D32:K32" si="15">D31+D17</f>
        <v>15926.041666666668</v>
      </c>
      <c r="E32" s="151">
        <f t="shared" si="15"/>
        <v>408</v>
      </c>
      <c r="F32" s="151">
        <f t="shared" si="15"/>
        <v>74001.5</v>
      </c>
      <c r="G32" s="151">
        <f t="shared" si="15"/>
        <v>0</v>
      </c>
      <c r="H32" s="151">
        <f t="shared" si="15"/>
        <v>0</v>
      </c>
      <c r="I32" s="151">
        <f t="shared" si="15"/>
        <v>476</v>
      </c>
      <c r="J32" s="151">
        <f t="shared" si="15"/>
        <v>0</v>
      </c>
      <c r="K32" s="151">
        <f t="shared" si="15"/>
        <v>17170.625</v>
      </c>
      <c r="L32" s="152"/>
      <c r="M32" s="153" t="str">
        <f t="shared" si="4"/>
        <v>TOTAL</v>
      </c>
      <c r="N32" s="150">
        <f>SUM(N8:N31)</f>
        <v>4495</v>
      </c>
      <c r="O32" s="154"/>
      <c r="P32" s="151">
        <f>P31+P17</f>
        <v>72756.916666666672</v>
      </c>
      <c r="Q32" s="155"/>
      <c r="R32" s="150">
        <f>SUM(R8:R31)</f>
        <v>4495</v>
      </c>
      <c r="S32" s="150"/>
      <c r="T32" s="151">
        <f>T31+T17</f>
        <v>111990</v>
      </c>
    </row>
    <row r="33" spans="1:20" ht="15.75" customHeight="1">
      <c r="A33" s="155"/>
      <c r="B33" s="245"/>
      <c r="C33" s="245"/>
      <c r="D33" s="245"/>
      <c r="E33" s="245"/>
      <c r="F33" s="247">
        <f>DELIVERIES!CA14</f>
        <v>74001.5</v>
      </c>
      <c r="G33" s="245"/>
      <c r="H33" s="247">
        <f>B.O!CA14</f>
        <v>0</v>
      </c>
      <c r="I33" s="245"/>
      <c r="J33" s="245"/>
      <c r="K33" s="250"/>
      <c r="L33" s="245"/>
      <c r="M33" s="245"/>
      <c r="N33" s="245"/>
      <c r="O33" s="245"/>
      <c r="P33" s="245"/>
      <c r="Q33" s="155"/>
      <c r="R33" s="245"/>
      <c r="S33" s="245"/>
      <c r="T33" s="247">
        <f>GROSS!CA14</f>
        <v>111990</v>
      </c>
    </row>
    <row r="34" spans="1:20" ht="15.75" customHeight="1">
      <c r="A34" s="251" t="s">
        <v>124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4"/>
      <c r="L34" s="252"/>
      <c r="M34" s="252"/>
      <c r="N34" s="252"/>
      <c r="O34" s="252"/>
      <c r="P34" s="252"/>
      <c r="Q34" s="252"/>
      <c r="R34" s="252"/>
      <c r="S34" s="252"/>
      <c r="T34" s="252"/>
    </row>
    <row r="35" spans="1:20" ht="15.75" customHeight="1">
      <c r="A35" s="481" t="s">
        <v>90</v>
      </c>
      <c r="B35" s="478" t="s">
        <v>91</v>
      </c>
      <c r="C35" s="445"/>
      <c r="D35" s="423"/>
      <c r="E35" s="478" t="s">
        <v>92</v>
      </c>
      <c r="F35" s="445"/>
      <c r="G35" s="478" t="s">
        <v>93</v>
      </c>
      <c r="H35" s="423"/>
      <c r="I35" s="478" t="s">
        <v>94</v>
      </c>
      <c r="J35" s="445"/>
      <c r="K35" s="423"/>
      <c r="L35" s="96"/>
      <c r="M35" s="481" t="s">
        <v>90</v>
      </c>
      <c r="N35" s="478" t="s">
        <v>95</v>
      </c>
      <c r="O35" s="445"/>
      <c r="P35" s="423"/>
      <c r="Q35" s="207"/>
      <c r="R35" s="478" t="s">
        <v>96</v>
      </c>
      <c r="S35" s="445"/>
      <c r="T35" s="423"/>
    </row>
    <row r="36" spans="1:20" ht="15.75" customHeight="1">
      <c r="A36" s="436"/>
      <c r="B36" s="208" t="s">
        <v>97</v>
      </c>
      <c r="C36" s="209" t="s">
        <v>98</v>
      </c>
      <c r="D36" s="208" t="s">
        <v>99</v>
      </c>
      <c r="E36" s="208" t="s">
        <v>97</v>
      </c>
      <c r="F36" s="208" t="s">
        <v>99</v>
      </c>
      <c r="G36" s="208" t="s">
        <v>97</v>
      </c>
      <c r="H36" s="208" t="s">
        <v>99</v>
      </c>
      <c r="I36" s="208" t="s">
        <v>97</v>
      </c>
      <c r="J36" s="209" t="s">
        <v>98</v>
      </c>
      <c r="K36" s="210" t="s">
        <v>99</v>
      </c>
      <c r="L36" s="96"/>
      <c r="M36" s="436"/>
      <c r="N36" s="208" t="s">
        <v>97</v>
      </c>
      <c r="O36" s="209" t="s">
        <v>98</v>
      </c>
      <c r="P36" s="208" t="s">
        <v>99</v>
      </c>
      <c r="Q36" s="207"/>
      <c r="R36" s="208" t="s">
        <v>97</v>
      </c>
      <c r="S36" s="208" t="s">
        <v>100</v>
      </c>
      <c r="T36" s="208" t="s">
        <v>99</v>
      </c>
    </row>
    <row r="37" spans="1:20" ht="15.75" customHeight="1">
      <c r="A37" s="101" t="str">
        <f t="shared" ref="A37:A60" si="16">A8</f>
        <v>SPECIAL CUT</v>
      </c>
      <c r="B37" s="265">
        <f t="shared" ref="B37:D37" si="17">I8</f>
        <v>247</v>
      </c>
      <c r="C37" s="103">
        <f t="shared" si="17"/>
        <v>35</v>
      </c>
      <c r="D37" s="111">
        <f t="shared" si="17"/>
        <v>8645</v>
      </c>
      <c r="E37" s="109">
        <f>DELIVERIES!E26</f>
        <v>1400</v>
      </c>
      <c r="F37" s="111">
        <f>DELIVERIES!G26</f>
        <v>49000</v>
      </c>
      <c r="G37" s="267">
        <f>B.O!E26</f>
        <v>0</v>
      </c>
      <c r="H37" s="111">
        <f>B.O!G26</f>
        <v>0</v>
      </c>
      <c r="I37" s="109">
        <f t="shared" ref="I37:I45" si="18">B37+E37-G37-N37</f>
        <v>151</v>
      </c>
      <c r="J37" s="103">
        <f t="shared" ref="J37:J45" si="19">C37</f>
        <v>35</v>
      </c>
      <c r="K37" s="274">
        <f t="shared" ref="K37:K45" si="20">I37*J37</f>
        <v>5285</v>
      </c>
      <c r="L37" s="108"/>
      <c r="M37" s="101" t="str">
        <f t="shared" ref="M37:M61" si="21">A37</f>
        <v>SPECIAL CUT</v>
      </c>
      <c r="N37" s="109">
        <f t="shared" ref="N37:N45" si="22">R37</f>
        <v>1496</v>
      </c>
      <c r="O37" s="110">
        <f t="shared" ref="O37:O45" si="23">C37</f>
        <v>35</v>
      </c>
      <c r="P37" s="111">
        <f>'DAILY COGS'!G26</f>
        <v>52360</v>
      </c>
      <c r="Q37" s="112"/>
      <c r="R37" s="109">
        <f>GROSS!E26</f>
        <v>1496</v>
      </c>
      <c r="S37" s="109">
        <f t="shared" ref="S37:S45" si="24">S8</f>
        <v>50</v>
      </c>
      <c r="T37" s="104">
        <f>GROSS!G26</f>
        <v>74800</v>
      </c>
    </row>
    <row r="38" spans="1:20" ht="15.75" customHeight="1">
      <c r="A38" s="101" t="str">
        <f t="shared" si="16"/>
        <v>NGOHIONG</v>
      </c>
      <c r="B38" s="265">
        <f t="shared" ref="B38:D38" si="25">I9</f>
        <v>11</v>
      </c>
      <c r="C38" s="103">
        <f t="shared" si="25"/>
        <v>8.5</v>
      </c>
      <c r="D38" s="111">
        <f t="shared" si="25"/>
        <v>93.5</v>
      </c>
      <c r="E38" s="113">
        <f>DELIVERIES!H26</f>
        <v>80</v>
      </c>
      <c r="F38" s="111">
        <f>DELIVERIES!J26</f>
        <v>680</v>
      </c>
      <c r="G38" s="267">
        <f>B.O!H26</f>
        <v>0</v>
      </c>
      <c r="H38" s="111">
        <f>B.O!J26</f>
        <v>0</v>
      </c>
      <c r="I38" s="109">
        <f t="shared" si="18"/>
        <v>43</v>
      </c>
      <c r="J38" s="103">
        <f t="shared" si="19"/>
        <v>8.5</v>
      </c>
      <c r="K38" s="274">
        <f t="shared" si="20"/>
        <v>365.5</v>
      </c>
      <c r="L38" s="114"/>
      <c r="M38" s="101" t="str">
        <f t="shared" si="21"/>
        <v>NGOHIONG</v>
      </c>
      <c r="N38" s="109">
        <f t="shared" si="22"/>
        <v>48</v>
      </c>
      <c r="O38" s="110">
        <f t="shared" si="23"/>
        <v>8.5</v>
      </c>
      <c r="P38" s="111">
        <f>'DAILY COGS'!J26</f>
        <v>408</v>
      </c>
      <c r="Q38" s="115"/>
      <c r="R38" s="113">
        <f>GROSS!H26</f>
        <v>48</v>
      </c>
      <c r="S38" s="109">
        <f t="shared" si="24"/>
        <v>12</v>
      </c>
      <c r="T38" s="104">
        <f>GROSS!J26</f>
        <v>576</v>
      </c>
    </row>
    <row r="39" spans="1:20" ht="15.75" customHeight="1">
      <c r="A39" s="101" t="str">
        <f t="shared" si="16"/>
        <v>NECK</v>
      </c>
      <c r="B39" s="265">
        <f t="shared" ref="B39:D39" si="26">I10</f>
        <v>64</v>
      </c>
      <c r="C39" s="103">
        <f t="shared" si="26"/>
        <v>7</v>
      </c>
      <c r="D39" s="111">
        <f t="shared" si="26"/>
        <v>448</v>
      </c>
      <c r="E39" s="113">
        <f>DELIVERIES!N26</f>
        <v>600</v>
      </c>
      <c r="F39" s="111">
        <f>DELIVERIES!P26</f>
        <v>4200</v>
      </c>
      <c r="G39" s="267">
        <f>B.O!N26</f>
        <v>0</v>
      </c>
      <c r="H39" s="111">
        <f>B.O!P26</f>
        <v>0</v>
      </c>
      <c r="I39" s="109">
        <f t="shared" si="18"/>
        <v>50</v>
      </c>
      <c r="J39" s="103">
        <f t="shared" si="19"/>
        <v>7</v>
      </c>
      <c r="K39" s="274">
        <f t="shared" si="20"/>
        <v>350</v>
      </c>
      <c r="L39" s="114"/>
      <c r="M39" s="101" t="str">
        <f t="shared" si="21"/>
        <v>NECK</v>
      </c>
      <c r="N39" s="109">
        <f t="shared" si="22"/>
        <v>614</v>
      </c>
      <c r="O39" s="110">
        <f t="shared" si="23"/>
        <v>7</v>
      </c>
      <c r="P39" s="111">
        <f>'DAILY COGS'!P26</f>
        <v>4298</v>
      </c>
      <c r="Q39" s="115"/>
      <c r="R39" s="113">
        <f>GROSS!N26</f>
        <v>614</v>
      </c>
      <c r="S39" s="109">
        <f t="shared" si="24"/>
        <v>12</v>
      </c>
      <c r="T39" s="104">
        <f>GROSS!P26</f>
        <v>7368</v>
      </c>
    </row>
    <row r="40" spans="1:20" ht="15.75" customHeight="1">
      <c r="A40" s="101" t="str">
        <f t="shared" si="16"/>
        <v>SIOMAI</v>
      </c>
      <c r="B40" s="265">
        <f t="shared" ref="B40:D40" si="27">I11</f>
        <v>39</v>
      </c>
      <c r="C40" s="103">
        <f t="shared" si="27"/>
        <v>5.5</v>
      </c>
      <c r="D40" s="111">
        <f t="shared" si="27"/>
        <v>214.5</v>
      </c>
      <c r="E40" s="113">
        <f>DELIVERIES!Q26</f>
        <v>0</v>
      </c>
      <c r="F40" s="111">
        <f>DELIVERIES!S26</f>
        <v>0</v>
      </c>
      <c r="G40" s="117">
        <f>B.O!Q26</f>
        <v>0</v>
      </c>
      <c r="H40" s="111">
        <f>B.O!S26</f>
        <v>0</v>
      </c>
      <c r="I40" s="109">
        <f t="shared" si="18"/>
        <v>39</v>
      </c>
      <c r="J40" s="103">
        <f t="shared" si="19"/>
        <v>5.5</v>
      </c>
      <c r="K40" s="274">
        <f t="shared" si="20"/>
        <v>214.5</v>
      </c>
      <c r="L40" s="114"/>
      <c r="M40" s="101" t="str">
        <f t="shared" si="21"/>
        <v>SIOMAI</v>
      </c>
      <c r="N40" s="109">
        <f t="shared" si="22"/>
        <v>0</v>
      </c>
      <c r="O40" s="110">
        <f t="shared" si="23"/>
        <v>5.5</v>
      </c>
      <c r="P40" s="111">
        <f>'DAILY COGS'!S26</f>
        <v>0</v>
      </c>
      <c r="Q40" s="115"/>
      <c r="R40" s="113">
        <f>GROSS!Q26</f>
        <v>0</v>
      </c>
      <c r="S40" s="109">
        <f t="shared" si="24"/>
        <v>7.5</v>
      </c>
      <c r="T40" s="104">
        <f>GROSS!S26</f>
        <v>0</v>
      </c>
    </row>
    <row r="41" spans="1:20" ht="15.75" customHeight="1">
      <c r="A41" s="101" t="str">
        <f t="shared" si="16"/>
        <v>RICE</v>
      </c>
      <c r="B41" s="265">
        <f t="shared" ref="B41:D41" si="28">I12</f>
        <v>29</v>
      </c>
      <c r="C41" s="103">
        <f t="shared" si="28"/>
        <v>8.5</v>
      </c>
      <c r="D41" s="111">
        <f t="shared" si="28"/>
        <v>246.5</v>
      </c>
      <c r="E41" s="113">
        <f>DELIVERIES!T26</f>
        <v>1270</v>
      </c>
      <c r="F41" s="111">
        <f>DELIVERIES!V26</f>
        <v>10795</v>
      </c>
      <c r="G41" s="117">
        <f>B.O!T26</f>
        <v>0</v>
      </c>
      <c r="H41" s="111">
        <f>B.O!V26</f>
        <v>0</v>
      </c>
      <c r="I41" s="109">
        <f t="shared" si="18"/>
        <v>40</v>
      </c>
      <c r="J41" s="103">
        <f t="shared" si="19"/>
        <v>8.5</v>
      </c>
      <c r="K41" s="274">
        <f t="shared" si="20"/>
        <v>340</v>
      </c>
      <c r="L41" s="114"/>
      <c r="M41" s="101" t="str">
        <f t="shared" si="21"/>
        <v>RICE</v>
      </c>
      <c r="N41" s="109">
        <f t="shared" si="22"/>
        <v>1259</v>
      </c>
      <c r="O41" s="110">
        <f t="shared" si="23"/>
        <v>8.5</v>
      </c>
      <c r="P41" s="111">
        <f>'DAILY COGS'!V26</f>
        <v>10701.5</v>
      </c>
      <c r="Q41" s="115"/>
      <c r="R41" s="113">
        <f>GROSS!T26</f>
        <v>1259</v>
      </c>
      <c r="S41" s="109">
        <f t="shared" si="24"/>
        <v>15</v>
      </c>
      <c r="T41" s="104">
        <f>GROSS!V26</f>
        <v>18885</v>
      </c>
    </row>
    <row r="42" spans="1:20" ht="15.75" customHeight="1">
      <c r="A42" s="101" t="str">
        <f t="shared" si="16"/>
        <v>BOLA BOLA</v>
      </c>
      <c r="B42" s="265">
        <f t="shared" ref="B42:D42" si="29">I13</f>
        <v>68</v>
      </c>
      <c r="C42" s="103">
        <f t="shared" si="29"/>
        <v>6</v>
      </c>
      <c r="D42" s="111">
        <f t="shared" si="29"/>
        <v>408</v>
      </c>
      <c r="E42" s="113">
        <f>DELIVERIES!W26</f>
        <v>320</v>
      </c>
      <c r="F42" s="111">
        <f>DELIVERIES!Y26</f>
        <v>1920</v>
      </c>
      <c r="G42" s="117">
        <f>B.O!W26</f>
        <v>0</v>
      </c>
      <c r="H42" s="111">
        <f>B.O!Y26</f>
        <v>0</v>
      </c>
      <c r="I42" s="109">
        <f t="shared" si="18"/>
        <v>98</v>
      </c>
      <c r="J42" s="103">
        <f t="shared" si="19"/>
        <v>6</v>
      </c>
      <c r="K42" s="274">
        <f t="shared" si="20"/>
        <v>588</v>
      </c>
      <c r="L42" s="114"/>
      <c r="M42" s="101" t="str">
        <f t="shared" si="21"/>
        <v>BOLA BOLA</v>
      </c>
      <c r="N42" s="109">
        <f t="shared" si="22"/>
        <v>290</v>
      </c>
      <c r="O42" s="110">
        <f t="shared" si="23"/>
        <v>6</v>
      </c>
      <c r="P42" s="111">
        <f>'DAILY COGS'!Y26</f>
        <v>1740</v>
      </c>
      <c r="Q42" s="115"/>
      <c r="R42" s="113">
        <f>GROSS!W26</f>
        <v>290</v>
      </c>
      <c r="S42" s="109">
        <f t="shared" si="24"/>
        <v>10</v>
      </c>
      <c r="T42" s="104">
        <f>GROSS!Y26</f>
        <v>2900</v>
      </c>
    </row>
    <row r="43" spans="1:20" ht="15.75" customHeight="1">
      <c r="A43" s="101" t="str">
        <f t="shared" si="16"/>
        <v>LUMPIA</v>
      </c>
      <c r="B43" s="265">
        <f t="shared" ref="B43:D43" si="30">I14</f>
        <v>61</v>
      </c>
      <c r="C43" s="103">
        <f t="shared" si="30"/>
        <v>6</v>
      </c>
      <c r="D43" s="111">
        <f t="shared" si="30"/>
        <v>366</v>
      </c>
      <c r="E43" s="113">
        <f>DELIVERIES!Z26</f>
        <v>250</v>
      </c>
      <c r="F43" s="111">
        <f>DELIVERIES!AB26</f>
        <v>1500</v>
      </c>
      <c r="G43" s="117">
        <f>B.O!Z26</f>
        <v>0</v>
      </c>
      <c r="H43" s="111">
        <f>B.O!AB26</f>
        <v>0</v>
      </c>
      <c r="I43" s="109">
        <f t="shared" si="18"/>
        <v>45</v>
      </c>
      <c r="J43" s="103">
        <f t="shared" si="19"/>
        <v>6</v>
      </c>
      <c r="K43" s="274">
        <f t="shared" si="20"/>
        <v>270</v>
      </c>
      <c r="L43" s="114"/>
      <c r="M43" s="101" t="str">
        <f t="shared" si="21"/>
        <v>LUMPIA</v>
      </c>
      <c r="N43" s="109">
        <f t="shared" si="22"/>
        <v>266</v>
      </c>
      <c r="O43" s="110">
        <f t="shared" si="23"/>
        <v>6</v>
      </c>
      <c r="P43" s="111">
        <f>'DAILY COGS'!AB26</f>
        <v>1596</v>
      </c>
      <c r="Q43" s="115"/>
      <c r="R43" s="113">
        <f>GROSS!Z26</f>
        <v>266</v>
      </c>
      <c r="S43" s="109">
        <f t="shared" si="24"/>
        <v>8</v>
      </c>
      <c r="T43" s="104">
        <f>GROSS!AB26</f>
        <v>2128</v>
      </c>
    </row>
    <row r="44" spans="1:20" ht="15.75" customHeight="1">
      <c r="A44" s="101" t="str">
        <f t="shared" si="16"/>
        <v>ATSARA</v>
      </c>
      <c r="B44" s="265">
        <f t="shared" ref="B44:D44" si="31">I15</f>
        <v>33</v>
      </c>
      <c r="C44" s="103">
        <f t="shared" si="31"/>
        <v>8</v>
      </c>
      <c r="D44" s="111">
        <f t="shared" si="31"/>
        <v>264</v>
      </c>
      <c r="E44" s="113">
        <f>DELIVERIES!AC26</f>
        <v>66</v>
      </c>
      <c r="F44" s="111">
        <f>DELIVERIES!AE26</f>
        <v>528</v>
      </c>
      <c r="G44" s="117">
        <f>B.O!AC26</f>
        <v>0</v>
      </c>
      <c r="H44" s="111">
        <f>B.O!AE26</f>
        <v>0</v>
      </c>
      <c r="I44" s="109">
        <f t="shared" si="18"/>
        <v>19</v>
      </c>
      <c r="J44" s="103">
        <f t="shared" si="19"/>
        <v>8</v>
      </c>
      <c r="K44" s="274">
        <f t="shared" si="20"/>
        <v>152</v>
      </c>
      <c r="L44" s="114"/>
      <c r="M44" s="101" t="str">
        <f t="shared" si="21"/>
        <v>ATSARA</v>
      </c>
      <c r="N44" s="109">
        <f t="shared" si="22"/>
        <v>80</v>
      </c>
      <c r="O44" s="110">
        <f t="shared" si="23"/>
        <v>8</v>
      </c>
      <c r="P44" s="111">
        <f>'DAILY COGS'!AE26</f>
        <v>640</v>
      </c>
      <c r="Q44" s="115"/>
      <c r="R44" s="113">
        <f>GROSS!AC26</f>
        <v>80</v>
      </c>
      <c r="S44" s="109">
        <f t="shared" si="24"/>
        <v>10</v>
      </c>
      <c r="T44" s="104">
        <f>GROSS!AE26</f>
        <v>800</v>
      </c>
    </row>
    <row r="45" spans="1:20" ht="15.75" customHeight="1">
      <c r="A45" s="101" t="str">
        <f t="shared" si="16"/>
        <v>Chicken Fillet</v>
      </c>
      <c r="B45" s="265">
        <f t="shared" ref="B45:D45" si="32">I16</f>
        <v>37</v>
      </c>
      <c r="C45" s="103">
        <f t="shared" si="32"/>
        <v>18</v>
      </c>
      <c r="D45" s="111">
        <f t="shared" si="32"/>
        <v>666</v>
      </c>
      <c r="E45" s="113">
        <f>DELIVERIES!K26</f>
        <v>100</v>
      </c>
      <c r="F45" s="111">
        <f>C45*E45</f>
        <v>1800</v>
      </c>
      <c r="G45" s="117">
        <f>B.O!K26</f>
        <v>0</v>
      </c>
      <c r="H45" s="111">
        <f>C45*G45</f>
        <v>0</v>
      </c>
      <c r="I45" s="109">
        <f t="shared" si="18"/>
        <v>40</v>
      </c>
      <c r="J45" s="103">
        <f t="shared" si="19"/>
        <v>18</v>
      </c>
      <c r="K45" s="274">
        <f t="shared" si="20"/>
        <v>720</v>
      </c>
      <c r="L45" s="114"/>
      <c r="M45" s="101" t="str">
        <f t="shared" si="21"/>
        <v>Chicken Fillet</v>
      </c>
      <c r="N45" s="109">
        <f t="shared" si="22"/>
        <v>97</v>
      </c>
      <c r="O45" s="110">
        <f t="shared" si="23"/>
        <v>18</v>
      </c>
      <c r="P45" s="111">
        <f>'DAILY COGS'!M26</f>
        <v>1746</v>
      </c>
      <c r="Q45" s="115"/>
      <c r="R45" s="113">
        <f>GROSS!K26</f>
        <v>97</v>
      </c>
      <c r="S45" s="109">
        <f t="shared" si="24"/>
        <v>25</v>
      </c>
      <c r="T45" s="104">
        <f>GROSS!M26</f>
        <v>2425</v>
      </c>
    </row>
    <row r="46" spans="1:20" ht="15.75" customHeight="1">
      <c r="A46" s="464" t="str">
        <f t="shared" si="16"/>
        <v>SUB TOTAL</v>
      </c>
      <c r="B46" s="465"/>
      <c r="C46" s="120">
        <f>J17</f>
        <v>0</v>
      </c>
      <c r="D46" s="127">
        <f>SUM(D37:D45)</f>
        <v>11351.5</v>
      </c>
      <c r="E46" s="122"/>
      <c r="F46" s="127">
        <f>SUM(F37:F45)</f>
        <v>70423</v>
      </c>
      <c r="G46" s="123"/>
      <c r="H46" s="127">
        <f>SUM(H37:H45)</f>
        <v>0</v>
      </c>
      <c r="I46" s="127"/>
      <c r="J46" s="120"/>
      <c r="K46" s="127">
        <f>SUM(K37:K45)</f>
        <v>8285</v>
      </c>
      <c r="L46" s="114"/>
      <c r="M46" s="242" t="str">
        <f t="shared" si="21"/>
        <v>SUB TOTAL</v>
      </c>
      <c r="N46" s="127"/>
      <c r="O46" s="125"/>
      <c r="P46" s="127">
        <f>SUM(P37:P45)</f>
        <v>73489.5</v>
      </c>
      <c r="Q46" s="126"/>
      <c r="R46" s="122"/>
      <c r="S46" s="127"/>
      <c r="T46" s="127">
        <f>SUM(T37:T45)</f>
        <v>109882</v>
      </c>
    </row>
    <row r="47" spans="1:20" ht="15.75" customHeight="1">
      <c r="A47" s="101" t="str">
        <f t="shared" si="16"/>
        <v>8 oz</v>
      </c>
      <c r="B47" s="265">
        <f t="shared" ref="B47:D47" si="33">I18</f>
        <v>83</v>
      </c>
      <c r="C47" s="103">
        <f t="shared" si="33"/>
        <v>8.75</v>
      </c>
      <c r="D47" s="111">
        <f t="shared" si="33"/>
        <v>726.25</v>
      </c>
      <c r="E47" s="113">
        <f>DELIVERIES!AP26</f>
        <v>96</v>
      </c>
      <c r="F47" s="111">
        <f>DELIVERIES!AR26</f>
        <v>840</v>
      </c>
      <c r="G47" s="117">
        <f>B.O!AM26</f>
        <v>0</v>
      </c>
      <c r="H47" s="111">
        <f>B.O!AO26</f>
        <v>0</v>
      </c>
      <c r="I47" s="109">
        <f t="shared" ref="I47:I59" si="34">B47+E47-G47-N47</f>
        <v>86</v>
      </c>
      <c r="J47" s="103">
        <f t="shared" ref="J47:J59" si="35">C47</f>
        <v>8.75</v>
      </c>
      <c r="K47" s="274">
        <f t="shared" ref="K47:K59" si="36">I47*J47</f>
        <v>752.5</v>
      </c>
      <c r="L47" s="114"/>
      <c r="M47" s="101" t="str">
        <f t="shared" si="21"/>
        <v>8 oz</v>
      </c>
      <c r="N47" s="109">
        <f t="shared" ref="N47:N59" si="37">R47</f>
        <v>93</v>
      </c>
      <c r="O47" s="110">
        <f t="shared" ref="O47:O59" si="38">C47</f>
        <v>8.75</v>
      </c>
      <c r="P47" s="111">
        <f>'DAILY COGS'!AO26</f>
        <v>813.75</v>
      </c>
      <c r="Q47" s="115"/>
      <c r="R47" s="113">
        <f>GROSS!AM26</f>
        <v>93</v>
      </c>
      <c r="S47" s="109">
        <f t="shared" ref="S47:S59" si="39">S18</f>
        <v>20</v>
      </c>
      <c r="T47" s="104">
        <f>GROSS!AO26</f>
        <v>1860</v>
      </c>
    </row>
    <row r="48" spans="1:20" ht="15.75" customHeight="1">
      <c r="A48" s="101" t="str">
        <f t="shared" si="16"/>
        <v>12 oz</v>
      </c>
      <c r="B48" s="265">
        <f t="shared" ref="B48:D48" si="40">I19</f>
        <v>234</v>
      </c>
      <c r="C48" s="103">
        <f t="shared" si="40"/>
        <v>12.25</v>
      </c>
      <c r="D48" s="111">
        <f t="shared" si="40"/>
        <v>2866.5</v>
      </c>
      <c r="E48" s="113">
        <f>DELIVERIES!AS26</f>
        <v>240</v>
      </c>
      <c r="F48" s="111">
        <f>DELIVERIES!AU26</f>
        <v>2940</v>
      </c>
      <c r="G48" s="117">
        <f>B.O!AP26</f>
        <v>0</v>
      </c>
      <c r="H48" s="111">
        <f>B.O!AR26</f>
        <v>0</v>
      </c>
      <c r="I48" s="109">
        <f t="shared" si="34"/>
        <v>232</v>
      </c>
      <c r="J48" s="103">
        <f t="shared" si="35"/>
        <v>12.25</v>
      </c>
      <c r="K48" s="274">
        <f t="shared" si="36"/>
        <v>2842</v>
      </c>
      <c r="L48" s="114"/>
      <c r="M48" s="287" t="str">
        <f t="shared" si="21"/>
        <v>12 oz</v>
      </c>
      <c r="N48" s="288">
        <f t="shared" si="37"/>
        <v>242</v>
      </c>
      <c r="O48" s="289">
        <f t="shared" si="38"/>
        <v>12.25</v>
      </c>
      <c r="P48" s="148">
        <f>'DAILY COGS'!AR26</f>
        <v>2964.5</v>
      </c>
      <c r="Q48" s="115"/>
      <c r="R48" s="290">
        <f>GROSS!AP26</f>
        <v>242</v>
      </c>
      <c r="S48" s="288">
        <f t="shared" si="39"/>
        <v>25</v>
      </c>
      <c r="T48" s="148">
        <f>GROSS!AR26</f>
        <v>6050</v>
      </c>
    </row>
    <row r="49" spans="1:20" ht="15.75" customHeight="1">
      <c r="A49" s="101" t="str">
        <f t="shared" si="16"/>
        <v>1 LITER</v>
      </c>
      <c r="B49" s="265">
        <f t="shared" ref="B49:D49" si="41">I20</f>
        <v>0</v>
      </c>
      <c r="C49" s="103">
        <f t="shared" si="41"/>
        <v>30.25</v>
      </c>
      <c r="D49" s="111">
        <f t="shared" si="41"/>
        <v>0</v>
      </c>
      <c r="E49" s="113">
        <f>DELIVERIES!BT26</f>
        <v>0</v>
      </c>
      <c r="F49" s="111">
        <f>DELIVERIES!BV26</f>
        <v>0</v>
      </c>
      <c r="G49" s="117">
        <f>B.O!BQ26</f>
        <v>0</v>
      </c>
      <c r="H49" s="111">
        <f>B.O!BS26</f>
        <v>0</v>
      </c>
      <c r="I49" s="109">
        <f t="shared" si="34"/>
        <v>0</v>
      </c>
      <c r="J49" s="103">
        <f t="shared" si="35"/>
        <v>30.25</v>
      </c>
      <c r="K49" s="274">
        <f t="shared" si="36"/>
        <v>0</v>
      </c>
      <c r="L49" s="114"/>
      <c r="M49" s="101" t="str">
        <f t="shared" si="21"/>
        <v>1 LITER</v>
      </c>
      <c r="N49" s="109">
        <f t="shared" si="37"/>
        <v>0</v>
      </c>
      <c r="O49" s="110">
        <f t="shared" si="38"/>
        <v>30.25</v>
      </c>
      <c r="P49" s="111">
        <f>'DAILY COGS'!BS26</f>
        <v>0</v>
      </c>
      <c r="Q49" s="115"/>
      <c r="R49" s="113">
        <f>GROSS!BQ26</f>
        <v>0</v>
      </c>
      <c r="S49" s="109">
        <f t="shared" si="39"/>
        <v>40</v>
      </c>
      <c r="T49" s="104">
        <f>GROSS!BS26</f>
        <v>0</v>
      </c>
    </row>
    <row r="50" spans="1:20" ht="15.75" customHeight="1">
      <c r="A50" s="101" t="str">
        <f t="shared" si="16"/>
        <v>1.5 L</v>
      </c>
      <c r="B50" s="265">
        <f t="shared" ref="B50:D50" si="42">I21</f>
        <v>0</v>
      </c>
      <c r="C50" s="103">
        <f t="shared" si="42"/>
        <v>15.916666666659999</v>
      </c>
      <c r="D50" s="111">
        <f t="shared" si="42"/>
        <v>0</v>
      </c>
      <c r="E50" s="113">
        <f>DELIVERIES!BW26</f>
        <v>0</v>
      </c>
      <c r="F50" s="111">
        <f>DELIVERIES!BY26</f>
        <v>0</v>
      </c>
      <c r="G50" s="117">
        <f>B.O!BT26</f>
        <v>0</v>
      </c>
      <c r="H50" s="111">
        <f>B.O!BV26</f>
        <v>0</v>
      </c>
      <c r="I50" s="109">
        <f t="shared" si="34"/>
        <v>0</v>
      </c>
      <c r="J50" s="103">
        <f t="shared" si="35"/>
        <v>15.916666666659999</v>
      </c>
      <c r="K50" s="274">
        <f t="shared" si="36"/>
        <v>0</v>
      </c>
      <c r="L50" s="114"/>
      <c r="M50" s="101" t="str">
        <f t="shared" si="21"/>
        <v>1.5 L</v>
      </c>
      <c r="N50" s="113">
        <f t="shared" si="37"/>
        <v>0</v>
      </c>
      <c r="O50" s="110">
        <f t="shared" si="38"/>
        <v>15.916666666659999</v>
      </c>
      <c r="P50" s="111">
        <f>'DAILY COGS'!BV26</f>
        <v>0</v>
      </c>
      <c r="Q50" s="115"/>
      <c r="R50" s="113">
        <f>GROSS!BT26</f>
        <v>0</v>
      </c>
      <c r="S50" s="109">
        <f t="shared" si="39"/>
        <v>80</v>
      </c>
      <c r="T50" s="104">
        <f>GROSS!BV26</f>
        <v>0</v>
      </c>
    </row>
    <row r="51" spans="1:20" ht="15.75" customHeight="1">
      <c r="A51" s="101" t="str">
        <f t="shared" si="16"/>
        <v>Water 350ml</v>
      </c>
      <c r="B51" s="265">
        <f t="shared" ref="B51:D51" si="43">I22</f>
        <v>0</v>
      </c>
      <c r="C51" s="103">
        <f t="shared" si="43"/>
        <v>7.9166666666600003</v>
      </c>
      <c r="D51" s="111">
        <f t="shared" si="43"/>
        <v>0</v>
      </c>
      <c r="E51" s="113">
        <f>DELIVERIES!AV26</f>
        <v>0</v>
      </c>
      <c r="F51" s="111">
        <f>DELIVERIES!AX26</f>
        <v>0</v>
      </c>
      <c r="G51" s="117">
        <f>B.O!AS26</f>
        <v>0</v>
      </c>
      <c r="H51" s="111">
        <f>B.O!AU26</f>
        <v>0</v>
      </c>
      <c r="I51" s="109">
        <f t="shared" si="34"/>
        <v>0</v>
      </c>
      <c r="J51" s="103">
        <f t="shared" si="35"/>
        <v>7.9166666666600003</v>
      </c>
      <c r="K51" s="274">
        <f t="shared" si="36"/>
        <v>0</v>
      </c>
      <c r="L51" s="114"/>
      <c r="M51" s="101" t="str">
        <f t="shared" si="21"/>
        <v>Water 350ml</v>
      </c>
      <c r="N51" s="113">
        <f t="shared" si="37"/>
        <v>0</v>
      </c>
      <c r="O51" s="110">
        <f t="shared" si="38"/>
        <v>7.9166666666600003</v>
      </c>
      <c r="P51" s="111">
        <f>'DAILY COGS'!AU26</f>
        <v>0</v>
      </c>
      <c r="Q51" s="115"/>
      <c r="R51" s="113">
        <f>GROSS!AS26</f>
        <v>0</v>
      </c>
      <c r="S51" s="109">
        <f t="shared" si="39"/>
        <v>15</v>
      </c>
      <c r="T51" s="104">
        <f>GROSS!AU26</f>
        <v>0</v>
      </c>
    </row>
    <row r="52" spans="1:20" ht="15.75" customHeight="1">
      <c r="A52" s="101" t="str">
        <f t="shared" si="16"/>
        <v>Water 500ml</v>
      </c>
      <c r="B52" s="265">
        <f t="shared" ref="B52:D52" si="44">I23</f>
        <v>39</v>
      </c>
      <c r="C52" s="103">
        <f t="shared" si="44"/>
        <v>9.7916666666666661</v>
      </c>
      <c r="D52" s="111">
        <f t="shared" si="44"/>
        <v>381.875</v>
      </c>
      <c r="E52" s="113">
        <f>DELIVERIES!AY26</f>
        <v>72</v>
      </c>
      <c r="F52" s="111">
        <f>DELIVERIES!BA26</f>
        <v>705</v>
      </c>
      <c r="G52" s="117">
        <f>B.O!AV26</f>
        <v>0</v>
      </c>
      <c r="H52" s="111">
        <f>B.O!AX26</f>
        <v>0</v>
      </c>
      <c r="I52" s="109">
        <f t="shared" si="34"/>
        <v>72</v>
      </c>
      <c r="J52" s="103">
        <f t="shared" si="35"/>
        <v>9.7916666666666661</v>
      </c>
      <c r="K52" s="274">
        <f t="shared" si="36"/>
        <v>705</v>
      </c>
      <c r="L52" s="114"/>
      <c r="M52" s="101" t="str">
        <f t="shared" si="21"/>
        <v>Water 500ml</v>
      </c>
      <c r="N52" s="113">
        <f t="shared" si="37"/>
        <v>39</v>
      </c>
      <c r="O52" s="110">
        <f t="shared" si="38"/>
        <v>9.7916666666666661</v>
      </c>
      <c r="P52" s="111">
        <f>'DAILY COGS'!AX26</f>
        <v>381.875</v>
      </c>
      <c r="Q52" s="115"/>
      <c r="R52" s="113">
        <f>GROSS!AV26</f>
        <v>39</v>
      </c>
      <c r="S52" s="109">
        <f t="shared" si="39"/>
        <v>20</v>
      </c>
      <c r="T52" s="104">
        <f>GROSS!AX26</f>
        <v>780</v>
      </c>
    </row>
    <row r="53" spans="1:20" ht="15.75" customHeight="1">
      <c r="A53" s="101" t="str">
        <f t="shared" si="16"/>
        <v>GATORADE</v>
      </c>
      <c r="B53" s="265">
        <f t="shared" ref="B53:D53" si="45">I24</f>
        <v>0</v>
      </c>
      <c r="C53" s="103">
        <f t="shared" si="45"/>
        <v>23</v>
      </c>
      <c r="D53" s="111">
        <f t="shared" si="45"/>
        <v>0</v>
      </c>
      <c r="E53" s="113">
        <f>DELIVERIES!BK26</f>
        <v>0</v>
      </c>
      <c r="F53" s="111">
        <f>DELIVERIES!BM26</f>
        <v>0</v>
      </c>
      <c r="G53" s="117">
        <f>B.O!BH26</f>
        <v>0</v>
      </c>
      <c r="H53" s="111">
        <f>B.O!BJ26</f>
        <v>0</v>
      </c>
      <c r="I53" s="109">
        <f t="shared" si="34"/>
        <v>0</v>
      </c>
      <c r="J53" s="103">
        <f t="shared" si="35"/>
        <v>23</v>
      </c>
      <c r="K53" s="274">
        <f t="shared" si="36"/>
        <v>0</v>
      </c>
      <c r="L53" s="114"/>
      <c r="M53" s="101" t="str">
        <f t="shared" si="21"/>
        <v>GATORADE</v>
      </c>
      <c r="N53" s="113">
        <f t="shared" si="37"/>
        <v>0</v>
      </c>
      <c r="O53" s="110">
        <f t="shared" si="38"/>
        <v>23</v>
      </c>
      <c r="P53" s="111">
        <f>'DAILY COGS'!BJ26</f>
        <v>0</v>
      </c>
      <c r="Q53" s="115"/>
      <c r="R53" s="113">
        <f>GROSS!BH26</f>
        <v>0</v>
      </c>
      <c r="S53" s="109">
        <f t="shared" si="39"/>
        <v>35</v>
      </c>
      <c r="T53" s="104">
        <f>GROSS!BJ26</f>
        <v>0</v>
      </c>
    </row>
    <row r="54" spans="1:20" ht="15.75" customHeight="1">
      <c r="A54" s="101" t="str">
        <f t="shared" si="16"/>
        <v>STING</v>
      </c>
      <c r="B54" s="265">
        <f t="shared" ref="B54:D54" si="46">I25</f>
        <v>18</v>
      </c>
      <c r="C54" s="103">
        <f t="shared" si="46"/>
        <v>12.75</v>
      </c>
      <c r="D54" s="111">
        <f t="shared" si="46"/>
        <v>229.5</v>
      </c>
      <c r="E54" s="113">
        <f>DELIVERIES!BQ26</f>
        <v>24</v>
      </c>
      <c r="F54" s="111">
        <f>DELIVERIES!BS26</f>
        <v>306</v>
      </c>
      <c r="G54" s="117">
        <f>B.O!BN26</f>
        <v>0</v>
      </c>
      <c r="H54" s="111">
        <f>B.O!BP26</f>
        <v>0</v>
      </c>
      <c r="I54" s="109">
        <f t="shared" si="34"/>
        <v>23</v>
      </c>
      <c r="J54" s="103">
        <f t="shared" si="35"/>
        <v>12.75</v>
      </c>
      <c r="K54" s="274">
        <f t="shared" si="36"/>
        <v>293.25</v>
      </c>
      <c r="L54" s="114"/>
      <c r="M54" s="101" t="str">
        <f t="shared" si="21"/>
        <v>STING</v>
      </c>
      <c r="N54" s="113">
        <f t="shared" si="37"/>
        <v>19</v>
      </c>
      <c r="O54" s="110">
        <f t="shared" si="38"/>
        <v>12.75</v>
      </c>
      <c r="P54" s="111">
        <f>'DAILY COGS'!BP26</f>
        <v>242.25</v>
      </c>
      <c r="Q54" s="115"/>
      <c r="R54" s="113">
        <f>GROSS!BN26</f>
        <v>19</v>
      </c>
      <c r="S54" s="109">
        <f t="shared" si="39"/>
        <v>25</v>
      </c>
      <c r="T54" s="104">
        <f>GROSS!BP26</f>
        <v>475</v>
      </c>
    </row>
    <row r="55" spans="1:20" ht="15.75" customHeight="1">
      <c r="A55" s="101" t="str">
        <f t="shared" si="16"/>
        <v>TROPICANA</v>
      </c>
      <c r="B55" s="265">
        <f t="shared" ref="B55:D55" si="47">I26</f>
        <v>0</v>
      </c>
      <c r="C55" s="103">
        <f t="shared" si="47"/>
        <v>12.5</v>
      </c>
      <c r="D55" s="111">
        <f t="shared" si="47"/>
        <v>0</v>
      </c>
      <c r="E55" s="113">
        <f>DELIVERIES!BN26</f>
        <v>0</v>
      </c>
      <c r="F55" s="111">
        <f>DELIVERIES!BP26</f>
        <v>0</v>
      </c>
      <c r="G55" s="117">
        <f>B.O!BK26</f>
        <v>0</v>
      </c>
      <c r="H55" s="111">
        <f>B.O!BM26</f>
        <v>0</v>
      </c>
      <c r="I55" s="109">
        <f t="shared" si="34"/>
        <v>0</v>
      </c>
      <c r="J55" s="103">
        <f t="shared" si="35"/>
        <v>12.5</v>
      </c>
      <c r="K55" s="274">
        <f t="shared" si="36"/>
        <v>0</v>
      </c>
      <c r="L55" s="114"/>
      <c r="M55" s="101" t="str">
        <f t="shared" si="21"/>
        <v>TROPICANA</v>
      </c>
      <c r="N55" s="113">
        <f t="shared" si="37"/>
        <v>0</v>
      </c>
      <c r="O55" s="110">
        <f t="shared" si="38"/>
        <v>12.5</v>
      </c>
      <c r="P55" s="111">
        <f>'DAILY COGS'!BM26</f>
        <v>0</v>
      </c>
      <c r="Q55" s="115"/>
      <c r="R55" s="113">
        <f>GROSS!BK26</f>
        <v>0</v>
      </c>
      <c r="S55" s="109">
        <f t="shared" si="39"/>
        <v>22</v>
      </c>
      <c r="T55" s="104">
        <f>GROSS!BM26</f>
        <v>0</v>
      </c>
    </row>
    <row r="56" spans="1:20" ht="15.75" customHeight="1">
      <c r="A56" s="101" t="str">
        <f t="shared" si="16"/>
        <v>PANALO</v>
      </c>
      <c r="B56" s="265">
        <f t="shared" ref="B56:D56" si="48">I27</f>
        <v>0</v>
      </c>
      <c r="C56" s="103">
        <f t="shared" si="48"/>
        <v>16.333333333333332</v>
      </c>
      <c r="D56" s="111">
        <f t="shared" si="48"/>
        <v>0</v>
      </c>
      <c r="E56" s="113">
        <f>DELIVERIES!BB26</f>
        <v>0</v>
      </c>
      <c r="F56" s="111">
        <f>DELIVERIES!BD26</f>
        <v>0</v>
      </c>
      <c r="G56" s="117">
        <f>B.O!AY26</f>
        <v>0</v>
      </c>
      <c r="H56" s="111">
        <f>B.O!BA26</f>
        <v>0</v>
      </c>
      <c r="I56" s="109">
        <f t="shared" si="34"/>
        <v>0</v>
      </c>
      <c r="J56" s="103">
        <f t="shared" si="35"/>
        <v>16.333333333333332</v>
      </c>
      <c r="K56" s="274">
        <f t="shared" si="36"/>
        <v>0</v>
      </c>
      <c r="L56" s="114"/>
      <c r="M56" s="101" t="str">
        <f t="shared" si="21"/>
        <v>PANALO</v>
      </c>
      <c r="N56" s="113">
        <f t="shared" si="37"/>
        <v>0</v>
      </c>
      <c r="O56" s="110">
        <f t="shared" si="38"/>
        <v>16.333333333333332</v>
      </c>
      <c r="P56" s="111">
        <f>'DAILY COGS'!BA26</f>
        <v>0</v>
      </c>
      <c r="Q56" s="115"/>
      <c r="R56" s="113">
        <f>GROSS!AY26</f>
        <v>0</v>
      </c>
      <c r="S56" s="109">
        <f t="shared" si="39"/>
        <v>25</v>
      </c>
      <c r="T56" s="104">
        <f>GROSS!BA26</f>
        <v>0</v>
      </c>
    </row>
    <row r="57" spans="1:20" ht="15.75" customHeight="1">
      <c r="A57" s="101" t="str">
        <f t="shared" si="16"/>
        <v>SWAKTO</v>
      </c>
      <c r="B57" s="265">
        <f t="shared" ref="B57:D57" si="49">I28</f>
        <v>50</v>
      </c>
      <c r="C57" s="103">
        <f t="shared" si="49"/>
        <v>11.5</v>
      </c>
      <c r="D57" s="111">
        <f t="shared" si="49"/>
        <v>575</v>
      </c>
      <c r="E57" s="113">
        <f>DELIVERIES!BE26</f>
        <v>0</v>
      </c>
      <c r="F57" s="111">
        <f>DELIVERIES!BG26</f>
        <v>0</v>
      </c>
      <c r="G57" s="117">
        <f>B.O!BB26</f>
        <v>0</v>
      </c>
      <c r="H57" s="111">
        <f>B.O!BD26</f>
        <v>0</v>
      </c>
      <c r="I57" s="109">
        <f t="shared" si="34"/>
        <v>0</v>
      </c>
      <c r="J57" s="103">
        <f t="shared" si="35"/>
        <v>11.5</v>
      </c>
      <c r="K57" s="274">
        <f t="shared" si="36"/>
        <v>0</v>
      </c>
      <c r="L57" s="114"/>
      <c r="M57" s="101" t="str">
        <f t="shared" si="21"/>
        <v>SWAKTO</v>
      </c>
      <c r="N57" s="113">
        <f t="shared" si="37"/>
        <v>50</v>
      </c>
      <c r="O57" s="110">
        <f t="shared" si="38"/>
        <v>11.5</v>
      </c>
      <c r="P57" s="111">
        <f>'DAILY COGS'!BD26</f>
        <v>576.83333333333326</v>
      </c>
      <c r="Q57" s="115"/>
      <c r="R57" s="113">
        <f>GROSS!BB26</f>
        <v>50</v>
      </c>
      <c r="S57" s="109">
        <f t="shared" si="39"/>
        <v>17</v>
      </c>
      <c r="T57" s="104">
        <f>GROSS!BD26</f>
        <v>850</v>
      </c>
    </row>
    <row r="58" spans="1:20" ht="15.75" customHeight="1">
      <c r="A58" s="101" t="str">
        <f t="shared" si="16"/>
        <v>CALAMANSI JUICE</v>
      </c>
      <c r="B58" s="265">
        <f t="shared" ref="B58:D58" si="50">I29</f>
        <v>52</v>
      </c>
      <c r="C58" s="103">
        <f t="shared" si="50"/>
        <v>20</v>
      </c>
      <c r="D58" s="111">
        <f t="shared" si="50"/>
        <v>1040</v>
      </c>
      <c r="E58" s="113">
        <f>DELIVERIES!BH26</f>
        <v>0</v>
      </c>
      <c r="F58" s="111">
        <f>DELIVERIES!BJ26</f>
        <v>0</v>
      </c>
      <c r="G58" s="117">
        <f>B.O!BE26</f>
        <v>0</v>
      </c>
      <c r="H58" s="111">
        <f>B.O!BG26</f>
        <v>0</v>
      </c>
      <c r="I58" s="109">
        <f t="shared" si="34"/>
        <v>27</v>
      </c>
      <c r="J58" s="103">
        <f t="shared" si="35"/>
        <v>20</v>
      </c>
      <c r="K58" s="274">
        <f t="shared" si="36"/>
        <v>540</v>
      </c>
      <c r="L58" s="114"/>
      <c r="M58" s="101" t="str">
        <f t="shared" si="21"/>
        <v>CALAMANSI JUICE</v>
      </c>
      <c r="N58" s="113">
        <f t="shared" si="37"/>
        <v>25</v>
      </c>
      <c r="O58" s="110">
        <f t="shared" si="38"/>
        <v>20</v>
      </c>
      <c r="P58" s="111">
        <f>'DAILY COGS'!BG26</f>
        <v>500</v>
      </c>
      <c r="Q58" s="115"/>
      <c r="R58" s="113">
        <f>GROSS!BE26</f>
        <v>25</v>
      </c>
      <c r="S58" s="109">
        <f t="shared" si="39"/>
        <v>25</v>
      </c>
      <c r="T58" s="104">
        <f>GROSS!BG26</f>
        <v>625</v>
      </c>
    </row>
    <row r="59" spans="1:20" ht="15.75" customHeight="1">
      <c r="A59" s="101" t="str">
        <f t="shared" si="16"/>
        <v>PREMIUM CUT</v>
      </c>
      <c r="B59" s="265">
        <f t="shared" ref="B59:D59" si="51">I30</f>
        <v>0</v>
      </c>
      <c r="C59" s="103">
        <f t="shared" si="51"/>
        <v>30</v>
      </c>
      <c r="D59" s="111">
        <f t="shared" si="51"/>
        <v>0</v>
      </c>
      <c r="E59" s="113">
        <f>DELIVERIES!B26</f>
        <v>0</v>
      </c>
      <c r="F59" s="111">
        <f>DELIVERIES!D26</f>
        <v>0</v>
      </c>
      <c r="G59" s="117">
        <f>B.O!B26</f>
        <v>0</v>
      </c>
      <c r="H59" s="111">
        <f>B.O!D26</f>
        <v>0</v>
      </c>
      <c r="I59" s="109">
        <f t="shared" si="34"/>
        <v>0</v>
      </c>
      <c r="J59" s="103">
        <f t="shared" si="35"/>
        <v>30</v>
      </c>
      <c r="K59" s="274">
        <f t="shared" si="36"/>
        <v>0</v>
      </c>
      <c r="L59" s="114"/>
      <c r="M59" s="101" t="str">
        <f t="shared" si="21"/>
        <v>PREMIUM CUT</v>
      </c>
      <c r="N59" s="113">
        <f t="shared" si="37"/>
        <v>0</v>
      </c>
      <c r="O59" s="110">
        <f t="shared" si="38"/>
        <v>30</v>
      </c>
      <c r="P59" s="111">
        <f>'DAILY COGS'!D26</f>
        <v>0</v>
      </c>
      <c r="Q59" s="115"/>
      <c r="R59" s="113">
        <f>GROSS!B26</f>
        <v>0</v>
      </c>
      <c r="S59" s="109">
        <f t="shared" si="39"/>
        <v>40</v>
      </c>
      <c r="T59" s="104">
        <f>GROSS!D26</f>
        <v>0</v>
      </c>
    </row>
    <row r="60" spans="1:20" ht="15.75" customHeight="1">
      <c r="A60" s="242" t="str">
        <f t="shared" si="16"/>
        <v>SUB TOTAL</v>
      </c>
      <c r="B60" s="302"/>
      <c r="C60" s="120"/>
      <c r="D60" s="127">
        <f>SUM(D47:D59)</f>
        <v>5819.125</v>
      </c>
      <c r="E60" s="122"/>
      <c r="F60" s="127">
        <f>SUM(F47:F59)</f>
        <v>4791</v>
      </c>
      <c r="G60" s="123"/>
      <c r="H60" s="127">
        <f>SUM(H47:H59)</f>
        <v>0</v>
      </c>
      <c r="I60" s="127"/>
      <c r="J60" s="120"/>
      <c r="K60" s="127">
        <f>SUM(K47:K59)</f>
        <v>5132.75</v>
      </c>
      <c r="L60" s="114"/>
      <c r="M60" s="242" t="str">
        <f t="shared" si="21"/>
        <v>SUB TOTAL</v>
      </c>
      <c r="N60" s="122"/>
      <c r="O60" s="125"/>
      <c r="P60" s="303">
        <f>SUM(P47:P59)</f>
        <v>5479.208333333333</v>
      </c>
      <c r="Q60" s="126"/>
      <c r="R60" s="122"/>
      <c r="S60" s="122"/>
      <c r="T60" s="303">
        <f>SUM(T47:T59)</f>
        <v>10640</v>
      </c>
    </row>
    <row r="61" spans="1:20" ht="15.75" customHeight="1">
      <c r="A61" s="149" t="s">
        <v>23</v>
      </c>
      <c r="B61" s="150"/>
      <c r="C61" s="150"/>
      <c r="D61" s="151">
        <f>D60+D46</f>
        <v>17170.625</v>
      </c>
      <c r="E61" s="151"/>
      <c r="F61" s="151">
        <f>F60+F46</f>
        <v>75214</v>
      </c>
      <c r="G61" s="151"/>
      <c r="H61" s="151">
        <f>H60+H46</f>
        <v>0</v>
      </c>
      <c r="I61" s="150"/>
      <c r="J61" s="150"/>
      <c r="K61" s="151">
        <f>K60+K46</f>
        <v>13417.75</v>
      </c>
      <c r="L61" s="152"/>
      <c r="M61" s="153" t="str">
        <f t="shared" si="21"/>
        <v>TOTAL</v>
      </c>
      <c r="N61" s="150"/>
      <c r="O61" s="154"/>
      <c r="P61" s="151">
        <f>P46+P60</f>
        <v>78968.708333333328</v>
      </c>
      <c r="Q61" s="155"/>
      <c r="R61" s="150"/>
      <c r="S61" s="150"/>
      <c r="T61" s="151">
        <f>T46+T60</f>
        <v>120522</v>
      </c>
    </row>
    <row r="62" spans="1:20" ht="15.75" customHeight="1">
      <c r="F62" s="39">
        <f>DELIVERIES!CA26</f>
        <v>75214</v>
      </c>
      <c r="H62" s="39">
        <f>B.O!CA26</f>
        <v>0</v>
      </c>
      <c r="T62" s="39">
        <f>GROSS!CA26</f>
        <v>120522</v>
      </c>
    </row>
    <row r="63" spans="1:20" ht="15.75" customHeight="1">
      <c r="A63" s="251" t="s">
        <v>157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4"/>
      <c r="L63" s="252"/>
      <c r="M63" s="252"/>
      <c r="N63" s="252"/>
      <c r="O63" s="252"/>
      <c r="P63" s="252"/>
      <c r="Q63" s="252"/>
      <c r="R63" s="252"/>
      <c r="S63" s="252"/>
      <c r="T63" s="252"/>
    </row>
    <row r="64" spans="1:20" ht="15.75" customHeight="1">
      <c r="A64" s="481" t="s">
        <v>90</v>
      </c>
      <c r="B64" s="478" t="s">
        <v>91</v>
      </c>
      <c r="C64" s="445"/>
      <c r="D64" s="423"/>
      <c r="E64" s="478" t="s">
        <v>92</v>
      </c>
      <c r="F64" s="445"/>
      <c r="G64" s="478" t="s">
        <v>93</v>
      </c>
      <c r="H64" s="423"/>
      <c r="I64" s="478" t="s">
        <v>94</v>
      </c>
      <c r="J64" s="445"/>
      <c r="K64" s="423"/>
      <c r="L64" s="96"/>
      <c r="M64" s="481" t="s">
        <v>90</v>
      </c>
      <c r="N64" s="478" t="s">
        <v>95</v>
      </c>
      <c r="O64" s="445"/>
      <c r="P64" s="423"/>
      <c r="Q64" s="207"/>
      <c r="R64" s="478" t="s">
        <v>96</v>
      </c>
      <c r="S64" s="445"/>
      <c r="T64" s="423"/>
    </row>
    <row r="65" spans="1:20" ht="15.75" customHeight="1">
      <c r="A65" s="436"/>
      <c r="B65" s="208" t="s">
        <v>97</v>
      </c>
      <c r="C65" s="209" t="s">
        <v>98</v>
      </c>
      <c r="D65" s="208" t="s">
        <v>99</v>
      </c>
      <c r="E65" s="208" t="s">
        <v>97</v>
      </c>
      <c r="F65" s="208" t="s">
        <v>99</v>
      </c>
      <c r="G65" s="208" t="s">
        <v>97</v>
      </c>
      <c r="H65" s="208" t="s">
        <v>99</v>
      </c>
      <c r="I65" s="208" t="s">
        <v>97</v>
      </c>
      <c r="J65" s="209" t="s">
        <v>98</v>
      </c>
      <c r="K65" s="210" t="s">
        <v>99</v>
      </c>
      <c r="L65" s="96"/>
      <c r="M65" s="436"/>
      <c r="N65" s="208" t="s">
        <v>97</v>
      </c>
      <c r="O65" s="209" t="s">
        <v>98</v>
      </c>
      <c r="P65" s="208" t="s">
        <v>99</v>
      </c>
      <c r="Q65" s="207"/>
      <c r="R65" s="208" t="s">
        <v>97</v>
      </c>
      <c r="S65" s="208" t="s">
        <v>100</v>
      </c>
      <c r="T65" s="208" t="s">
        <v>99</v>
      </c>
    </row>
    <row r="66" spans="1:20" ht="15.75" customHeight="1">
      <c r="A66" s="101" t="str">
        <f t="shared" ref="A66:A89" si="52">A37</f>
        <v>SPECIAL CUT</v>
      </c>
      <c r="B66" s="265">
        <f t="shared" ref="B66:B74" si="53">I37</f>
        <v>151</v>
      </c>
      <c r="C66" s="103">
        <f>DELIVERIES!F37</f>
        <v>35</v>
      </c>
      <c r="D66" s="111">
        <f t="shared" ref="D66:D74" si="54">B66*C66</f>
        <v>5285</v>
      </c>
      <c r="E66" s="109">
        <f>DELIVERIES!E38</f>
        <v>1650</v>
      </c>
      <c r="F66" s="111">
        <f>DELIVERIES!G38</f>
        <v>57750</v>
      </c>
      <c r="G66" s="267">
        <f>B.O!E38</f>
        <v>0</v>
      </c>
      <c r="H66" s="111">
        <f>B.O!G38</f>
        <v>0</v>
      </c>
      <c r="I66" s="109">
        <f t="shared" ref="I66:I74" si="55">B66+E66-G66-N66</f>
        <v>343</v>
      </c>
      <c r="J66" s="103">
        <f t="shared" ref="J66:J74" si="56">C66</f>
        <v>35</v>
      </c>
      <c r="K66" s="274">
        <f t="shared" ref="K66:K74" si="57">I66*J66</f>
        <v>12005</v>
      </c>
      <c r="L66" s="108"/>
      <c r="M66" s="101" t="str">
        <f t="shared" ref="M66:M90" si="58">A66</f>
        <v>SPECIAL CUT</v>
      </c>
      <c r="N66" s="109">
        <f t="shared" ref="N66:N74" si="59">R66</f>
        <v>1458</v>
      </c>
      <c r="O66" s="110">
        <f t="shared" ref="O66:O74" si="60">C66</f>
        <v>35</v>
      </c>
      <c r="P66" s="111">
        <f>'DAILY COGS'!G38</f>
        <v>51030</v>
      </c>
      <c r="Q66" s="112"/>
      <c r="R66" s="109">
        <f>GROSS!E38</f>
        <v>1458</v>
      </c>
      <c r="S66" s="109">
        <f t="shared" ref="S66:S74" si="61">S8</f>
        <v>50</v>
      </c>
      <c r="T66" s="104">
        <f>GROSS!G38</f>
        <v>72900</v>
      </c>
    </row>
    <row r="67" spans="1:20" ht="15.75" customHeight="1">
      <c r="A67" s="101" t="str">
        <f t="shared" si="52"/>
        <v>NGOHIONG</v>
      </c>
      <c r="B67" s="265">
        <f t="shared" si="53"/>
        <v>43</v>
      </c>
      <c r="C67" s="103">
        <f>DELIVERIES!I37</f>
        <v>8.5</v>
      </c>
      <c r="D67" s="111">
        <f t="shared" si="54"/>
        <v>365.5</v>
      </c>
      <c r="E67" s="113">
        <f>DELIVERIES!H38</f>
        <v>60</v>
      </c>
      <c r="F67" s="305">
        <f>DELIVERIES!J38</f>
        <v>510</v>
      </c>
      <c r="G67" s="267">
        <f>B.O!H38</f>
        <v>0</v>
      </c>
      <c r="H67" s="306">
        <f>B.O!J38</f>
        <v>0</v>
      </c>
      <c r="I67" s="109">
        <f t="shared" si="55"/>
        <v>20</v>
      </c>
      <c r="J67" s="103">
        <f t="shared" si="56"/>
        <v>8.5</v>
      </c>
      <c r="K67" s="274">
        <f t="shared" si="57"/>
        <v>170</v>
      </c>
      <c r="L67" s="114"/>
      <c r="M67" s="101" t="str">
        <f t="shared" si="58"/>
        <v>NGOHIONG</v>
      </c>
      <c r="N67" s="109">
        <f t="shared" si="59"/>
        <v>83</v>
      </c>
      <c r="O67" s="110">
        <f t="shared" si="60"/>
        <v>8.5</v>
      </c>
      <c r="P67" s="148">
        <f>'DAILY COGS'!J38</f>
        <v>705.5</v>
      </c>
      <c r="Q67" s="115"/>
      <c r="R67" s="113">
        <f>GROSS!H38</f>
        <v>83</v>
      </c>
      <c r="S67" s="109">
        <f t="shared" si="61"/>
        <v>12</v>
      </c>
      <c r="T67" s="148">
        <f>GROSS!J38</f>
        <v>996</v>
      </c>
    </row>
    <row r="68" spans="1:20" ht="15.75" customHeight="1">
      <c r="A68" s="101" t="str">
        <f t="shared" si="52"/>
        <v>NECK</v>
      </c>
      <c r="B68" s="265">
        <f t="shared" si="53"/>
        <v>50</v>
      </c>
      <c r="C68" s="103">
        <f>DELIVERIES!O37</f>
        <v>7</v>
      </c>
      <c r="D68" s="111">
        <f t="shared" si="54"/>
        <v>350</v>
      </c>
      <c r="E68" s="113">
        <f>DELIVERIES!N38</f>
        <v>650</v>
      </c>
      <c r="F68" s="305">
        <f>DELIVERIES!P38</f>
        <v>4550</v>
      </c>
      <c r="G68" s="116">
        <f>B.O!N38</f>
        <v>0</v>
      </c>
      <c r="H68" s="306">
        <f>B.O!P38</f>
        <v>0</v>
      </c>
      <c r="I68" s="109">
        <f t="shared" si="55"/>
        <v>30</v>
      </c>
      <c r="J68" s="103">
        <f t="shared" si="56"/>
        <v>7</v>
      </c>
      <c r="K68" s="274">
        <f t="shared" si="57"/>
        <v>210</v>
      </c>
      <c r="L68" s="114"/>
      <c r="M68" s="101" t="str">
        <f t="shared" si="58"/>
        <v>NECK</v>
      </c>
      <c r="N68" s="109">
        <f t="shared" si="59"/>
        <v>670</v>
      </c>
      <c r="O68" s="110">
        <f t="shared" si="60"/>
        <v>7</v>
      </c>
      <c r="P68" s="148">
        <f>'DAILY COGS'!P38</f>
        <v>4690</v>
      </c>
      <c r="Q68" s="115"/>
      <c r="R68" s="113">
        <f>GROSS!N38</f>
        <v>670</v>
      </c>
      <c r="S68" s="109">
        <f t="shared" si="61"/>
        <v>12</v>
      </c>
      <c r="T68" s="148">
        <f>GROSS!P38</f>
        <v>8040</v>
      </c>
    </row>
    <row r="69" spans="1:20" ht="15.75" customHeight="1">
      <c r="A69" s="101" t="str">
        <f t="shared" si="52"/>
        <v>SIOMAI</v>
      </c>
      <c r="B69" s="265">
        <f t="shared" si="53"/>
        <v>39</v>
      </c>
      <c r="C69" s="103">
        <f>DELIVERIES!R37</f>
        <v>5.5</v>
      </c>
      <c r="D69" s="111">
        <f t="shared" si="54"/>
        <v>214.5</v>
      </c>
      <c r="E69" s="113">
        <f>DELIVERIES!Q38</f>
        <v>0</v>
      </c>
      <c r="F69" s="305">
        <f>DELIVERIES!S38</f>
        <v>0</v>
      </c>
      <c r="G69" s="117">
        <f>B.O!Q38</f>
        <v>0</v>
      </c>
      <c r="H69" s="306">
        <f>B.O!S38</f>
        <v>0</v>
      </c>
      <c r="I69" s="109">
        <f t="shared" si="55"/>
        <v>39</v>
      </c>
      <c r="J69" s="103">
        <f t="shared" si="56"/>
        <v>5.5</v>
      </c>
      <c r="K69" s="274">
        <f t="shared" si="57"/>
        <v>214.5</v>
      </c>
      <c r="L69" s="114"/>
      <c r="M69" s="101" t="str">
        <f t="shared" si="58"/>
        <v>SIOMAI</v>
      </c>
      <c r="N69" s="109">
        <f t="shared" si="59"/>
        <v>0</v>
      </c>
      <c r="O69" s="110">
        <f t="shared" si="60"/>
        <v>5.5</v>
      </c>
      <c r="P69" s="148">
        <f>'DAILY COGS'!S38</f>
        <v>0</v>
      </c>
      <c r="Q69" s="115"/>
      <c r="R69" s="113">
        <f>GROSS!Q38</f>
        <v>0</v>
      </c>
      <c r="S69" s="109">
        <f t="shared" si="61"/>
        <v>7.5</v>
      </c>
      <c r="T69" s="148">
        <f>GROSS!S38</f>
        <v>0</v>
      </c>
    </row>
    <row r="70" spans="1:20" ht="15.75" customHeight="1">
      <c r="A70" s="101" t="str">
        <f t="shared" si="52"/>
        <v>RICE</v>
      </c>
      <c r="B70" s="265">
        <f t="shared" si="53"/>
        <v>40</v>
      </c>
      <c r="C70" s="103">
        <f>DELIVERIES!U37</f>
        <v>8.5</v>
      </c>
      <c r="D70" s="111">
        <f t="shared" si="54"/>
        <v>340</v>
      </c>
      <c r="E70" s="113">
        <f>DELIVERIES!T38</f>
        <v>1360</v>
      </c>
      <c r="F70" s="305">
        <f>DELIVERIES!V38</f>
        <v>11560</v>
      </c>
      <c r="G70" s="117">
        <f>B.O!T38</f>
        <v>0</v>
      </c>
      <c r="H70" s="306">
        <f>B.O!V38</f>
        <v>0</v>
      </c>
      <c r="I70" s="109">
        <f t="shared" si="55"/>
        <v>21</v>
      </c>
      <c r="J70" s="103">
        <f t="shared" si="56"/>
        <v>8.5</v>
      </c>
      <c r="K70" s="274">
        <f t="shared" si="57"/>
        <v>178.5</v>
      </c>
      <c r="L70" s="114"/>
      <c r="M70" s="101" t="str">
        <f t="shared" si="58"/>
        <v>RICE</v>
      </c>
      <c r="N70" s="109">
        <f t="shared" si="59"/>
        <v>1379</v>
      </c>
      <c r="O70" s="110">
        <f t="shared" si="60"/>
        <v>8.5</v>
      </c>
      <c r="P70" s="148">
        <f>'DAILY COGS'!V38</f>
        <v>11721.5</v>
      </c>
      <c r="Q70" s="115"/>
      <c r="R70" s="113">
        <f>GROSS!T38</f>
        <v>1379</v>
      </c>
      <c r="S70" s="109">
        <f t="shared" si="61"/>
        <v>15</v>
      </c>
      <c r="T70" s="148">
        <f>GROSS!V38</f>
        <v>20685</v>
      </c>
    </row>
    <row r="71" spans="1:20" ht="15.75" customHeight="1">
      <c r="A71" s="101" t="str">
        <f t="shared" si="52"/>
        <v>BOLA BOLA</v>
      </c>
      <c r="B71" s="265">
        <f t="shared" si="53"/>
        <v>98</v>
      </c>
      <c r="C71" s="103">
        <f>DELIVERIES!X37</f>
        <v>6</v>
      </c>
      <c r="D71" s="111">
        <f t="shared" si="54"/>
        <v>588</v>
      </c>
      <c r="E71" s="113">
        <f>DELIVERIES!W38</f>
        <v>260</v>
      </c>
      <c r="F71" s="305">
        <f>DELIVERIES!Y38</f>
        <v>1560</v>
      </c>
      <c r="G71" s="117">
        <f>B.O!Q38</f>
        <v>0</v>
      </c>
      <c r="H71" s="306">
        <f>B.O!Y38</f>
        <v>0</v>
      </c>
      <c r="I71" s="109">
        <f t="shared" si="55"/>
        <v>122</v>
      </c>
      <c r="J71" s="103">
        <f t="shared" si="56"/>
        <v>6</v>
      </c>
      <c r="K71" s="274">
        <f t="shared" si="57"/>
        <v>732</v>
      </c>
      <c r="L71" s="114"/>
      <c r="M71" s="101" t="str">
        <f t="shared" si="58"/>
        <v>BOLA BOLA</v>
      </c>
      <c r="N71" s="109">
        <f t="shared" si="59"/>
        <v>236</v>
      </c>
      <c r="O71" s="110">
        <f t="shared" si="60"/>
        <v>6</v>
      </c>
      <c r="P71" s="148">
        <f>'DAILY COGS'!Y38</f>
        <v>1416</v>
      </c>
      <c r="Q71" s="115"/>
      <c r="R71" s="113">
        <f>GROSS!W38</f>
        <v>236</v>
      </c>
      <c r="S71" s="109">
        <f t="shared" si="61"/>
        <v>10</v>
      </c>
      <c r="T71" s="148">
        <f>GROSS!Y38</f>
        <v>2360</v>
      </c>
    </row>
    <row r="72" spans="1:20" ht="15.75" customHeight="1">
      <c r="A72" s="101" t="str">
        <f t="shared" si="52"/>
        <v>LUMPIA</v>
      </c>
      <c r="B72" s="265">
        <f t="shared" si="53"/>
        <v>45</v>
      </c>
      <c r="C72" s="103">
        <f>DELIVERIES!AA37</f>
        <v>6</v>
      </c>
      <c r="D72" s="111">
        <f t="shared" si="54"/>
        <v>270</v>
      </c>
      <c r="E72" s="113">
        <f>DELIVERIES!Z38</f>
        <v>290</v>
      </c>
      <c r="F72" s="305">
        <f>DELIVERIES!AB38</f>
        <v>1740</v>
      </c>
      <c r="G72" s="117">
        <f>B.O!Z38</f>
        <v>0</v>
      </c>
      <c r="H72" s="306">
        <f>B.O!AB38</f>
        <v>0</v>
      </c>
      <c r="I72" s="109">
        <f t="shared" si="55"/>
        <v>79</v>
      </c>
      <c r="J72" s="103">
        <f t="shared" si="56"/>
        <v>6</v>
      </c>
      <c r="K72" s="274">
        <f t="shared" si="57"/>
        <v>474</v>
      </c>
      <c r="L72" s="114"/>
      <c r="M72" s="101" t="str">
        <f t="shared" si="58"/>
        <v>LUMPIA</v>
      </c>
      <c r="N72" s="109">
        <f t="shared" si="59"/>
        <v>256</v>
      </c>
      <c r="O72" s="110">
        <f t="shared" si="60"/>
        <v>6</v>
      </c>
      <c r="P72" s="148">
        <f>'DAILY COGS'!AB38</f>
        <v>1536</v>
      </c>
      <c r="Q72" s="115"/>
      <c r="R72" s="113">
        <f>GROSS!Z38</f>
        <v>256</v>
      </c>
      <c r="S72" s="109">
        <f t="shared" si="61"/>
        <v>8</v>
      </c>
      <c r="T72" s="148">
        <f>GROSS!AB38</f>
        <v>2048</v>
      </c>
    </row>
    <row r="73" spans="1:20" ht="15.75" customHeight="1">
      <c r="A73" s="101" t="str">
        <f t="shared" si="52"/>
        <v>ATSARA</v>
      </c>
      <c r="B73" s="265">
        <f t="shared" si="53"/>
        <v>19</v>
      </c>
      <c r="C73" s="103">
        <f>DELIVERIES!AD37</f>
        <v>8</v>
      </c>
      <c r="D73" s="111">
        <f t="shared" si="54"/>
        <v>152</v>
      </c>
      <c r="E73" s="113">
        <f>DELIVERIES!AC38</f>
        <v>40</v>
      </c>
      <c r="F73" s="305">
        <f>DELIVERIES!AE38</f>
        <v>320</v>
      </c>
      <c r="G73" s="117">
        <f>B.O!AC38</f>
        <v>0</v>
      </c>
      <c r="H73" s="306">
        <f>B.O!AE38</f>
        <v>0</v>
      </c>
      <c r="I73" s="109">
        <f t="shared" si="55"/>
        <v>30</v>
      </c>
      <c r="J73" s="103">
        <f t="shared" si="56"/>
        <v>8</v>
      </c>
      <c r="K73" s="274">
        <f t="shared" si="57"/>
        <v>240</v>
      </c>
      <c r="L73" s="114"/>
      <c r="M73" s="101" t="str">
        <f t="shared" si="58"/>
        <v>ATSARA</v>
      </c>
      <c r="N73" s="109">
        <f t="shared" si="59"/>
        <v>29</v>
      </c>
      <c r="O73" s="110">
        <f t="shared" si="60"/>
        <v>8</v>
      </c>
      <c r="P73" s="148">
        <f>'DAILY COGS'!AE38</f>
        <v>232</v>
      </c>
      <c r="Q73" s="115"/>
      <c r="R73" s="113">
        <f>GROSS!AC38</f>
        <v>29</v>
      </c>
      <c r="S73" s="109">
        <f t="shared" si="61"/>
        <v>10</v>
      </c>
      <c r="T73" s="148">
        <f>GROSS!AE38</f>
        <v>290</v>
      </c>
    </row>
    <row r="74" spans="1:20" ht="15.75" customHeight="1">
      <c r="A74" s="101" t="str">
        <f t="shared" si="52"/>
        <v>Chicken Fillet</v>
      </c>
      <c r="B74" s="265">
        <f t="shared" si="53"/>
        <v>40</v>
      </c>
      <c r="C74" s="103">
        <f>DELIVERIES!L37</f>
        <v>18</v>
      </c>
      <c r="D74" s="111">
        <f t="shared" si="54"/>
        <v>720</v>
      </c>
      <c r="E74" s="113">
        <f>DELIVERIES!K38</f>
        <v>100</v>
      </c>
      <c r="F74" s="305">
        <f>DELIVERIES!M38</f>
        <v>1800</v>
      </c>
      <c r="G74" s="117">
        <f>B.O!K38</f>
        <v>0</v>
      </c>
      <c r="H74" s="306">
        <f>B.O!M38</f>
        <v>0</v>
      </c>
      <c r="I74" s="109">
        <f t="shared" si="55"/>
        <v>20</v>
      </c>
      <c r="J74" s="103">
        <f t="shared" si="56"/>
        <v>18</v>
      </c>
      <c r="K74" s="274">
        <f t="shared" si="57"/>
        <v>360</v>
      </c>
      <c r="L74" s="114"/>
      <c r="M74" s="101" t="str">
        <f t="shared" si="58"/>
        <v>Chicken Fillet</v>
      </c>
      <c r="N74" s="109">
        <f t="shared" si="59"/>
        <v>120</v>
      </c>
      <c r="O74" s="110">
        <f t="shared" si="60"/>
        <v>18</v>
      </c>
      <c r="P74" s="148">
        <f>'DAILY COGS'!M38</f>
        <v>2160</v>
      </c>
      <c r="Q74" s="115"/>
      <c r="R74" s="113">
        <f>GROSS!K38</f>
        <v>120</v>
      </c>
      <c r="S74" s="109">
        <f t="shared" si="61"/>
        <v>25</v>
      </c>
      <c r="T74" s="148">
        <f>GROSS!M38</f>
        <v>3000</v>
      </c>
    </row>
    <row r="75" spans="1:20" ht="15.75" customHeight="1">
      <c r="A75" s="464" t="str">
        <f t="shared" si="52"/>
        <v>SUB TOTAL</v>
      </c>
      <c r="B75" s="465"/>
      <c r="C75" s="120"/>
      <c r="D75" s="127">
        <f>SUM(D66:D74)</f>
        <v>8285</v>
      </c>
      <c r="E75" s="122"/>
      <c r="F75" s="127">
        <f>SUM(F66:F74)</f>
        <v>79790</v>
      </c>
      <c r="G75" s="123"/>
      <c r="H75" s="127">
        <f>SUM(H66:H74)</f>
        <v>0</v>
      </c>
      <c r="I75" s="127"/>
      <c r="J75" s="120"/>
      <c r="K75" s="127">
        <f>SUM(K66:K74)</f>
        <v>14584</v>
      </c>
      <c r="L75" s="114"/>
      <c r="M75" s="242" t="str">
        <f t="shared" si="58"/>
        <v>SUB TOTAL</v>
      </c>
      <c r="N75" s="122"/>
      <c r="O75" s="125"/>
      <c r="P75" s="303">
        <f>SUM(P66:P74)</f>
        <v>73491</v>
      </c>
      <c r="Q75" s="126"/>
      <c r="R75" s="122"/>
      <c r="S75" s="127"/>
      <c r="T75" s="303">
        <f>SUM(T66:T74)</f>
        <v>110319</v>
      </c>
    </row>
    <row r="76" spans="1:20" ht="15.75" customHeight="1">
      <c r="A76" s="101" t="str">
        <f t="shared" si="52"/>
        <v>8 oz</v>
      </c>
      <c r="B76" s="265">
        <f t="shared" ref="B76:B88" si="62">I47</f>
        <v>86</v>
      </c>
      <c r="C76" s="103">
        <f>DELIVERIES!AQ37</f>
        <v>8.75</v>
      </c>
      <c r="D76" s="111">
        <f t="shared" ref="D76:D88" si="63">B76*C76</f>
        <v>752.5</v>
      </c>
      <c r="E76" s="113">
        <f>DELIVERIES!AP38</f>
        <v>96</v>
      </c>
      <c r="F76" s="305">
        <f>DELIVERIES!AR38</f>
        <v>840</v>
      </c>
      <c r="G76" s="117">
        <f>B.O!AM38</f>
        <v>0</v>
      </c>
      <c r="H76" s="306">
        <f>B.O!AO38</f>
        <v>0</v>
      </c>
      <c r="I76" s="109">
        <f t="shared" ref="I76:I88" si="64">B76+E76-G76-N76</f>
        <v>90</v>
      </c>
      <c r="J76" s="103">
        <f t="shared" ref="J76:J88" si="65">C76</f>
        <v>8.75</v>
      </c>
      <c r="K76" s="274">
        <f t="shared" ref="K76:K88" si="66">I76*J76</f>
        <v>787.5</v>
      </c>
      <c r="L76" s="114"/>
      <c r="M76" s="101" t="str">
        <f t="shared" si="58"/>
        <v>8 oz</v>
      </c>
      <c r="N76" s="113">
        <f t="shared" ref="N76:N82" si="67">R76</f>
        <v>92</v>
      </c>
      <c r="O76" s="110">
        <f t="shared" ref="O76:O89" si="68">C76</f>
        <v>8.75</v>
      </c>
      <c r="P76" s="148">
        <f>'DAILY COGS'!AO38</f>
        <v>805</v>
      </c>
      <c r="Q76" s="115"/>
      <c r="R76" s="113">
        <f>GROSS!AM38</f>
        <v>92</v>
      </c>
      <c r="S76" s="109">
        <f t="shared" ref="S76:S89" si="69">S18</f>
        <v>20</v>
      </c>
      <c r="T76" s="148">
        <f>GROSS!AO38</f>
        <v>1840</v>
      </c>
    </row>
    <row r="77" spans="1:20" ht="15.75" customHeight="1">
      <c r="A77" s="101" t="str">
        <f t="shared" si="52"/>
        <v>12 oz</v>
      </c>
      <c r="B77" s="265">
        <f t="shared" si="62"/>
        <v>232</v>
      </c>
      <c r="C77" s="103">
        <f>DELIVERIES!AT37</f>
        <v>12.25</v>
      </c>
      <c r="D77" s="111">
        <f t="shared" si="63"/>
        <v>2842</v>
      </c>
      <c r="E77" s="113">
        <f>DELIVERIES!AS38</f>
        <v>312</v>
      </c>
      <c r="F77" s="305">
        <f>DELIVERIES!AU38</f>
        <v>3822</v>
      </c>
      <c r="G77" s="117">
        <f>B.O!AP38</f>
        <v>0</v>
      </c>
      <c r="H77" s="306">
        <f>B.O!AR38</f>
        <v>0</v>
      </c>
      <c r="I77" s="109">
        <f t="shared" si="64"/>
        <v>227</v>
      </c>
      <c r="J77" s="103">
        <f t="shared" si="65"/>
        <v>12.25</v>
      </c>
      <c r="K77" s="274">
        <f t="shared" si="66"/>
        <v>2780.75</v>
      </c>
      <c r="L77" s="114"/>
      <c r="M77" s="311" t="str">
        <f t="shared" si="58"/>
        <v>12 oz</v>
      </c>
      <c r="N77" s="113">
        <f t="shared" si="67"/>
        <v>317</v>
      </c>
      <c r="O77" s="312">
        <f t="shared" si="68"/>
        <v>12.25</v>
      </c>
      <c r="P77" s="313">
        <f>'DAILY COGS'!AR38</f>
        <v>3883.25</v>
      </c>
      <c r="Q77" s="314"/>
      <c r="R77" s="315">
        <f>GROSS!AP38</f>
        <v>317</v>
      </c>
      <c r="S77" s="316">
        <f t="shared" si="69"/>
        <v>25</v>
      </c>
      <c r="T77" s="313">
        <f>GROSS!AR38</f>
        <v>7925</v>
      </c>
    </row>
    <row r="78" spans="1:20" ht="15.75" customHeight="1">
      <c r="A78" s="101" t="str">
        <f t="shared" si="52"/>
        <v>1 LITER</v>
      </c>
      <c r="B78" s="265">
        <f t="shared" si="62"/>
        <v>0</v>
      </c>
      <c r="C78" s="103">
        <f>DELIVERIES!BU37</f>
        <v>30.416666666666668</v>
      </c>
      <c r="D78" s="111">
        <f t="shared" si="63"/>
        <v>0</v>
      </c>
      <c r="E78" s="113">
        <f>DELIVERIES!BT38</f>
        <v>0</v>
      </c>
      <c r="F78" s="305">
        <f>DELIVERIES!BV38</f>
        <v>0</v>
      </c>
      <c r="G78" s="117">
        <f>B.O!BQ38</f>
        <v>0</v>
      </c>
      <c r="H78" s="306">
        <f>B.O!BS38</f>
        <v>0</v>
      </c>
      <c r="I78" s="109">
        <f t="shared" si="64"/>
        <v>0</v>
      </c>
      <c r="J78" s="103">
        <f t="shared" si="65"/>
        <v>30.416666666666668</v>
      </c>
      <c r="K78" s="274">
        <f t="shared" si="66"/>
        <v>0</v>
      </c>
      <c r="L78" s="114"/>
      <c r="M78" s="101" t="str">
        <f t="shared" si="58"/>
        <v>1 LITER</v>
      </c>
      <c r="N78" s="113">
        <f t="shared" si="67"/>
        <v>0</v>
      </c>
      <c r="O78" s="110">
        <f t="shared" si="68"/>
        <v>30.416666666666668</v>
      </c>
      <c r="P78" s="148">
        <f>'DAILY COGS'!BS38</f>
        <v>0</v>
      </c>
      <c r="Q78" s="115"/>
      <c r="R78" s="113">
        <f>GROSS!BQ38</f>
        <v>0</v>
      </c>
      <c r="S78" s="109">
        <f t="shared" si="69"/>
        <v>40</v>
      </c>
      <c r="T78" s="148">
        <f>GROSS!BS38</f>
        <v>0</v>
      </c>
    </row>
    <row r="79" spans="1:20" ht="15.75" customHeight="1">
      <c r="A79" s="101" t="str">
        <f t="shared" si="52"/>
        <v>1.5 L</v>
      </c>
      <c r="B79" s="265">
        <f t="shared" si="62"/>
        <v>0</v>
      </c>
      <c r="C79" s="103">
        <f>DELIVERIES!BX37</f>
        <v>15.916666666659999</v>
      </c>
      <c r="D79" s="111">
        <f t="shared" si="63"/>
        <v>0</v>
      </c>
      <c r="E79" s="113">
        <f>DELIVERIES!BW38</f>
        <v>0</v>
      </c>
      <c r="F79" s="305">
        <f>DELIVERIES!BY38</f>
        <v>0</v>
      </c>
      <c r="G79" s="117">
        <f>B.O!BT38</f>
        <v>0</v>
      </c>
      <c r="H79" s="306">
        <f>B.O!BV38</f>
        <v>0</v>
      </c>
      <c r="I79" s="109">
        <f t="shared" si="64"/>
        <v>0</v>
      </c>
      <c r="J79" s="103">
        <f t="shared" si="65"/>
        <v>15.916666666659999</v>
      </c>
      <c r="K79" s="274">
        <f t="shared" si="66"/>
        <v>0</v>
      </c>
      <c r="L79" s="114"/>
      <c r="M79" s="101" t="str">
        <f t="shared" si="58"/>
        <v>1.5 L</v>
      </c>
      <c r="N79" s="113">
        <f t="shared" si="67"/>
        <v>0</v>
      </c>
      <c r="O79" s="110">
        <f t="shared" si="68"/>
        <v>15.916666666659999</v>
      </c>
      <c r="P79" s="148">
        <f>'DAILY COGS'!BV38</f>
        <v>0</v>
      </c>
      <c r="Q79" s="115"/>
      <c r="R79" s="113">
        <f>GROSS!BT38</f>
        <v>0</v>
      </c>
      <c r="S79" s="109">
        <f t="shared" si="69"/>
        <v>80</v>
      </c>
      <c r="T79" s="148">
        <f>GROSS!BV38</f>
        <v>0</v>
      </c>
    </row>
    <row r="80" spans="1:20" ht="15.75" customHeight="1">
      <c r="A80" s="101" t="str">
        <f t="shared" si="52"/>
        <v>Water 350ml</v>
      </c>
      <c r="B80" s="265">
        <f t="shared" si="62"/>
        <v>0</v>
      </c>
      <c r="C80" s="103">
        <f>DELIVERIES!AW37</f>
        <v>7.9166666666600003</v>
      </c>
      <c r="D80" s="111">
        <f t="shared" si="63"/>
        <v>0</v>
      </c>
      <c r="E80" s="113">
        <f>DELIVERIES!AV38</f>
        <v>0</v>
      </c>
      <c r="F80" s="305">
        <f>DELIVERIES!AX38</f>
        <v>0</v>
      </c>
      <c r="G80" s="117">
        <f>B.O!AS38</f>
        <v>0</v>
      </c>
      <c r="H80" s="306">
        <f>B.O!AU38</f>
        <v>0</v>
      </c>
      <c r="I80" s="109">
        <f t="shared" si="64"/>
        <v>0</v>
      </c>
      <c r="J80" s="103">
        <f t="shared" si="65"/>
        <v>7.9166666666600003</v>
      </c>
      <c r="K80" s="274">
        <f t="shared" si="66"/>
        <v>0</v>
      </c>
      <c r="L80" s="114"/>
      <c r="M80" s="101" t="str">
        <f t="shared" si="58"/>
        <v>Water 350ml</v>
      </c>
      <c r="N80" s="113">
        <f t="shared" si="67"/>
        <v>0</v>
      </c>
      <c r="O80" s="110">
        <f t="shared" si="68"/>
        <v>7.9166666666600003</v>
      </c>
      <c r="P80" s="148">
        <f>'DAILY COGS'!AU38</f>
        <v>0</v>
      </c>
      <c r="Q80" s="115"/>
      <c r="R80" s="113">
        <f>GROSS!AS38</f>
        <v>0</v>
      </c>
      <c r="S80" s="109">
        <f t="shared" si="69"/>
        <v>15</v>
      </c>
      <c r="T80" s="148">
        <f>GROSS!AU38</f>
        <v>0</v>
      </c>
    </row>
    <row r="81" spans="1:20" ht="15.75" customHeight="1">
      <c r="A81" s="101" t="str">
        <f t="shared" si="52"/>
        <v>Water 500ml</v>
      </c>
      <c r="B81" s="265">
        <f t="shared" si="62"/>
        <v>72</v>
      </c>
      <c r="C81" s="103">
        <f>DELIVERIES!AZ37</f>
        <v>9.7916666666666661</v>
      </c>
      <c r="D81" s="111">
        <f t="shared" si="63"/>
        <v>705</v>
      </c>
      <c r="E81" s="113">
        <f>DELIVERIES!AY38</f>
        <v>0</v>
      </c>
      <c r="F81" s="305">
        <f>DELIVERIES!BA38</f>
        <v>0</v>
      </c>
      <c r="G81" s="117">
        <f>B.O!AV38</f>
        <v>0</v>
      </c>
      <c r="H81" s="306">
        <f>B.O!AX38</f>
        <v>0</v>
      </c>
      <c r="I81" s="109">
        <f t="shared" si="64"/>
        <v>15</v>
      </c>
      <c r="J81" s="103">
        <f t="shared" si="65"/>
        <v>9.7916666666666661</v>
      </c>
      <c r="K81" s="274">
        <f t="shared" si="66"/>
        <v>146.875</v>
      </c>
      <c r="L81" s="114"/>
      <c r="M81" s="101" t="str">
        <f t="shared" si="58"/>
        <v>Water 500ml</v>
      </c>
      <c r="N81" s="113">
        <f t="shared" si="67"/>
        <v>57</v>
      </c>
      <c r="O81" s="110">
        <f t="shared" si="68"/>
        <v>9.7916666666666661</v>
      </c>
      <c r="P81" s="148">
        <f>'DAILY COGS'!AX38</f>
        <v>558.125</v>
      </c>
      <c r="Q81" s="115"/>
      <c r="R81" s="113">
        <f>GROSS!AV38</f>
        <v>57</v>
      </c>
      <c r="S81" s="109">
        <f t="shared" si="69"/>
        <v>20</v>
      </c>
      <c r="T81" s="148">
        <f>GROSS!AX38</f>
        <v>1140</v>
      </c>
    </row>
    <row r="82" spans="1:20" ht="15.75" customHeight="1">
      <c r="A82" s="101" t="str">
        <f t="shared" si="52"/>
        <v>GATORADE</v>
      </c>
      <c r="B82" s="265">
        <f t="shared" si="62"/>
        <v>0</v>
      </c>
      <c r="C82" s="103">
        <f>DELIVERIES!BL37</f>
        <v>23</v>
      </c>
      <c r="D82" s="111">
        <f t="shared" si="63"/>
        <v>0</v>
      </c>
      <c r="E82" s="113">
        <f>DELIVERIES!BK38</f>
        <v>0</v>
      </c>
      <c r="F82" s="305">
        <f>DELIVERIES!BM38</f>
        <v>0</v>
      </c>
      <c r="G82" s="117">
        <f>B.O!BQ38</f>
        <v>0</v>
      </c>
      <c r="H82" s="306">
        <f>B.O!BJ38</f>
        <v>0</v>
      </c>
      <c r="I82" s="109">
        <f t="shared" si="64"/>
        <v>0</v>
      </c>
      <c r="J82" s="103">
        <f t="shared" si="65"/>
        <v>23</v>
      </c>
      <c r="K82" s="274">
        <f t="shared" si="66"/>
        <v>0</v>
      </c>
      <c r="L82" s="114"/>
      <c r="M82" s="101" t="str">
        <f t="shared" si="58"/>
        <v>GATORADE</v>
      </c>
      <c r="N82" s="113">
        <f t="shared" si="67"/>
        <v>0</v>
      </c>
      <c r="O82" s="110">
        <f t="shared" si="68"/>
        <v>23</v>
      </c>
      <c r="P82" s="148">
        <f>'DAILY COGS'!BJ38</f>
        <v>0</v>
      </c>
      <c r="Q82" s="115"/>
      <c r="R82" s="113">
        <f>GROSS!BH38</f>
        <v>0</v>
      </c>
      <c r="S82" s="109">
        <f t="shared" si="69"/>
        <v>35</v>
      </c>
      <c r="T82" s="148">
        <f>GROSS!BJ38</f>
        <v>0</v>
      </c>
    </row>
    <row r="83" spans="1:20" ht="15.75" customHeight="1">
      <c r="A83" s="101" t="str">
        <f t="shared" si="52"/>
        <v>STING</v>
      </c>
      <c r="B83" s="265">
        <f t="shared" si="62"/>
        <v>23</v>
      </c>
      <c r="C83" s="103">
        <f>DELIVERIES!BR37</f>
        <v>12.75</v>
      </c>
      <c r="D83" s="111">
        <f t="shared" si="63"/>
        <v>293.25</v>
      </c>
      <c r="E83" s="113">
        <f>DELIVERIES!BQ38</f>
        <v>24</v>
      </c>
      <c r="F83" s="305">
        <f>DELIVERIES!BS38</f>
        <v>306</v>
      </c>
      <c r="G83" s="117">
        <f>B.O!BN38</f>
        <v>0</v>
      </c>
      <c r="H83" s="306">
        <f>B.O!BP38</f>
        <v>0</v>
      </c>
      <c r="I83" s="109">
        <f t="shared" si="64"/>
        <v>29</v>
      </c>
      <c r="J83" s="103">
        <f t="shared" si="65"/>
        <v>12.75</v>
      </c>
      <c r="K83" s="274">
        <f t="shared" si="66"/>
        <v>369.75</v>
      </c>
      <c r="L83" s="114"/>
      <c r="M83" s="101" t="str">
        <f t="shared" si="58"/>
        <v>STING</v>
      </c>
      <c r="N83" s="113">
        <f>'DAILY COGS'!BN38</f>
        <v>18</v>
      </c>
      <c r="O83" s="110">
        <f t="shared" si="68"/>
        <v>12.75</v>
      </c>
      <c r="P83" s="148">
        <f>'DAILY COGS'!BP38</f>
        <v>229.5</v>
      </c>
      <c r="Q83" s="115"/>
      <c r="R83" s="113">
        <f>GROSS!BN38</f>
        <v>18</v>
      </c>
      <c r="S83" s="109">
        <f t="shared" si="69"/>
        <v>25</v>
      </c>
      <c r="T83" s="148">
        <f>GROSS!BP38</f>
        <v>450</v>
      </c>
    </row>
    <row r="84" spans="1:20" ht="15.75" customHeight="1">
      <c r="A84" s="101" t="str">
        <f t="shared" si="52"/>
        <v>TROPICANA</v>
      </c>
      <c r="B84" s="265">
        <f t="shared" si="62"/>
        <v>0</v>
      </c>
      <c r="C84" s="103">
        <f>DELIVERIES!BO37</f>
        <v>12.5</v>
      </c>
      <c r="D84" s="111">
        <f t="shared" si="63"/>
        <v>0</v>
      </c>
      <c r="E84" s="113">
        <f>DELIVERIES!BK38</f>
        <v>0</v>
      </c>
      <c r="F84" s="305">
        <f>DELIVERIES!BP38</f>
        <v>0</v>
      </c>
      <c r="G84" s="117">
        <f>B.O!BK38</f>
        <v>0</v>
      </c>
      <c r="H84" s="306">
        <f>B.O!BM38</f>
        <v>0</v>
      </c>
      <c r="I84" s="109">
        <f t="shared" si="64"/>
        <v>0</v>
      </c>
      <c r="J84" s="103">
        <f t="shared" si="65"/>
        <v>12.5</v>
      </c>
      <c r="K84" s="274">
        <f t="shared" si="66"/>
        <v>0</v>
      </c>
      <c r="L84" s="114"/>
      <c r="M84" s="101" t="str">
        <f t="shared" si="58"/>
        <v>TROPICANA</v>
      </c>
      <c r="N84" s="113">
        <f t="shared" ref="N84:N88" si="70">R84</f>
        <v>0</v>
      </c>
      <c r="O84" s="110">
        <f t="shared" si="68"/>
        <v>12.5</v>
      </c>
      <c r="P84" s="148">
        <f>'DAILY COGS'!BM38</f>
        <v>0</v>
      </c>
      <c r="Q84" s="115"/>
      <c r="R84" s="113">
        <f>GROSS!BK38</f>
        <v>0</v>
      </c>
      <c r="S84" s="109">
        <f t="shared" si="69"/>
        <v>22</v>
      </c>
      <c r="T84" s="148">
        <f>GROSS!BM38</f>
        <v>0</v>
      </c>
    </row>
    <row r="85" spans="1:20" ht="15.75" customHeight="1">
      <c r="A85" s="101" t="str">
        <f t="shared" si="52"/>
        <v>PANALO</v>
      </c>
      <c r="B85" s="265">
        <f t="shared" si="62"/>
        <v>0</v>
      </c>
      <c r="C85" s="103">
        <f>DELIVERIES!BC37</f>
        <v>16.333333333333332</v>
      </c>
      <c r="D85" s="111">
        <f t="shared" si="63"/>
        <v>0</v>
      </c>
      <c r="E85" s="113">
        <f>DELIVERIES!BB38</f>
        <v>0</v>
      </c>
      <c r="F85" s="305">
        <f>DELIVERIES!BD38</f>
        <v>0</v>
      </c>
      <c r="G85" s="117">
        <f>B.O!AY38</f>
        <v>0</v>
      </c>
      <c r="H85" s="306">
        <f>B.O!BA38</f>
        <v>0</v>
      </c>
      <c r="I85" s="109">
        <f t="shared" si="64"/>
        <v>0</v>
      </c>
      <c r="J85" s="103">
        <f t="shared" si="65"/>
        <v>16.333333333333332</v>
      </c>
      <c r="K85" s="274">
        <f t="shared" si="66"/>
        <v>0</v>
      </c>
      <c r="L85" s="114"/>
      <c r="M85" s="101" t="str">
        <f t="shared" si="58"/>
        <v>PANALO</v>
      </c>
      <c r="N85" s="113">
        <f t="shared" si="70"/>
        <v>0</v>
      </c>
      <c r="O85" s="110">
        <f t="shared" si="68"/>
        <v>16.333333333333332</v>
      </c>
      <c r="P85" s="148">
        <f>'DAILY COGS'!BA38</f>
        <v>0</v>
      </c>
      <c r="Q85" s="115"/>
      <c r="R85" s="113">
        <f>GROSS!AY38</f>
        <v>0</v>
      </c>
      <c r="S85" s="109">
        <f t="shared" si="69"/>
        <v>25</v>
      </c>
      <c r="T85" s="148">
        <f>GROSS!BA38</f>
        <v>0</v>
      </c>
    </row>
    <row r="86" spans="1:20" ht="15.75" customHeight="1">
      <c r="A86" s="101" t="str">
        <f t="shared" si="52"/>
        <v>SWAKTO</v>
      </c>
      <c r="B86" s="265">
        <f t="shared" si="62"/>
        <v>0</v>
      </c>
      <c r="C86" s="103">
        <f>DELIVERIES!BF37</f>
        <v>11.666666666666666</v>
      </c>
      <c r="D86" s="111">
        <f t="shared" si="63"/>
        <v>0</v>
      </c>
      <c r="E86" s="113">
        <f>DELIVERIES!BE38</f>
        <v>0</v>
      </c>
      <c r="F86" s="305">
        <f>DELIVERIES!BG38</f>
        <v>0</v>
      </c>
      <c r="G86" s="117">
        <f>B.O!BB38</f>
        <v>0</v>
      </c>
      <c r="H86" s="306">
        <f>B.O!BD38</f>
        <v>0</v>
      </c>
      <c r="I86" s="109">
        <f t="shared" si="64"/>
        <v>0</v>
      </c>
      <c r="J86" s="103">
        <f t="shared" si="65"/>
        <v>11.666666666666666</v>
      </c>
      <c r="K86" s="274">
        <f t="shared" si="66"/>
        <v>0</v>
      </c>
      <c r="L86" s="114"/>
      <c r="M86" s="101" t="str">
        <f t="shared" si="58"/>
        <v>SWAKTO</v>
      </c>
      <c r="N86" s="113">
        <f t="shared" si="70"/>
        <v>0</v>
      </c>
      <c r="O86" s="110">
        <f t="shared" si="68"/>
        <v>11.666666666666666</v>
      </c>
      <c r="P86" s="148">
        <f>'DAILY COGS'!BD38</f>
        <v>0</v>
      </c>
      <c r="Q86" s="115"/>
      <c r="R86" s="113">
        <f>GROSS!BB38</f>
        <v>0</v>
      </c>
      <c r="S86" s="109">
        <f t="shared" si="69"/>
        <v>17</v>
      </c>
      <c r="T86" s="148">
        <f>GROSS!BD38</f>
        <v>0</v>
      </c>
    </row>
    <row r="87" spans="1:20" ht="15.75" customHeight="1">
      <c r="A87" s="101" t="str">
        <f t="shared" si="52"/>
        <v>CALAMANSI JUICE</v>
      </c>
      <c r="B87" s="265">
        <f t="shared" si="62"/>
        <v>27</v>
      </c>
      <c r="C87" s="103">
        <f>DELIVERIES!BI37</f>
        <v>20</v>
      </c>
      <c r="D87" s="111">
        <f t="shared" si="63"/>
        <v>540</v>
      </c>
      <c r="E87" s="113">
        <f>DELIVERIES!BH38</f>
        <v>50</v>
      </c>
      <c r="F87" s="305">
        <f>DELIVERIES!BJ38</f>
        <v>1000</v>
      </c>
      <c r="G87" s="117">
        <f>B.O!BE38</f>
        <v>0</v>
      </c>
      <c r="H87" s="306">
        <f>B.O!BG38</f>
        <v>0</v>
      </c>
      <c r="I87" s="109">
        <f t="shared" si="64"/>
        <v>57</v>
      </c>
      <c r="J87" s="103">
        <f t="shared" si="65"/>
        <v>20</v>
      </c>
      <c r="K87" s="274">
        <f t="shared" si="66"/>
        <v>1140</v>
      </c>
      <c r="L87" s="114"/>
      <c r="M87" s="101" t="str">
        <f t="shared" si="58"/>
        <v>CALAMANSI JUICE</v>
      </c>
      <c r="N87" s="113">
        <f t="shared" si="70"/>
        <v>20</v>
      </c>
      <c r="O87" s="110">
        <f t="shared" si="68"/>
        <v>20</v>
      </c>
      <c r="P87" s="148">
        <f>'DAILY COGS'!BG38</f>
        <v>400</v>
      </c>
      <c r="Q87" s="115"/>
      <c r="R87" s="113">
        <f>GROSS!BE38</f>
        <v>20</v>
      </c>
      <c r="S87" s="109">
        <f t="shared" si="69"/>
        <v>25</v>
      </c>
      <c r="T87" s="148">
        <f>GROSS!BG38</f>
        <v>500</v>
      </c>
    </row>
    <row r="88" spans="1:20" ht="15.75" customHeight="1">
      <c r="A88" s="101" t="str">
        <f t="shared" si="52"/>
        <v>PREMIUM CUT</v>
      </c>
      <c r="B88" s="265">
        <f t="shared" si="62"/>
        <v>0</v>
      </c>
      <c r="C88" s="103">
        <f>DELIVERIES!C37</f>
        <v>30</v>
      </c>
      <c r="D88" s="111">
        <f t="shared" si="63"/>
        <v>0</v>
      </c>
      <c r="E88" s="113">
        <f>DELIVERIES!B38</f>
        <v>0</v>
      </c>
      <c r="F88" s="305">
        <f>DELIVERIES!D38</f>
        <v>0</v>
      </c>
      <c r="G88" s="117">
        <f>B.O!B38</f>
        <v>0</v>
      </c>
      <c r="H88" s="306">
        <f>B.O!D38</f>
        <v>0</v>
      </c>
      <c r="I88" s="109">
        <f t="shared" si="64"/>
        <v>0</v>
      </c>
      <c r="J88" s="103">
        <f t="shared" si="65"/>
        <v>30</v>
      </c>
      <c r="K88" s="274">
        <f t="shared" si="66"/>
        <v>0</v>
      </c>
      <c r="L88" s="114"/>
      <c r="M88" s="101" t="str">
        <f t="shared" si="58"/>
        <v>PREMIUM CUT</v>
      </c>
      <c r="N88" s="113">
        <f t="shared" si="70"/>
        <v>0</v>
      </c>
      <c r="O88" s="110">
        <f t="shared" si="68"/>
        <v>30</v>
      </c>
      <c r="P88" s="148">
        <f>'DAILY COGS'!D38</f>
        <v>0</v>
      </c>
      <c r="Q88" s="115"/>
      <c r="R88" s="113">
        <f>GROSS!B38</f>
        <v>0</v>
      </c>
      <c r="S88" s="109">
        <f t="shared" si="69"/>
        <v>40</v>
      </c>
      <c r="T88" s="148">
        <f>GROSS!D38</f>
        <v>0</v>
      </c>
    </row>
    <row r="89" spans="1:20" ht="15.75" customHeight="1">
      <c r="A89" s="464" t="str">
        <f t="shared" si="52"/>
        <v>SUB TOTAL</v>
      </c>
      <c r="B89" s="465"/>
      <c r="C89" s="120"/>
      <c r="D89" s="127">
        <f>SUM(D76:D88)</f>
        <v>5132.75</v>
      </c>
      <c r="E89" s="122"/>
      <c r="F89" s="122">
        <f>SUM(F76:F88)</f>
        <v>5968</v>
      </c>
      <c r="G89" s="123"/>
      <c r="H89" s="324">
        <f>SUM(H76:H88)</f>
        <v>0</v>
      </c>
      <c r="I89" s="127"/>
      <c r="J89" s="120"/>
      <c r="K89" s="122">
        <f>SUM(K76:K88)</f>
        <v>5224.875</v>
      </c>
      <c r="L89" s="114"/>
      <c r="M89" s="311" t="str">
        <f t="shared" si="58"/>
        <v>SUB TOTAL</v>
      </c>
      <c r="N89" s="315">
        <f>'DAILY COGS'!BT38</f>
        <v>0</v>
      </c>
      <c r="O89" s="312">
        <f t="shared" si="68"/>
        <v>0</v>
      </c>
      <c r="P89" s="313">
        <f>SUM(P76:P88)</f>
        <v>5875.875</v>
      </c>
      <c r="Q89" s="314"/>
      <c r="R89" s="315">
        <f>GROSS!BW38</f>
        <v>0</v>
      </c>
      <c r="S89" s="316">
        <f t="shared" si="69"/>
        <v>0</v>
      </c>
      <c r="T89" s="313">
        <f>SUM(T76:T88)</f>
        <v>11855</v>
      </c>
    </row>
    <row r="90" spans="1:20" ht="15.75" customHeight="1">
      <c r="A90" s="149" t="s">
        <v>23</v>
      </c>
      <c r="B90" s="150">
        <f>SUM(B66:B89)</f>
        <v>965</v>
      </c>
      <c r="C90" s="150"/>
      <c r="D90" s="151">
        <f t="shared" ref="D90:E90" si="71">SUM(D66:D89)</f>
        <v>26835.5</v>
      </c>
      <c r="E90" s="151">
        <f t="shared" si="71"/>
        <v>4892</v>
      </c>
      <c r="F90" s="151">
        <f>F75+F89</f>
        <v>85758</v>
      </c>
      <c r="G90" s="151">
        <f>SUM(G66:G89)</f>
        <v>0</v>
      </c>
      <c r="H90" s="151">
        <f>H89+H75</f>
        <v>0</v>
      </c>
      <c r="I90" s="150">
        <f>SUM(I66:I89)</f>
        <v>1122</v>
      </c>
      <c r="J90" s="150"/>
      <c r="K90" s="151">
        <f>SUM(K66:K89)</f>
        <v>39617.75</v>
      </c>
      <c r="L90" s="152"/>
      <c r="M90" s="153" t="str">
        <f t="shared" si="58"/>
        <v>TOTAL</v>
      </c>
      <c r="N90" s="150">
        <f>SUM(N66:N89)</f>
        <v>4735</v>
      </c>
      <c r="O90" s="154"/>
      <c r="P90" s="151">
        <f>P89+P75</f>
        <v>79366.875</v>
      </c>
      <c r="Q90" s="155"/>
      <c r="R90" s="150">
        <f>SUM(R66:R89)</f>
        <v>4735</v>
      </c>
      <c r="S90" s="150"/>
      <c r="T90" s="151">
        <f>T89+T75</f>
        <v>122174</v>
      </c>
    </row>
    <row r="91" spans="1:20" ht="15.75" customHeight="1">
      <c r="F91" s="39">
        <f>DELIVERIES!CA38</f>
        <v>85758</v>
      </c>
      <c r="H91" s="39">
        <f>B.O!CA38</f>
        <v>0</v>
      </c>
      <c r="T91" s="39">
        <f>GROSS!CA38</f>
        <v>122174</v>
      </c>
    </row>
    <row r="92" spans="1:20" ht="15.75" customHeight="1">
      <c r="A92" s="251" t="s">
        <v>163</v>
      </c>
      <c r="B92" s="252"/>
      <c r="C92" s="252"/>
      <c r="D92" s="252"/>
      <c r="E92" s="252"/>
      <c r="F92" s="252"/>
      <c r="G92" s="252"/>
      <c r="H92" s="252"/>
      <c r="I92" s="252"/>
      <c r="J92" s="252"/>
      <c r="K92" s="254"/>
      <c r="L92" s="252"/>
      <c r="M92" s="252"/>
      <c r="N92" s="252"/>
      <c r="O92" s="252"/>
      <c r="P92" s="252"/>
      <c r="Q92" s="252"/>
      <c r="R92" s="252"/>
      <c r="S92" s="252"/>
      <c r="T92" s="252"/>
    </row>
    <row r="93" spans="1:20" ht="15.75" customHeight="1">
      <c r="A93" s="481" t="s">
        <v>90</v>
      </c>
      <c r="B93" s="478" t="s">
        <v>91</v>
      </c>
      <c r="C93" s="445"/>
      <c r="D93" s="423"/>
      <c r="E93" s="478" t="s">
        <v>92</v>
      </c>
      <c r="F93" s="445"/>
      <c r="G93" s="478" t="s">
        <v>93</v>
      </c>
      <c r="H93" s="423"/>
      <c r="I93" s="478" t="s">
        <v>94</v>
      </c>
      <c r="J93" s="445"/>
      <c r="K93" s="423"/>
      <c r="L93" s="96"/>
      <c r="M93" s="481" t="s">
        <v>90</v>
      </c>
      <c r="N93" s="478" t="s">
        <v>95</v>
      </c>
      <c r="O93" s="445"/>
      <c r="P93" s="423"/>
      <c r="Q93" s="207"/>
      <c r="R93" s="478" t="s">
        <v>96</v>
      </c>
      <c r="S93" s="445"/>
      <c r="T93" s="423"/>
    </row>
    <row r="94" spans="1:20" ht="15.75" customHeight="1">
      <c r="A94" s="436"/>
      <c r="B94" s="208" t="s">
        <v>97</v>
      </c>
      <c r="C94" s="209" t="s">
        <v>98</v>
      </c>
      <c r="D94" s="208" t="s">
        <v>99</v>
      </c>
      <c r="E94" s="208" t="s">
        <v>97</v>
      </c>
      <c r="F94" s="208" t="s">
        <v>99</v>
      </c>
      <c r="G94" s="208" t="s">
        <v>97</v>
      </c>
      <c r="H94" s="208" t="s">
        <v>99</v>
      </c>
      <c r="I94" s="208" t="s">
        <v>97</v>
      </c>
      <c r="J94" s="209" t="s">
        <v>98</v>
      </c>
      <c r="K94" s="210" t="s">
        <v>99</v>
      </c>
      <c r="L94" s="96"/>
      <c r="M94" s="436"/>
      <c r="N94" s="208" t="s">
        <v>97</v>
      </c>
      <c r="O94" s="209" t="s">
        <v>98</v>
      </c>
      <c r="P94" s="208" t="s">
        <v>99</v>
      </c>
      <c r="Q94" s="207"/>
      <c r="R94" s="208" t="s">
        <v>97</v>
      </c>
      <c r="S94" s="208" t="s">
        <v>100</v>
      </c>
      <c r="T94" s="208" t="s">
        <v>99</v>
      </c>
    </row>
    <row r="95" spans="1:20" ht="15.75" customHeight="1">
      <c r="A95" s="101" t="str">
        <f t="shared" ref="A95:A118" si="72">A8</f>
        <v>SPECIAL CUT</v>
      </c>
      <c r="B95" s="265">
        <f t="shared" ref="B95:B103" si="73">I66</f>
        <v>343</v>
      </c>
      <c r="C95" s="103">
        <f>DELIVERIES!F52</f>
        <v>35</v>
      </c>
      <c r="D95" s="111">
        <f t="shared" ref="D95:D103" si="74">B95*C95</f>
        <v>12005</v>
      </c>
      <c r="E95" s="109">
        <f>DELIVERIES!E53</f>
        <v>1750</v>
      </c>
      <c r="F95" s="111">
        <f>DELIVERIES!G53</f>
        <v>61250</v>
      </c>
      <c r="G95" s="267">
        <f>B.O!E53</f>
        <v>0</v>
      </c>
      <c r="H95" s="111">
        <f>B.O!G53</f>
        <v>0</v>
      </c>
      <c r="I95" s="109">
        <f t="shared" ref="I95:I103" si="75">B95+E95-G95-N95</f>
        <v>313</v>
      </c>
      <c r="J95" s="103">
        <f t="shared" ref="J95:J103" si="76">C95</f>
        <v>35</v>
      </c>
      <c r="K95" s="274">
        <f t="shared" ref="K95:K103" si="77">I95*J95</f>
        <v>10955</v>
      </c>
      <c r="L95" s="108"/>
      <c r="M95" s="101" t="str">
        <f t="shared" ref="M95:M119" si="78">A95</f>
        <v>SPECIAL CUT</v>
      </c>
      <c r="N95" s="109">
        <f t="shared" ref="N95:N103" si="79">R95</f>
        <v>1780</v>
      </c>
      <c r="O95" s="110">
        <f t="shared" ref="O95:O103" si="80">C95</f>
        <v>35</v>
      </c>
      <c r="P95" s="111">
        <f>'DAILY COGS'!G53</f>
        <v>62300</v>
      </c>
      <c r="Q95" s="112"/>
      <c r="R95" s="109">
        <f>GROSS!E53</f>
        <v>1780</v>
      </c>
      <c r="S95" s="109">
        <f t="shared" ref="S95:S103" si="81">S8</f>
        <v>50</v>
      </c>
      <c r="T95" s="104">
        <f>GROSS!G53</f>
        <v>89000</v>
      </c>
    </row>
    <row r="96" spans="1:20" ht="15.75" customHeight="1">
      <c r="A96" s="101" t="str">
        <f t="shared" si="72"/>
        <v>NGOHIONG</v>
      </c>
      <c r="B96" s="265">
        <f t="shared" si="73"/>
        <v>20</v>
      </c>
      <c r="C96" s="103">
        <f>DELIVERIES!I52</f>
        <v>8.5</v>
      </c>
      <c r="D96" s="111">
        <f t="shared" si="74"/>
        <v>170</v>
      </c>
      <c r="E96" s="113">
        <f>DELIVERIES!H53</f>
        <v>120</v>
      </c>
      <c r="F96" s="305">
        <f>DELIVERIES!J53</f>
        <v>1020</v>
      </c>
      <c r="G96" s="267">
        <f>B.O!H53</f>
        <v>0</v>
      </c>
      <c r="H96" s="306">
        <f>B.O!J53</f>
        <v>0</v>
      </c>
      <c r="I96" s="109">
        <f t="shared" si="75"/>
        <v>25</v>
      </c>
      <c r="J96" s="103">
        <f t="shared" si="76"/>
        <v>8.5</v>
      </c>
      <c r="K96" s="274">
        <f t="shared" si="77"/>
        <v>212.5</v>
      </c>
      <c r="L96" s="114"/>
      <c r="M96" s="101" t="str">
        <f t="shared" si="78"/>
        <v>NGOHIONG</v>
      </c>
      <c r="N96" s="109">
        <f t="shared" si="79"/>
        <v>115</v>
      </c>
      <c r="O96" s="110">
        <f t="shared" si="80"/>
        <v>8.5</v>
      </c>
      <c r="P96" s="148">
        <f>'DAILY COGS'!J53</f>
        <v>977.5</v>
      </c>
      <c r="Q96" s="115"/>
      <c r="R96" s="113">
        <f>GROSS!H53</f>
        <v>115</v>
      </c>
      <c r="S96" s="109">
        <f t="shared" si="81"/>
        <v>12</v>
      </c>
      <c r="T96" s="148">
        <f>GROSS!J53</f>
        <v>1380</v>
      </c>
    </row>
    <row r="97" spans="1:20" ht="15.75" customHeight="1">
      <c r="A97" s="101" t="str">
        <f t="shared" si="72"/>
        <v>NECK</v>
      </c>
      <c r="B97" s="265">
        <f t="shared" si="73"/>
        <v>30</v>
      </c>
      <c r="C97" s="103">
        <f>DELIVERIES!O52</f>
        <v>7</v>
      </c>
      <c r="D97" s="111">
        <f t="shared" si="74"/>
        <v>210</v>
      </c>
      <c r="E97" s="113">
        <f>DELIVERIES!N53</f>
        <v>1050</v>
      </c>
      <c r="F97" s="305">
        <f>DELIVERIES!P53</f>
        <v>7350</v>
      </c>
      <c r="G97" s="116">
        <f>B.O!N53</f>
        <v>0</v>
      </c>
      <c r="H97" s="306">
        <f>B.O!P53</f>
        <v>0</v>
      </c>
      <c r="I97" s="109">
        <f t="shared" si="75"/>
        <v>34</v>
      </c>
      <c r="J97" s="103">
        <f t="shared" si="76"/>
        <v>7</v>
      </c>
      <c r="K97" s="274">
        <f t="shared" si="77"/>
        <v>238</v>
      </c>
      <c r="L97" s="114"/>
      <c r="M97" s="101" t="str">
        <f t="shared" si="78"/>
        <v>NECK</v>
      </c>
      <c r="N97" s="109">
        <f t="shared" si="79"/>
        <v>1046</v>
      </c>
      <c r="O97" s="110">
        <f t="shared" si="80"/>
        <v>7</v>
      </c>
      <c r="P97" s="148">
        <f>'DAILY COGS'!P53</f>
        <v>7322</v>
      </c>
      <c r="Q97" s="115"/>
      <c r="R97" s="113">
        <f>GROSS!N53</f>
        <v>1046</v>
      </c>
      <c r="S97" s="109">
        <f t="shared" si="81"/>
        <v>12</v>
      </c>
      <c r="T97" s="148">
        <f>GROSS!P53</f>
        <v>12552</v>
      </c>
    </row>
    <row r="98" spans="1:20" ht="15.75" customHeight="1">
      <c r="A98" s="101" t="str">
        <f t="shared" si="72"/>
        <v>SIOMAI</v>
      </c>
      <c r="B98" s="265">
        <f t="shared" si="73"/>
        <v>39</v>
      </c>
      <c r="C98" s="103">
        <f>C11</f>
        <v>5.5</v>
      </c>
      <c r="D98" s="111">
        <f t="shared" si="74"/>
        <v>214.5</v>
      </c>
      <c r="E98" s="113">
        <f>DELIVERIES!Q53</f>
        <v>0</v>
      </c>
      <c r="F98" s="305">
        <f>DELIVERIES!S53</f>
        <v>0</v>
      </c>
      <c r="G98" s="117">
        <f>B.O!Q53</f>
        <v>0</v>
      </c>
      <c r="H98" s="306">
        <f>B.O!S53</f>
        <v>0</v>
      </c>
      <c r="I98" s="109">
        <f t="shared" si="75"/>
        <v>39</v>
      </c>
      <c r="J98" s="103">
        <f t="shared" si="76"/>
        <v>5.5</v>
      </c>
      <c r="K98" s="274">
        <f t="shared" si="77"/>
        <v>214.5</v>
      </c>
      <c r="L98" s="114"/>
      <c r="M98" s="101" t="str">
        <f t="shared" si="78"/>
        <v>SIOMAI</v>
      </c>
      <c r="N98" s="109">
        <f t="shared" si="79"/>
        <v>0</v>
      </c>
      <c r="O98" s="110">
        <f t="shared" si="80"/>
        <v>5.5</v>
      </c>
      <c r="P98" s="148">
        <f>'DAILY COGS'!S53</f>
        <v>0</v>
      </c>
      <c r="Q98" s="115"/>
      <c r="R98" s="113">
        <f>GROSS!Q53</f>
        <v>0</v>
      </c>
      <c r="S98" s="109">
        <f t="shared" si="81"/>
        <v>7.5</v>
      </c>
      <c r="T98" s="148">
        <f>GROSS!S53</f>
        <v>0</v>
      </c>
    </row>
    <row r="99" spans="1:20" ht="15.75" customHeight="1">
      <c r="A99" s="101" t="str">
        <f t="shared" si="72"/>
        <v>RICE</v>
      </c>
      <c r="B99" s="265">
        <f t="shared" si="73"/>
        <v>21</v>
      </c>
      <c r="C99" s="103">
        <f>DELIVERIES!U52</f>
        <v>8.5</v>
      </c>
      <c r="D99" s="111">
        <f t="shared" si="74"/>
        <v>178.5</v>
      </c>
      <c r="E99" s="113">
        <f>DELIVERIES!T53</f>
        <v>1880</v>
      </c>
      <c r="F99" s="305">
        <f>DELIVERIES!V53</f>
        <v>15980</v>
      </c>
      <c r="G99" s="117">
        <f>B.O!T53</f>
        <v>0</v>
      </c>
      <c r="H99" s="306">
        <f>B.O!V53</f>
        <v>0</v>
      </c>
      <c r="I99" s="109">
        <f t="shared" si="75"/>
        <v>46</v>
      </c>
      <c r="J99" s="103">
        <f t="shared" si="76"/>
        <v>8.5</v>
      </c>
      <c r="K99" s="274">
        <f t="shared" si="77"/>
        <v>391</v>
      </c>
      <c r="L99" s="114"/>
      <c r="M99" s="101" t="str">
        <f t="shared" si="78"/>
        <v>RICE</v>
      </c>
      <c r="N99" s="109">
        <f t="shared" si="79"/>
        <v>1855</v>
      </c>
      <c r="O99" s="110">
        <f t="shared" si="80"/>
        <v>8.5</v>
      </c>
      <c r="P99" s="148">
        <f>'DAILY COGS'!V53</f>
        <v>15767.5</v>
      </c>
      <c r="Q99" s="115"/>
      <c r="R99" s="113">
        <f>GROSS!T53</f>
        <v>1855</v>
      </c>
      <c r="S99" s="109">
        <f t="shared" si="81"/>
        <v>15</v>
      </c>
      <c r="T99" s="148">
        <f>GROSS!V53</f>
        <v>27825</v>
      </c>
    </row>
    <row r="100" spans="1:20" ht="15.75" customHeight="1">
      <c r="A100" s="101" t="str">
        <f t="shared" si="72"/>
        <v>BOLA BOLA</v>
      </c>
      <c r="B100" s="265">
        <f t="shared" si="73"/>
        <v>122</v>
      </c>
      <c r="C100" s="103">
        <f>DELIVERIES!X52</f>
        <v>6</v>
      </c>
      <c r="D100" s="111">
        <f t="shared" si="74"/>
        <v>732</v>
      </c>
      <c r="E100" s="113">
        <f>DELIVERIES!W53</f>
        <v>300</v>
      </c>
      <c r="F100" s="305">
        <f>DELIVERIES!Y53</f>
        <v>1800</v>
      </c>
      <c r="G100" s="117">
        <f>B.O!W53</f>
        <v>0</v>
      </c>
      <c r="H100" s="306">
        <f>B.O!Y53</f>
        <v>0</v>
      </c>
      <c r="I100" s="109">
        <f t="shared" si="75"/>
        <v>70</v>
      </c>
      <c r="J100" s="103">
        <f t="shared" si="76"/>
        <v>6</v>
      </c>
      <c r="K100" s="274">
        <f t="shared" si="77"/>
        <v>420</v>
      </c>
      <c r="L100" s="114"/>
      <c r="M100" s="101" t="str">
        <f t="shared" si="78"/>
        <v>BOLA BOLA</v>
      </c>
      <c r="N100" s="109">
        <f t="shared" si="79"/>
        <v>352</v>
      </c>
      <c r="O100" s="110">
        <f t="shared" si="80"/>
        <v>6</v>
      </c>
      <c r="P100" s="148">
        <f>'DAILY COGS'!Y53</f>
        <v>2112</v>
      </c>
      <c r="Q100" s="115"/>
      <c r="R100" s="113">
        <f>GROSS!W53</f>
        <v>352</v>
      </c>
      <c r="S100" s="109">
        <f t="shared" si="81"/>
        <v>10</v>
      </c>
      <c r="T100" s="148">
        <f>GROSS!Y53</f>
        <v>3520</v>
      </c>
    </row>
    <row r="101" spans="1:20" ht="15.75" customHeight="1">
      <c r="A101" s="101" t="str">
        <f t="shared" si="72"/>
        <v>LUMPIA</v>
      </c>
      <c r="B101" s="265">
        <f t="shared" si="73"/>
        <v>79</v>
      </c>
      <c r="C101" s="103">
        <f>DELIVERIES!AA52</f>
        <v>6</v>
      </c>
      <c r="D101" s="111">
        <f t="shared" si="74"/>
        <v>474</v>
      </c>
      <c r="E101" s="113">
        <f>DELIVERIES!Z53</f>
        <v>340</v>
      </c>
      <c r="F101" s="305">
        <f>DELIVERIES!AB53</f>
        <v>2040</v>
      </c>
      <c r="G101" s="117">
        <f>B.O!Z53</f>
        <v>0</v>
      </c>
      <c r="H101" s="306">
        <f>B.O!AB53</f>
        <v>0</v>
      </c>
      <c r="I101" s="109">
        <f t="shared" si="75"/>
        <v>59</v>
      </c>
      <c r="J101" s="103">
        <f t="shared" si="76"/>
        <v>6</v>
      </c>
      <c r="K101" s="274">
        <f t="shared" si="77"/>
        <v>354</v>
      </c>
      <c r="L101" s="114"/>
      <c r="M101" s="101" t="str">
        <f t="shared" si="78"/>
        <v>LUMPIA</v>
      </c>
      <c r="N101" s="109">
        <f t="shared" si="79"/>
        <v>360</v>
      </c>
      <c r="O101" s="110">
        <f t="shared" si="80"/>
        <v>6</v>
      </c>
      <c r="P101" s="148">
        <f>'DAILY COGS'!AB53</f>
        <v>2160</v>
      </c>
      <c r="Q101" s="115"/>
      <c r="R101" s="113">
        <f>GROSS!Z53</f>
        <v>360</v>
      </c>
      <c r="S101" s="109">
        <f t="shared" si="81"/>
        <v>8</v>
      </c>
      <c r="T101" s="148">
        <f>GROSS!AB53</f>
        <v>2880</v>
      </c>
    </row>
    <row r="102" spans="1:20" ht="15.75" customHeight="1">
      <c r="A102" s="101" t="str">
        <f t="shared" si="72"/>
        <v>ATSARA</v>
      </c>
      <c r="B102" s="265">
        <f t="shared" si="73"/>
        <v>30</v>
      </c>
      <c r="C102" s="103">
        <f>DELIVERIES!AD52</f>
        <v>8</v>
      </c>
      <c r="D102" s="111">
        <f t="shared" si="74"/>
        <v>240</v>
      </c>
      <c r="E102" s="113">
        <f>DELIVERIES!AC53</f>
        <v>40</v>
      </c>
      <c r="F102" s="305">
        <f>DELIVERIES!AE53</f>
        <v>320</v>
      </c>
      <c r="G102" s="117">
        <f>B.O!AC53</f>
        <v>0</v>
      </c>
      <c r="H102" s="306">
        <f>B.O!AE53</f>
        <v>0</v>
      </c>
      <c r="I102" s="109">
        <f t="shared" si="75"/>
        <v>3</v>
      </c>
      <c r="J102" s="103">
        <f t="shared" si="76"/>
        <v>8</v>
      </c>
      <c r="K102" s="274">
        <f t="shared" si="77"/>
        <v>24</v>
      </c>
      <c r="L102" s="114"/>
      <c r="M102" s="101" t="str">
        <f t="shared" si="78"/>
        <v>ATSARA</v>
      </c>
      <c r="N102" s="109">
        <f t="shared" si="79"/>
        <v>67</v>
      </c>
      <c r="O102" s="110">
        <f t="shared" si="80"/>
        <v>8</v>
      </c>
      <c r="P102" s="148">
        <f>'DAILY COGS'!AE53</f>
        <v>536</v>
      </c>
      <c r="Q102" s="115"/>
      <c r="R102" s="113">
        <f>GROSS!AC53</f>
        <v>67</v>
      </c>
      <c r="S102" s="109">
        <f t="shared" si="81"/>
        <v>10</v>
      </c>
      <c r="T102" s="148">
        <f>GROSS!AE53</f>
        <v>670</v>
      </c>
    </row>
    <row r="103" spans="1:20" ht="15.75" customHeight="1">
      <c r="A103" s="101" t="str">
        <f t="shared" si="72"/>
        <v>Chicken Fillet</v>
      </c>
      <c r="B103" s="265">
        <f t="shared" si="73"/>
        <v>20</v>
      </c>
      <c r="C103" s="103">
        <f>DELIVERIES!L52</f>
        <v>18</v>
      </c>
      <c r="D103" s="111">
        <f t="shared" si="74"/>
        <v>360</v>
      </c>
      <c r="E103" s="113">
        <f>DELIVERIES!K53</f>
        <v>150</v>
      </c>
      <c r="F103" s="305">
        <f>DELIVERIES!M53</f>
        <v>2700</v>
      </c>
      <c r="G103" s="117">
        <f>B.O!K53</f>
        <v>0</v>
      </c>
      <c r="H103" s="306">
        <f>B.O!M53</f>
        <v>0</v>
      </c>
      <c r="I103" s="109">
        <f t="shared" si="75"/>
        <v>12</v>
      </c>
      <c r="J103" s="103">
        <f t="shared" si="76"/>
        <v>18</v>
      </c>
      <c r="K103" s="274">
        <f t="shared" si="77"/>
        <v>216</v>
      </c>
      <c r="L103" s="114"/>
      <c r="M103" s="101" t="str">
        <f t="shared" si="78"/>
        <v>Chicken Fillet</v>
      </c>
      <c r="N103" s="109">
        <f t="shared" si="79"/>
        <v>158</v>
      </c>
      <c r="O103" s="110">
        <f t="shared" si="80"/>
        <v>18</v>
      </c>
      <c r="P103" s="148">
        <f>'DAILY COGS'!M53</f>
        <v>2844</v>
      </c>
      <c r="Q103" s="115"/>
      <c r="R103" s="113">
        <f>GROSS!K53</f>
        <v>158</v>
      </c>
      <c r="S103" s="109">
        <f t="shared" si="81"/>
        <v>25</v>
      </c>
      <c r="T103" s="148">
        <f>GROSS!M53</f>
        <v>3950</v>
      </c>
    </row>
    <row r="104" spans="1:20" ht="15.75" customHeight="1">
      <c r="A104" s="101" t="str">
        <f t="shared" si="72"/>
        <v>SUB TOTAL</v>
      </c>
      <c r="B104" s="302"/>
      <c r="C104" s="120"/>
      <c r="D104" s="303">
        <f>SUM(D95:D103)</f>
        <v>14584</v>
      </c>
      <c r="E104" s="122"/>
      <c r="F104" s="303">
        <f>SUM(F95:F103)</f>
        <v>92460</v>
      </c>
      <c r="G104" s="123"/>
      <c r="H104" s="303">
        <f>SUM(H95:H103)</f>
        <v>0</v>
      </c>
      <c r="I104" s="127"/>
      <c r="J104" s="120"/>
      <c r="K104" s="303">
        <f>SUM(K95:K103)</f>
        <v>13025</v>
      </c>
      <c r="L104" s="124"/>
      <c r="M104" s="242" t="str">
        <f t="shared" si="78"/>
        <v>SUB TOTAL</v>
      </c>
      <c r="N104" s="127"/>
      <c r="O104" s="125"/>
      <c r="P104" s="303">
        <f>SUM(P95:P103)</f>
        <v>94019</v>
      </c>
      <c r="Q104" s="126"/>
      <c r="R104" s="122"/>
      <c r="S104" s="127"/>
      <c r="T104" s="303">
        <f>SUM(T95:T103)</f>
        <v>141777</v>
      </c>
    </row>
    <row r="105" spans="1:20" ht="15.75" customHeight="1">
      <c r="A105" s="101" t="str">
        <f t="shared" si="72"/>
        <v>8 oz</v>
      </c>
      <c r="B105" s="265">
        <f t="shared" ref="B105:B118" si="82">I76</f>
        <v>90</v>
      </c>
      <c r="C105" s="103">
        <f>DELIVERIES!AQ52</f>
        <v>8.75</v>
      </c>
      <c r="D105" s="111">
        <f t="shared" ref="D105:D117" si="83">B105*C105</f>
        <v>787.5</v>
      </c>
      <c r="E105" s="113">
        <f>DELIVERIES!AP53</f>
        <v>144</v>
      </c>
      <c r="F105" s="305">
        <f>DELIVERIES!AR53</f>
        <v>1260</v>
      </c>
      <c r="G105" s="117">
        <f>B.O!AM53</f>
        <v>0</v>
      </c>
      <c r="H105" s="306">
        <f>B.O!AO53</f>
        <v>0</v>
      </c>
      <c r="I105" s="109">
        <f t="shared" ref="I105:I118" si="84">B105+E105-G105-N105</f>
        <v>95</v>
      </c>
      <c r="J105" s="103">
        <f t="shared" ref="J105:J118" si="85">C105</f>
        <v>8.75</v>
      </c>
      <c r="K105" s="274">
        <f t="shared" ref="K105:K117" si="86">I105*J105</f>
        <v>831.25</v>
      </c>
      <c r="L105" s="114"/>
      <c r="M105" s="101" t="str">
        <f t="shared" si="78"/>
        <v>8 oz</v>
      </c>
      <c r="N105" s="109">
        <f t="shared" ref="N105:N117" si="87">R105</f>
        <v>139</v>
      </c>
      <c r="O105" s="110">
        <f t="shared" ref="O105:O118" si="88">C105</f>
        <v>8.75</v>
      </c>
      <c r="P105" s="148">
        <f>'DAILY COGS'!AO53</f>
        <v>1216.25</v>
      </c>
      <c r="Q105" s="115"/>
      <c r="R105" s="113">
        <f>GROSS!AM53</f>
        <v>139</v>
      </c>
      <c r="S105" s="109">
        <f t="shared" ref="S105:S118" si="89">S18</f>
        <v>20</v>
      </c>
      <c r="T105" s="148">
        <f>GROSS!AO53</f>
        <v>2780</v>
      </c>
    </row>
    <row r="106" spans="1:20" ht="15.75" customHeight="1">
      <c r="A106" s="101" t="str">
        <f t="shared" si="72"/>
        <v>12 oz</v>
      </c>
      <c r="B106" s="265">
        <f t="shared" si="82"/>
        <v>227</v>
      </c>
      <c r="C106" s="103">
        <f>DELIVERIES!AT52</f>
        <v>12.25</v>
      </c>
      <c r="D106" s="111">
        <f t="shared" si="83"/>
        <v>2780.75</v>
      </c>
      <c r="E106" s="113">
        <f>DELIVERIES!AS53</f>
        <v>408</v>
      </c>
      <c r="F106" s="305">
        <f>DELIVERIES!AU53</f>
        <v>4998</v>
      </c>
      <c r="G106" s="117">
        <f>B.O!AP53</f>
        <v>0</v>
      </c>
      <c r="H106" s="306">
        <f>B.O!AR53</f>
        <v>0</v>
      </c>
      <c r="I106" s="109">
        <f t="shared" si="84"/>
        <v>218</v>
      </c>
      <c r="J106" s="103">
        <f t="shared" si="85"/>
        <v>12.25</v>
      </c>
      <c r="K106" s="274">
        <f t="shared" si="86"/>
        <v>2670.5</v>
      </c>
      <c r="L106" s="114"/>
      <c r="M106" s="311" t="str">
        <f t="shared" si="78"/>
        <v>12 oz</v>
      </c>
      <c r="N106" s="109">
        <f t="shared" si="87"/>
        <v>417</v>
      </c>
      <c r="O106" s="312">
        <f t="shared" si="88"/>
        <v>12.25</v>
      </c>
      <c r="P106" s="313">
        <f>'DAILY COGS'!AR53</f>
        <v>5108.25</v>
      </c>
      <c r="Q106" s="314"/>
      <c r="R106" s="315">
        <f>GROSS!AP53</f>
        <v>417</v>
      </c>
      <c r="S106" s="316">
        <f t="shared" si="89"/>
        <v>25</v>
      </c>
      <c r="T106" s="313">
        <f>GROSS!AR53</f>
        <v>10425</v>
      </c>
    </row>
    <row r="107" spans="1:20" ht="15.75" customHeight="1">
      <c r="A107" s="101" t="str">
        <f t="shared" si="72"/>
        <v>1 LITER</v>
      </c>
      <c r="B107" s="265">
        <f t="shared" si="82"/>
        <v>0</v>
      </c>
      <c r="C107" s="103">
        <f>DELIVERIES!BU52</f>
        <v>30.25</v>
      </c>
      <c r="D107" s="111">
        <f t="shared" si="83"/>
        <v>0</v>
      </c>
      <c r="E107" s="113">
        <f>DELIVERIES!BT53</f>
        <v>0</v>
      </c>
      <c r="F107" s="305">
        <f>DELIVERIES!BV53</f>
        <v>0</v>
      </c>
      <c r="G107" s="117">
        <f>B.O!BQ53</f>
        <v>0</v>
      </c>
      <c r="H107" s="306">
        <f>B.O!BS53</f>
        <v>0</v>
      </c>
      <c r="I107" s="109">
        <f t="shared" si="84"/>
        <v>0</v>
      </c>
      <c r="J107" s="103">
        <f t="shared" si="85"/>
        <v>30.25</v>
      </c>
      <c r="K107" s="274">
        <f t="shared" si="86"/>
        <v>0</v>
      </c>
      <c r="L107" s="114"/>
      <c r="M107" s="101" t="str">
        <f t="shared" si="78"/>
        <v>1 LITER</v>
      </c>
      <c r="N107" s="109">
        <f t="shared" si="87"/>
        <v>0</v>
      </c>
      <c r="O107" s="110">
        <f t="shared" si="88"/>
        <v>30.25</v>
      </c>
      <c r="P107" s="148">
        <f>'DAILY COGS'!BS53</f>
        <v>0</v>
      </c>
      <c r="Q107" s="115"/>
      <c r="R107" s="113">
        <f>GROSS!BQ53</f>
        <v>0</v>
      </c>
      <c r="S107" s="109">
        <f t="shared" si="89"/>
        <v>40</v>
      </c>
      <c r="T107" s="148">
        <f>GROSS!BS53</f>
        <v>0</v>
      </c>
    </row>
    <row r="108" spans="1:20" ht="15.75" customHeight="1">
      <c r="A108" s="101" t="str">
        <f t="shared" si="72"/>
        <v>1.5 L</v>
      </c>
      <c r="B108" s="265">
        <f t="shared" si="82"/>
        <v>0</v>
      </c>
      <c r="C108" s="103">
        <f>DELIVERIES!BX52</f>
        <v>15.916666666659999</v>
      </c>
      <c r="D108" s="111">
        <f t="shared" si="83"/>
        <v>0</v>
      </c>
      <c r="E108" s="113">
        <f>DELIVERIES!BW53</f>
        <v>0</v>
      </c>
      <c r="F108" s="305">
        <f>DELIVERIES!BY53</f>
        <v>0</v>
      </c>
      <c r="G108" s="117">
        <f>B.O!BT53</f>
        <v>0</v>
      </c>
      <c r="H108" s="306">
        <f>B.O!BV53</f>
        <v>0</v>
      </c>
      <c r="I108" s="109">
        <f t="shared" si="84"/>
        <v>0</v>
      </c>
      <c r="J108" s="103">
        <f t="shared" si="85"/>
        <v>15.916666666659999</v>
      </c>
      <c r="K108" s="274">
        <f t="shared" si="86"/>
        <v>0</v>
      </c>
      <c r="L108" s="114"/>
      <c r="M108" s="101" t="str">
        <f t="shared" si="78"/>
        <v>1.5 L</v>
      </c>
      <c r="N108" s="109">
        <f t="shared" si="87"/>
        <v>0</v>
      </c>
      <c r="O108" s="110">
        <f t="shared" si="88"/>
        <v>15.916666666659999</v>
      </c>
      <c r="P108" s="148">
        <f>'DAILY COGS'!BV53</f>
        <v>0</v>
      </c>
      <c r="Q108" s="115"/>
      <c r="R108" s="113">
        <f>GROSS!BT53</f>
        <v>0</v>
      </c>
      <c r="S108" s="109">
        <f t="shared" si="89"/>
        <v>80</v>
      </c>
      <c r="T108" s="148">
        <f>GROSS!BV53</f>
        <v>0</v>
      </c>
    </row>
    <row r="109" spans="1:20" ht="15.75" customHeight="1">
      <c r="A109" s="101" t="str">
        <f t="shared" si="72"/>
        <v>Water 350ml</v>
      </c>
      <c r="B109" s="265">
        <f t="shared" si="82"/>
        <v>0</v>
      </c>
      <c r="C109" s="103">
        <f>DELIVERIES!AW52</f>
        <v>7.791666666666667</v>
      </c>
      <c r="D109" s="111">
        <f t="shared" si="83"/>
        <v>0</v>
      </c>
      <c r="E109" s="113">
        <f>DELIVERIES!AV53</f>
        <v>0</v>
      </c>
      <c r="F109" s="305">
        <f>DELIVERIES!AX53</f>
        <v>0</v>
      </c>
      <c r="G109" s="117">
        <f>B.O!AS53</f>
        <v>0</v>
      </c>
      <c r="H109" s="306">
        <f>B.O!AU53</f>
        <v>0</v>
      </c>
      <c r="I109" s="109">
        <f t="shared" si="84"/>
        <v>0</v>
      </c>
      <c r="J109" s="103">
        <f t="shared" si="85"/>
        <v>7.791666666666667</v>
      </c>
      <c r="K109" s="274">
        <f t="shared" si="86"/>
        <v>0</v>
      </c>
      <c r="L109" s="114"/>
      <c r="M109" s="101" t="str">
        <f t="shared" si="78"/>
        <v>Water 350ml</v>
      </c>
      <c r="N109" s="109">
        <f t="shared" si="87"/>
        <v>0</v>
      </c>
      <c r="O109" s="110">
        <f t="shared" si="88"/>
        <v>7.791666666666667</v>
      </c>
      <c r="P109" s="148">
        <f>'DAILY COGS'!AU53</f>
        <v>0</v>
      </c>
      <c r="Q109" s="115"/>
      <c r="R109" s="113">
        <f>GROSS!AS53</f>
        <v>0</v>
      </c>
      <c r="S109" s="109">
        <f t="shared" si="89"/>
        <v>15</v>
      </c>
      <c r="T109" s="148">
        <f>GROSS!AU53</f>
        <v>0</v>
      </c>
    </row>
    <row r="110" spans="1:20" ht="15.75" customHeight="1">
      <c r="A110" s="101" t="str">
        <f t="shared" si="72"/>
        <v>Water 500ml</v>
      </c>
      <c r="B110" s="265">
        <f t="shared" si="82"/>
        <v>15</v>
      </c>
      <c r="C110" s="103">
        <f>DELIVERIES!AZ52</f>
        <v>9.7916666666666661</v>
      </c>
      <c r="D110" s="111">
        <f t="shared" si="83"/>
        <v>146.875</v>
      </c>
      <c r="E110" s="113">
        <f>DELIVERIES!AY53</f>
        <v>120</v>
      </c>
      <c r="F110" s="305">
        <f>DELIVERIES!BA53</f>
        <v>1175</v>
      </c>
      <c r="G110" s="117">
        <f>B.O!AV53</f>
        <v>0</v>
      </c>
      <c r="H110" s="306">
        <f>B.O!AX53</f>
        <v>0</v>
      </c>
      <c r="I110" s="109">
        <f t="shared" si="84"/>
        <v>48</v>
      </c>
      <c r="J110" s="103">
        <f t="shared" si="85"/>
        <v>9.7916666666666661</v>
      </c>
      <c r="K110" s="274">
        <f t="shared" si="86"/>
        <v>470</v>
      </c>
      <c r="L110" s="114"/>
      <c r="M110" s="101" t="str">
        <f t="shared" si="78"/>
        <v>Water 500ml</v>
      </c>
      <c r="N110" s="109">
        <f t="shared" si="87"/>
        <v>87</v>
      </c>
      <c r="O110" s="110">
        <f t="shared" si="88"/>
        <v>9.7916666666666661</v>
      </c>
      <c r="P110" s="148">
        <f>'DAILY COGS'!AX53</f>
        <v>851.87499999999989</v>
      </c>
      <c r="Q110" s="115"/>
      <c r="R110" s="113">
        <f>GROSS!AV53</f>
        <v>87</v>
      </c>
      <c r="S110" s="109">
        <f t="shared" si="89"/>
        <v>20</v>
      </c>
      <c r="T110" s="148">
        <f>GROSS!AX53</f>
        <v>1740</v>
      </c>
    </row>
    <row r="111" spans="1:20" ht="15.75" customHeight="1">
      <c r="A111" s="101" t="str">
        <f t="shared" si="72"/>
        <v>GATORADE</v>
      </c>
      <c r="B111" s="265">
        <f t="shared" si="82"/>
        <v>0</v>
      </c>
      <c r="C111" s="103">
        <f>DELIVERIES!BL52</f>
        <v>23</v>
      </c>
      <c r="D111" s="111">
        <f t="shared" si="83"/>
        <v>0</v>
      </c>
      <c r="E111" s="113">
        <f>DELIVERIES!BK53</f>
        <v>0</v>
      </c>
      <c r="F111" s="305">
        <f>DELIVERIES!BM53</f>
        <v>0</v>
      </c>
      <c r="G111" s="117">
        <f>B.O!BH53</f>
        <v>0</v>
      </c>
      <c r="H111" s="306">
        <f>B.O!BJ53</f>
        <v>0</v>
      </c>
      <c r="I111" s="109">
        <f t="shared" si="84"/>
        <v>0</v>
      </c>
      <c r="J111" s="103">
        <f t="shared" si="85"/>
        <v>23</v>
      </c>
      <c r="K111" s="274">
        <f t="shared" si="86"/>
        <v>0</v>
      </c>
      <c r="L111" s="114"/>
      <c r="M111" s="101" t="str">
        <f t="shared" si="78"/>
        <v>GATORADE</v>
      </c>
      <c r="N111" s="109">
        <f t="shared" si="87"/>
        <v>0</v>
      </c>
      <c r="O111" s="110">
        <f t="shared" si="88"/>
        <v>23</v>
      </c>
      <c r="P111" s="148">
        <f>'DAILY COGS'!BJ53</f>
        <v>0</v>
      </c>
      <c r="Q111" s="115"/>
      <c r="R111" s="113">
        <f>GROSS!BH53</f>
        <v>0</v>
      </c>
      <c r="S111" s="109">
        <f t="shared" si="89"/>
        <v>35</v>
      </c>
      <c r="T111" s="148">
        <f>GROSS!BJ53</f>
        <v>0</v>
      </c>
    </row>
    <row r="112" spans="1:20" ht="15.75" customHeight="1">
      <c r="A112" s="101" t="str">
        <f t="shared" si="72"/>
        <v>STING</v>
      </c>
      <c r="B112" s="265">
        <f t="shared" si="82"/>
        <v>29</v>
      </c>
      <c r="C112" s="103">
        <f>DELIVERIES!BR52</f>
        <v>12.75</v>
      </c>
      <c r="D112" s="111">
        <f t="shared" si="83"/>
        <v>369.75</v>
      </c>
      <c r="E112" s="113">
        <f>DELIVERIES!BQ53</f>
        <v>24</v>
      </c>
      <c r="F112" s="305">
        <f>DELIVERIES!BS53</f>
        <v>306</v>
      </c>
      <c r="G112" s="117">
        <f>B.O!BN53</f>
        <v>0</v>
      </c>
      <c r="H112" s="306">
        <f>B.O!BP53</f>
        <v>0</v>
      </c>
      <c r="I112" s="109">
        <f t="shared" si="84"/>
        <v>29</v>
      </c>
      <c r="J112" s="103">
        <f t="shared" si="85"/>
        <v>12.75</v>
      </c>
      <c r="K112" s="274">
        <f t="shared" si="86"/>
        <v>369.75</v>
      </c>
      <c r="L112" s="114"/>
      <c r="M112" s="101" t="str">
        <f t="shared" si="78"/>
        <v>STING</v>
      </c>
      <c r="N112" s="109">
        <f t="shared" si="87"/>
        <v>24</v>
      </c>
      <c r="O112" s="110">
        <f t="shared" si="88"/>
        <v>12.75</v>
      </c>
      <c r="P112" s="148">
        <f>'DAILY COGS'!BP53</f>
        <v>306</v>
      </c>
      <c r="Q112" s="115"/>
      <c r="R112" s="113">
        <f>GROSS!BN53</f>
        <v>24</v>
      </c>
      <c r="S112" s="109">
        <f t="shared" si="89"/>
        <v>25</v>
      </c>
      <c r="T112" s="148">
        <f>GROSS!BP53</f>
        <v>600</v>
      </c>
    </row>
    <row r="113" spans="1:20" ht="15.75" customHeight="1">
      <c r="A113" s="101" t="str">
        <f t="shared" si="72"/>
        <v>TROPICANA</v>
      </c>
      <c r="B113" s="265">
        <f t="shared" si="82"/>
        <v>0</v>
      </c>
      <c r="C113" s="103">
        <f>DELIVERIES!BO52</f>
        <v>12.5</v>
      </c>
      <c r="D113" s="111">
        <f t="shared" si="83"/>
        <v>0</v>
      </c>
      <c r="E113" s="113">
        <f>DELIVERIES!BN53</f>
        <v>0</v>
      </c>
      <c r="F113" s="305">
        <f>DELIVERIES!BP53</f>
        <v>0</v>
      </c>
      <c r="G113" s="117">
        <f>B.O!BK53</f>
        <v>0</v>
      </c>
      <c r="H113" s="306">
        <f>B.O!BM53</f>
        <v>0</v>
      </c>
      <c r="I113" s="109">
        <f t="shared" si="84"/>
        <v>0</v>
      </c>
      <c r="J113" s="103">
        <f t="shared" si="85"/>
        <v>12.5</v>
      </c>
      <c r="K113" s="274">
        <f t="shared" si="86"/>
        <v>0</v>
      </c>
      <c r="L113" s="114"/>
      <c r="M113" s="101" t="str">
        <f t="shared" si="78"/>
        <v>TROPICANA</v>
      </c>
      <c r="N113" s="109">
        <f t="shared" si="87"/>
        <v>0</v>
      </c>
      <c r="O113" s="110">
        <f t="shared" si="88"/>
        <v>12.5</v>
      </c>
      <c r="P113" s="148">
        <f>'DAILY COGS'!BM53</f>
        <v>0</v>
      </c>
      <c r="Q113" s="115"/>
      <c r="R113" s="113">
        <f>GROSS!BK53</f>
        <v>0</v>
      </c>
      <c r="S113" s="109">
        <f t="shared" si="89"/>
        <v>22</v>
      </c>
      <c r="T113" s="148">
        <f>GROSS!BM53</f>
        <v>0</v>
      </c>
    </row>
    <row r="114" spans="1:20" ht="15.75" customHeight="1">
      <c r="A114" s="101" t="str">
        <f t="shared" si="72"/>
        <v>PANALO</v>
      </c>
      <c r="B114" s="265">
        <f t="shared" si="82"/>
        <v>0</v>
      </c>
      <c r="C114" s="103">
        <f>DELIVERIES!BC52</f>
        <v>16.333333333333332</v>
      </c>
      <c r="D114" s="111">
        <f t="shared" si="83"/>
        <v>0</v>
      </c>
      <c r="E114" s="113">
        <f>DELIVERIES!BB53</f>
        <v>0</v>
      </c>
      <c r="F114" s="305">
        <f>DELIVERIES!BD53</f>
        <v>0</v>
      </c>
      <c r="G114" s="117">
        <f>B.O!AY53</f>
        <v>0</v>
      </c>
      <c r="H114" s="306">
        <f>B.O!BA53</f>
        <v>0</v>
      </c>
      <c r="I114" s="109">
        <f t="shared" si="84"/>
        <v>0</v>
      </c>
      <c r="J114" s="103">
        <f t="shared" si="85"/>
        <v>16.333333333333332</v>
      </c>
      <c r="K114" s="274">
        <f t="shared" si="86"/>
        <v>0</v>
      </c>
      <c r="L114" s="114"/>
      <c r="M114" s="101" t="str">
        <f t="shared" si="78"/>
        <v>PANALO</v>
      </c>
      <c r="N114" s="109">
        <f t="shared" si="87"/>
        <v>0</v>
      </c>
      <c r="O114" s="110">
        <f t="shared" si="88"/>
        <v>16.333333333333332</v>
      </c>
      <c r="P114" s="148">
        <f>'DAILY COGS'!BA53</f>
        <v>0</v>
      </c>
      <c r="Q114" s="115"/>
      <c r="R114" s="113">
        <f>GROSS!AY53</f>
        <v>0</v>
      </c>
      <c r="S114" s="109">
        <f t="shared" si="89"/>
        <v>25</v>
      </c>
      <c r="T114" s="148">
        <f>GROSS!BA53</f>
        <v>0</v>
      </c>
    </row>
    <row r="115" spans="1:20" ht="15.75" customHeight="1">
      <c r="A115" s="101" t="str">
        <f t="shared" si="72"/>
        <v>SWAKTO</v>
      </c>
      <c r="B115" s="265">
        <f t="shared" si="82"/>
        <v>0</v>
      </c>
      <c r="C115" s="103">
        <f>DELIVERIES!BF52</f>
        <v>11.833333333333334</v>
      </c>
      <c r="D115" s="111">
        <f t="shared" si="83"/>
        <v>0</v>
      </c>
      <c r="E115" s="113">
        <f>DELIVERIES!BE53</f>
        <v>0</v>
      </c>
      <c r="F115" s="305">
        <f>DELIVERIES!BG53</f>
        <v>0</v>
      </c>
      <c r="G115" s="117">
        <f>B.O!BB53</f>
        <v>0</v>
      </c>
      <c r="H115" s="306">
        <f>B.O!BD53</f>
        <v>0</v>
      </c>
      <c r="I115" s="109">
        <f t="shared" si="84"/>
        <v>0</v>
      </c>
      <c r="J115" s="103">
        <f t="shared" si="85"/>
        <v>11.833333333333334</v>
      </c>
      <c r="K115" s="274">
        <f t="shared" si="86"/>
        <v>0</v>
      </c>
      <c r="L115" s="114"/>
      <c r="M115" s="101" t="str">
        <f t="shared" si="78"/>
        <v>SWAKTO</v>
      </c>
      <c r="N115" s="109">
        <f t="shared" si="87"/>
        <v>0</v>
      </c>
      <c r="O115" s="110">
        <f t="shared" si="88"/>
        <v>11.833333333333334</v>
      </c>
      <c r="P115" s="148">
        <f>'DAILY COGS'!BD53</f>
        <v>0</v>
      </c>
      <c r="Q115" s="115"/>
      <c r="R115" s="113">
        <f>GROSS!BB53</f>
        <v>0</v>
      </c>
      <c r="S115" s="109">
        <f t="shared" si="89"/>
        <v>17</v>
      </c>
      <c r="T115" s="148">
        <f>GROSS!BD53</f>
        <v>0</v>
      </c>
    </row>
    <row r="116" spans="1:20" ht="15.75" customHeight="1">
      <c r="A116" s="101" t="str">
        <f t="shared" si="72"/>
        <v>CALAMANSI JUICE</v>
      </c>
      <c r="B116" s="265">
        <f t="shared" si="82"/>
        <v>57</v>
      </c>
      <c r="C116" s="103">
        <f>DELIVERIES!BI52</f>
        <v>20</v>
      </c>
      <c r="D116" s="111">
        <f t="shared" si="83"/>
        <v>1140</v>
      </c>
      <c r="E116" s="113">
        <f>DELIVERIES!BH53</f>
        <v>0</v>
      </c>
      <c r="F116" s="305">
        <f>DELIVERIES!BJ53</f>
        <v>0</v>
      </c>
      <c r="G116" s="117">
        <f>B.O!BE53</f>
        <v>0</v>
      </c>
      <c r="H116" s="306">
        <f>B.O!BG53</f>
        <v>0</v>
      </c>
      <c r="I116" s="109">
        <f t="shared" si="84"/>
        <v>42</v>
      </c>
      <c r="J116" s="103">
        <f t="shared" si="85"/>
        <v>20</v>
      </c>
      <c r="K116" s="274">
        <f t="shared" si="86"/>
        <v>840</v>
      </c>
      <c r="L116" s="114"/>
      <c r="M116" s="101" t="str">
        <f t="shared" si="78"/>
        <v>CALAMANSI JUICE</v>
      </c>
      <c r="N116" s="109">
        <f t="shared" si="87"/>
        <v>15</v>
      </c>
      <c r="O116" s="110">
        <f t="shared" si="88"/>
        <v>20</v>
      </c>
      <c r="P116" s="148">
        <f>'DAILY COGS'!BG53</f>
        <v>300</v>
      </c>
      <c r="Q116" s="115"/>
      <c r="R116" s="113">
        <f>GROSS!BE53</f>
        <v>15</v>
      </c>
      <c r="S116" s="109">
        <f t="shared" si="89"/>
        <v>25</v>
      </c>
      <c r="T116" s="148">
        <f>GROSS!BG53</f>
        <v>375</v>
      </c>
    </row>
    <row r="117" spans="1:20" ht="15.75" customHeight="1">
      <c r="A117" s="101" t="str">
        <f t="shared" si="72"/>
        <v>PREMIUM CUT</v>
      </c>
      <c r="B117" s="265">
        <f t="shared" si="82"/>
        <v>0</v>
      </c>
      <c r="C117" s="103">
        <f t="shared" ref="C117:C118" si="90">C30</f>
        <v>30</v>
      </c>
      <c r="D117" s="111">
        <f t="shared" si="83"/>
        <v>0</v>
      </c>
      <c r="E117" s="113">
        <f>DELIVERIES!B53</f>
        <v>0</v>
      </c>
      <c r="F117" s="305">
        <f>DELIVERIES!D53</f>
        <v>0</v>
      </c>
      <c r="G117" s="117">
        <f>B.O!B53</f>
        <v>0</v>
      </c>
      <c r="H117" s="306">
        <f>B.O!BG54</f>
        <v>0</v>
      </c>
      <c r="I117" s="109">
        <f t="shared" si="84"/>
        <v>0</v>
      </c>
      <c r="J117" s="103">
        <f t="shared" si="85"/>
        <v>30</v>
      </c>
      <c r="K117" s="274">
        <f t="shared" si="86"/>
        <v>0</v>
      </c>
      <c r="L117" s="114"/>
      <c r="M117" s="101" t="str">
        <f t="shared" si="78"/>
        <v>PREMIUM CUT</v>
      </c>
      <c r="N117" s="109">
        <f t="shared" si="87"/>
        <v>0</v>
      </c>
      <c r="O117" s="110">
        <f t="shared" si="88"/>
        <v>30</v>
      </c>
      <c r="P117" s="148">
        <f>'DAILY COGS'!D53</f>
        <v>0</v>
      </c>
      <c r="Q117" s="115"/>
      <c r="R117" s="113">
        <f>GROSS!B53</f>
        <v>0</v>
      </c>
      <c r="S117" s="109">
        <f t="shared" si="89"/>
        <v>40</v>
      </c>
      <c r="T117" s="148">
        <f>GROSS!D53</f>
        <v>0</v>
      </c>
    </row>
    <row r="118" spans="1:20" ht="15.75" customHeight="1">
      <c r="A118" s="101" t="str">
        <f t="shared" si="72"/>
        <v>SUB TOTAL</v>
      </c>
      <c r="B118" s="302">
        <f t="shared" si="82"/>
        <v>0</v>
      </c>
      <c r="C118" s="120">
        <f t="shared" si="90"/>
        <v>0</v>
      </c>
      <c r="D118" s="127">
        <f>SUM(D105:D117)</f>
        <v>5224.875</v>
      </c>
      <c r="E118" s="122">
        <f>DELIVERIES!CU128</f>
        <v>0</v>
      </c>
      <c r="F118" s="127">
        <f>SUM(F105:F117)</f>
        <v>7739</v>
      </c>
      <c r="G118" s="123">
        <f>B.O!BT53</f>
        <v>0</v>
      </c>
      <c r="H118" s="127">
        <f>SUM(H105:H117)</f>
        <v>0</v>
      </c>
      <c r="I118" s="127">
        <f t="shared" si="84"/>
        <v>0</v>
      </c>
      <c r="J118" s="120">
        <f t="shared" si="85"/>
        <v>0</v>
      </c>
      <c r="K118" s="127">
        <f>SUM(K105:K117)</f>
        <v>5181.5</v>
      </c>
      <c r="L118" s="114"/>
      <c r="M118" s="311" t="str">
        <f t="shared" si="78"/>
        <v>SUB TOTAL</v>
      </c>
      <c r="N118" s="315">
        <f>'DAILY COGS'!BT53</f>
        <v>0</v>
      </c>
      <c r="O118" s="312">
        <f t="shared" si="88"/>
        <v>0</v>
      </c>
      <c r="P118" s="313">
        <f>SUM(P105:P117)</f>
        <v>7782.375</v>
      </c>
      <c r="Q118" s="314"/>
      <c r="R118" s="315">
        <f>GROSS!BW53</f>
        <v>0</v>
      </c>
      <c r="S118" s="316">
        <f t="shared" si="89"/>
        <v>0</v>
      </c>
      <c r="T118" s="313">
        <f>SUM(T105:T117)</f>
        <v>15920</v>
      </c>
    </row>
    <row r="119" spans="1:20" ht="15.75" customHeight="1">
      <c r="A119" s="149" t="s">
        <v>23</v>
      </c>
      <c r="B119" s="150">
        <f>SUM(B95:B118)</f>
        <v>1122</v>
      </c>
      <c r="C119" s="150"/>
      <c r="D119" s="151">
        <f>D104+D118</f>
        <v>19808.875</v>
      </c>
      <c r="E119" s="151">
        <f>SUM(E95:E118)</f>
        <v>6326</v>
      </c>
      <c r="F119" s="151">
        <f>F104+F118</f>
        <v>100199</v>
      </c>
      <c r="G119" s="151">
        <f>SUM(G95:G118)</f>
        <v>0</v>
      </c>
      <c r="H119" s="151">
        <f>H104+H118</f>
        <v>0</v>
      </c>
      <c r="I119" s="151">
        <f>SUM(I95:I118)</f>
        <v>1033</v>
      </c>
      <c r="J119" s="150"/>
      <c r="K119" s="151">
        <f>K104+K118</f>
        <v>18206.5</v>
      </c>
      <c r="L119" s="152"/>
      <c r="M119" s="153" t="str">
        <f t="shared" si="78"/>
        <v>TOTAL</v>
      </c>
      <c r="N119" s="150">
        <f>SUM(N95:N118)</f>
        <v>6415</v>
      </c>
      <c r="O119" s="154"/>
      <c r="P119" s="151">
        <f>P104+P118</f>
        <v>101801.375</v>
      </c>
      <c r="Q119" s="155"/>
      <c r="R119" s="150">
        <f>SUM(R95:R118)</f>
        <v>6415</v>
      </c>
      <c r="S119" s="150"/>
      <c r="T119" s="151">
        <f>T104+T118</f>
        <v>157697</v>
      </c>
    </row>
    <row r="120" spans="1:20" ht="15.75" customHeight="1">
      <c r="F120" s="39">
        <f>DELIVERIES!CA53</f>
        <v>100199</v>
      </c>
      <c r="H120" s="39">
        <f>B.O!CA53</f>
        <v>0</v>
      </c>
      <c r="P120" s="39">
        <f>'DAILY COGS'!CA55</f>
        <v>332893.875</v>
      </c>
      <c r="T120" s="39">
        <f>GROSS!CA53</f>
        <v>157697</v>
      </c>
    </row>
    <row r="121" spans="1:20" ht="15.75" customHeight="1">
      <c r="A121" s="352" t="s">
        <v>156</v>
      </c>
      <c r="B121" s="353">
        <f>B32+B61+B90+B119</f>
        <v>2087</v>
      </c>
      <c r="C121" s="353"/>
      <c r="D121" s="353">
        <f t="shared" ref="D121:H121" si="91">D32+D61+D90+D119</f>
        <v>79741.041666666672</v>
      </c>
      <c r="E121" s="353">
        <f t="shared" si="91"/>
        <v>11626</v>
      </c>
      <c r="F121" s="353">
        <f t="shared" si="91"/>
        <v>335172.5</v>
      </c>
      <c r="G121" s="353">
        <f t="shared" si="91"/>
        <v>0</v>
      </c>
      <c r="H121" s="353">
        <f t="shared" si="91"/>
        <v>0</v>
      </c>
      <c r="I121" s="353"/>
      <c r="J121" s="353"/>
      <c r="K121" s="353">
        <f t="shared" ref="K121:L121" si="92">K32+K61+K90+K119</f>
        <v>88412.625</v>
      </c>
      <c r="L121" s="353">
        <f t="shared" si="92"/>
        <v>0</v>
      </c>
      <c r="M121" s="353"/>
      <c r="N121" s="353"/>
      <c r="O121" s="353"/>
      <c r="P121" s="353">
        <f>P119+P90+P61+P32</f>
        <v>332893.875</v>
      </c>
      <c r="Q121" s="353">
        <f>Q32+Q61+Q90+Q119</f>
        <v>0</v>
      </c>
      <c r="R121" s="353"/>
      <c r="S121" s="353"/>
      <c r="T121" s="353">
        <f>T32+T61+T90+T119</f>
        <v>512383</v>
      </c>
    </row>
    <row r="122" spans="1:20" ht="15.75" customHeight="1"/>
    <row r="123" spans="1:20" ht="15.75" customHeight="1"/>
    <row r="124" spans="1:20" ht="15.75" customHeight="1"/>
    <row r="125" spans="1:20" ht="15.75" customHeight="1"/>
    <row r="126" spans="1:20" ht="15.75" customHeight="1"/>
    <row r="127" spans="1:20" ht="15.75" customHeight="1"/>
    <row r="128" spans="1:2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75:B75"/>
    <mergeCell ref="A89:B89"/>
    <mergeCell ref="A93:A94"/>
    <mergeCell ref="B93:D93"/>
    <mergeCell ref="E93:F93"/>
    <mergeCell ref="G64:H64"/>
    <mergeCell ref="M64:M65"/>
    <mergeCell ref="I93:K93"/>
    <mergeCell ref="N93:P93"/>
    <mergeCell ref="R93:T93"/>
    <mergeCell ref="G93:H93"/>
    <mergeCell ref="M93:M94"/>
    <mergeCell ref="A35:A36"/>
    <mergeCell ref="A46:B46"/>
    <mergeCell ref="A64:A65"/>
    <mergeCell ref="B64:D64"/>
    <mergeCell ref="E64:F64"/>
    <mergeCell ref="N35:P35"/>
    <mergeCell ref="R35:T35"/>
    <mergeCell ref="I64:K64"/>
    <mergeCell ref="N64:P64"/>
    <mergeCell ref="R64:T64"/>
    <mergeCell ref="B35:D35"/>
    <mergeCell ref="E35:F35"/>
    <mergeCell ref="G35:H35"/>
    <mergeCell ref="I35:K35"/>
    <mergeCell ref="M35:M36"/>
    <mergeCell ref="I6:K6"/>
    <mergeCell ref="N6:P6"/>
    <mergeCell ref="R6:T6"/>
    <mergeCell ref="A2:B2"/>
    <mergeCell ref="B3:D3"/>
    <mergeCell ref="A6:A7"/>
    <mergeCell ref="B6:D6"/>
    <mergeCell ref="E6:F6"/>
    <mergeCell ref="G6:H6"/>
    <mergeCell ref="M6:M7"/>
  </mergeCells>
  <pageMargins left="0.69930555555555596" right="0.69930555555555596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53125" defaultRowHeight="15" customHeight="1"/>
  <cols>
    <col min="1" max="1" width="6" customWidth="1"/>
    <col min="2" max="2" width="10" customWidth="1"/>
    <col min="3" max="3" width="16.453125" customWidth="1"/>
    <col min="4" max="4" width="13.7265625" customWidth="1"/>
    <col min="5" max="5" width="11.54296875" customWidth="1"/>
    <col min="6" max="8" width="11" customWidth="1"/>
    <col min="9" max="10" width="12.08984375" customWidth="1"/>
    <col min="11" max="11" width="10.81640625" customWidth="1"/>
    <col min="12" max="12" width="13.453125" customWidth="1"/>
    <col min="13" max="13" width="11.54296875" customWidth="1"/>
    <col min="14" max="14" width="11.81640625" customWidth="1"/>
    <col min="15" max="15" width="8.984375E-2" customWidth="1"/>
    <col min="16" max="17" width="12" customWidth="1"/>
    <col min="18" max="18" width="13.26953125" customWidth="1"/>
    <col min="19" max="19" width="11.7265625" customWidth="1"/>
    <col min="20" max="20" width="12.54296875" customWidth="1"/>
    <col min="21" max="21" width="12" customWidth="1"/>
    <col min="22" max="22" width="12.7265625" customWidth="1"/>
    <col min="23" max="23" width="18.26953125" customWidth="1"/>
    <col min="24" max="24" width="17.453125" customWidth="1"/>
    <col min="25" max="25" width="13.54296875" customWidth="1"/>
    <col min="26" max="26" width="14" customWidth="1"/>
    <col min="27" max="27" width="12.54296875" customWidth="1"/>
    <col min="28" max="28" width="14.08984375" customWidth="1"/>
    <col min="29" max="29" width="12.54296875" customWidth="1"/>
    <col min="30" max="30" width="11.7265625" customWidth="1"/>
    <col min="31" max="31" width="13.7265625" customWidth="1"/>
    <col min="32" max="32" width="10.81640625" customWidth="1"/>
    <col min="33" max="33" width="16.08984375" customWidth="1"/>
    <col min="34" max="34" width="14.26953125" customWidth="1"/>
    <col min="35" max="36" width="21.453125" customWidth="1"/>
    <col min="37" max="37" width="15.08984375" hidden="1" customWidth="1"/>
    <col min="38" max="38" width="15.81640625" hidden="1" customWidth="1"/>
    <col min="39" max="39" width="15.26953125" hidden="1" customWidth="1"/>
    <col min="40" max="40" width="15.81640625" hidden="1" customWidth="1"/>
    <col min="41" max="41" width="14.26953125" hidden="1" customWidth="1"/>
    <col min="42" max="42" width="17.81640625" hidden="1" customWidth="1"/>
    <col min="43" max="43" width="18.08984375" customWidth="1"/>
    <col min="44" max="44" width="2.26953125" customWidth="1"/>
    <col min="45" max="45" width="17.453125" customWidth="1"/>
    <col min="46" max="46" width="2" customWidth="1"/>
    <col min="47" max="47" width="15.08984375" customWidth="1"/>
  </cols>
  <sheetData>
    <row r="1" spans="1:47" ht="24" customHeight="1">
      <c r="A1" s="237" t="s">
        <v>122</v>
      </c>
      <c r="B1" s="237"/>
      <c r="C1" s="237"/>
      <c r="D1" s="451" t="str">
        <f>GROSS!E1</f>
        <v>BRANCH</v>
      </c>
      <c r="E1" s="438"/>
      <c r="F1" s="158"/>
      <c r="G1" s="158"/>
      <c r="H1" s="158"/>
      <c r="I1" s="240"/>
      <c r="J1" s="240"/>
      <c r="K1" s="240"/>
      <c r="L1" s="158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41"/>
      <c r="Y1" s="19"/>
      <c r="Z1" s="19"/>
      <c r="AA1" s="241"/>
      <c r="AB1" s="19"/>
      <c r="AC1" s="19"/>
      <c r="AD1" s="19"/>
      <c r="AE1" s="241"/>
      <c r="AF1" s="241"/>
      <c r="AG1" s="19"/>
      <c r="AH1" s="243"/>
      <c r="AI1" s="243"/>
      <c r="AJ1" s="243"/>
      <c r="AK1" s="19"/>
      <c r="AL1" s="19"/>
      <c r="AM1" s="19"/>
      <c r="AN1" s="19"/>
      <c r="AO1" s="19"/>
      <c r="AP1" s="19"/>
      <c r="AQ1" s="19"/>
    </row>
    <row r="2" spans="1:47" ht="18.75" customHeight="1">
      <c r="A2" s="34" t="s">
        <v>123</v>
      </c>
      <c r="B2" s="34"/>
      <c r="C2" s="34"/>
      <c r="D2" s="171"/>
      <c r="E2" s="171"/>
      <c r="F2" s="171"/>
      <c r="G2" s="171"/>
      <c r="H2" s="171"/>
      <c r="I2" s="244"/>
      <c r="J2" s="244"/>
      <c r="K2" s="244"/>
      <c r="L2" s="14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41"/>
      <c r="Y2" s="19"/>
      <c r="Z2" s="19"/>
      <c r="AA2" s="241"/>
      <c r="AB2" s="19"/>
      <c r="AC2" s="19"/>
      <c r="AD2" s="19"/>
      <c r="AE2" s="241"/>
      <c r="AF2" s="241"/>
      <c r="AG2" s="19"/>
      <c r="AH2" s="243"/>
      <c r="AI2" s="243"/>
      <c r="AJ2" s="243"/>
      <c r="AK2" s="19"/>
      <c r="AL2" s="19"/>
      <c r="AM2" s="19"/>
      <c r="AN2" s="19"/>
      <c r="AO2" s="19"/>
      <c r="AP2" s="19"/>
      <c r="AQ2" s="19"/>
    </row>
    <row r="3" spans="1:47" ht="18" customHeight="1">
      <c r="A3" s="246" t="s">
        <v>38</v>
      </c>
      <c r="B3" s="246"/>
      <c r="C3" s="477"/>
      <c r="D3" s="438"/>
      <c r="E3" s="248"/>
      <c r="F3" s="248"/>
      <c r="G3" s="248"/>
      <c r="H3" s="248"/>
      <c r="I3" s="249"/>
      <c r="J3" s="249"/>
      <c r="K3" s="249"/>
      <c r="L3" s="41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53"/>
      <c r="Y3" s="60"/>
      <c r="Z3" s="60"/>
      <c r="AA3" s="253"/>
      <c r="AB3" s="60"/>
      <c r="AC3" s="60"/>
      <c r="AD3" s="60"/>
      <c r="AE3" s="253"/>
      <c r="AF3" s="241"/>
      <c r="AG3" s="60"/>
      <c r="AH3" s="255"/>
      <c r="AI3" s="255"/>
      <c r="AJ3" s="255"/>
      <c r="AK3" s="60"/>
      <c r="AL3" s="60"/>
      <c r="AM3" s="60"/>
      <c r="AN3" s="60"/>
      <c r="AO3" s="60"/>
      <c r="AP3" s="60"/>
      <c r="AQ3" s="19"/>
    </row>
    <row r="4" spans="1:47" ht="48.75" customHeight="1">
      <c r="A4" s="256" t="s">
        <v>7</v>
      </c>
      <c r="B4" s="257" t="str">
        <f>'1'!S25</f>
        <v>LPG</v>
      </c>
      <c r="C4" s="258" t="s">
        <v>125</v>
      </c>
      <c r="D4" s="258" t="s">
        <v>126</v>
      </c>
      <c r="E4" s="258" t="s">
        <v>127</v>
      </c>
      <c r="F4" s="258" t="s">
        <v>128</v>
      </c>
      <c r="G4" s="258" t="s">
        <v>129</v>
      </c>
      <c r="H4" s="258" t="s">
        <v>130</v>
      </c>
      <c r="I4" s="259" t="s">
        <v>131</v>
      </c>
      <c r="J4" s="259" t="str">
        <f>'1'!S16</f>
        <v>Admin / Office Supplies</v>
      </c>
      <c r="K4" s="260" t="s">
        <v>132</v>
      </c>
      <c r="L4" s="261" t="s">
        <v>133</v>
      </c>
      <c r="M4" s="262" t="s">
        <v>134</v>
      </c>
      <c r="N4" s="259" t="s">
        <v>135</v>
      </c>
      <c r="O4" s="263" t="s">
        <v>136</v>
      </c>
      <c r="P4" s="264" t="s">
        <v>137</v>
      </c>
      <c r="Q4" s="264" t="s">
        <v>138</v>
      </c>
      <c r="R4" s="264" t="s">
        <v>139</v>
      </c>
      <c r="S4" s="258" t="s">
        <v>140</v>
      </c>
      <c r="T4" s="258" t="s">
        <v>141</v>
      </c>
      <c r="U4" s="262" t="s">
        <v>142</v>
      </c>
      <c r="V4" s="258" t="s">
        <v>143</v>
      </c>
      <c r="W4" s="266" t="s">
        <v>23</v>
      </c>
      <c r="X4" s="259" t="str">
        <f>'1'!S12</f>
        <v>supot/roll bag/T-bag</v>
      </c>
      <c r="Y4" s="260" t="s">
        <v>144</v>
      </c>
      <c r="Z4" s="260" t="s">
        <v>145</v>
      </c>
      <c r="AA4" s="260" t="str">
        <f>'1'!S21</f>
        <v>Detergent</v>
      </c>
      <c r="AB4" s="264" t="s">
        <v>146</v>
      </c>
      <c r="AC4" s="259" t="s">
        <v>147</v>
      </c>
      <c r="AD4" s="259" t="s">
        <v>148</v>
      </c>
      <c r="AE4" s="260" t="str">
        <f>'1'!S11</f>
        <v>(Patis / suka)</v>
      </c>
      <c r="AF4" s="268" t="s">
        <v>149</v>
      </c>
      <c r="AG4" s="263" t="s">
        <v>150</v>
      </c>
      <c r="AH4" s="269" t="s">
        <v>151</v>
      </c>
      <c r="AI4" s="270" t="s">
        <v>152</v>
      </c>
      <c r="AJ4" s="270" t="s">
        <v>153</v>
      </c>
      <c r="AK4" s="263"/>
      <c r="AL4" s="263"/>
      <c r="AM4" s="263"/>
      <c r="AN4" s="263"/>
      <c r="AO4" s="263"/>
      <c r="AP4" s="263"/>
      <c r="AQ4" s="271" t="s">
        <v>23</v>
      </c>
      <c r="AS4" s="272" t="s">
        <v>154</v>
      </c>
      <c r="AT4" s="273"/>
      <c r="AU4" s="172" t="s">
        <v>155</v>
      </c>
    </row>
    <row r="5" spans="1:47" ht="15.5">
      <c r="A5" s="275">
        <v>1</v>
      </c>
      <c r="B5" s="276">
        <f>'1'!T25</f>
        <v>4270</v>
      </c>
      <c r="C5" s="277">
        <f>'1'!AB11</f>
        <v>0</v>
      </c>
      <c r="D5" s="278">
        <v>1374</v>
      </c>
      <c r="E5" s="276">
        <f>'1'!AB14</f>
        <v>0</v>
      </c>
      <c r="F5" s="276">
        <f>'1'!Z40</f>
        <v>0</v>
      </c>
      <c r="G5" s="276">
        <f>'1'!W8</f>
        <v>0</v>
      </c>
      <c r="H5" s="276">
        <f>'1'!W9</f>
        <v>0</v>
      </c>
      <c r="I5" s="279">
        <f>'1'!W10</f>
        <v>0</v>
      </c>
      <c r="J5" s="279">
        <f>'1'!T16</f>
        <v>0</v>
      </c>
      <c r="K5" s="279">
        <f>'1'!T17</f>
        <v>0</v>
      </c>
      <c r="L5" s="276">
        <f>'1'!T9</f>
        <v>0</v>
      </c>
      <c r="M5" s="276">
        <f>'1'!T10</f>
        <v>0</v>
      </c>
      <c r="N5" s="277">
        <f>'1'!T8</f>
        <v>0</v>
      </c>
      <c r="O5" s="277"/>
      <c r="P5" s="277">
        <f>'1'!AB19</f>
        <v>0</v>
      </c>
      <c r="Q5" s="277">
        <f>'1'!T13</f>
        <v>0</v>
      </c>
      <c r="R5" s="277">
        <f>'1'!T24</f>
        <v>0</v>
      </c>
      <c r="S5" s="277">
        <f>'1'!T19</f>
        <v>0</v>
      </c>
      <c r="T5" s="277">
        <f>'1'!T26</f>
        <v>0</v>
      </c>
      <c r="U5" s="280">
        <f>'1'!T27</f>
        <v>0</v>
      </c>
      <c r="V5" s="280">
        <f>'1'!T7</f>
        <v>0</v>
      </c>
      <c r="W5" s="281">
        <f t="shared" ref="W5:W11" si="0">SUM(B5:V5)</f>
        <v>5644</v>
      </c>
      <c r="X5" s="282">
        <f>'1'!T12</f>
        <v>0</v>
      </c>
      <c r="Y5" s="277">
        <f>'1'!T14</f>
        <v>0</v>
      </c>
      <c r="Z5" s="277">
        <f>'1'!T20</f>
        <v>0</v>
      </c>
      <c r="AA5" s="282">
        <f>'1'!T21</f>
        <v>0</v>
      </c>
      <c r="AB5" s="276">
        <f>'1'!T22</f>
        <v>0</v>
      </c>
      <c r="AC5" s="276"/>
      <c r="AD5" s="277">
        <f>'1'!T23</f>
        <v>0</v>
      </c>
      <c r="AE5" s="283">
        <f>'1'!T11</f>
        <v>0</v>
      </c>
      <c r="AF5" s="283">
        <f>'1'!T18</f>
        <v>0</v>
      </c>
      <c r="AG5" s="277">
        <f>'1'!T28</f>
        <v>0</v>
      </c>
      <c r="AH5" s="277"/>
      <c r="AI5" s="284"/>
      <c r="AJ5" s="284"/>
      <c r="AK5" s="284"/>
      <c r="AL5" s="284"/>
      <c r="AM5" s="284"/>
      <c r="AN5" s="284"/>
      <c r="AO5" s="284"/>
      <c r="AP5" s="276"/>
      <c r="AQ5" s="285">
        <f t="shared" ref="AQ5:AQ11" si="1">SUM(X5:AP5)</f>
        <v>0</v>
      </c>
      <c r="AS5" s="131">
        <f t="shared" ref="AS5:AS11" si="2">W5+AQ5</f>
        <v>5644</v>
      </c>
      <c r="AU5" s="157">
        <f>'1'!W11</f>
        <v>0</v>
      </c>
    </row>
    <row r="6" spans="1:47" ht="15.5">
      <c r="A6" s="275">
        <v>2</v>
      </c>
      <c r="B6" s="276">
        <f>'2'!T25</f>
        <v>0</v>
      </c>
      <c r="C6" s="277">
        <f>'2'!AB11</f>
        <v>0</v>
      </c>
      <c r="D6" s="276">
        <f>'2'!Z37</f>
        <v>0</v>
      </c>
      <c r="E6" s="276">
        <f>'2'!AB14</f>
        <v>0</v>
      </c>
      <c r="F6" s="276">
        <f>'2'!Z40</f>
        <v>0</v>
      </c>
      <c r="G6" s="276">
        <f>'2'!W8</f>
        <v>0</v>
      </c>
      <c r="H6" s="276">
        <f>'2'!W9</f>
        <v>0</v>
      </c>
      <c r="I6" s="276">
        <f>'2'!W10</f>
        <v>0</v>
      </c>
      <c r="J6" s="279">
        <f>'2'!T16</f>
        <v>340</v>
      </c>
      <c r="K6" s="279">
        <f>'2'!T17</f>
        <v>0</v>
      </c>
      <c r="L6" s="279">
        <f>'2'!T9</f>
        <v>0</v>
      </c>
      <c r="M6" s="276">
        <f>'2'!T10</f>
        <v>0</v>
      </c>
      <c r="N6" s="276">
        <f>'2'!T8</f>
        <v>0</v>
      </c>
      <c r="O6" s="277"/>
      <c r="P6" s="276">
        <f>'2'!AB19</f>
        <v>0</v>
      </c>
      <c r="Q6" s="277">
        <f>'2'!T13</f>
        <v>0</v>
      </c>
      <c r="R6" s="277">
        <f>'2'!T24</f>
        <v>0</v>
      </c>
      <c r="S6" s="277">
        <f>'2'!T19</f>
        <v>0</v>
      </c>
      <c r="T6" s="277">
        <f>'2'!T26</f>
        <v>0</v>
      </c>
      <c r="U6" s="277">
        <f>'2'!T27</f>
        <v>0</v>
      </c>
      <c r="V6" s="277">
        <f>'2'!T7</f>
        <v>0</v>
      </c>
      <c r="W6" s="281">
        <f t="shared" si="0"/>
        <v>340</v>
      </c>
      <c r="X6" s="282">
        <f>'2'!T12</f>
        <v>878</v>
      </c>
      <c r="Y6" s="277">
        <f>'2'!T14</f>
        <v>0</v>
      </c>
      <c r="Z6" s="277">
        <f>'2'!T20</f>
        <v>0</v>
      </c>
      <c r="AA6" s="282">
        <f>'2'!T21</f>
        <v>66</v>
      </c>
      <c r="AB6" s="277">
        <f>'2'!T22</f>
        <v>0</v>
      </c>
      <c r="AC6" s="277"/>
      <c r="AD6" s="277">
        <f>'2'!T23</f>
        <v>0</v>
      </c>
      <c r="AE6" s="282">
        <f>'2'!T11</f>
        <v>0</v>
      </c>
      <c r="AF6" s="282">
        <f>'2'!T18</f>
        <v>0</v>
      </c>
      <c r="AG6" s="277">
        <f>'2'!T28</f>
        <v>0</v>
      </c>
      <c r="AH6" s="277"/>
      <c r="AI6" s="277"/>
      <c r="AJ6" s="277"/>
      <c r="AK6" s="277"/>
      <c r="AL6" s="277"/>
      <c r="AM6" s="277"/>
      <c r="AN6" s="284"/>
      <c r="AO6" s="284"/>
      <c r="AP6" s="276"/>
      <c r="AQ6" s="285">
        <f t="shared" si="1"/>
        <v>944</v>
      </c>
      <c r="AS6" s="131">
        <f t="shared" si="2"/>
        <v>1284</v>
      </c>
      <c r="AU6" s="277">
        <f>'2'!W11</f>
        <v>0</v>
      </c>
    </row>
    <row r="7" spans="1:47" ht="15.5">
      <c r="A7" s="275">
        <v>3</v>
      </c>
      <c r="B7" s="276">
        <f>'3'!T25</f>
        <v>0</v>
      </c>
      <c r="C7" s="277">
        <f>'3'!AB11</f>
        <v>0</v>
      </c>
      <c r="D7" s="276">
        <f>'3'!Z37</f>
        <v>1374</v>
      </c>
      <c r="E7" s="276">
        <f>'3'!AB14</f>
        <v>270</v>
      </c>
      <c r="F7" s="276">
        <f>'3'!Z40</f>
        <v>0</v>
      </c>
      <c r="G7" s="276">
        <f>'3'!W8</f>
        <v>0</v>
      </c>
      <c r="H7" s="276">
        <f>'3'!W9</f>
        <v>0</v>
      </c>
      <c r="I7" s="276">
        <f>'3'!W10</f>
        <v>0</v>
      </c>
      <c r="J7" s="279">
        <f>'3'!T16</f>
        <v>0</v>
      </c>
      <c r="K7" s="279">
        <f>'3'!T17</f>
        <v>0</v>
      </c>
      <c r="L7" s="279">
        <f>'3'!T9</f>
        <v>0</v>
      </c>
      <c r="M7" s="276">
        <f>'3'!T10</f>
        <v>0</v>
      </c>
      <c r="N7" s="276">
        <f>'3'!T8</f>
        <v>0</v>
      </c>
      <c r="O7" s="277"/>
      <c r="P7" s="276">
        <f>'3'!AB19</f>
        <v>0</v>
      </c>
      <c r="Q7" s="277">
        <f>'3'!T13</f>
        <v>0</v>
      </c>
      <c r="R7" s="277">
        <f>'3'!T24</f>
        <v>0</v>
      </c>
      <c r="S7" s="277">
        <f>'3'!T19</f>
        <v>0</v>
      </c>
      <c r="T7" s="277">
        <f>'3'!T26</f>
        <v>0</v>
      </c>
      <c r="U7" s="277">
        <f>'3'!T27</f>
        <v>0</v>
      </c>
      <c r="V7" s="277">
        <f>'3'!T7</f>
        <v>700</v>
      </c>
      <c r="W7" s="281">
        <f t="shared" si="0"/>
        <v>2344</v>
      </c>
      <c r="X7" s="282">
        <f>'3'!T12</f>
        <v>0</v>
      </c>
      <c r="Y7" s="277">
        <f>'3'!T14</f>
        <v>0</v>
      </c>
      <c r="Z7" s="277">
        <f>'3'!T20</f>
        <v>0</v>
      </c>
      <c r="AA7" s="282">
        <f>'3'!T21</f>
        <v>0</v>
      </c>
      <c r="AB7" s="277">
        <f>'3'!T22</f>
        <v>0</v>
      </c>
      <c r="AC7" s="277"/>
      <c r="AD7" s="277">
        <f>'3'!T23</f>
        <v>0</v>
      </c>
      <c r="AE7" s="282">
        <f>'3'!T11</f>
        <v>391</v>
      </c>
      <c r="AF7" s="282">
        <f>'3'!T18</f>
        <v>0</v>
      </c>
      <c r="AG7" s="277">
        <f>'3'!T28</f>
        <v>0</v>
      </c>
      <c r="AH7" s="277"/>
      <c r="AI7" s="277"/>
      <c r="AJ7" s="277"/>
      <c r="AK7" s="277"/>
      <c r="AL7" s="277"/>
      <c r="AM7" s="277"/>
      <c r="AN7" s="286"/>
      <c r="AO7" s="286"/>
      <c r="AP7" s="276"/>
      <c r="AQ7" s="285">
        <f t="shared" si="1"/>
        <v>391</v>
      </c>
      <c r="AS7" s="131">
        <f t="shared" si="2"/>
        <v>2735</v>
      </c>
      <c r="AU7" s="277">
        <f>'3'!W11</f>
        <v>0</v>
      </c>
    </row>
    <row r="8" spans="1:47" ht="15.5">
      <c r="A8" s="275">
        <v>4</v>
      </c>
      <c r="B8" s="276">
        <f>'4'!T25</f>
        <v>0</v>
      </c>
      <c r="C8" s="277">
        <f>'4'!AB11</f>
        <v>1591</v>
      </c>
      <c r="D8" s="276">
        <f>'4'!Z37</f>
        <v>1374</v>
      </c>
      <c r="E8" s="276">
        <f>'4'!AB14</f>
        <v>270</v>
      </c>
      <c r="F8" s="276">
        <f>'4'!Z40</f>
        <v>10262.5</v>
      </c>
      <c r="G8" s="276">
        <f>'4'!W8</f>
        <v>0</v>
      </c>
      <c r="H8" s="276">
        <f>'4'!W9</f>
        <v>0</v>
      </c>
      <c r="I8" s="276">
        <f>'4'!W10</f>
        <v>300</v>
      </c>
      <c r="J8" s="279">
        <f>'4'!T16</f>
        <v>0</v>
      </c>
      <c r="K8" s="279">
        <f>'4'!T17</f>
        <v>0</v>
      </c>
      <c r="L8" s="279">
        <f>'4'!T9</f>
        <v>0</v>
      </c>
      <c r="M8" s="276">
        <f>'4'!T10</f>
        <v>0</v>
      </c>
      <c r="N8" s="276">
        <f>'4'!T8</f>
        <v>0</v>
      </c>
      <c r="O8" s="277"/>
      <c r="P8" s="276">
        <f>'4'!AB19</f>
        <v>0</v>
      </c>
      <c r="Q8" s="277">
        <f>'4'!T13</f>
        <v>0</v>
      </c>
      <c r="R8" s="277">
        <f>'4'!T24</f>
        <v>0</v>
      </c>
      <c r="S8" s="277">
        <f>'4'!T19</f>
        <v>0</v>
      </c>
      <c r="T8" s="277">
        <f>'4'!T26</f>
        <v>0</v>
      </c>
      <c r="U8" s="277">
        <f>'4'!T27</f>
        <v>0</v>
      </c>
      <c r="V8" s="277">
        <f>'4'!T7</f>
        <v>0</v>
      </c>
      <c r="W8" s="281">
        <f t="shared" si="0"/>
        <v>13797.5</v>
      </c>
      <c r="X8" s="282">
        <f>'4'!T12</f>
        <v>0</v>
      </c>
      <c r="Y8" s="277">
        <f>'4'!T14</f>
        <v>0</v>
      </c>
      <c r="Z8" s="277">
        <f>'4'!T20</f>
        <v>0</v>
      </c>
      <c r="AA8" s="282">
        <f>'4'!T21</f>
        <v>0</v>
      </c>
      <c r="AB8" s="277">
        <f>'4'!T22</f>
        <v>0</v>
      </c>
      <c r="AC8" s="277"/>
      <c r="AD8" s="277">
        <f>'4'!T23</f>
        <v>0</v>
      </c>
      <c r="AE8" s="282">
        <f>'4'!T11</f>
        <v>0</v>
      </c>
      <c r="AF8" s="282">
        <f>'4'!T18</f>
        <v>0</v>
      </c>
      <c r="AG8" s="277">
        <f>'4'!T28</f>
        <v>0</v>
      </c>
      <c r="AH8" s="277"/>
      <c r="AI8" s="277"/>
      <c r="AJ8" s="277"/>
      <c r="AK8" s="277"/>
      <c r="AL8" s="277"/>
      <c r="AM8" s="277"/>
      <c r="AN8" s="284"/>
      <c r="AO8" s="284"/>
      <c r="AP8" s="276"/>
      <c r="AQ8" s="285">
        <f t="shared" si="1"/>
        <v>0</v>
      </c>
      <c r="AS8" s="131">
        <f t="shared" si="2"/>
        <v>13797.5</v>
      </c>
      <c r="AU8" s="277">
        <f>'4'!W11</f>
        <v>237.5</v>
      </c>
    </row>
    <row r="9" spans="1:47" ht="15.5">
      <c r="A9" s="275">
        <v>5</v>
      </c>
      <c r="B9" s="276">
        <f>'5'!T25</f>
        <v>4270</v>
      </c>
      <c r="C9" s="277">
        <f>'5'!AB11</f>
        <v>0</v>
      </c>
      <c r="D9" s="276">
        <f>'5'!Z37</f>
        <v>0</v>
      </c>
      <c r="E9" s="276">
        <f>'5'!AB14</f>
        <v>0</v>
      </c>
      <c r="F9" s="276">
        <f>'5'!Z40</f>
        <v>0</v>
      </c>
      <c r="G9" s="276">
        <f>'5'!W8</f>
        <v>0</v>
      </c>
      <c r="H9" s="276">
        <f>'5'!W9</f>
        <v>0</v>
      </c>
      <c r="I9" s="276">
        <f>'5'!W10</f>
        <v>0</v>
      </c>
      <c r="J9" s="279">
        <f>'5'!T16</f>
        <v>0</v>
      </c>
      <c r="K9" s="279">
        <f>'5'!T17</f>
        <v>0</v>
      </c>
      <c r="L9" s="279">
        <f>'5'!T9</f>
        <v>0</v>
      </c>
      <c r="M9" s="276">
        <f>'5'!T10</f>
        <v>0</v>
      </c>
      <c r="N9" s="276">
        <f>'5'!T8</f>
        <v>0</v>
      </c>
      <c r="O9" s="277"/>
      <c r="P9" s="276">
        <f>'5'!AB19</f>
        <v>0</v>
      </c>
      <c r="Q9" s="277">
        <f>'5'!T13</f>
        <v>0</v>
      </c>
      <c r="R9" s="277">
        <f>'5'!T24</f>
        <v>0</v>
      </c>
      <c r="S9" s="277">
        <f>'5'!T19</f>
        <v>0</v>
      </c>
      <c r="T9" s="277">
        <f>'5'!T26</f>
        <v>0</v>
      </c>
      <c r="U9" s="277">
        <f>'5'!T27</f>
        <v>0</v>
      </c>
      <c r="V9" s="277">
        <f>'5'!T7</f>
        <v>0</v>
      </c>
      <c r="W9" s="281">
        <f t="shared" si="0"/>
        <v>4270</v>
      </c>
      <c r="X9" s="282">
        <f>'5'!T12</f>
        <v>0</v>
      </c>
      <c r="Y9" s="277">
        <f>'5'!T14</f>
        <v>0</v>
      </c>
      <c r="Z9" s="277">
        <f>'5'!T20</f>
        <v>0</v>
      </c>
      <c r="AA9" s="282">
        <f>'5'!T21</f>
        <v>0</v>
      </c>
      <c r="AB9" s="277">
        <f>'5'!T22</f>
        <v>0</v>
      </c>
      <c r="AC9" s="277"/>
      <c r="AD9" s="277">
        <f>'5'!T23</f>
        <v>0</v>
      </c>
      <c r="AE9" s="282">
        <f>'5'!T11</f>
        <v>0</v>
      </c>
      <c r="AF9" s="282">
        <f>'5'!T18</f>
        <v>0</v>
      </c>
      <c r="AG9" s="277">
        <f>'5'!T28</f>
        <v>0</v>
      </c>
      <c r="AH9" s="277"/>
      <c r="AI9" s="277"/>
      <c r="AJ9" s="277"/>
      <c r="AK9" s="277"/>
      <c r="AL9" s="277"/>
      <c r="AM9" s="277"/>
      <c r="AN9" s="284"/>
      <c r="AO9" s="284"/>
      <c r="AP9" s="276"/>
      <c r="AQ9" s="285">
        <f t="shared" si="1"/>
        <v>0</v>
      </c>
      <c r="AS9" s="131">
        <f t="shared" si="2"/>
        <v>4270</v>
      </c>
      <c r="AU9" s="277">
        <f>'5'!W11</f>
        <v>0</v>
      </c>
    </row>
    <row r="10" spans="1:47" ht="15.5">
      <c r="A10" s="275">
        <v>6</v>
      </c>
      <c r="B10" s="276">
        <f>'6'!T25</f>
        <v>0</v>
      </c>
      <c r="C10" s="277">
        <f>'6'!AB11</f>
        <v>0</v>
      </c>
      <c r="D10" s="276">
        <f>'6'!Z37</f>
        <v>0</v>
      </c>
      <c r="E10" s="276">
        <f>'6'!AB14</f>
        <v>0</v>
      </c>
      <c r="F10" s="276">
        <f>'6'!Z40</f>
        <v>0</v>
      </c>
      <c r="G10" s="276">
        <f>'6'!W8</f>
        <v>0</v>
      </c>
      <c r="H10" s="276">
        <f>'6'!W9</f>
        <v>0</v>
      </c>
      <c r="I10" s="276">
        <f>'6'!W10</f>
        <v>0</v>
      </c>
      <c r="J10" s="279">
        <f>'6'!T16</f>
        <v>0</v>
      </c>
      <c r="K10" s="279">
        <f>'6'!T17</f>
        <v>0</v>
      </c>
      <c r="L10" s="279">
        <f>'6'!T9</f>
        <v>0</v>
      </c>
      <c r="M10" s="276">
        <f>'6'!T10</f>
        <v>0</v>
      </c>
      <c r="N10" s="276">
        <f>'6'!T8</f>
        <v>0</v>
      </c>
      <c r="O10" s="277"/>
      <c r="P10" s="276">
        <f>'6'!AB19</f>
        <v>0</v>
      </c>
      <c r="Q10" s="277">
        <f>'6'!T13</f>
        <v>0</v>
      </c>
      <c r="R10" s="277">
        <f>'6'!T24</f>
        <v>0</v>
      </c>
      <c r="S10" s="277">
        <f>'6'!T19</f>
        <v>5000</v>
      </c>
      <c r="T10" s="277">
        <f>'6'!T26</f>
        <v>0</v>
      </c>
      <c r="U10" s="277">
        <f>'6'!T27</f>
        <v>0</v>
      </c>
      <c r="V10" s="277">
        <f>'6'!T7</f>
        <v>0</v>
      </c>
      <c r="W10" s="281">
        <f t="shared" si="0"/>
        <v>5000</v>
      </c>
      <c r="X10" s="282">
        <f>'6'!T12</f>
        <v>0</v>
      </c>
      <c r="Y10" s="277">
        <f>'6'!T14</f>
        <v>0</v>
      </c>
      <c r="Z10" s="277">
        <f>'6'!T20</f>
        <v>0</v>
      </c>
      <c r="AA10" s="282">
        <f>'6'!T21</f>
        <v>185</v>
      </c>
      <c r="AB10" s="277">
        <f>'6'!T22</f>
        <v>0</v>
      </c>
      <c r="AC10" s="277"/>
      <c r="AD10" s="277">
        <f>'6'!T23</f>
        <v>0</v>
      </c>
      <c r="AE10" s="282">
        <f>'6'!T11</f>
        <v>0</v>
      </c>
      <c r="AF10" s="282">
        <f>'6'!T18</f>
        <v>0</v>
      </c>
      <c r="AG10" s="277">
        <f>'6'!T28</f>
        <v>0</v>
      </c>
      <c r="AH10" s="277"/>
      <c r="AI10" s="277"/>
      <c r="AJ10" s="277"/>
      <c r="AK10" s="277"/>
      <c r="AL10" s="277"/>
      <c r="AM10" s="277"/>
      <c r="AN10" s="284"/>
      <c r="AO10" s="284"/>
      <c r="AP10" s="276"/>
      <c r="AQ10" s="285">
        <f t="shared" si="1"/>
        <v>185</v>
      </c>
      <c r="AS10" s="131">
        <f t="shared" si="2"/>
        <v>5185</v>
      </c>
      <c r="AU10" s="277">
        <f>'6'!W11</f>
        <v>0</v>
      </c>
    </row>
    <row r="11" spans="1:47" ht="15.5">
      <c r="A11" s="275">
        <v>7</v>
      </c>
      <c r="B11" s="276">
        <f>'7'!T25</f>
        <v>0</v>
      </c>
      <c r="C11" s="277">
        <f>'7'!AB11</f>
        <v>0</v>
      </c>
      <c r="D11" s="276">
        <f>'7'!Z37</f>
        <v>0</v>
      </c>
      <c r="E11" s="276">
        <f>'7'!AB14</f>
        <v>270</v>
      </c>
      <c r="F11" s="276">
        <f>'7'!Z40</f>
        <v>0</v>
      </c>
      <c r="G11" s="276">
        <f>'7'!W8</f>
        <v>0</v>
      </c>
      <c r="H11" s="276">
        <f>'7'!W9</f>
        <v>0</v>
      </c>
      <c r="I11" s="276">
        <f>'7'!W10</f>
        <v>0</v>
      </c>
      <c r="J11" s="279">
        <f>'7'!T16</f>
        <v>0</v>
      </c>
      <c r="K11" s="279">
        <f>'7'!T17</f>
        <v>0</v>
      </c>
      <c r="L11" s="279">
        <f>'7'!T9</f>
        <v>0</v>
      </c>
      <c r="M11" s="276">
        <f>'7'!T10</f>
        <v>0</v>
      </c>
      <c r="N11" s="276">
        <f>'7'!T8</f>
        <v>0</v>
      </c>
      <c r="O11" s="277"/>
      <c r="P11" s="276">
        <f>'7'!AB19</f>
        <v>0</v>
      </c>
      <c r="Q11" s="277">
        <f>'7'!T13</f>
        <v>0</v>
      </c>
      <c r="R11" s="277">
        <f>'7'!T24</f>
        <v>0</v>
      </c>
      <c r="S11" s="277">
        <f>'7'!T19</f>
        <v>0</v>
      </c>
      <c r="T11" s="277">
        <f>'7'!T26</f>
        <v>0</v>
      </c>
      <c r="U11" s="277">
        <f>'7'!T27</f>
        <v>2160</v>
      </c>
      <c r="V11" s="277">
        <f>'7'!T7</f>
        <v>0</v>
      </c>
      <c r="W11" s="281">
        <f t="shared" si="0"/>
        <v>2430</v>
      </c>
      <c r="X11" s="282">
        <f>'7'!T12</f>
        <v>0</v>
      </c>
      <c r="Y11" s="277">
        <f>'7'!T14</f>
        <v>0</v>
      </c>
      <c r="Z11" s="277">
        <f>'7'!T20</f>
        <v>0</v>
      </c>
      <c r="AA11" s="282">
        <f>'7'!T21</f>
        <v>0</v>
      </c>
      <c r="AB11" s="277">
        <f>'7'!T22</f>
        <v>0</v>
      </c>
      <c r="AC11" s="277"/>
      <c r="AD11" s="277">
        <f>'7'!T23</f>
        <v>0</v>
      </c>
      <c r="AE11" s="282">
        <f>'7'!T11</f>
        <v>0</v>
      </c>
      <c r="AF11" s="282">
        <f>'7'!T18</f>
        <v>0</v>
      </c>
      <c r="AG11" s="277">
        <f>'7'!T28</f>
        <v>0</v>
      </c>
      <c r="AH11" s="277"/>
      <c r="AI11" s="277"/>
      <c r="AJ11" s="277"/>
      <c r="AK11" s="277"/>
      <c r="AL11" s="277"/>
      <c r="AM11" s="277"/>
      <c r="AN11" s="284"/>
      <c r="AO11" s="284"/>
      <c r="AP11" s="276"/>
      <c r="AQ11" s="285">
        <f t="shared" si="1"/>
        <v>0</v>
      </c>
      <c r="AS11" s="131">
        <f t="shared" si="2"/>
        <v>2430</v>
      </c>
      <c r="AU11" s="277">
        <f>'7'!W11</f>
        <v>0</v>
      </c>
    </row>
    <row r="12" spans="1:47" ht="14.5">
      <c r="A12" s="291" t="s">
        <v>23</v>
      </c>
      <c r="B12" s="292">
        <f t="shared" ref="B12:AI12" si="3">SUM(B5:B11)</f>
        <v>8540</v>
      </c>
      <c r="C12" s="292">
        <f t="shared" si="3"/>
        <v>1591</v>
      </c>
      <c r="D12" s="292">
        <f t="shared" si="3"/>
        <v>4122</v>
      </c>
      <c r="E12" s="292">
        <f t="shared" si="3"/>
        <v>810</v>
      </c>
      <c r="F12" s="292">
        <f t="shared" si="3"/>
        <v>10262.5</v>
      </c>
      <c r="G12" s="292">
        <f t="shared" si="3"/>
        <v>0</v>
      </c>
      <c r="H12" s="292">
        <f t="shared" si="3"/>
        <v>0</v>
      </c>
      <c r="I12" s="292">
        <f t="shared" si="3"/>
        <v>300</v>
      </c>
      <c r="J12" s="293">
        <f t="shared" si="3"/>
        <v>340</v>
      </c>
      <c r="K12" s="293">
        <f t="shared" si="3"/>
        <v>0</v>
      </c>
      <c r="L12" s="292">
        <f t="shared" si="3"/>
        <v>0</v>
      </c>
      <c r="M12" s="292">
        <f t="shared" si="3"/>
        <v>0</v>
      </c>
      <c r="N12" s="292">
        <f t="shared" si="3"/>
        <v>0</v>
      </c>
      <c r="O12" s="292">
        <f t="shared" si="3"/>
        <v>0</v>
      </c>
      <c r="P12" s="292">
        <f t="shared" si="3"/>
        <v>0</v>
      </c>
      <c r="Q12" s="292">
        <f t="shared" si="3"/>
        <v>0</v>
      </c>
      <c r="R12" s="292">
        <f t="shared" si="3"/>
        <v>0</v>
      </c>
      <c r="S12" s="292">
        <f t="shared" si="3"/>
        <v>5000</v>
      </c>
      <c r="T12" s="292">
        <f t="shared" si="3"/>
        <v>0</v>
      </c>
      <c r="U12" s="294">
        <f t="shared" si="3"/>
        <v>2160</v>
      </c>
      <c r="V12" s="292">
        <f t="shared" si="3"/>
        <v>700</v>
      </c>
      <c r="W12" s="295">
        <f t="shared" si="3"/>
        <v>33825.5</v>
      </c>
      <c r="X12" s="293">
        <f t="shared" si="3"/>
        <v>878</v>
      </c>
      <c r="Y12" s="292">
        <f t="shared" si="3"/>
        <v>0</v>
      </c>
      <c r="Z12" s="292">
        <f t="shared" si="3"/>
        <v>0</v>
      </c>
      <c r="AA12" s="293">
        <f t="shared" si="3"/>
        <v>251</v>
      </c>
      <c r="AB12" s="292">
        <f t="shared" si="3"/>
        <v>0</v>
      </c>
      <c r="AC12" s="292">
        <f t="shared" si="3"/>
        <v>0</v>
      </c>
      <c r="AD12" s="292">
        <f t="shared" si="3"/>
        <v>0</v>
      </c>
      <c r="AE12" s="293">
        <f t="shared" si="3"/>
        <v>391</v>
      </c>
      <c r="AF12" s="296">
        <f t="shared" si="3"/>
        <v>0</v>
      </c>
      <c r="AG12" s="292">
        <f t="shared" si="3"/>
        <v>0</v>
      </c>
      <c r="AH12" s="297">
        <f t="shared" si="3"/>
        <v>0</v>
      </c>
      <c r="AI12" s="297">
        <f t="shared" si="3"/>
        <v>0</v>
      </c>
      <c r="AJ12" s="297"/>
      <c r="AK12" s="292">
        <f t="shared" ref="AK12:AQ12" si="4">SUM(AK5:AK11)</f>
        <v>0</v>
      </c>
      <c r="AL12" s="292">
        <f t="shared" si="4"/>
        <v>0</v>
      </c>
      <c r="AM12" s="292">
        <f t="shared" si="4"/>
        <v>0</v>
      </c>
      <c r="AN12" s="292">
        <f t="shared" si="4"/>
        <v>0</v>
      </c>
      <c r="AO12" s="292">
        <f t="shared" si="4"/>
        <v>0</v>
      </c>
      <c r="AP12" s="292">
        <f t="shared" si="4"/>
        <v>0</v>
      </c>
      <c r="AQ12" s="298">
        <f t="shared" si="4"/>
        <v>1520</v>
      </c>
      <c r="AS12" s="299">
        <f>SUM(AS5:AS11)</f>
        <v>35345.5</v>
      </c>
      <c r="AT12" s="39"/>
      <c r="AU12" s="39"/>
    </row>
    <row r="13" spans="1:47" ht="14.5">
      <c r="A13" s="50"/>
      <c r="J13" s="300"/>
      <c r="K13" s="300"/>
      <c r="W13" s="3"/>
      <c r="X13" s="300"/>
      <c r="AA13" s="300"/>
      <c r="AE13" s="300"/>
      <c r="AF13" s="300"/>
      <c r="AT13" s="301"/>
      <c r="AU13" s="301"/>
    </row>
    <row r="14" spans="1:47" ht="45">
      <c r="A14" s="258" t="s">
        <v>7</v>
      </c>
      <c r="B14" s="263" t="str">
        <f t="shared" ref="B14:AM14" si="5">B4</f>
        <v>LPG</v>
      </c>
      <c r="C14" s="262" t="str">
        <f t="shared" si="5"/>
        <v>BREADING</v>
      </c>
      <c r="D14" s="258" t="str">
        <f t="shared" si="5"/>
        <v>OIL</v>
      </c>
      <c r="E14" s="262" t="str">
        <f t="shared" si="5"/>
        <v>GRAVY</v>
      </c>
      <c r="F14" s="262" t="str">
        <f t="shared" si="5"/>
        <v>SALARY</v>
      </c>
      <c r="G14" s="262" t="str">
        <f t="shared" si="5"/>
        <v>HOLIDAY</v>
      </c>
      <c r="H14" s="262" t="str">
        <f t="shared" si="5"/>
        <v>OVERTIME</v>
      </c>
      <c r="I14" s="262" t="str">
        <f t="shared" si="5"/>
        <v>TL ALLOWANCE</v>
      </c>
      <c r="J14" s="259" t="str">
        <f t="shared" si="5"/>
        <v>Admin / Office Supplies</v>
      </c>
      <c r="K14" s="260" t="str">
        <f t="shared" si="5"/>
        <v>13th month</v>
      </c>
      <c r="L14" s="261" t="str">
        <f t="shared" si="5"/>
        <v>pag-ibig</v>
      </c>
      <c r="M14" s="262" t="str">
        <f t="shared" si="5"/>
        <v>SSS</v>
      </c>
      <c r="N14" s="259" t="str">
        <f t="shared" si="5"/>
        <v>PHIL
HEALTH</v>
      </c>
      <c r="O14" s="263" t="str">
        <f t="shared" si="5"/>
        <v>HDMF</v>
      </c>
      <c r="P14" s="264" t="str">
        <f t="shared" si="5"/>
        <v>SIOMAI SAUCE</v>
      </c>
      <c r="Q14" s="264" t="str">
        <f t="shared" si="5"/>
        <v>TRANSPO.</v>
      </c>
      <c r="R14" s="264" t="str">
        <f t="shared" si="5"/>
        <v>CHARGE DEPOSIT</v>
      </c>
      <c r="S14" s="258" t="str">
        <f t="shared" si="5"/>
        <v>RENTAL</v>
      </c>
      <c r="T14" s="258" t="str">
        <f t="shared" si="5"/>
        <v>LIGHT</v>
      </c>
      <c r="U14" s="258" t="str">
        <f t="shared" si="5"/>
        <v>WATER BILL</v>
      </c>
      <c r="V14" s="258" t="str">
        <f t="shared" si="5"/>
        <v>BIR/TAXES</v>
      </c>
      <c r="W14" s="266" t="str">
        <f t="shared" si="5"/>
        <v>TOTAL</v>
      </c>
      <c r="X14" s="259" t="str">
        <f t="shared" si="5"/>
        <v>supot/roll bag/T-bag</v>
      </c>
      <c r="Y14" s="260" t="str">
        <f t="shared" si="5"/>
        <v>COMMUNICATION</v>
      </c>
      <c r="Z14" s="260" t="str">
        <f t="shared" si="5"/>
        <v>SENIOR DISC.</v>
      </c>
      <c r="AA14" s="260" t="str">
        <f t="shared" si="5"/>
        <v>Detergent</v>
      </c>
      <c r="AB14" s="264" t="str">
        <f t="shared" si="5"/>
        <v>SERVICE WATER</v>
      </c>
      <c r="AC14" s="259" t="str">
        <f t="shared" si="5"/>
        <v>(EMPTY)</v>
      </c>
      <c r="AD14" s="259" t="str">
        <f t="shared" si="5"/>
        <v>KITCHEN
WARES</v>
      </c>
      <c r="AE14" s="260" t="str">
        <f t="shared" si="5"/>
        <v>(Patis / suka)</v>
      </c>
      <c r="AF14" s="268" t="str">
        <f t="shared" si="5"/>
        <v>Maintenance &amp; Labor</v>
      </c>
      <c r="AG14" s="263" t="str">
        <f t="shared" si="5"/>
        <v>OTHERS</v>
      </c>
      <c r="AH14" s="269" t="str">
        <f t="shared" si="5"/>
        <v>ADMIN COST</v>
      </c>
      <c r="AI14" s="270" t="str">
        <f t="shared" si="5"/>
        <v>TRANSPO (SUPERVISORS REPLENISHMENT)</v>
      </c>
      <c r="AJ14" s="270" t="str">
        <f t="shared" si="5"/>
        <v>B.O.</v>
      </c>
      <c r="AK14" s="263">
        <f t="shared" si="5"/>
        <v>0</v>
      </c>
      <c r="AL14" s="263">
        <f t="shared" si="5"/>
        <v>0</v>
      </c>
      <c r="AM14" s="263">
        <f t="shared" si="5"/>
        <v>0</v>
      </c>
      <c r="AN14" s="263"/>
      <c r="AO14" s="263"/>
      <c r="AP14" s="263"/>
      <c r="AQ14" s="266" t="str">
        <f>AQ4</f>
        <v>TOTAL</v>
      </c>
      <c r="AS14" s="272" t="s">
        <v>156</v>
      </c>
    </row>
    <row r="15" spans="1:47" ht="15.5">
      <c r="A15" s="275">
        <v>8</v>
      </c>
      <c r="B15" s="276">
        <f>'8'!T25</f>
        <v>0</v>
      </c>
      <c r="C15" s="277">
        <f>'8'!AB11</f>
        <v>1591</v>
      </c>
      <c r="D15" s="276">
        <f>'8'!Z37</f>
        <v>0</v>
      </c>
      <c r="E15" s="276">
        <f>'8'!AB14</f>
        <v>0</v>
      </c>
      <c r="F15" s="276">
        <f>'8'!Z40</f>
        <v>0</v>
      </c>
      <c r="G15" s="276">
        <f>'8'!W8</f>
        <v>0</v>
      </c>
      <c r="H15" s="276">
        <f>'8'!W9</f>
        <v>0</v>
      </c>
      <c r="I15" s="276">
        <f>'8'!W10</f>
        <v>0</v>
      </c>
      <c r="J15" s="279">
        <f>'8'!T16</f>
        <v>0</v>
      </c>
      <c r="K15" s="279">
        <f>'8'!T17</f>
        <v>0</v>
      </c>
      <c r="L15" s="279">
        <f>'8'!T9</f>
        <v>0</v>
      </c>
      <c r="M15" s="279">
        <f>'8'!T10</f>
        <v>1428.86</v>
      </c>
      <c r="N15" s="279">
        <f>'8'!T8</f>
        <v>346.43</v>
      </c>
      <c r="O15" s="277"/>
      <c r="P15" s="279">
        <f>'8'!AB19</f>
        <v>0</v>
      </c>
      <c r="Q15" s="277">
        <f>'8'!T13</f>
        <v>0</v>
      </c>
      <c r="R15" s="277">
        <f>'8'!T24</f>
        <v>0</v>
      </c>
      <c r="S15" s="277">
        <f>'8'!T19</f>
        <v>5000</v>
      </c>
      <c r="T15" s="277">
        <f>'8'!T26</f>
        <v>0</v>
      </c>
      <c r="U15" s="277">
        <f>'8'!T27</f>
        <v>0</v>
      </c>
      <c r="V15" s="277">
        <f>'8'!T7</f>
        <v>0</v>
      </c>
      <c r="W15" s="281">
        <f t="shared" ref="W15:W21" si="6">SUM(B15:V15)</f>
        <v>8366.2899999999991</v>
      </c>
      <c r="X15" s="282">
        <f>'8'!T12</f>
        <v>0</v>
      </c>
      <c r="Y15" s="277">
        <f>'8'!T14</f>
        <v>0</v>
      </c>
      <c r="Z15" s="277">
        <f>'8'!T20</f>
        <v>0</v>
      </c>
      <c r="AA15" s="282">
        <f>'8'!T21</f>
        <v>0</v>
      </c>
      <c r="AB15" s="277">
        <f>'8'!T22</f>
        <v>0</v>
      </c>
      <c r="AC15" s="277"/>
      <c r="AD15" s="277">
        <f>'8'!T23</f>
        <v>0</v>
      </c>
      <c r="AE15" s="282">
        <f>'8'!T11</f>
        <v>0</v>
      </c>
      <c r="AF15" s="282">
        <f>'8'!T18</f>
        <v>0</v>
      </c>
      <c r="AG15" s="277">
        <f>'8'!T28</f>
        <v>0</v>
      </c>
      <c r="AH15" s="277"/>
      <c r="AI15" s="277"/>
      <c r="AJ15" s="277"/>
      <c r="AK15" s="277"/>
      <c r="AL15" s="277"/>
      <c r="AM15" s="277"/>
      <c r="AN15" s="284"/>
      <c r="AO15" s="284"/>
      <c r="AP15" s="276"/>
      <c r="AQ15" s="285">
        <f t="shared" ref="AQ15:AQ21" si="7">SUM(X15:AP15)</f>
        <v>0</v>
      </c>
      <c r="AS15" s="131">
        <f t="shared" ref="AS15:AS21" si="8">W15+AQ15</f>
        <v>8366.2899999999991</v>
      </c>
      <c r="AU15" s="277">
        <f>'8'!W11</f>
        <v>0</v>
      </c>
    </row>
    <row r="16" spans="1:47" ht="15.5">
      <c r="A16" s="275">
        <v>9</v>
      </c>
      <c r="B16" s="304">
        <f>'9'!T25</f>
        <v>0</v>
      </c>
      <c r="C16" s="277">
        <f>'9'!AB11</f>
        <v>0</v>
      </c>
      <c r="D16" s="276">
        <f>'9'!Z37</f>
        <v>1374</v>
      </c>
      <c r="E16" s="276">
        <f>'9'!AB14</f>
        <v>0</v>
      </c>
      <c r="F16" s="276">
        <f>'9'!Z40</f>
        <v>0</v>
      </c>
      <c r="G16" s="276">
        <f>'9'!W8</f>
        <v>0</v>
      </c>
      <c r="H16" s="276">
        <f>'9'!W9</f>
        <v>0</v>
      </c>
      <c r="I16" s="276">
        <f>'9'!W10</f>
        <v>0</v>
      </c>
      <c r="J16" s="279">
        <f>'9'!T16</f>
        <v>139.75</v>
      </c>
      <c r="K16" s="279">
        <f>'9'!T17</f>
        <v>0</v>
      </c>
      <c r="L16" s="279">
        <f>'9'!T9</f>
        <v>0</v>
      </c>
      <c r="M16" s="279">
        <f>'9'!T10</f>
        <v>0</v>
      </c>
      <c r="N16" s="279">
        <f>'9'!T8</f>
        <v>0</v>
      </c>
      <c r="O16" s="277"/>
      <c r="P16" s="279">
        <f>'9'!AB19</f>
        <v>0</v>
      </c>
      <c r="Q16" s="277">
        <f>'9'!T13</f>
        <v>0</v>
      </c>
      <c r="R16" s="277">
        <f>'9'!T24</f>
        <v>0</v>
      </c>
      <c r="S16" s="277">
        <f>'9'!T19</f>
        <v>8000</v>
      </c>
      <c r="T16" s="277">
        <f>'9'!T26</f>
        <v>0</v>
      </c>
      <c r="U16" s="277">
        <f>'9'!T27</f>
        <v>0</v>
      </c>
      <c r="V16" s="277">
        <f>'9'!T7</f>
        <v>0</v>
      </c>
      <c r="W16" s="281">
        <f t="shared" si="6"/>
        <v>9513.75</v>
      </c>
      <c r="X16" s="282">
        <f>'9'!T12</f>
        <v>0</v>
      </c>
      <c r="Y16" s="277">
        <f>'9'!T14</f>
        <v>0</v>
      </c>
      <c r="Z16" s="277">
        <f>'9'!T20</f>
        <v>0</v>
      </c>
      <c r="AA16" s="282">
        <f>'9'!T21</f>
        <v>238.5</v>
      </c>
      <c r="AB16" s="277">
        <f>'9'!T22</f>
        <v>0</v>
      </c>
      <c r="AC16" s="277"/>
      <c r="AD16" s="277">
        <f>'9'!T23</f>
        <v>0</v>
      </c>
      <c r="AE16" s="282">
        <f>'9'!T11</f>
        <v>0</v>
      </c>
      <c r="AF16" s="282">
        <f>'9'!T18</f>
        <v>0</v>
      </c>
      <c r="AG16" s="277">
        <f>'9'!T28</f>
        <v>0</v>
      </c>
      <c r="AH16" s="277"/>
      <c r="AI16" s="277"/>
      <c r="AJ16" s="277"/>
      <c r="AK16" s="277"/>
      <c r="AL16" s="277"/>
      <c r="AM16" s="277"/>
      <c r="AN16" s="284"/>
      <c r="AO16" s="284"/>
      <c r="AP16" s="276"/>
      <c r="AQ16" s="285">
        <f t="shared" si="7"/>
        <v>238.5</v>
      </c>
      <c r="AS16" s="131">
        <f t="shared" si="8"/>
        <v>9752.25</v>
      </c>
      <c r="AU16" s="277">
        <f>'9'!W11</f>
        <v>0</v>
      </c>
    </row>
    <row r="17" spans="1:47" ht="15.5">
      <c r="A17" s="275">
        <v>10</v>
      </c>
      <c r="B17" s="276">
        <f>'10'!T25</f>
        <v>0</v>
      </c>
      <c r="C17" s="277">
        <f>'10'!AB11</f>
        <v>0</v>
      </c>
      <c r="D17" s="276">
        <f>'10'!Z37</f>
        <v>0</v>
      </c>
      <c r="E17" s="276">
        <f>'10'!AB14</f>
        <v>270</v>
      </c>
      <c r="F17" s="276">
        <f>'10'!Z40</f>
        <v>0</v>
      </c>
      <c r="G17" s="276">
        <f>'10'!W8</f>
        <v>0</v>
      </c>
      <c r="H17" s="276">
        <f>'10'!W9</f>
        <v>0</v>
      </c>
      <c r="I17" s="276">
        <f>'10'!W10</f>
        <v>0</v>
      </c>
      <c r="J17" s="279">
        <f>'10'!T16</f>
        <v>0</v>
      </c>
      <c r="K17" s="279">
        <f>'10'!T17</f>
        <v>0</v>
      </c>
      <c r="L17" s="279">
        <f>'10'!T9</f>
        <v>0</v>
      </c>
      <c r="M17" s="279">
        <f>'10'!T10</f>
        <v>0</v>
      </c>
      <c r="N17" s="279">
        <f>'10'!T8</f>
        <v>0</v>
      </c>
      <c r="O17" s="277"/>
      <c r="P17" s="279">
        <f>'10'!AB19</f>
        <v>0</v>
      </c>
      <c r="Q17" s="277">
        <f>'10'!T13</f>
        <v>0</v>
      </c>
      <c r="R17" s="277">
        <f>'10'!T24</f>
        <v>0</v>
      </c>
      <c r="S17" s="277">
        <f>'10'!T19</f>
        <v>5000</v>
      </c>
      <c r="T17" s="277">
        <f>'10'!T26</f>
        <v>0</v>
      </c>
      <c r="U17" s="277">
        <f>'10'!T27</f>
        <v>0</v>
      </c>
      <c r="V17" s="277">
        <f>'10'!T7</f>
        <v>0</v>
      </c>
      <c r="W17" s="281">
        <f t="shared" si="6"/>
        <v>5270</v>
      </c>
      <c r="X17" s="282">
        <f>'10'!T12</f>
        <v>0</v>
      </c>
      <c r="Y17" s="277">
        <f>'10'!T14</f>
        <v>0</v>
      </c>
      <c r="Z17" s="277">
        <f>'10'!T20</f>
        <v>0</v>
      </c>
      <c r="AA17" s="282">
        <f>'10'!T21</f>
        <v>0</v>
      </c>
      <c r="AB17" s="277">
        <f>'10'!T22</f>
        <v>0</v>
      </c>
      <c r="AC17" s="277"/>
      <c r="AD17" s="277">
        <f>'10'!T23</f>
        <v>0</v>
      </c>
      <c r="AE17" s="282">
        <f>'10'!T11</f>
        <v>0</v>
      </c>
      <c r="AF17" s="282">
        <f>'10'!T18</f>
        <v>0</v>
      </c>
      <c r="AG17" s="277">
        <f>'10'!T28</f>
        <v>0</v>
      </c>
      <c r="AH17" s="277"/>
      <c r="AI17" s="277"/>
      <c r="AJ17" s="277"/>
      <c r="AK17" s="277"/>
      <c r="AL17" s="277"/>
      <c r="AM17" s="277"/>
      <c r="AN17" s="286"/>
      <c r="AO17" s="286"/>
      <c r="AP17" s="276"/>
      <c r="AQ17" s="285">
        <f t="shared" si="7"/>
        <v>0</v>
      </c>
      <c r="AS17" s="131">
        <f t="shared" si="8"/>
        <v>5270</v>
      </c>
      <c r="AU17" s="277">
        <f>'10'!W11</f>
        <v>0</v>
      </c>
    </row>
    <row r="18" spans="1:47" ht="15.5">
      <c r="A18" s="275">
        <v>11</v>
      </c>
      <c r="B18" s="276">
        <f>'11'!T25</f>
        <v>0</v>
      </c>
      <c r="C18" s="277">
        <f>'11'!AB11</f>
        <v>0</v>
      </c>
      <c r="D18" s="276">
        <f>'11'!Z37</f>
        <v>1374</v>
      </c>
      <c r="E18" s="276">
        <f>'11'!AB14</f>
        <v>540</v>
      </c>
      <c r="F18" s="276">
        <f>'11'!Z40</f>
        <v>10262.5</v>
      </c>
      <c r="G18" s="276">
        <f>'11'!W8</f>
        <v>0</v>
      </c>
      <c r="H18" s="276">
        <f>'11'!W9</f>
        <v>0</v>
      </c>
      <c r="I18" s="276">
        <f>'11'!W10</f>
        <v>300</v>
      </c>
      <c r="J18" s="279">
        <f>'11'!T16</f>
        <v>0</v>
      </c>
      <c r="K18" s="279">
        <f>'11'!T17</f>
        <v>0</v>
      </c>
      <c r="L18" s="279">
        <f>'11'!T9</f>
        <v>0</v>
      </c>
      <c r="M18" s="279">
        <f>'11'!T10</f>
        <v>0</v>
      </c>
      <c r="N18" s="279">
        <f>'11'!T8</f>
        <v>0</v>
      </c>
      <c r="O18" s="277"/>
      <c r="P18" s="279">
        <f>'11'!AB19</f>
        <v>0</v>
      </c>
      <c r="Q18" s="277">
        <f>'11'!T13</f>
        <v>0</v>
      </c>
      <c r="R18" s="277">
        <f>'11'!T24</f>
        <v>0</v>
      </c>
      <c r="S18" s="277">
        <f>'11'!T19</f>
        <v>4000</v>
      </c>
      <c r="T18" s="277">
        <f>'11'!T26</f>
        <v>0</v>
      </c>
      <c r="U18" s="277">
        <f>'11'!T27</f>
        <v>0</v>
      </c>
      <c r="V18" s="277">
        <f>'11'!T7</f>
        <v>0</v>
      </c>
      <c r="W18" s="281">
        <f t="shared" si="6"/>
        <v>16476.5</v>
      </c>
      <c r="X18" s="282">
        <f>'11'!T12</f>
        <v>0</v>
      </c>
      <c r="Y18" s="277">
        <f>'11'!T14</f>
        <v>200</v>
      </c>
      <c r="Z18" s="277">
        <f>'11'!T20</f>
        <v>0</v>
      </c>
      <c r="AA18" s="282">
        <f>'11'!T21</f>
        <v>0</v>
      </c>
      <c r="AB18" s="277">
        <f>'11'!T22</f>
        <v>0</v>
      </c>
      <c r="AC18" s="277"/>
      <c r="AD18" s="277">
        <f>'11'!T23</f>
        <v>0</v>
      </c>
      <c r="AE18" s="282">
        <f>'11'!T11</f>
        <v>0</v>
      </c>
      <c r="AF18" s="282">
        <f>'11'!T18</f>
        <v>0</v>
      </c>
      <c r="AG18" s="277">
        <f>'11'!T28</f>
        <v>0</v>
      </c>
      <c r="AH18" s="277"/>
      <c r="AI18" s="277"/>
      <c r="AJ18" s="277"/>
      <c r="AK18" s="277"/>
      <c r="AL18" s="277"/>
      <c r="AM18" s="277"/>
      <c r="AN18" s="284"/>
      <c r="AO18" s="284"/>
      <c r="AP18" s="276"/>
      <c r="AQ18" s="285">
        <f t="shared" si="7"/>
        <v>200</v>
      </c>
      <c r="AS18" s="131">
        <f t="shared" si="8"/>
        <v>16676.5</v>
      </c>
      <c r="AU18" s="277">
        <f>'11'!W11</f>
        <v>237.5</v>
      </c>
    </row>
    <row r="19" spans="1:47" ht="15.5">
      <c r="A19" s="275">
        <v>12</v>
      </c>
      <c r="B19" s="276">
        <f>'12'!T25</f>
        <v>0</v>
      </c>
      <c r="C19" s="277">
        <f>'12'!AB11</f>
        <v>0</v>
      </c>
      <c r="D19" s="276">
        <f>'12'!Z37</f>
        <v>0</v>
      </c>
      <c r="E19" s="276">
        <f>'12'!AB14</f>
        <v>0</v>
      </c>
      <c r="F19" s="276">
        <f>'12'!Z40</f>
        <v>0</v>
      </c>
      <c r="G19" s="276">
        <f>'12'!W8</f>
        <v>0</v>
      </c>
      <c r="H19" s="276">
        <f>'12'!W9</f>
        <v>0</v>
      </c>
      <c r="I19" s="276">
        <f>'12'!W10</f>
        <v>0</v>
      </c>
      <c r="J19" s="279">
        <f>'12'!T16</f>
        <v>0</v>
      </c>
      <c r="K19" s="279">
        <f>'12'!T17</f>
        <v>0</v>
      </c>
      <c r="L19" s="279">
        <f>'12'!T9</f>
        <v>0</v>
      </c>
      <c r="M19" s="279">
        <f>'12'!T10</f>
        <v>0</v>
      </c>
      <c r="N19" s="279">
        <f>'12'!T8</f>
        <v>0</v>
      </c>
      <c r="O19" s="277"/>
      <c r="P19" s="279">
        <f>'12'!AB19</f>
        <v>0</v>
      </c>
      <c r="Q19" s="277">
        <f>'12'!T13</f>
        <v>0</v>
      </c>
      <c r="R19" s="277">
        <f>'12'!T24</f>
        <v>0</v>
      </c>
      <c r="S19" s="277">
        <f>'12'!T19</f>
        <v>1000</v>
      </c>
      <c r="T19" s="277">
        <f>'12'!T26</f>
        <v>0</v>
      </c>
      <c r="U19" s="277">
        <f>'12'!T27</f>
        <v>0</v>
      </c>
      <c r="V19" s="277">
        <f>'12'!T7</f>
        <v>0</v>
      </c>
      <c r="W19" s="281">
        <f t="shared" si="6"/>
        <v>1000</v>
      </c>
      <c r="X19" s="282">
        <f>'12'!T12</f>
        <v>0</v>
      </c>
      <c r="Y19" s="277">
        <f>'12'!T14</f>
        <v>0</v>
      </c>
      <c r="Z19" s="277">
        <f>'12'!T20</f>
        <v>22.14</v>
      </c>
      <c r="AA19" s="282">
        <f>'12'!T21</f>
        <v>0</v>
      </c>
      <c r="AB19" s="277">
        <f>'12'!T22</f>
        <v>0</v>
      </c>
      <c r="AC19" s="277"/>
      <c r="AD19" s="277">
        <f>'12'!T23</f>
        <v>0</v>
      </c>
      <c r="AE19" s="282">
        <f>'12'!T11</f>
        <v>0</v>
      </c>
      <c r="AF19" s="282">
        <f>'12'!T18</f>
        <v>0</v>
      </c>
      <c r="AG19" s="277">
        <f>'12'!T28</f>
        <v>0</v>
      </c>
      <c r="AH19" s="277"/>
      <c r="AI19" s="277"/>
      <c r="AJ19" s="277"/>
      <c r="AK19" s="277"/>
      <c r="AL19" s="277"/>
      <c r="AM19" s="277"/>
      <c r="AN19" s="284"/>
      <c r="AO19" s="284"/>
      <c r="AP19" s="276"/>
      <c r="AQ19" s="285">
        <f t="shared" si="7"/>
        <v>22.14</v>
      </c>
      <c r="AS19" s="131">
        <f t="shared" si="8"/>
        <v>1022.14</v>
      </c>
      <c r="AU19" s="277">
        <f>'12'!W11</f>
        <v>0</v>
      </c>
    </row>
    <row r="20" spans="1:47" ht="15.5">
      <c r="A20" s="275">
        <v>13</v>
      </c>
      <c r="B20" s="276">
        <f>'13'!T25</f>
        <v>0</v>
      </c>
      <c r="C20" s="277">
        <f>'13'!AB11</f>
        <v>1591</v>
      </c>
      <c r="D20" s="276">
        <f>'13'!Z37</f>
        <v>0</v>
      </c>
      <c r="E20" s="276">
        <f>'13'!AB14</f>
        <v>0</v>
      </c>
      <c r="F20" s="276">
        <f>'13'!Z40</f>
        <v>0</v>
      </c>
      <c r="G20" s="276">
        <f>'13'!W8</f>
        <v>0</v>
      </c>
      <c r="H20" s="276">
        <f>'13'!W9</f>
        <v>0</v>
      </c>
      <c r="I20" s="276">
        <f>'13'!W10</f>
        <v>0</v>
      </c>
      <c r="J20" s="279">
        <f>'13'!T16</f>
        <v>0</v>
      </c>
      <c r="K20" s="279">
        <f>'13'!T17</f>
        <v>0</v>
      </c>
      <c r="L20" s="279">
        <f>'13'!T9</f>
        <v>275</v>
      </c>
      <c r="M20" s="279">
        <f>'13'!T10</f>
        <v>0</v>
      </c>
      <c r="N20" s="279">
        <f>'13'!T8</f>
        <v>0</v>
      </c>
      <c r="O20" s="277"/>
      <c r="P20" s="279">
        <f>'13'!AB19</f>
        <v>0</v>
      </c>
      <c r="Q20" s="277">
        <f>'13'!T13</f>
        <v>0</v>
      </c>
      <c r="R20" s="277">
        <f>'13'!T24</f>
        <v>0</v>
      </c>
      <c r="S20" s="277">
        <f>'13'!T19</f>
        <v>0</v>
      </c>
      <c r="T20" s="277">
        <f>'13'!T26</f>
        <v>0</v>
      </c>
      <c r="U20" s="277">
        <f>'13'!T27</f>
        <v>0</v>
      </c>
      <c r="V20" s="277">
        <f>'13'!T7</f>
        <v>0</v>
      </c>
      <c r="W20" s="281">
        <f t="shared" si="6"/>
        <v>1866</v>
      </c>
      <c r="X20" s="282">
        <f>'13'!T12</f>
        <v>0</v>
      </c>
      <c r="Y20" s="277">
        <f>'13'!T14</f>
        <v>0</v>
      </c>
      <c r="Z20" s="277">
        <f>'13'!T20</f>
        <v>0</v>
      </c>
      <c r="AA20" s="282">
        <f>'13'!T21</f>
        <v>0</v>
      </c>
      <c r="AB20" s="277">
        <f>'13'!T22</f>
        <v>0</v>
      </c>
      <c r="AC20" s="277"/>
      <c r="AD20" s="277">
        <f>'13'!T23</f>
        <v>0</v>
      </c>
      <c r="AE20" s="282">
        <f>'13'!T11</f>
        <v>0</v>
      </c>
      <c r="AF20" s="282">
        <f>'13'!T18</f>
        <v>0</v>
      </c>
      <c r="AG20" s="277">
        <f>'13'!T28</f>
        <v>0</v>
      </c>
      <c r="AH20" s="277"/>
      <c r="AI20" s="277"/>
      <c r="AJ20" s="277"/>
      <c r="AK20" s="277"/>
      <c r="AL20" s="277"/>
      <c r="AM20" s="277"/>
      <c r="AN20" s="284"/>
      <c r="AO20" s="284"/>
      <c r="AP20" s="276"/>
      <c r="AQ20" s="285">
        <f t="shared" si="7"/>
        <v>0</v>
      </c>
      <c r="AS20" s="131">
        <f t="shared" si="8"/>
        <v>1866</v>
      </c>
      <c r="AU20" s="277">
        <f>'13'!W11</f>
        <v>0</v>
      </c>
    </row>
    <row r="21" spans="1:47" ht="15.75" customHeight="1">
      <c r="A21" s="275">
        <v>14</v>
      </c>
      <c r="B21" s="276">
        <f>'14'!T25</f>
        <v>0</v>
      </c>
      <c r="C21" s="277">
        <f>'14'!AB11</f>
        <v>0</v>
      </c>
      <c r="D21" s="276">
        <f>'14'!Z37</f>
        <v>0</v>
      </c>
      <c r="E21" s="276">
        <f>'14'!AB14</f>
        <v>0</v>
      </c>
      <c r="F21" s="276">
        <f>'14'!Z40</f>
        <v>0</v>
      </c>
      <c r="G21" s="276">
        <f>'14'!W8</f>
        <v>0</v>
      </c>
      <c r="H21" s="276">
        <f>'14'!W9</f>
        <v>0</v>
      </c>
      <c r="I21" s="276">
        <f>'14'!W10</f>
        <v>0</v>
      </c>
      <c r="J21" s="279">
        <f>'14'!T16</f>
        <v>149.5</v>
      </c>
      <c r="K21" s="279">
        <f>'14'!T18</f>
        <v>0</v>
      </c>
      <c r="L21" s="279">
        <f>'14'!T10</f>
        <v>0</v>
      </c>
      <c r="M21" s="279">
        <f>'14'!T11</f>
        <v>0</v>
      </c>
      <c r="N21" s="279">
        <f>'14'!T8</f>
        <v>0</v>
      </c>
      <c r="O21" s="277"/>
      <c r="P21" s="279">
        <f>'14'!AB20</f>
        <v>0</v>
      </c>
      <c r="Q21" s="277">
        <f>'14'!T14</f>
        <v>0</v>
      </c>
      <c r="R21" s="277">
        <f>'14'!T24</f>
        <v>0</v>
      </c>
      <c r="S21" s="277">
        <f>'14'!T19</f>
        <v>0</v>
      </c>
      <c r="T21" s="277">
        <f>'14'!T26</f>
        <v>6000</v>
      </c>
      <c r="U21" s="277">
        <f>'14'!T27</f>
        <v>0</v>
      </c>
      <c r="V21" s="277">
        <f>'14'!T8</f>
        <v>0</v>
      </c>
      <c r="W21" s="281">
        <f t="shared" si="6"/>
        <v>6149.5</v>
      </c>
      <c r="X21" s="282">
        <f>'14'!T14</f>
        <v>0</v>
      </c>
      <c r="Y21" s="277">
        <f>'14'!T14</f>
        <v>0</v>
      </c>
      <c r="Z21" s="277">
        <f>'14'!T20</f>
        <v>0</v>
      </c>
      <c r="AA21" s="282">
        <f>'14'!T22</f>
        <v>0</v>
      </c>
      <c r="AB21" s="277">
        <f>'14'!T23</f>
        <v>0</v>
      </c>
      <c r="AC21" s="277"/>
      <c r="AD21" s="277">
        <f>'14'!T24</f>
        <v>0</v>
      </c>
      <c r="AE21" s="282">
        <f>'14'!T12</f>
        <v>260</v>
      </c>
      <c r="AF21" s="282">
        <f>'14'!T18</f>
        <v>0</v>
      </c>
      <c r="AG21" s="277">
        <f>'14'!T29</f>
        <v>0</v>
      </c>
      <c r="AH21" s="277"/>
      <c r="AI21" s="277"/>
      <c r="AJ21" s="277"/>
      <c r="AK21" s="277"/>
      <c r="AL21" s="277"/>
      <c r="AM21" s="277"/>
      <c r="AN21" s="284"/>
      <c r="AO21" s="284"/>
      <c r="AP21" s="276"/>
      <c r="AQ21" s="285">
        <f t="shared" si="7"/>
        <v>260</v>
      </c>
      <c r="AS21" s="131">
        <f t="shared" si="8"/>
        <v>6409.5</v>
      </c>
      <c r="AU21" s="277">
        <f>'14'!W12</f>
        <v>0</v>
      </c>
    </row>
    <row r="22" spans="1:47" ht="15.75" customHeight="1">
      <c r="A22" s="291" t="s">
        <v>23</v>
      </c>
      <c r="B22" s="292">
        <f t="shared" ref="B22:AI22" si="9">SUM(B15:B21)</f>
        <v>0</v>
      </c>
      <c r="C22" s="292">
        <f t="shared" si="9"/>
        <v>3182</v>
      </c>
      <c r="D22" s="292">
        <f t="shared" si="9"/>
        <v>2748</v>
      </c>
      <c r="E22" s="292">
        <f t="shared" si="9"/>
        <v>810</v>
      </c>
      <c r="F22" s="292">
        <f t="shared" si="9"/>
        <v>10262.5</v>
      </c>
      <c r="G22" s="292">
        <f t="shared" si="9"/>
        <v>0</v>
      </c>
      <c r="H22" s="292">
        <f t="shared" si="9"/>
        <v>0</v>
      </c>
      <c r="I22" s="292">
        <f t="shared" si="9"/>
        <v>300</v>
      </c>
      <c r="J22" s="293">
        <f t="shared" si="9"/>
        <v>289.25</v>
      </c>
      <c r="K22" s="293">
        <f t="shared" si="9"/>
        <v>0</v>
      </c>
      <c r="L22" s="292">
        <f t="shared" si="9"/>
        <v>275</v>
      </c>
      <c r="M22" s="292">
        <f t="shared" si="9"/>
        <v>1428.86</v>
      </c>
      <c r="N22" s="292">
        <f t="shared" si="9"/>
        <v>346.43</v>
      </c>
      <c r="O22" s="292">
        <f t="shared" si="9"/>
        <v>0</v>
      </c>
      <c r="P22" s="292">
        <f t="shared" si="9"/>
        <v>0</v>
      </c>
      <c r="Q22" s="292">
        <f t="shared" si="9"/>
        <v>0</v>
      </c>
      <c r="R22" s="292">
        <f t="shared" si="9"/>
        <v>0</v>
      </c>
      <c r="S22" s="292">
        <f t="shared" si="9"/>
        <v>23000</v>
      </c>
      <c r="T22" s="292">
        <f t="shared" si="9"/>
        <v>6000</v>
      </c>
      <c r="U22" s="292">
        <f t="shared" si="9"/>
        <v>0</v>
      </c>
      <c r="V22" s="292">
        <f t="shared" si="9"/>
        <v>0</v>
      </c>
      <c r="W22" s="295">
        <f t="shared" si="9"/>
        <v>48642.04</v>
      </c>
      <c r="X22" s="293">
        <f t="shared" si="9"/>
        <v>0</v>
      </c>
      <c r="Y22" s="307">
        <f t="shared" si="9"/>
        <v>200</v>
      </c>
      <c r="Z22" s="292">
        <f t="shared" si="9"/>
        <v>22.14</v>
      </c>
      <c r="AA22" s="293">
        <f t="shared" si="9"/>
        <v>238.5</v>
      </c>
      <c r="AB22" s="292">
        <f t="shared" si="9"/>
        <v>0</v>
      </c>
      <c r="AC22" s="292">
        <f t="shared" si="9"/>
        <v>0</v>
      </c>
      <c r="AD22" s="292">
        <f t="shared" si="9"/>
        <v>0</v>
      </c>
      <c r="AE22" s="293">
        <f t="shared" si="9"/>
        <v>260</v>
      </c>
      <c r="AF22" s="296">
        <f t="shared" si="9"/>
        <v>0</v>
      </c>
      <c r="AG22" s="292">
        <f t="shared" si="9"/>
        <v>0</v>
      </c>
      <c r="AH22" s="297">
        <f t="shared" si="9"/>
        <v>0</v>
      </c>
      <c r="AI22" s="297">
        <f t="shared" si="9"/>
        <v>0</v>
      </c>
      <c r="AJ22" s="297"/>
      <c r="AK22" s="292">
        <f t="shared" ref="AK22:AQ22" si="10">SUM(AK15:AK21)</f>
        <v>0</v>
      </c>
      <c r="AL22" s="292">
        <f t="shared" si="10"/>
        <v>0</v>
      </c>
      <c r="AM22" s="292">
        <f t="shared" si="10"/>
        <v>0</v>
      </c>
      <c r="AN22" s="292">
        <f t="shared" si="10"/>
        <v>0</v>
      </c>
      <c r="AO22" s="292">
        <f t="shared" si="10"/>
        <v>0</v>
      </c>
      <c r="AP22" s="292">
        <f t="shared" si="10"/>
        <v>0</v>
      </c>
      <c r="AQ22" s="298">
        <f t="shared" si="10"/>
        <v>720.64</v>
      </c>
      <c r="AS22" s="299">
        <f>SUM(AS15:AS21)</f>
        <v>49362.68</v>
      </c>
      <c r="AT22" s="39"/>
      <c r="AU22" s="39"/>
    </row>
    <row r="23" spans="1:47" ht="15.75" customHeight="1">
      <c r="J23" s="300"/>
      <c r="K23" s="300"/>
      <c r="W23" s="308"/>
      <c r="X23" s="300"/>
      <c r="AA23" s="300"/>
      <c r="AE23" s="300"/>
      <c r="AF23" s="300"/>
      <c r="AT23" s="301"/>
      <c r="AU23" s="301"/>
    </row>
    <row r="24" spans="1:47" ht="43.5" customHeight="1">
      <c r="A24" s="259" t="s">
        <v>7</v>
      </c>
      <c r="B24" s="260" t="s">
        <v>158</v>
      </c>
      <c r="C24" s="264" t="s">
        <v>125</v>
      </c>
      <c r="D24" s="259" t="s">
        <v>126</v>
      </c>
      <c r="E24" s="264" t="str">
        <f>E14</f>
        <v>GRAVY</v>
      </c>
      <c r="F24" s="264" t="s">
        <v>128</v>
      </c>
      <c r="G24" s="264" t="str">
        <f t="shared" ref="G24:K24" si="11">G14</f>
        <v>HOLIDAY</v>
      </c>
      <c r="H24" s="264" t="str">
        <f t="shared" si="11"/>
        <v>OVERTIME</v>
      </c>
      <c r="I24" s="264" t="str">
        <f t="shared" si="11"/>
        <v>TL ALLOWANCE</v>
      </c>
      <c r="J24" s="259" t="str">
        <f t="shared" si="11"/>
        <v>Admin / Office Supplies</v>
      </c>
      <c r="K24" s="260" t="str">
        <f t="shared" si="11"/>
        <v>13th month</v>
      </c>
      <c r="L24" s="261" t="s">
        <v>133</v>
      </c>
      <c r="M24" s="264" t="s">
        <v>134</v>
      </c>
      <c r="N24" s="259" t="s">
        <v>135</v>
      </c>
      <c r="O24" s="260" t="s">
        <v>136</v>
      </c>
      <c r="P24" s="264" t="str">
        <f t="shared" ref="P24:U24" si="12">P14</f>
        <v>SIOMAI SAUCE</v>
      </c>
      <c r="Q24" s="264" t="str">
        <f t="shared" si="12"/>
        <v>TRANSPO.</v>
      </c>
      <c r="R24" s="264" t="str">
        <f t="shared" si="12"/>
        <v>CHARGE DEPOSIT</v>
      </c>
      <c r="S24" s="259" t="str">
        <f t="shared" si="12"/>
        <v>RENTAL</v>
      </c>
      <c r="T24" s="259" t="str">
        <f t="shared" si="12"/>
        <v>LIGHT</v>
      </c>
      <c r="U24" s="259" t="str">
        <f t="shared" si="12"/>
        <v>WATER BILL</v>
      </c>
      <c r="V24" s="259" t="str">
        <f t="shared" ref="V24:W24" si="13">V4</f>
        <v>BIR/TAXES</v>
      </c>
      <c r="W24" s="271" t="str">
        <f t="shared" si="13"/>
        <v>TOTAL</v>
      </c>
      <c r="X24" s="259" t="str">
        <f t="shared" ref="X24:AA24" si="14">X14</f>
        <v>supot/roll bag/T-bag</v>
      </c>
      <c r="Y24" s="260" t="str">
        <f t="shared" si="14"/>
        <v>COMMUNICATION</v>
      </c>
      <c r="Z24" s="260" t="str">
        <f t="shared" si="14"/>
        <v>SENIOR DISC.</v>
      </c>
      <c r="AA24" s="260" t="str">
        <f t="shared" si="14"/>
        <v>Detergent</v>
      </c>
      <c r="AB24" s="264" t="str">
        <f>AB4</f>
        <v>SERVICE WATER</v>
      </c>
      <c r="AC24" s="259" t="str">
        <f>AC14</f>
        <v>(EMPTY)</v>
      </c>
      <c r="AD24" s="259" t="s">
        <v>148</v>
      </c>
      <c r="AE24" s="260" t="str">
        <f t="shared" ref="AE24:AM24" si="15">AE14</f>
        <v>(Patis / suka)</v>
      </c>
      <c r="AF24" s="268" t="str">
        <f t="shared" si="15"/>
        <v>Maintenance &amp; Labor</v>
      </c>
      <c r="AG24" s="260" t="str">
        <f t="shared" si="15"/>
        <v>OTHERS</v>
      </c>
      <c r="AH24" s="269" t="str">
        <f t="shared" si="15"/>
        <v>ADMIN COST</v>
      </c>
      <c r="AI24" s="270" t="str">
        <f t="shared" si="15"/>
        <v>TRANSPO (SUPERVISORS REPLENISHMENT)</v>
      </c>
      <c r="AJ24" s="270" t="str">
        <f t="shared" si="15"/>
        <v>B.O.</v>
      </c>
      <c r="AK24" s="260">
        <f t="shared" si="15"/>
        <v>0</v>
      </c>
      <c r="AL24" s="260">
        <f t="shared" si="15"/>
        <v>0</v>
      </c>
      <c r="AM24" s="260">
        <f t="shared" si="15"/>
        <v>0</v>
      </c>
      <c r="AN24" s="260"/>
      <c r="AO24" s="260"/>
      <c r="AP24" s="260"/>
      <c r="AQ24" s="272" t="s">
        <v>23</v>
      </c>
      <c r="AR24" s="309"/>
      <c r="AS24" s="272" t="s">
        <v>156</v>
      </c>
      <c r="AT24" s="310"/>
      <c r="AU24" s="310"/>
    </row>
    <row r="25" spans="1:47" ht="15.75" customHeight="1">
      <c r="A25" s="275">
        <v>15</v>
      </c>
      <c r="B25" s="276">
        <f>'15'!T25</f>
        <v>0</v>
      </c>
      <c r="C25" s="277">
        <f>'15'!AB11</f>
        <v>0</v>
      </c>
      <c r="D25" s="276">
        <f>'15'!Z37</f>
        <v>1374</v>
      </c>
      <c r="E25" s="276">
        <f>'15'!AB14</f>
        <v>0</v>
      </c>
      <c r="F25" s="276">
        <f>'15'!Z40</f>
        <v>0</v>
      </c>
      <c r="G25" s="276">
        <f>'15'!W8</f>
        <v>0</v>
      </c>
      <c r="H25" s="276">
        <f>'15'!W9</f>
        <v>0</v>
      </c>
      <c r="I25" s="276">
        <f>'15'!W10</f>
        <v>0</v>
      </c>
      <c r="J25" s="279">
        <f>'15'!T16</f>
        <v>0</v>
      </c>
      <c r="K25" s="279">
        <f>'15'!T17</f>
        <v>0</v>
      </c>
      <c r="L25" s="279">
        <f>'15'!T9</f>
        <v>0</v>
      </c>
      <c r="M25" s="279">
        <f>'15'!T10</f>
        <v>0</v>
      </c>
      <c r="N25" s="279">
        <f>'15'!T8</f>
        <v>0</v>
      </c>
      <c r="O25" s="277"/>
      <c r="P25" s="279">
        <f>'15'!AB19</f>
        <v>0</v>
      </c>
      <c r="Q25" s="277">
        <f>'15'!T13</f>
        <v>0</v>
      </c>
      <c r="R25" s="277">
        <f>'15'!T24</f>
        <v>0</v>
      </c>
      <c r="S25" s="277">
        <f>'15'!T19</f>
        <v>0</v>
      </c>
      <c r="T25" s="277">
        <f>'15'!T26</f>
        <v>3007.87</v>
      </c>
      <c r="U25" s="277">
        <f>'15'!T27</f>
        <v>0</v>
      </c>
      <c r="V25" s="277">
        <f>'15'!T7</f>
        <v>0</v>
      </c>
      <c r="W25" s="281">
        <f t="shared" ref="W25:W31" si="16">SUM(B25:V25)</f>
        <v>4381.87</v>
      </c>
      <c r="X25" s="282">
        <f>'15'!T12</f>
        <v>0</v>
      </c>
      <c r="Y25" s="277">
        <f>'15'!T14</f>
        <v>0</v>
      </c>
      <c r="Z25" s="277">
        <f>'15'!T20</f>
        <v>0</v>
      </c>
      <c r="AA25" s="282">
        <f>'15'!T21</f>
        <v>0</v>
      </c>
      <c r="AB25" s="277">
        <f>'15'!T22</f>
        <v>0</v>
      </c>
      <c r="AC25" s="277"/>
      <c r="AD25" s="277">
        <f>'15'!T23</f>
        <v>0</v>
      </c>
      <c r="AE25" s="282">
        <f>'15'!T11</f>
        <v>0</v>
      </c>
      <c r="AF25" s="282">
        <f>'15'!T18</f>
        <v>0</v>
      </c>
      <c r="AG25" s="277">
        <f>'15'!T28</f>
        <v>0</v>
      </c>
      <c r="AH25" s="277"/>
      <c r="AI25" s="277"/>
      <c r="AJ25" s="277"/>
      <c r="AK25" s="277"/>
      <c r="AL25" s="277"/>
      <c r="AM25" s="277"/>
      <c r="AN25" s="284"/>
      <c r="AO25" s="284"/>
      <c r="AP25" s="276"/>
      <c r="AQ25" s="285">
        <f t="shared" ref="AQ25:AQ31" si="17">SUM(X25:AP25)</f>
        <v>0</v>
      </c>
      <c r="AS25" s="131">
        <f t="shared" ref="AS25:AS31" si="18">W25+AQ25</f>
        <v>4381.87</v>
      </c>
      <c r="AU25" s="277">
        <f>'15'!W11</f>
        <v>0</v>
      </c>
    </row>
    <row r="26" spans="1:47" ht="15.75" customHeight="1">
      <c r="A26" s="275">
        <v>16</v>
      </c>
      <c r="B26" s="276">
        <f>'16'!T25</f>
        <v>4060</v>
      </c>
      <c r="C26" s="277">
        <f>'16'!AB11</f>
        <v>0</v>
      </c>
      <c r="D26" s="276">
        <f>'16'!Z37</f>
        <v>0</v>
      </c>
      <c r="E26" s="276">
        <f>'16'!AB14</f>
        <v>0</v>
      </c>
      <c r="F26" s="276">
        <f>'16'!Z40</f>
        <v>0</v>
      </c>
      <c r="G26" s="276">
        <f>'16'!W8</f>
        <v>0</v>
      </c>
      <c r="H26" s="276">
        <f>'16'!W9</f>
        <v>0</v>
      </c>
      <c r="I26" s="276">
        <f>'16'!W10</f>
        <v>0</v>
      </c>
      <c r="J26" s="279">
        <f>'16'!T16</f>
        <v>0</v>
      </c>
      <c r="K26" s="279">
        <f>'16'!T17</f>
        <v>0</v>
      </c>
      <c r="L26" s="279">
        <f>'16'!T9</f>
        <v>0</v>
      </c>
      <c r="M26" s="279">
        <f>'16'!T10</f>
        <v>0</v>
      </c>
      <c r="N26" s="279">
        <f>'16'!T8</f>
        <v>0</v>
      </c>
      <c r="O26" s="277"/>
      <c r="P26" s="279">
        <f>'16'!AB19</f>
        <v>0</v>
      </c>
      <c r="Q26" s="277">
        <f>'16'!T13</f>
        <v>0</v>
      </c>
      <c r="R26" s="277">
        <f>'16'!T24</f>
        <v>0</v>
      </c>
      <c r="S26" s="277">
        <f>'16'!T19</f>
        <v>0</v>
      </c>
      <c r="T26" s="277">
        <f>'16'!T26</f>
        <v>0</v>
      </c>
      <c r="U26" s="277">
        <f>'16'!T27</f>
        <v>0</v>
      </c>
      <c r="V26" s="277">
        <f>'16'!T7</f>
        <v>0</v>
      </c>
      <c r="W26" s="281">
        <f t="shared" si="16"/>
        <v>4060</v>
      </c>
      <c r="X26" s="282">
        <f>'16'!T12</f>
        <v>0</v>
      </c>
      <c r="Y26" s="277">
        <f>'16'!T14</f>
        <v>0</v>
      </c>
      <c r="Z26" s="277">
        <f>'16'!T20</f>
        <v>0</v>
      </c>
      <c r="AA26" s="282">
        <f>'16'!T21</f>
        <v>0</v>
      </c>
      <c r="AB26" s="277">
        <f>'16'!T22</f>
        <v>0</v>
      </c>
      <c r="AC26" s="277"/>
      <c r="AD26" s="277">
        <f>'16'!T23</f>
        <v>0</v>
      </c>
      <c r="AE26" s="282">
        <f>'16'!T11</f>
        <v>0</v>
      </c>
      <c r="AF26" s="282">
        <f>'16'!T18</f>
        <v>0</v>
      </c>
      <c r="AG26" s="277">
        <f>'16'!T28</f>
        <v>0</v>
      </c>
      <c r="AH26" s="277"/>
      <c r="AI26" s="277"/>
      <c r="AJ26" s="277"/>
      <c r="AK26" s="277"/>
      <c r="AL26" s="277"/>
      <c r="AM26" s="277"/>
      <c r="AN26" s="284"/>
      <c r="AO26" s="284"/>
      <c r="AP26" s="276"/>
      <c r="AQ26" s="285">
        <f t="shared" si="17"/>
        <v>0</v>
      </c>
      <c r="AS26" s="131">
        <f t="shared" si="18"/>
        <v>4060</v>
      </c>
      <c r="AU26" s="277">
        <f>'16'!W11</f>
        <v>0</v>
      </c>
    </row>
    <row r="27" spans="1:47" ht="15.75" customHeight="1">
      <c r="A27" s="275">
        <v>17</v>
      </c>
      <c r="B27" s="276">
        <f>'17'!T25</f>
        <v>168</v>
      </c>
      <c r="C27" s="277">
        <f>'17'!AB11</f>
        <v>0</v>
      </c>
      <c r="D27" s="276">
        <f>'17'!Z37</f>
        <v>0</v>
      </c>
      <c r="E27" s="276">
        <f>'17'!AB14</f>
        <v>0</v>
      </c>
      <c r="F27" s="276">
        <f>'17'!Z40</f>
        <v>0</v>
      </c>
      <c r="G27" s="276">
        <f>'17'!W8</f>
        <v>0</v>
      </c>
      <c r="H27" s="276">
        <f>'17'!W9</f>
        <v>0</v>
      </c>
      <c r="I27" s="276">
        <f>'17'!W10</f>
        <v>0</v>
      </c>
      <c r="J27" s="279">
        <f>'17'!T16</f>
        <v>0</v>
      </c>
      <c r="K27" s="279">
        <f>'17'!T17</f>
        <v>0</v>
      </c>
      <c r="L27" s="279">
        <f>'17'!T9</f>
        <v>0</v>
      </c>
      <c r="M27" s="279">
        <f>'17'!T10</f>
        <v>0</v>
      </c>
      <c r="N27" s="279">
        <f>'17'!T8</f>
        <v>0</v>
      </c>
      <c r="O27" s="277"/>
      <c r="P27" s="279">
        <f>'17'!AB19</f>
        <v>0</v>
      </c>
      <c r="Q27" s="277">
        <f>'17'!T13</f>
        <v>0</v>
      </c>
      <c r="R27" s="277">
        <f>'17'!T24</f>
        <v>0</v>
      </c>
      <c r="S27" s="277">
        <f>'17'!T19</f>
        <v>0</v>
      </c>
      <c r="T27" s="277">
        <f>'17'!T26</f>
        <v>0</v>
      </c>
      <c r="U27" s="277">
        <f>'17'!T27</f>
        <v>0</v>
      </c>
      <c r="V27" s="277">
        <f>'17'!T7</f>
        <v>4032.69</v>
      </c>
      <c r="W27" s="281">
        <f t="shared" si="16"/>
        <v>4200.6900000000005</v>
      </c>
      <c r="X27" s="282">
        <f>'17'!T12</f>
        <v>0</v>
      </c>
      <c r="Y27" s="277">
        <f>'17'!T14</f>
        <v>0</v>
      </c>
      <c r="Z27" s="277">
        <f>'17'!T20</f>
        <v>0</v>
      </c>
      <c r="AA27" s="282">
        <f>'17'!T21</f>
        <v>0</v>
      </c>
      <c r="AB27" s="277">
        <f>'17'!T22</f>
        <v>0</v>
      </c>
      <c r="AC27" s="277"/>
      <c r="AD27" s="277">
        <f>'17'!T23</f>
        <v>0</v>
      </c>
      <c r="AE27" s="282">
        <f>'17'!T11</f>
        <v>0</v>
      </c>
      <c r="AF27" s="282">
        <f>'17'!T18</f>
        <v>0</v>
      </c>
      <c r="AG27" s="277">
        <f>'17'!T28</f>
        <v>0</v>
      </c>
      <c r="AH27" s="277"/>
      <c r="AI27" s="277"/>
      <c r="AJ27" s="277"/>
      <c r="AK27" s="277"/>
      <c r="AL27" s="277"/>
      <c r="AM27" s="277"/>
      <c r="AN27" s="284"/>
      <c r="AO27" s="286"/>
      <c r="AP27" s="276"/>
      <c r="AQ27" s="285">
        <f t="shared" si="17"/>
        <v>0</v>
      </c>
      <c r="AS27" s="131">
        <f t="shared" si="18"/>
        <v>4200.6900000000005</v>
      </c>
      <c r="AU27" s="277">
        <f>'17'!W11</f>
        <v>0</v>
      </c>
    </row>
    <row r="28" spans="1:47" ht="15.75" customHeight="1">
      <c r="A28" s="275">
        <v>18</v>
      </c>
      <c r="B28" s="276">
        <f>'18'!T25</f>
        <v>0</v>
      </c>
      <c r="C28" s="277">
        <f>'18'!AB11</f>
        <v>1591</v>
      </c>
      <c r="D28" s="276">
        <f>'18'!Z37</f>
        <v>0</v>
      </c>
      <c r="E28" s="276">
        <f>'18'!AB14</f>
        <v>540</v>
      </c>
      <c r="F28" s="276">
        <f>'18'!Z40</f>
        <v>12762.5</v>
      </c>
      <c r="G28" s="276">
        <f>'18'!W8</f>
        <v>0</v>
      </c>
      <c r="H28" s="276">
        <f>'18'!W9</f>
        <v>0</v>
      </c>
      <c r="I28" s="276">
        <f>'18'!W10</f>
        <v>350</v>
      </c>
      <c r="J28" s="279">
        <f>'18'!T16</f>
        <v>0</v>
      </c>
      <c r="K28" s="279">
        <f>'18'!T17</f>
        <v>0</v>
      </c>
      <c r="L28" s="279">
        <f>'18'!T9</f>
        <v>0</v>
      </c>
      <c r="M28" s="279">
        <f>'18'!T10</f>
        <v>0</v>
      </c>
      <c r="N28" s="279">
        <f>'18'!T8</f>
        <v>0</v>
      </c>
      <c r="O28" s="277"/>
      <c r="P28" s="279">
        <f>'18'!AB19</f>
        <v>0</v>
      </c>
      <c r="Q28" s="277">
        <f>'18'!T13</f>
        <v>0</v>
      </c>
      <c r="R28" s="277">
        <f>'18'!T24</f>
        <v>0</v>
      </c>
      <c r="S28" s="277">
        <f>'18'!T19</f>
        <v>0</v>
      </c>
      <c r="T28" s="277">
        <f>'18'!T26</f>
        <v>0</v>
      </c>
      <c r="U28" s="277">
        <f>'18'!T27</f>
        <v>0</v>
      </c>
      <c r="V28" s="277">
        <f>'18'!T7</f>
        <v>0</v>
      </c>
      <c r="W28" s="281">
        <f t="shared" si="16"/>
        <v>15243.5</v>
      </c>
      <c r="X28" s="282">
        <f>'18'!T12</f>
        <v>0</v>
      </c>
      <c r="Y28" s="277">
        <f>'18'!T14</f>
        <v>0</v>
      </c>
      <c r="Z28" s="277">
        <f>'18'!T20</f>
        <v>11.07</v>
      </c>
      <c r="AA28" s="282">
        <f>'18'!T21</f>
        <v>0</v>
      </c>
      <c r="AB28" s="277">
        <f>'18'!T22</f>
        <v>0</v>
      </c>
      <c r="AC28" s="277"/>
      <c r="AD28" s="277">
        <f>'18'!T23</f>
        <v>0</v>
      </c>
      <c r="AE28" s="282">
        <f>'18'!T11</f>
        <v>0</v>
      </c>
      <c r="AF28" s="282">
        <f>'18'!T18</f>
        <v>0</v>
      </c>
      <c r="AG28" s="277">
        <f>'18'!T28</f>
        <v>0</v>
      </c>
      <c r="AH28" s="277"/>
      <c r="AI28" s="277"/>
      <c r="AJ28" s="277"/>
      <c r="AK28" s="277"/>
      <c r="AL28" s="277"/>
      <c r="AM28" s="277"/>
      <c r="AN28" s="284"/>
      <c r="AO28" s="284"/>
      <c r="AP28" s="276"/>
      <c r="AQ28" s="285">
        <f t="shared" si="17"/>
        <v>11.07</v>
      </c>
      <c r="AS28" s="131">
        <f t="shared" si="18"/>
        <v>15254.57</v>
      </c>
      <c r="AU28" s="277">
        <f>'18'!W11</f>
        <v>237.5</v>
      </c>
    </row>
    <row r="29" spans="1:47" ht="15.75" customHeight="1">
      <c r="A29" s="275">
        <v>19</v>
      </c>
      <c r="B29" s="276">
        <f>'19'!T25</f>
        <v>0</v>
      </c>
      <c r="C29" s="277">
        <f>'19'!AB11</f>
        <v>0</v>
      </c>
      <c r="D29" s="276">
        <f>'19'!Z37</f>
        <v>0</v>
      </c>
      <c r="E29" s="276">
        <f>'19'!AB14</f>
        <v>0</v>
      </c>
      <c r="F29" s="276">
        <f>'19'!Z40</f>
        <v>0</v>
      </c>
      <c r="G29" s="276">
        <f>'19'!W8</f>
        <v>0</v>
      </c>
      <c r="H29" s="276">
        <f>'19'!W9</f>
        <v>0</v>
      </c>
      <c r="I29" s="276">
        <f>'19'!W10</f>
        <v>0</v>
      </c>
      <c r="J29" s="279">
        <f>'19'!T16</f>
        <v>76.95</v>
      </c>
      <c r="K29" s="279">
        <f>'19'!T17</f>
        <v>0</v>
      </c>
      <c r="L29" s="279">
        <f>'19'!T9</f>
        <v>0</v>
      </c>
      <c r="M29" s="279">
        <f>'19'!T10</f>
        <v>0</v>
      </c>
      <c r="N29" s="279">
        <f>'19'!T8</f>
        <v>0</v>
      </c>
      <c r="O29" s="277"/>
      <c r="P29" s="279">
        <f>'19'!AB19</f>
        <v>0</v>
      </c>
      <c r="Q29" s="277">
        <f>'19'!T13</f>
        <v>0</v>
      </c>
      <c r="R29" s="277">
        <f>'19'!T24</f>
        <v>0</v>
      </c>
      <c r="S29" s="277">
        <f>'19'!T19</f>
        <v>0</v>
      </c>
      <c r="T29" s="277">
        <f>'19'!T26</f>
        <v>0</v>
      </c>
      <c r="U29" s="277">
        <f>'19'!T27</f>
        <v>0</v>
      </c>
      <c r="V29" s="277">
        <f>'19'!T7</f>
        <v>0</v>
      </c>
      <c r="W29" s="281">
        <f t="shared" si="16"/>
        <v>76.95</v>
      </c>
      <c r="X29" s="282">
        <f>'19'!T12</f>
        <v>0</v>
      </c>
      <c r="Y29" s="277">
        <f>'19'!T14</f>
        <v>0</v>
      </c>
      <c r="Z29" s="277">
        <f>'19'!T20</f>
        <v>8.92</v>
      </c>
      <c r="AA29" s="282">
        <f>'19'!T21</f>
        <v>0</v>
      </c>
      <c r="AB29" s="277">
        <f>'19'!T22</f>
        <v>0</v>
      </c>
      <c r="AC29" s="277"/>
      <c r="AD29" s="277">
        <f>'19'!T23</f>
        <v>0</v>
      </c>
      <c r="AE29" s="282">
        <f>'19'!T11</f>
        <v>0</v>
      </c>
      <c r="AF29" s="282">
        <f>'19'!T18</f>
        <v>0</v>
      </c>
      <c r="AG29" s="277">
        <f>'19'!T28</f>
        <v>0</v>
      </c>
      <c r="AH29" s="277"/>
      <c r="AI29" s="277"/>
      <c r="AJ29" s="277"/>
      <c r="AK29" s="277"/>
      <c r="AL29" s="277"/>
      <c r="AM29" s="277"/>
      <c r="AN29" s="284"/>
      <c r="AO29" s="284"/>
      <c r="AP29" s="276"/>
      <c r="AQ29" s="285">
        <f t="shared" si="17"/>
        <v>8.92</v>
      </c>
      <c r="AS29" s="131">
        <f t="shared" si="18"/>
        <v>85.87</v>
      </c>
      <c r="AU29" s="277">
        <f>'19'!W11</f>
        <v>0</v>
      </c>
    </row>
    <row r="30" spans="1:47" ht="15.75" customHeight="1">
      <c r="A30" s="275">
        <v>20</v>
      </c>
      <c r="B30" s="276">
        <f>'20'!T25</f>
        <v>0</v>
      </c>
      <c r="C30" s="277">
        <f>'20'!AB11</f>
        <v>0</v>
      </c>
      <c r="D30" s="276">
        <f>'20'!Z37</f>
        <v>1374</v>
      </c>
      <c r="E30" s="276">
        <f>'20'!AB14</f>
        <v>0</v>
      </c>
      <c r="F30" s="276">
        <f>'20'!Z40</f>
        <v>0</v>
      </c>
      <c r="G30" s="276">
        <f>'20'!W8</f>
        <v>0</v>
      </c>
      <c r="H30" s="276">
        <f>'20'!W9</f>
        <v>0</v>
      </c>
      <c r="I30" s="276">
        <f>'20'!W10</f>
        <v>0</v>
      </c>
      <c r="J30" s="279">
        <f>'20'!T16</f>
        <v>76.95</v>
      </c>
      <c r="K30" s="279">
        <f>'20'!T17</f>
        <v>0</v>
      </c>
      <c r="L30" s="279">
        <f>'20'!T9</f>
        <v>0</v>
      </c>
      <c r="M30" s="279">
        <f>'20'!T10</f>
        <v>0</v>
      </c>
      <c r="N30" s="279">
        <f>'20'!T8</f>
        <v>0</v>
      </c>
      <c r="O30" s="277"/>
      <c r="P30" s="279">
        <f>'20'!AB19</f>
        <v>0</v>
      </c>
      <c r="Q30" s="277">
        <f>'20'!T13</f>
        <v>0</v>
      </c>
      <c r="R30" s="277">
        <f>'20'!T24</f>
        <v>0</v>
      </c>
      <c r="S30" s="277">
        <f>'20'!T19</f>
        <v>0</v>
      </c>
      <c r="T30" s="277">
        <f>'20'!T26</f>
        <v>0</v>
      </c>
      <c r="U30" s="277">
        <f>'20'!T27</f>
        <v>0</v>
      </c>
      <c r="V30" s="277">
        <f>'20'!T7</f>
        <v>0</v>
      </c>
      <c r="W30" s="281">
        <f t="shared" si="16"/>
        <v>1450.95</v>
      </c>
      <c r="X30" s="282">
        <f>'20'!T12</f>
        <v>479</v>
      </c>
      <c r="Y30" s="277">
        <f>'20'!T14</f>
        <v>0</v>
      </c>
      <c r="Z30" s="277">
        <f>'20'!T20</f>
        <v>0</v>
      </c>
      <c r="AA30" s="282">
        <f>'20'!T21</f>
        <v>0</v>
      </c>
      <c r="AB30" s="277">
        <f>'20'!T22</f>
        <v>0</v>
      </c>
      <c r="AC30" s="277"/>
      <c r="AD30" s="277">
        <f>'20'!T23</f>
        <v>0</v>
      </c>
      <c r="AE30" s="282">
        <f>'20'!T11</f>
        <v>0</v>
      </c>
      <c r="AF30" s="282">
        <f>'20'!T18</f>
        <v>0</v>
      </c>
      <c r="AG30" s="277">
        <f>'20'!T28</f>
        <v>0</v>
      </c>
      <c r="AH30" s="277"/>
      <c r="AI30" s="277"/>
      <c r="AJ30" s="277"/>
      <c r="AK30" s="277"/>
      <c r="AL30" s="277"/>
      <c r="AM30" s="277"/>
      <c r="AN30" s="284"/>
      <c r="AO30" s="284"/>
      <c r="AP30" s="276"/>
      <c r="AQ30" s="285">
        <f t="shared" si="17"/>
        <v>479</v>
      </c>
      <c r="AS30" s="131">
        <f t="shared" si="18"/>
        <v>1929.95</v>
      </c>
      <c r="AU30" s="277">
        <f>'20'!W11</f>
        <v>0</v>
      </c>
    </row>
    <row r="31" spans="1:47" ht="15.75" customHeight="1">
      <c r="A31" s="275">
        <v>21</v>
      </c>
      <c r="B31" s="276">
        <f>'21'!T25</f>
        <v>0</v>
      </c>
      <c r="C31" s="277">
        <f>'21'!AB11</f>
        <v>0</v>
      </c>
      <c r="D31" s="276">
        <f>'21'!Z37</f>
        <v>0</v>
      </c>
      <c r="E31" s="276">
        <f>'21'!AB14</f>
        <v>0</v>
      </c>
      <c r="F31" s="276">
        <f>'21'!Z40</f>
        <v>0</v>
      </c>
      <c r="G31" s="276">
        <f>'21'!W8</f>
        <v>0</v>
      </c>
      <c r="H31" s="276">
        <f>'21'!W9</f>
        <v>0</v>
      </c>
      <c r="I31" s="276">
        <f>'21'!W10</f>
        <v>0</v>
      </c>
      <c r="J31" s="279">
        <f>'21'!T16</f>
        <v>564.82000000000005</v>
      </c>
      <c r="K31" s="279">
        <f>'21'!T17</f>
        <v>0</v>
      </c>
      <c r="L31" s="279">
        <f>'21'!T9</f>
        <v>0</v>
      </c>
      <c r="M31" s="279">
        <f>'21'!T10</f>
        <v>0</v>
      </c>
      <c r="N31" s="279">
        <f>'21'!T8</f>
        <v>0</v>
      </c>
      <c r="O31" s="277"/>
      <c r="P31" s="279">
        <f>'21'!AB19</f>
        <v>0</v>
      </c>
      <c r="Q31" s="277">
        <f>'21'!T13</f>
        <v>0</v>
      </c>
      <c r="R31" s="277">
        <f>'21'!T24</f>
        <v>0</v>
      </c>
      <c r="S31" s="277">
        <f>'21'!T19</f>
        <v>0</v>
      </c>
      <c r="T31" s="277">
        <f>'21'!U19</f>
        <v>0</v>
      </c>
      <c r="U31" s="277">
        <f>'21'!T27</f>
        <v>0</v>
      </c>
      <c r="V31" s="277">
        <f>'21'!T7</f>
        <v>0</v>
      </c>
      <c r="W31" s="281">
        <f t="shared" si="16"/>
        <v>564.82000000000005</v>
      </c>
      <c r="X31" s="282">
        <f>'21'!T12</f>
        <v>0</v>
      </c>
      <c r="Y31" s="277">
        <f>'21'!T14</f>
        <v>0</v>
      </c>
      <c r="Z31" s="277">
        <f>'21'!T20</f>
        <v>0</v>
      </c>
      <c r="AA31" s="282">
        <f>'21'!T21</f>
        <v>0</v>
      </c>
      <c r="AB31" s="277">
        <f>'21'!T22</f>
        <v>0</v>
      </c>
      <c r="AC31" s="277"/>
      <c r="AD31" s="277">
        <f>'21'!T23</f>
        <v>0</v>
      </c>
      <c r="AE31" s="282">
        <f>'21'!T11</f>
        <v>0</v>
      </c>
      <c r="AF31" s="282">
        <f>'21'!T18</f>
        <v>0</v>
      </c>
      <c r="AG31" s="277">
        <f>'21'!T28</f>
        <v>0</v>
      </c>
      <c r="AH31" s="277"/>
      <c r="AI31" s="277"/>
      <c r="AJ31" s="277"/>
      <c r="AK31" s="277"/>
      <c r="AL31" s="277"/>
      <c r="AM31" s="277"/>
      <c r="AN31" s="284"/>
      <c r="AO31" s="284"/>
      <c r="AP31" s="276"/>
      <c r="AQ31" s="285">
        <f t="shared" si="17"/>
        <v>0</v>
      </c>
      <c r="AS31" s="131">
        <f t="shared" si="18"/>
        <v>564.82000000000005</v>
      </c>
      <c r="AU31" s="277">
        <f>'21'!W11</f>
        <v>0</v>
      </c>
    </row>
    <row r="32" spans="1:47" ht="15.75" customHeight="1">
      <c r="A32" s="291" t="s">
        <v>23</v>
      </c>
      <c r="B32" s="292">
        <f t="shared" ref="B32:AI32" si="19">SUM(B25:B31)</f>
        <v>4228</v>
      </c>
      <c r="C32" s="292">
        <f t="shared" si="19"/>
        <v>1591</v>
      </c>
      <c r="D32" s="292">
        <f t="shared" si="19"/>
        <v>2748</v>
      </c>
      <c r="E32" s="292">
        <f t="shared" si="19"/>
        <v>540</v>
      </c>
      <c r="F32" s="292">
        <f t="shared" si="19"/>
        <v>12762.5</v>
      </c>
      <c r="G32" s="292">
        <f t="shared" si="19"/>
        <v>0</v>
      </c>
      <c r="H32" s="292">
        <f t="shared" si="19"/>
        <v>0</v>
      </c>
      <c r="I32" s="292">
        <f t="shared" si="19"/>
        <v>350</v>
      </c>
      <c r="J32" s="293">
        <f t="shared" si="19"/>
        <v>718.72</v>
      </c>
      <c r="K32" s="293">
        <f t="shared" si="19"/>
        <v>0</v>
      </c>
      <c r="L32" s="292">
        <f t="shared" si="19"/>
        <v>0</v>
      </c>
      <c r="M32" s="292">
        <f t="shared" si="19"/>
        <v>0</v>
      </c>
      <c r="N32" s="292">
        <f t="shared" si="19"/>
        <v>0</v>
      </c>
      <c r="O32" s="292">
        <f t="shared" si="19"/>
        <v>0</v>
      </c>
      <c r="P32" s="292">
        <f t="shared" si="19"/>
        <v>0</v>
      </c>
      <c r="Q32" s="292">
        <f t="shared" si="19"/>
        <v>0</v>
      </c>
      <c r="R32" s="292">
        <f t="shared" si="19"/>
        <v>0</v>
      </c>
      <c r="S32" s="292">
        <f t="shared" si="19"/>
        <v>0</v>
      </c>
      <c r="T32" s="292">
        <f t="shared" si="19"/>
        <v>3007.87</v>
      </c>
      <c r="U32" s="292">
        <f t="shared" si="19"/>
        <v>0</v>
      </c>
      <c r="V32" s="292">
        <f t="shared" si="19"/>
        <v>4032.69</v>
      </c>
      <c r="W32" s="295">
        <f t="shared" si="19"/>
        <v>29978.78</v>
      </c>
      <c r="X32" s="293">
        <f t="shared" si="19"/>
        <v>479</v>
      </c>
      <c r="Y32" s="292">
        <f t="shared" si="19"/>
        <v>0</v>
      </c>
      <c r="Z32" s="292">
        <f t="shared" si="19"/>
        <v>19.990000000000002</v>
      </c>
      <c r="AA32" s="326">
        <f t="shared" si="19"/>
        <v>0</v>
      </c>
      <c r="AB32" s="292">
        <f t="shared" si="19"/>
        <v>0</v>
      </c>
      <c r="AC32" s="292">
        <f t="shared" si="19"/>
        <v>0</v>
      </c>
      <c r="AD32" s="292">
        <f t="shared" si="19"/>
        <v>0</v>
      </c>
      <c r="AE32" s="293">
        <f t="shared" si="19"/>
        <v>0</v>
      </c>
      <c r="AF32" s="296">
        <f t="shared" si="19"/>
        <v>0</v>
      </c>
      <c r="AG32" s="292">
        <f t="shared" si="19"/>
        <v>0</v>
      </c>
      <c r="AH32" s="297">
        <f t="shared" si="19"/>
        <v>0</v>
      </c>
      <c r="AI32" s="297">
        <f t="shared" si="19"/>
        <v>0</v>
      </c>
      <c r="AJ32" s="297"/>
      <c r="AK32" s="292">
        <f t="shared" ref="AK32:AQ32" si="20">SUM(AK25:AK31)</f>
        <v>0</v>
      </c>
      <c r="AL32" s="292">
        <f t="shared" si="20"/>
        <v>0</v>
      </c>
      <c r="AM32" s="292">
        <f t="shared" si="20"/>
        <v>0</v>
      </c>
      <c r="AN32" s="292">
        <f t="shared" si="20"/>
        <v>0</v>
      </c>
      <c r="AO32" s="292">
        <f t="shared" si="20"/>
        <v>0</v>
      </c>
      <c r="AP32" s="292">
        <f t="shared" si="20"/>
        <v>0</v>
      </c>
      <c r="AQ32" s="298">
        <f t="shared" si="20"/>
        <v>498.99</v>
      </c>
      <c r="AS32" s="299">
        <f>SUM(AS25:AS31)</f>
        <v>30477.769999999997</v>
      </c>
      <c r="AT32" s="39"/>
      <c r="AU32" s="39"/>
    </row>
    <row r="33" spans="1:47" ht="15.75" customHeight="1">
      <c r="J33" s="300"/>
      <c r="K33" s="300"/>
      <c r="W33" s="308"/>
      <c r="X33" s="300"/>
      <c r="AA33" s="300"/>
      <c r="AE33" s="300"/>
      <c r="AF33" s="300"/>
      <c r="AT33" s="301"/>
      <c r="AU33" s="301"/>
    </row>
    <row r="34" spans="1:47" ht="48" customHeight="1">
      <c r="A34" s="259" t="s">
        <v>7</v>
      </c>
      <c r="B34" s="260" t="s">
        <v>158</v>
      </c>
      <c r="C34" s="264" t="s">
        <v>125</v>
      </c>
      <c r="D34" s="259" t="s">
        <v>126</v>
      </c>
      <c r="E34" s="264" t="str">
        <f>E24</f>
        <v>GRAVY</v>
      </c>
      <c r="F34" s="264" t="s">
        <v>128</v>
      </c>
      <c r="G34" s="264" t="str">
        <f t="shared" ref="G34:K34" si="21">G24</f>
        <v>HOLIDAY</v>
      </c>
      <c r="H34" s="264" t="str">
        <f t="shared" si="21"/>
        <v>OVERTIME</v>
      </c>
      <c r="I34" s="264" t="str">
        <f t="shared" si="21"/>
        <v>TL ALLOWANCE</v>
      </c>
      <c r="J34" s="259" t="str">
        <f t="shared" si="21"/>
        <v>Admin / Office Supplies</v>
      </c>
      <c r="K34" s="260" t="str">
        <f t="shared" si="21"/>
        <v>13th month</v>
      </c>
      <c r="L34" s="261" t="s">
        <v>164</v>
      </c>
      <c r="M34" s="264" t="s">
        <v>134</v>
      </c>
      <c r="N34" s="259" t="s">
        <v>135</v>
      </c>
      <c r="O34" s="260" t="s">
        <v>136</v>
      </c>
      <c r="P34" s="264" t="str">
        <f>P24</f>
        <v>SIOMAI SAUCE</v>
      </c>
      <c r="Q34" s="327" t="str">
        <f t="shared" ref="Q34:R34" si="22">Q4</f>
        <v>TRANSPO.</v>
      </c>
      <c r="R34" s="264" t="str">
        <f t="shared" si="22"/>
        <v>CHARGE DEPOSIT</v>
      </c>
      <c r="S34" s="259" t="s">
        <v>140</v>
      </c>
      <c r="T34" s="259" t="s">
        <v>141</v>
      </c>
      <c r="U34" s="259" t="s">
        <v>165</v>
      </c>
      <c r="V34" s="259" t="str">
        <f t="shared" ref="V34:W34" si="23">V4</f>
        <v>BIR/TAXES</v>
      </c>
      <c r="W34" s="271" t="str">
        <f t="shared" si="23"/>
        <v>TOTAL</v>
      </c>
      <c r="X34" s="259" t="str">
        <f t="shared" ref="X34:AA34" si="24">X24</f>
        <v>supot/roll bag/T-bag</v>
      </c>
      <c r="Y34" s="260" t="str">
        <f t="shared" si="24"/>
        <v>COMMUNICATION</v>
      </c>
      <c r="Z34" s="260" t="str">
        <f t="shared" si="24"/>
        <v>SENIOR DISC.</v>
      </c>
      <c r="AA34" s="260" t="str">
        <f t="shared" si="24"/>
        <v>Detergent</v>
      </c>
      <c r="AB34" s="264" t="str">
        <f>AB4</f>
        <v>SERVICE WATER</v>
      </c>
      <c r="AC34" s="259" t="str">
        <f>AC24</f>
        <v>(EMPTY)</v>
      </c>
      <c r="AD34" s="259" t="s">
        <v>148</v>
      </c>
      <c r="AE34" s="260" t="str">
        <f t="shared" ref="AE34:AM34" si="25">AE24</f>
        <v>(Patis / suka)</v>
      </c>
      <c r="AF34" s="268" t="str">
        <f t="shared" si="25"/>
        <v>Maintenance &amp; Labor</v>
      </c>
      <c r="AG34" s="260" t="str">
        <f t="shared" si="25"/>
        <v>OTHERS</v>
      </c>
      <c r="AH34" s="269" t="str">
        <f t="shared" si="25"/>
        <v>ADMIN COST</v>
      </c>
      <c r="AI34" s="270" t="str">
        <f t="shared" si="25"/>
        <v>TRANSPO (SUPERVISORS REPLENISHMENT)</v>
      </c>
      <c r="AJ34" s="270" t="str">
        <f t="shared" si="25"/>
        <v>B.O.</v>
      </c>
      <c r="AK34" s="260">
        <f t="shared" si="25"/>
        <v>0</v>
      </c>
      <c r="AL34" s="260">
        <f t="shared" si="25"/>
        <v>0</v>
      </c>
      <c r="AM34" s="260">
        <f t="shared" si="25"/>
        <v>0</v>
      </c>
      <c r="AN34" s="260"/>
      <c r="AO34" s="260"/>
      <c r="AP34" s="260"/>
      <c r="AQ34" s="328" t="s">
        <v>23</v>
      </c>
      <c r="AR34" s="309"/>
      <c r="AS34" s="272" t="s">
        <v>156</v>
      </c>
      <c r="AT34" s="310"/>
      <c r="AU34" s="310"/>
    </row>
    <row r="35" spans="1:47" ht="15.75" customHeight="1">
      <c r="A35" s="275">
        <v>22</v>
      </c>
      <c r="B35" s="276">
        <f>'22'!T25</f>
        <v>0</v>
      </c>
      <c r="C35" s="277">
        <f>'22'!AB11</f>
        <v>0</v>
      </c>
      <c r="D35" s="276">
        <f>'22'!Z37</f>
        <v>1374</v>
      </c>
      <c r="E35" s="276">
        <f>'22'!AB14</f>
        <v>270</v>
      </c>
      <c r="F35" s="276">
        <f>'22'!Z40</f>
        <v>0</v>
      </c>
      <c r="G35" s="276">
        <f>'22'!W8</f>
        <v>0</v>
      </c>
      <c r="H35" s="276">
        <f>'22'!W9</f>
        <v>0</v>
      </c>
      <c r="I35" s="276">
        <f>'22'!W10</f>
        <v>0</v>
      </c>
      <c r="J35" s="279">
        <f>'22'!T16</f>
        <v>144</v>
      </c>
      <c r="K35" s="279">
        <f>'22'!T17</f>
        <v>0</v>
      </c>
      <c r="L35" s="279">
        <f>'22'!T9</f>
        <v>0</v>
      </c>
      <c r="M35" s="279">
        <f>'22'!T10</f>
        <v>0</v>
      </c>
      <c r="N35" s="279">
        <f>'22'!T8</f>
        <v>0</v>
      </c>
      <c r="O35" s="277"/>
      <c r="P35" s="279">
        <f>'22'!AB19</f>
        <v>0</v>
      </c>
      <c r="Q35" s="277">
        <f>'22'!T13</f>
        <v>0</v>
      </c>
      <c r="R35" s="277">
        <f>'22'!T24</f>
        <v>0</v>
      </c>
      <c r="S35" s="277">
        <f>'22'!T19</f>
        <v>0</v>
      </c>
      <c r="T35" s="277">
        <f>'22'!T26</f>
        <v>0</v>
      </c>
      <c r="U35" s="277">
        <f>'22'!T27</f>
        <v>0</v>
      </c>
      <c r="V35" s="277">
        <f>'22'!T7</f>
        <v>0</v>
      </c>
      <c r="W35" s="281">
        <f t="shared" ref="W35:W44" si="26">SUM(B35:V35)</f>
        <v>1788</v>
      </c>
      <c r="X35" s="282">
        <f>'22'!T12</f>
        <v>0</v>
      </c>
      <c r="Y35" s="277">
        <f>'22'!T14</f>
        <v>0</v>
      </c>
      <c r="Z35" s="277">
        <f>'22'!T20</f>
        <v>0</v>
      </c>
      <c r="AA35" s="282">
        <f>'22'!T21</f>
        <v>0</v>
      </c>
      <c r="AB35" s="277">
        <f>'22'!T22</f>
        <v>0</v>
      </c>
      <c r="AC35" s="277"/>
      <c r="AD35" s="277">
        <f>'22'!T23</f>
        <v>0</v>
      </c>
      <c r="AE35" s="282">
        <f>'22'!T11</f>
        <v>0</v>
      </c>
      <c r="AF35" s="282">
        <f>'22'!T18</f>
        <v>1300</v>
      </c>
      <c r="AG35" s="277">
        <f>'22'!T28</f>
        <v>0</v>
      </c>
      <c r="AH35" s="277"/>
      <c r="AI35" s="277"/>
      <c r="AJ35" s="277"/>
      <c r="AK35" s="277"/>
      <c r="AL35" s="277"/>
      <c r="AM35" s="277"/>
      <c r="AN35" s="284"/>
      <c r="AO35" s="329"/>
      <c r="AP35" s="286"/>
      <c r="AQ35" s="285">
        <f t="shared" ref="AQ35:AQ44" si="27">SUM(X35:AP35)</f>
        <v>1300</v>
      </c>
      <c r="AS35" s="131">
        <f t="shared" ref="AS35:AS43" si="28">W35+AQ35</f>
        <v>3088</v>
      </c>
      <c r="AU35" s="277">
        <f>'22'!W11</f>
        <v>0</v>
      </c>
    </row>
    <row r="36" spans="1:47" ht="15.75" customHeight="1">
      <c r="A36" s="275">
        <v>23</v>
      </c>
      <c r="B36" s="276">
        <f>'23'!T25</f>
        <v>4228</v>
      </c>
      <c r="C36" s="277">
        <f>'23'!AB11</f>
        <v>0</v>
      </c>
      <c r="D36" s="276">
        <f>'23'!Z37</f>
        <v>0</v>
      </c>
      <c r="E36" s="276">
        <f>'23'!AB14</f>
        <v>0</v>
      </c>
      <c r="F36" s="276">
        <f>'23'!Z40</f>
        <v>0</v>
      </c>
      <c r="G36" s="276">
        <f>'23'!W8</f>
        <v>0</v>
      </c>
      <c r="H36" s="276">
        <f>'23'!W9</f>
        <v>0</v>
      </c>
      <c r="I36" s="276">
        <f>'23'!W10</f>
        <v>0</v>
      </c>
      <c r="J36" s="279">
        <f>'23'!T16</f>
        <v>0</v>
      </c>
      <c r="K36" s="279">
        <f>'23'!T17</f>
        <v>0</v>
      </c>
      <c r="L36" s="279">
        <f>'23'!T9</f>
        <v>0</v>
      </c>
      <c r="M36" s="279">
        <f>'23'!T10</f>
        <v>0</v>
      </c>
      <c r="N36" s="279">
        <f>'23'!T8</f>
        <v>0</v>
      </c>
      <c r="O36" s="277"/>
      <c r="P36" s="279">
        <f>'23'!AB19</f>
        <v>0</v>
      </c>
      <c r="Q36" s="277">
        <f>'23'!T13</f>
        <v>0</v>
      </c>
      <c r="R36" s="277">
        <f>'23'!T24</f>
        <v>0</v>
      </c>
      <c r="S36" s="277">
        <f>'23'!T19</f>
        <v>0</v>
      </c>
      <c r="T36" s="277">
        <f>'23'!T26</f>
        <v>0</v>
      </c>
      <c r="U36" s="277">
        <f>'23'!T27</f>
        <v>0</v>
      </c>
      <c r="V36" s="277">
        <f>'23'!T7</f>
        <v>0</v>
      </c>
      <c r="W36" s="281">
        <f t="shared" si="26"/>
        <v>4228</v>
      </c>
      <c r="X36" s="282">
        <f>'23'!T12</f>
        <v>0</v>
      </c>
      <c r="Y36" s="277">
        <f>'23'!T14</f>
        <v>0</v>
      </c>
      <c r="Z36" s="277">
        <f>'23'!T20</f>
        <v>11.07</v>
      </c>
      <c r="AA36" s="282">
        <f>'23'!T21</f>
        <v>0</v>
      </c>
      <c r="AB36" s="277">
        <f>'23'!T22</f>
        <v>0</v>
      </c>
      <c r="AC36" s="277"/>
      <c r="AD36" s="277">
        <f>'23'!T23</f>
        <v>0</v>
      </c>
      <c r="AE36" s="282">
        <f>'23'!T11</f>
        <v>0</v>
      </c>
      <c r="AF36" s="282">
        <f>'23'!T18</f>
        <v>3000</v>
      </c>
      <c r="AG36" s="277">
        <f>'23'!T28</f>
        <v>0</v>
      </c>
      <c r="AH36" s="277"/>
      <c r="AI36" s="277"/>
      <c r="AJ36" s="277"/>
      <c r="AK36" s="277"/>
      <c r="AL36" s="277"/>
      <c r="AM36" s="277"/>
      <c r="AN36" s="284"/>
      <c r="AO36" s="329"/>
      <c r="AP36" s="286"/>
      <c r="AQ36" s="285">
        <f t="shared" si="27"/>
        <v>3011.07</v>
      </c>
      <c r="AS36" s="131">
        <f t="shared" si="28"/>
        <v>7239.07</v>
      </c>
      <c r="AU36" s="277">
        <f>'23'!W11</f>
        <v>0</v>
      </c>
    </row>
    <row r="37" spans="1:47" ht="15.75" customHeight="1">
      <c r="A37" s="275">
        <v>24</v>
      </c>
      <c r="B37" s="276">
        <f>'24'!T25</f>
        <v>0</v>
      </c>
      <c r="C37" s="277">
        <f>'24'!AB11</f>
        <v>1591</v>
      </c>
      <c r="D37" s="276">
        <f>'24'!Z37</f>
        <v>0</v>
      </c>
      <c r="E37" s="276">
        <f>'24'!AB14</f>
        <v>0</v>
      </c>
      <c r="F37" s="276">
        <f>'24'!Z40</f>
        <v>0</v>
      </c>
      <c r="G37" s="276">
        <f>'24'!W8</f>
        <v>0</v>
      </c>
      <c r="H37" s="276">
        <f>'24'!W9</f>
        <v>0</v>
      </c>
      <c r="I37" s="276">
        <f>'24'!W10</f>
        <v>0</v>
      </c>
      <c r="J37" s="279">
        <f>'24'!T16</f>
        <v>0</v>
      </c>
      <c r="K37" s="279">
        <f>'24'!T17</f>
        <v>0</v>
      </c>
      <c r="L37" s="279">
        <f>'24'!T9</f>
        <v>0</v>
      </c>
      <c r="M37" s="279">
        <f>'24'!T10</f>
        <v>0</v>
      </c>
      <c r="N37" s="279">
        <f>'24'!T8</f>
        <v>0</v>
      </c>
      <c r="O37" s="277"/>
      <c r="P37" s="279">
        <f>'24'!AB19</f>
        <v>0</v>
      </c>
      <c r="Q37" s="277">
        <f>'24'!T13</f>
        <v>0</v>
      </c>
      <c r="R37" s="277">
        <f>'24'!T24</f>
        <v>0</v>
      </c>
      <c r="S37" s="277">
        <f>'24'!T19</f>
        <v>0</v>
      </c>
      <c r="T37" s="277">
        <f>'24'!T26</f>
        <v>0</v>
      </c>
      <c r="U37" s="277">
        <f>'24'!T27</f>
        <v>0</v>
      </c>
      <c r="V37" s="277">
        <f>'24'!T7</f>
        <v>0</v>
      </c>
      <c r="W37" s="281">
        <f t="shared" si="26"/>
        <v>1591</v>
      </c>
      <c r="X37" s="282">
        <f>'24'!T12</f>
        <v>611.75</v>
      </c>
      <c r="Y37" s="277">
        <f>'24'!T14</f>
        <v>0</v>
      </c>
      <c r="Z37" s="277">
        <f>'24'!T20</f>
        <v>0</v>
      </c>
      <c r="AA37" s="282">
        <f>'24'!T21</f>
        <v>0</v>
      </c>
      <c r="AB37" s="277">
        <f>'24'!T22</f>
        <v>0</v>
      </c>
      <c r="AC37" s="277"/>
      <c r="AD37" s="277">
        <f>'24'!T23</f>
        <v>0</v>
      </c>
      <c r="AE37" s="282">
        <f>'24'!T11</f>
        <v>0</v>
      </c>
      <c r="AF37" s="282">
        <f>'24'!T18</f>
        <v>2350</v>
      </c>
      <c r="AG37" s="277">
        <f>'24'!T28</f>
        <v>0</v>
      </c>
      <c r="AH37" s="277"/>
      <c r="AI37" s="277"/>
      <c r="AJ37" s="277"/>
      <c r="AK37" s="277"/>
      <c r="AL37" s="277"/>
      <c r="AM37" s="277"/>
      <c r="AN37" s="284"/>
      <c r="AO37" s="286"/>
      <c r="AP37" s="286"/>
      <c r="AQ37" s="285">
        <f t="shared" si="27"/>
        <v>2961.75</v>
      </c>
      <c r="AS37" s="131">
        <f t="shared" si="28"/>
        <v>4552.75</v>
      </c>
      <c r="AU37" s="277">
        <f>'24'!W11</f>
        <v>0</v>
      </c>
    </row>
    <row r="38" spans="1:47" ht="15.75" customHeight="1">
      <c r="A38" s="275">
        <v>25</v>
      </c>
      <c r="B38" s="276">
        <f>'25'!T25</f>
        <v>0</v>
      </c>
      <c r="C38" s="277">
        <f>'25'!AB11</f>
        <v>0</v>
      </c>
      <c r="D38" s="276">
        <f>'25'!Z37</f>
        <v>1374</v>
      </c>
      <c r="E38" s="276">
        <f>'25'!AB14</f>
        <v>540</v>
      </c>
      <c r="F38" s="276">
        <f>'25'!Z40</f>
        <v>10262.5</v>
      </c>
      <c r="G38" s="276">
        <f>'25'!W8</f>
        <v>0</v>
      </c>
      <c r="H38" s="276">
        <f>'25'!W9</f>
        <v>0</v>
      </c>
      <c r="I38" s="276">
        <f>'25'!W10</f>
        <v>350</v>
      </c>
      <c r="J38" s="279">
        <f>'25'!T16</f>
        <v>0</v>
      </c>
      <c r="K38" s="279">
        <f>'25'!T17</f>
        <v>0</v>
      </c>
      <c r="L38" s="279">
        <f>'25'!T9</f>
        <v>0</v>
      </c>
      <c r="M38" s="279">
        <f>'25'!T10</f>
        <v>0</v>
      </c>
      <c r="N38" s="279">
        <f>'25'!T8</f>
        <v>0</v>
      </c>
      <c r="O38" s="277"/>
      <c r="P38" s="279">
        <f>'25'!AB19</f>
        <v>0</v>
      </c>
      <c r="Q38" s="277">
        <f>'25'!T13</f>
        <v>0</v>
      </c>
      <c r="R38" s="277">
        <f>'25'!T24</f>
        <v>0</v>
      </c>
      <c r="S38" s="277">
        <f>'25'!T19</f>
        <v>0</v>
      </c>
      <c r="T38" s="277">
        <f>'25'!T26</f>
        <v>0</v>
      </c>
      <c r="U38" s="277">
        <f>'25'!T27</f>
        <v>0</v>
      </c>
      <c r="V38" s="277">
        <f>'25'!T7</f>
        <v>0</v>
      </c>
      <c r="W38" s="281">
        <f t="shared" si="26"/>
        <v>12526.5</v>
      </c>
      <c r="X38" s="282">
        <f>'25'!T12</f>
        <v>0</v>
      </c>
      <c r="Y38" s="277">
        <f>'25'!T14</f>
        <v>0</v>
      </c>
      <c r="Z38" s="277">
        <f>'25'!T20</f>
        <v>11.07</v>
      </c>
      <c r="AA38" s="282">
        <f>'25'!T21</f>
        <v>0</v>
      </c>
      <c r="AB38" s="277">
        <f>'25'!T22</f>
        <v>0</v>
      </c>
      <c r="AC38" s="277"/>
      <c r="AD38" s="277">
        <f>'25'!T23</f>
        <v>0</v>
      </c>
      <c r="AE38" s="282">
        <f>'25'!T11</f>
        <v>0</v>
      </c>
      <c r="AF38" s="282">
        <f>'25'!T18</f>
        <v>0</v>
      </c>
      <c r="AG38" s="277">
        <f>'25'!T28</f>
        <v>0</v>
      </c>
      <c r="AH38" s="277"/>
      <c r="AI38" s="277"/>
      <c r="AJ38" s="277"/>
      <c r="AK38" s="277"/>
      <c r="AL38" s="277"/>
      <c r="AM38" s="277"/>
      <c r="AN38" s="284"/>
      <c r="AO38" s="329"/>
      <c r="AP38" s="286"/>
      <c r="AQ38" s="285">
        <f t="shared" si="27"/>
        <v>11.07</v>
      </c>
      <c r="AS38" s="131">
        <f t="shared" si="28"/>
        <v>12537.57</v>
      </c>
      <c r="AU38" s="277">
        <f>'25'!W11</f>
        <v>237.5</v>
      </c>
    </row>
    <row r="39" spans="1:47" ht="15.75" customHeight="1">
      <c r="A39" s="275">
        <v>26</v>
      </c>
      <c r="B39" s="276">
        <f>'26'!T25</f>
        <v>0</v>
      </c>
      <c r="C39" s="277">
        <f>'26'!AB11</f>
        <v>0</v>
      </c>
      <c r="D39" s="276">
        <f>'26'!Z37</f>
        <v>0</v>
      </c>
      <c r="E39" s="276">
        <f>'26'!AB14</f>
        <v>0</v>
      </c>
      <c r="F39" s="276">
        <f>'26'!Z40</f>
        <v>0</v>
      </c>
      <c r="G39" s="276">
        <f>'26'!W8</f>
        <v>0</v>
      </c>
      <c r="H39" s="276">
        <f>'26'!W9</f>
        <v>0</v>
      </c>
      <c r="I39" s="276">
        <f>'26'!W10</f>
        <v>0</v>
      </c>
      <c r="J39" s="279">
        <f>'26'!T16</f>
        <v>0</v>
      </c>
      <c r="K39" s="279">
        <f>'26'!T17</f>
        <v>4792.74</v>
      </c>
      <c r="L39" s="331">
        <f>'26'!T9</f>
        <v>0</v>
      </c>
      <c r="M39" s="331">
        <f>'26'!T10</f>
        <v>0</v>
      </c>
      <c r="N39" s="331">
        <f>'26'!T8</f>
        <v>0</v>
      </c>
      <c r="O39" s="277"/>
      <c r="P39" s="331">
        <f>'26'!AB19</f>
        <v>0</v>
      </c>
      <c r="Q39" s="277">
        <f>'26'!T13</f>
        <v>0</v>
      </c>
      <c r="R39" s="277">
        <f>'26'!T24</f>
        <v>0</v>
      </c>
      <c r="S39" s="277">
        <f>'26'!T19</f>
        <v>0</v>
      </c>
      <c r="T39" s="277">
        <f>'26'!T26</f>
        <v>0</v>
      </c>
      <c r="U39" s="277">
        <f>'26'!T27</f>
        <v>0</v>
      </c>
      <c r="V39" s="277">
        <f>'26'!T7</f>
        <v>0</v>
      </c>
      <c r="W39" s="281">
        <f t="shared" si="26"/>
        <v>4792.74</v>
      </c>
      <c r="X39" s="282">
        <f>'26'!T12</f>
        <v>0</v>
      </c>
      <c r="Y39" s="277">
        <f>'26'!T14</f>
        <v>0</v>
      </c>
      <c r="Z39" s="277">
        <f>'26'!T20</f>
        <v>0</v>
      </c>
      <c r="AA39" s="282">
        <f>'26'!T21</f>
        <v>140.25</v>
      </c>
      <c r="AB39" s="277">
        <f>'26'!T22</f>
        <v>0</v>
      </c>
      <c r="AC39" s="277"/>
      <c r="AD39" s="277">
        <f>'26'!T23</f>
        <v>0</v>
      </c>
      <c r="AE39" s="282">
        <f>'26'!T11</f>
        <v>0</v>
      </c>
      <c r="AF39" s="282">
        <f>'26'!T18</f>
        <v>0</v>
      </c>
      <c r="AG39" s="277">
        <f>'26'!T28</f>
        <v>0</v>
      </c>
      <c r="AH39" s="277"/>
      <c r="AI39" s="277"/>
      <c r="AJ39" s="277"/>
      <c r="AK39" s="277"/>
      <c r="AL39" s="277"/>
      <c r="AM39" s="277"/>
      <c r="AN39" s="284"/>
      <c r="AO39" s="329"/>
      <c r="AP39" s="286"/>
      <c r="AQ39" s="285">
        <f t="shared" si="27"/>
        <v>140.25</v>
      </c>
      <c r="AS39" s="131">
        <f t="shared" si="28"/>
        <v>4932.99</v>
      </c>
      <c r="AU39" s="277">
        <f>'26'!W11</f>
        <v>0</v>
      </c>
    </row>
    <row r="40" spans="1:47" ht="15.75" customHeight="1">
      <c r="A40" s="275">
        <v>27</v>
      </c>
      <c r="B40" s="276">
        <f>'27'!T25</f>
        <v>0</v>
      </c>
      <c r="C40" s="277">
        <f>'27'!AB11</f>
        <v>0</v>
      </c>
      <c r="D40" s="276">
        <f>'27'!Z37</f>
        <v>0</v>
      </c>
      <c r="E40" s="276">
        <f>'27'!AB14</f>
        <v>0</v>
      </c>
      <c r="F40" s="276">
        <f>'27'!Z40</f>
        <v>0</v>
      </c>
      <c r="G40" s="276">
        <f>'27'!W8</f>
        <v>0</v>
      </c>
      <c r="H40" s="276">
        <f>'27'!W9</f>
        <v>0</v>
      </c>
      <c r="I40" s="276">
        <f>'27'!W10</f>
        <v>0</v>
      </c>
      <c r="J40" s="283">
        <f>'27'!T16</f>
        <v>0</v>
      </c>
      <c r="K40" s="283">
        <f>'27'!T17</f>
        <v>0</v>
      </c>
      <c r="L40" s="331">
        <f>'27'!T9</f>
        <v>0</v>
      </c>
      <c r="M40" s="331">
        <f>'27'!T10</f>
        <v>0</v>
      </c>
      <c r="N40" s="331">
        <f>'27'!T8</f>
        <v>0</v>
      </c>
      <c r="O40" s="277"/>
      <c r="P40" s="331">
        <f>'27'!AB19</f>
        <v>0</v>
      </c>
      <c r="Q40" s="277">
        <f>'27'!T13</f>
        <v>0</v>
      </c>
      <c r="R40" s="277">
        <f>'27'!T24</f>
        <v>0</v>
      </c>
      <c r="S40" s="277">
        <f>'27'!T19</f>
        <v>0</v>
      </c>
      <c r="T40" s="277">
        <f>'27'!T26</f>
        <v>0</v>
      </c>
      <c r="U40" s="277">
        <f>'27'!T27</f>
        <v>0</v>
      </c>
      <c r="V40" s="277">
        <f>'27'!T7</f>
        <v>0</v>
      </c>
      <c r="W40" s="281">
        <f t="shared" si="26"/>
        <v>0</v>
      </c>
      <c r="X40" s="282">
        <f>'27'!T12</f>
        <v>0</v>
      </c>
      <c r="Y40" s="277">
        <f>'27'!T14</f>
        <v>0</v>
      </c>
      <c r="Z40" s="277">
        <f>'27'!T20</f>
        <v>0</v>
      </c>
      <c r="AA40" s="282">
        <f>'27'!T21</f>
        <v>0</v>
      </c>
      <c r="AB40" s="277">
        <f>'27'!T22</f>
        <v>0</v>
      </c>
      <c r="AC40" s="277"/>
      <c r="AD40" s="277">
        <f>'27'!T23</f>
        <v>0</v>
      </c>
      <c r="AE40" s="282">
        <f>'27'!T11</f>
        <v>0</v>
      </c>
      <c r="AF40" s="282">
        <f>'27'!T18</f>
        <v>0</v>
      </c>
      <c r="AG40" s="277">
        <f>'27'!T28</f>
        <v>0</v>
      </c>
      <c r="AH40" s="277"/>
      <c r="AI40" s="277"/>
      <c r="AJ40" s="277"/>
      <c r="AK40" s="277"/>
      <c r="AL40" s="277"/>
      <c r="AM40" s="277"/>
      <c r="AN40" s="284"/>
      <c r="AO40" s="329"/>
      <c r="AP40" s="286"/>
      <c r="AQ40" s="285">
        <f t="shared" si="27"/>
        <v>0</v>
      </c>
      <c r="AS40" s="131">
        <f t="shared" si="28"/>
        <v>0</v>
      </c>
      <c r="AU40" s="277">
        <f>'27'!W11</f>
        <v>0</v>
      </c>
    </row>
    <row r="41" spans="1:47" ht="15.75" customHeight="1">
      <c r="A41" s="275">
        <v>28</v>
      </c>
      <c r="B41" s="276">
        <f>'28'!T25</f>
        <v>0</v>
      </c>
      <c r="C41" s="277">
        <f>'28'!AB11</f>
        <v>1591</v>
      </c>
      <c r="D41" s="276">
        <f>'28'!Z37</f>
        <v>1374</v>
      </c>
      <c r="E41" s="276">
        <f>'28'!AB14</f>
        <v>0</v>
      </c>
      <c r="F41" s="276">
        <f>'28'!Z40</f>
        <v>0</v>
      </c>
      <c r="G41" s="276">
        <f>'28'!W8</f>
        <v>0</v>
      </c>
      <c r="H41" s="276">
        <f>'28'!W9</f>
        <v>0</v>
      </c>
      <c r="I41" s="276">
        <f>'28'!W10</f>
        <v>0</v>
      </c>
      <c r="J41" s="283">
        <f>'28'!T16</f>
        <v>139.75</v>
      </c>
      <c r="K41" s="283">
        <f>'28'!T17</f>
        <v>0</v>
      </c>
      <c r="L41" s="331">
        <f>'28'!T9</f>
        <v>0</v>
      </c>
      <c r="M41" s="331">
        <f>'28'!T10</f>
        <v>0</v>
      </c>
      <c r="N41" s="331">
        <f>'28'!T8</f>
        <v>0</v>
      </c>
      <c r="O41" s="277"/>
      <c r="P41" s="331">
        <f>'28'!AB19</f>
        <v>0</v>
      </c>
      <c r="Q41" s="277">
        <f>'28'!T13</f>
        <v>0</v>
      </c>
      <c r="R41" s="277">
        <f>'28'!T24</f>
        <v>0</v>
      </c>
      <c r="S41" s="277">
        <f>'28'!T19</f>
        <v>0</v>
      </c>
      <c r="T41" s="277">
        <f>'28'!T26</f>
        <v>0</v>
      </c>
      <c r="U41" s="277">
        <f>'28'!T27</f>
        <v>0</v>
      </c>
      <c r="V41" s="277">
        <f>'28'!T7</f>
        <v>0</v>
      </c>
      <c r="W41" s="281">
        <f t="shared" si="26"/>
        <v>3104.75</v>
      </c>
      <c r="X41" s="282">
        <f>'28'!T12</f>
        <v>0</v>
      </c>
      <c r="Y41" s="277">
        <f>'28'!T14</f>
        <v>0</v>
      </c>
      <c r="Z41" s="277">
        <f>'28'!T20</f>
        <v>0</v>
      </c>
      <c r="AA41" s="282">
        <f>'28'!T21</f>
        <v>0</v>
      </c>
      <c r="AB41" s="277">
        <f>'28'!T22</f>
        <v>0</v>
      </c>
      <c r="AC41" s="277"/>
      <c r="AD41" s="277">
        <f>'28'!T23</f>
        <v>0</v>
      </c>
      <c r="AE41" s="282">
        <f>'28'!T11</f>
        <v>0</v>
      </c>
      <c r="AF41" s="282">
        <f>'28'!T18</f>
        <v>0</v>
      </c>
      <c r="AG41" s="277">
        <f>'28'!T28</f>
        <v>0</v>
      </c>
      <c r="AH41" s="277"/>
      <c r="AI41" s="277"/>
      <c r="AJ41" s="277"/>
      <c r="AK41" s="277"/>
      <c r="AL41" s="277"/>
      <c r="AM41" s="277"/>
      <c r="AN41" s="284"/>
      <c r="AO41" s="329"/>
      <c r="AP41" s="286"/>
      <c r="AQ41" s="285">
        <f t="shared" si="27"/>
        <v>0</v>
      </c>
      <c r="AS41" s="131">
        <f t="shared" si="28"/>
        <v>3104.75</v>
      </c>
      <c r="AU41" s="277">
        <f>'28'!W11</f>
        <v>0</v>
      </c>
    </row>
    <row r="42" spans="1:47" ht="15.75" customHeight="1">
      <c r="A42" s="275">
        <v>29</v>
      </c>
      <c r="B42" s="276">
        <f>'29'!T25</f>
        <v>0</v>
      </c>
      <c r="C42" s="277">
        <f>'29'!AB11</f>
        <v>0</v>
      </c>
      <c r="D42" s="276">
        <f>'29'!Z37</f>
        <v>0</v>
      </c>
      <c r="E42" s="276">
        <f>'29'!AB14</f>
        <v>0</v>
      </c>
      <c r="F42" s="276">
        <f>'29'!Z40</f>
        <v>0</v>
      </c>
      <c r="G42" s="276">
        <f>'29'!W8</f>
        <v>0</v>
      </c>
      <c r="H42" s="276">
        <f>'29'!W9</f>
        <v>0</v>
      </c>
      <c r="I42" s="276">
        <f>'29'!W10</f>
        <v>0</v>
      </c>
      <c r="J42" s="283">
        <f>'29'!T16</f>
        <v>0</v>
      </c>
      <c r="K42" s="331">
        <f>'29'!T17</f>
        <v>0</v>
      </c>
      <c r="L42" s="331">
        <f>'29'!T9</f>
        <v>0</v>
      </c>
      <c r="M42" s="331">
        <f>'29'!T10</f>
        <v>0</v>
      </c>
      <c r="N42" s="331">
        <f>'29'!T8</f>
        <v>0</v>
      </c>
      <c r="O42" s="277"/>
      <c r="P42" s="331">
        <f>'29'!AB19</f>
        <v>0</v>
      </c>
      <c r="Q42" s="277">
        <f>'29'!T13</f>
        <v>0</v>
      </c>
      <c r="R42" s="277">
        <f>'29'!T24</f>
        <v>0</v>
      </c>
      <c r="S42" s="277">
        <f>'29'!T19</f>
        <v>0</v>
      </c>
      <c r="T42" s="277">
        <f>'29'!T26</f>
        <v>0</v>
      </c>
      <c r="U42" s="277">
        <f>'29'!T27</f>
        <v>0</v>
      </c>
      <c r="V42" s="277">
        <f>'29'!T7</f>
        <v>0</v>
      </c>
      <c r="W42" s="281">
        <f t="shared" si="26"/>
        <v>0</v>
      </c>
      <c r="X42" s="282">
        <f>'29'!T12</f>
        <v>198</v>
      </c>
      <c r="Y42" s="277">
        <f>'29'!T14</f>
        <v>0</v>
      </c>
      <c r="Z42" s="277">
        <f>'29'!T20</f>
        <v>0</v>
      </c>
      <c r="AA42" s="282">
        <f>'29'!T21</f>
        <v>0</v>
      </c>
      <c r="AB42" s="277">
        <f>'29'!T22</f>
        <v>0</v>
      </c>
      <c r="AC42" s="277"/>
      <c r="AD42" s="277">
        <f>'29'!T23</f>
        <v>0</v>
      </c>
      <c r="AE42" s="282">
        <f>'29'!T11</f>
        <v>0</v>
      </c>
      <c r="AF42" s="282">
        <f>'29'!T18</f>
        <v>0</v>
      </c>
      <c r="AG42" s="277">
        <f>'29'!T28</f>
        <v>0</v>
      </c>
      <c r="AH42" s="277"/>
      <c r="AI42" s="277"/>
      <c r="AJ42" s="277"/>
      <c r="AK42" s="277"/>
      <c r="AL42" s="277"/>
      <c r="AM42" s="277"/>
      <c r="AN42" s="284"/>
      <c r="AO42" s="329"/>
      <c r="AP42" s="286"/>
      <c r="AQ42" s="285">
        <f t="shared" si="27"/>
        <v>198</v>
      </c>
      <c r="AS42" s="131">
        <f t="shared" si="28"/>
        <v>198</v>
      </c>
      <c r="AU42" s="277">
        <f>'29'!W11</f>
        <v>0</v>
      </c>
    </row>
    <row r="43" spans="1:47" ht="15.75" customHeight="1">
      <c r="A43" s="275">
        <v>30</v>
      </c>
      <c r="B43" s="276">
        <f>'30'!T25</f>
        <v>0</v>
      </c>
      <c r="C43" s="277">
        <f>'30'!AB11</f>
        <v>0</v>
      </c>
      <c r="D43" s="276">
        <f>'30'!Z37</f>
        <v>0</v>
      </c>
      <c r="E43" s="276">
        <f>'30'!AB14</f>
        <v>270</v>
      </c>
      <c r="F43" s="276">
        <f>'30'!Z40</f>
        <v>0</v>
      </c>
      <c r="G43" s="276">
        <f>'30'!W8</f>
        <v>0</v>
      </c>
      <c r="H43" s="276">
        <f>'30'!W9</f>
        <v>0</v>
      </c>
      <c r="I43" s="276">
        <f>'30'!W10</f>
        <v>0</v>
      </c>
      <c r="J43" s="283">
        <f>'30'!T16</f>
        <v>15</v>
      </c>
      <c r="K43" s="283">
        <f>'30'!T17</f>
        <v>0</v>
      </c>
      <c r="L43" s="331">
        <f>'30'!T9</f>
        <v>0</v>
      </c>
      <c r="M43" s="331">
        <f>'30'!T10</f>
        <v>0</v>
      </c>
      <c r="N43" s="331">
        <f>'30'!T8</f>
        <v>0</v>
      </c>
      <c r="O43" s="277"/>
      <c r="P43" s="331">
        <f>'30'!AB19</f>
        <v>0</v>
      </c>
      <c r="Q43" s="277">
        <f>'30'!T13</f>
        <v>0</v>
      </c>
      <c r="R43" s="277">
        <f>'30'!T24</f>
        <v>0</v>
      </c>
      <c r="S43" s="277">
        <f>'30'!T19</f>
        <v>0</v>
      </c>
      <c r="T43" s="277">
        <f>'30'!T26</f>
        <v>0</v>
      </c>
      <c r="U43" s="277">
        <f>'30'!T27</f>
        <v>0</v>
      </c>
      <c r="V43" s="277">
        <f>'30'!T7</f>
        <v>0</v>
      </c>
      <c r="W43" s="281">
        <f t="shared" si="26"/>
        <v>285</v>
      </c>
      <c r="X43" s="282">
        <f>'30'!T12</f>
        <v>0</v>
      </c>
      <c r="Y43" s="277">
        <f>'30'!T14</f>
        <v>0</v>
      </c>
      <c r="Z43" s="277">
        <f>'30'!T20</f>
        <v>0</v>
      </c>
      <c r="AA43" s="282">
        <f>'30'!T21</f>
        <v>0</v>
      </c>
      <c r="AB43" s="277">
        <f>'30'!T22</f>
        <v>0</v>
      </c>
      <c r="AC43" s="277"/>
      <c r="AD43" s="277">
        <f>'30'!T23</f>
        <v>0</v>
      </c>
      <c r="AE43" s="282">
        <f>'30'!T11</f>
        <v>0</v>
      </c>
      <c r="AF43" s="282">
        <f>'30'!T18</f>
        <v>0</v>
      </c>
      <c r="AG43" s="277">
        <f>'30'!T28</f>
        <v>0</v>
      </c>
      <c r="AH43" s="277"/>
      <c r="AI43" s="277"/>
      <c r="AJ43" s="277"/>
      <c r="AK43" s="277"/>
      <c r="AL43" s="277"/>
      <c r="AM43" s="277"/>
      <c r="AN43" s="284"/>
      <c r="AO43" s="329"/>
      <c r="AP43" s="286"/>
      <c r="AQ43" s="285">
        <f t="shared" si="27"/>
        <v>0</v>
      </c>
      <c r="AS43" s="131">
        <f t="shared" si="28"/>
        <v>285</v>
      </c>
      <c r="AU43" s="277">
        <f>'30'!W11</f>
        <v>0</v>
      </c>
    </row>
    <row r="44" spans="1:47" ht="15.75" customHeight="1">
      <c r="A44" s="275">
        <v>31</v>
      </c>
      <c r="B44" s="276">
        <f>'31'!T25</f>
        <v>0</v>
      </c>
      <c r="C44" s="277">
        <f>'31'!AB11</f>
        <v>0</v>
      </c>
      <c r="D44" s="276">
        <f>'31'!Z37</f>
        <v>1374</v>
      </c>
      <c r="E44" s="276">
        <f>'31'!AB14</f>
        <v>0</v>
      </c>
      <c r="F44" s="276">
        <f>'31'!Z40</f>
        <v>0</v>
      </c>
      <c r="G44" s="276">
        <f>'31'!W8</f>
        <v>0</v>
      </c>
      <c r="H44" s="276">
        <f>'31'!W9</f>
        <v>0</v>
      </c>
      <c r="I44" s="276">
        <f>'31'!W10</f>
        <v>0</v>
      </c>
      <c r="J44" s="283">
        <f>'31'!T16</f>
        <v>0</v>
      </c>
      <c r="K44" s="283">
        <f>'31'!T17</f>
        <v>0</v>
      </c>
      <c r="L44" s="331">
        <f>'31'!T9</f>
        <v>0</v>
      </c>
      <c r="M44" s="331">
        <f>'31'!T10</f>
        <v>0</v>
      </c>
      <c r="N44" s="331">
        <f>'31'!T8</f>
        <v>0</v>
      </c>
      <c r="O44" s="277"/>
      <c r="P44" s="283">
        <f>'31'!AB19</f>
        <v>0</v>
      </c>
      <c r="Q44" s="277">
        <f>'31'!T13</f>
        <v>0</v>
      </c>
      <c r="R44" s="277">
        <f>'31'!T24</f>
        <v>0</v>
      </c>
      <c r="S44" s="277">
        <f>'31'!T19</f>
        <v>0</v>
      </c>
      <c r="T44" s="351">
        <f>'31'!T26</f>
        <v>0</v>
      </c>
      <c r="U44" s="277">
        <f>'31'!T27</f>
        <v>0</v>
      </c>
      <c r="V44" s="277">
        <f>'31'!T7</f>
        <v>0</v>
      </c>
      <c r="W44" s="281">
        <f t="shared" si="26"/>
        <v>1374</v>
      </c>
      <c r="X44" s="282">
        <f>'31'!T12</f>
        <v>0</v>
      </c>
      <c r="Y44" s="277">
        <f>'31'!T14</f>
        <v>0</v>
      </c>
      <c r="Z44" s="277">
        <f>'31'!T20</f>
        <v>0</v>
      </c>
      <c r="AA44" s="282">
        <f>'31'!T21</f>
        <v>0</v>
      </c>
      <c r="AB44" s="277">
        <f>'31'!T22</f>
        <v>0</v>
      </c>
      <c r="AC44" s="277"/>
      <c r="AD44" s="277">
        <f>'31'!T23</f>
        <v>0</v>
      </c>
      <c r="AE44" s="282">
        <f>'31'!T11</f>
        <v>0</v>
      </c>
      <c r="AF44" s="282">
        <f>'31'!T18</f>
        <v>0</v>
      </c>
      <c r="AG44" s="277">
        <f>'31'!T28</f>
        <v>0</v>
      </c>
      <c r="AH44" s="279">
        <v>6787.62</v>
      </c>
      <c r="AI44" s="277">
        <v>1160.52</v>
      </c>
      <c r="AJ44" s="277"/>
      <c r="AK44" s="277"/>
      <c r="AL44" s="277"/>
      <c r="AM44" s="277"/>
      <c r="AN44" s="284"/>
      <c r="AO44" s="329"/>
      <c r="AP44" s="286"/>
      <c r="AQ44" s="285">
        <f t="shared" si="27"/>
        <v>7948.1399999999994</v>
      </c>
      <c r="AS44" s="131">
        <f>W44+AQ44-AP44</f>
        <v>9322.14</v>
      </c>
      <c r="AU44" s="277">
        <f>'31'!W11</f>
        <v>0</v>
      </c>
    </row>
    <row r="45" spans="1:47" ht="15.75" customHeight="1">
      <c r="A45" s="291" t="s">
        <v>23</v>
      </c>
      <c r="B45" s="292">
        <f t="shared" ref="B45:AQ45" si="29">SUM(B35:B44)</f>
        <v>4228</v>
      </c>
      <c r="C45" s="292">
        <f t="shared" si="29"/>
        <v>3182</v>
      </c>
      <c r="D45" s="292">
        <f t="shared" si="29"/>
        <v>5496</v>
      </c>
      <c r="E45" s="292">
        <f t="shared" si="29"/>
        <v>1080</v>
      </c>
      <c r="F45" s="292">
        <f t="shared" si="29"/>
        <v>10262.5</v>
      </c>
      <c r="G45" s="292">
        <f t="shared" si="29"/>
        <v>0</v>
      </c>
      <c r="H45" s="292">
        <f t="shared" si="29"/>
        <v>0</v>
      </c>
      <c r="I45" s="292">
        <f t="shared" si="29"/>
        <v>350</v>
      </c>
      <c r="J45" s="293">
        <f t="shared" si="29"/>
        <v>298.75</v>
      </c>
      <c r="K45" s="293">
        <f t="shared" si="29"/>
        <v>4792.74</v>
      </c>
      <c r="L45" s="292">
        <f t="shared" si="29"/>
        <v>0</v>
      </c>
      <c r="M45" s="292">
        <f t="shared" si="29"/>
        <v>0</v>
      </c>
      <c r="N45" s="292">
        <f t="shared" si="29"/>
        <v>0</v>
      </c>
      <c r="O45" s="292">
        <f t="shared" si="29"/>
        <v>0</v>
      </c>
      <c r="P45" s="292">
        <f t="shared" si="29"/>
        <v>0</v>
      </c>
      <c r="Q45" s="292">
        <f t="shared" si="29"/>
        <v>0</v>
      </c>
      <c r="R45" s="292">
        <f t="shared" si="29"/>
        <v>0</v>
      </c>
      <c r="S45" s="292">
        <f t="shared" si="29"/>
        <v>0</v>
      </c>
      <c r="T45" s="292">
        <f t="shared" si="29"/>
        <v>0</v>
      </c>
      <c r="U45" s="292">
        <f t="shared" si="29"/>
        <v>0</v>
      </c>
      <c r="V45" s="292">
        <f t="shared" si="29"/>
        <v>0</v>
      </c>
      <c r="W45" s="295">
        <f t="shared" si="29"/>
        <v>29689.989999999998</v>
      </c>
      <c r="X45" s="293">
        <f t="shared" si="29"/>
        <v>809.75</v>
      </c>
      <c r="Y45" s="292">
        <f t="shared" si="29"/>
        <v>0</v>
      </c>
      <c r="Z45" s="292">
        <f t="shared" si="29"/>
        <v>22.14</v>
      </c>
      <c r="AA45" s="293">
        <f t="shared" si="29"/>
        <v>140.25</v>
      </c>
      <c r="AB45" s="292">
        <f t="shared" si="29"/>
        <v>0</v>
      </c>
      <c r="AC45" s="292">
        <f t="shared" si="29"/>
        <v>0</v>
      </c>
      <c r="AD45" s="292">
        <f t="shared" si="29"/>
        <v>0</v>
      </c>
      <c r="AE45" s="293">
        <f t="shared" si="29"/>
        <v>0</v>
      </c>
      <c r="AF45" s="296">
        <f t="shared" si="29"/>
        <v>6650</v>
      </c>
      <c r="AG45" s="292">
        <f t="shared" si="29"/>
        <v>0</v>
      </c>
      <c r="AH45" s="297">
        <f t="shared" si="29"/>
        <v>6787.62</v>
      </c>
      <c r="AI45" s="297">
        <f t="shared" si="29"/>
        <v>1160.52</v>
      </c>
      <c r="AJ45" s="297">
        <f t="shared" si="29"/>
        <v>0</v>
      </c>
      <c r="AK45" s="292">
        <f t="shared" si="29"/>
        <v>0</v>
      </c>
      <c r="AL45" s="292">
        <f t="shared" si="29"/>
        <v>0</v>
      </c>
      <c r="AM45" s="292">
        <f t="shared" si="29"/>
        <v>0</v>
      </c>
      <c r="AN45" s="292">
        <f t="shared" si="29"/>
        <v>0</v>
      </c>
      <c r="AO45" s="292">
        <f t="shared" si="29"/>
        <v>0</v>
      </c>
      <c r="AP45" s="294">
        <f t="shared" si="29"/>
        <v>0</v>
      </c>
      <c r="AQ45" s="298">
        <f t="shared" si="29"/>
        <v>15570.279999999999</v>
      </c>
      <c r="AS45" s="299">
        <f>SUM(AS35:AS44)</f>
        <v>45260.27</v>
      </c>
    </row>
    <row r="46" spans="1:47" ht="6.75" customHeight="1">
      <c r="A46" s="330"/>
      <c r="J46" s="300"/>
      <c r="K46" s="300"/>
      <c r="W46" s="308"/>
      <c r="X46" s="300"/>
      <c r="AA46" s="300"/>
      <c r="AE46" s="300"/>
      <c r="AF46" s="300"/>
    </row>
    <row r="47" spans="1:47" ht="15.75" customHeight="1">
      <c r="A47" s="23" t="s">
        <v>156</v>
      </c>
      <c r="B47" s="285">
        <f t="shared" ref="B47:AS47" si="30">B12+B22+B32+B45</f>
        <v>16996</v>
      </c>
      <c r="C47" s="285">
        <f t="shared" si="30"/>
        <v>9546</v>
      </c>
      <c r="D47" s="285">
        <f t="shared" si="30"/>
        <v>15114</v>
      </c>
      <c r="E47" s="285">
        <f t="shared" si="30"/>
        <v>3240</v>
      </c>
      <c r="F47" s="285">
        <f t="shared" si="30"/>
        <v>43550</v>
      </c>
      <c r="G47" s="285">
        <f t="shared" si="30"/>
        <v>0</v>
      </c>
      <c r="H47" s="285">
        <f t="shared" si="30"/>
        <v>0</v>
      </c>
      <c r="I47" s="285">
        <f t="shared" si="30"/>
        <v>1300</v>
      </c>
      <c r="J47" s="354">
        <f t="shared" si="30"/>
        <v>1646.72</v>
      </c>
      <c r="K47" s="354">
        <f t="shared" si="30"/>
        <v>4792.74</v>
      </c>
      <c r="L47" s="285">
        <f t="shared" si="30"/>
        <v>275</v>
      </c>
      <c r="M47" s="285">
        <f t="shared" si="30"/>
        <v>1428.86</v>
      </c>
      <c r="N47" s="285">
        <f t="shared" si="30"/>
        <v>346.43</v>
      </c>
      <c r="O47" s="285">
        <f t="shared" si="30"/>
        <v>0</v>
      </c>
      <c r="P47" s="285">
        <f t="shared" si="30"/>
        <v>0</v>
      </c>
      <c r="Q47" s="285">
        <f t="shared" si="30"/>
        <v>0</v>
      </c>
      <c r="R47" s="285">
        <f t="shared" si="30"/>
        <v>0</v>
      </c>
      <c r="S47" s="285">
        <f t="shared" si="30"/>
        <v>28000</v>
      </c>
      <c r="T47" s="285">
        <f t="shared" si="30"/>
        <v>9007.869999999999</v>
      </c>
      <c r="U47" s="285">
        <f t="shared" si="30"/>
        <v>2160</v>
      </c>
      <c r="V47" s="285">
        <f t="shared" si="30"/>
        <v>4732.6900000000005</v>
      </c>
      <c r="W47" s="298">
        <f t="shared" si="30"/>
        <v>142136.31</v>
      </c>
      <c r="X47" s="354">
        <f t="shared" si="30"/>
        <v>2166.75</v>
      </c>
      <c r="Y47" s="285">
        <f t="shared" si="30"/>
        <v>200</v>
      </c>
      <c r="Z47" s="285">
        <f t="shared" si="30"/>
        <v>64.27000000000001</v>
      </c>
      <c r="AA47" s="354">
        <f t="shared" si="30"/>
        <v>629.75</v>
      </c>
      <c r="AB47" s="285">
        <f t="shared" si="30"/>
        <v>0</v>
      </c>
      <c r="AC47" s="285">
        <f t="shared" si="30"/>
        <v>0</v>
      </c>
      <c r="AD47" s="285">
        <f t="shared" si="30"/>
        <v>0</v>
      </c>
      <c r="AE47" s="354">
        <f t="shared" si="30"/>
        <v>651</v>
      </c>
      <c r="AF47" s="354">
        <f t="shared" si="30"/>
        <v>6650</v>
      </c>
      <c r="AG47" s="285">
        <f t="shared" si="30"/>
        <v>0</v>
      </c>
      <c r="AH47" s="355">
        <f t="shared" si="30"/>
        <v>6787.62</v>
      </c>
      <c r="AI47" s="355">
        <f t="shared" si="30"/>
        <v>1160.52</v>
      </c>
      <c r="AJ47" s="355">
        <f t="shared" si="30"/>
        <v>0</v>
      </c>
      <c r="AK47" s="285">
        <f t="shared" si="30"/>
        <v>0</v>
      </c>
      <c r="AL47" s="285">
        <f t="shared" si="30"/>
        <v>0</v>
      </c>
      <c r="AM47" s="285">
        <f t="shared" si="30"/>
        <v>0</v>
      </c>
      <c r="AN47" s="285">
        <f t="shared" si="30"/>
        <v>0</v>
      </c>
      <c r="AO47" s="285">
        <f t="shared" si="30"/>
        <v>0</v>
      </c>
      <c r="AP47" s="285">
        <f t="shared" si="30"/>
        <v>0</v>
      </c>
      <c r="AQ47" s="298">
        <f t="shared" si="30"/>
        <v>18309.91</v>
      </c>
      <c r="AR47" s="48">
        <f t="shared" si="30"/>
        <v>0</v>
      </c>
      <c r="AS47" s="298">
        <f t="shared" si="30"/>
        <v>160446.21999999997</v>
      </c>
      <c r="AT47" s="39"/>
      <c r="AU47" s="39"/>
    </row>
    <row r="48" spans="1:47" ht="15.75" customHeight="1">
      <c r="I48" s="300"/>
      <c r="J48" s="300"/>
      <c r="K48" s="300"/>
      <c r="X48" s="300"/>
      <c r="AA48" s="300"/>
      <c r="AE48" s="300"/>
      <c r="AF48" s="300"/>
      <c r="AT48" s="301"/>
      <c r="AU48" s="301"/>
    </row>
    <row r="49" spans="1:47" ht="15.75" customHeight="1">
      <c r="A49" s="360"/>
      <c r="B49" s="482" t="s">
        <v>179</v>
      </c>
      <c r="C49" s="445"/>
      <c r="D49" s="423"/>
      <c r="I49" s="300"/>
      <c r="J49" s="300"/>
      <c r="K49" s="300"/>
      <c r="X49" s="300"/>
      <c r="AA49" s="300"/>
      <c r="AE49" s="300"/>
      <c r="AF49" s="300"/>
      <c r="AT49" s="301"/>
      <c r="AU49" s="301"/>
    </row>
    <row r="50" spans="1:47" ht="15.75" customHeight="1">
      <c r="A50" s="362">
        <v>1</v>
      </c>
      <c r="B50" s="483" t="str">
        <f>B34</f>
        <v>LPG</v>
      </c>
      <c r="C50" s="423"/>
      <c r="D50" s="363">
        <f>B47</f>
        <v>16996</v>
      </c>
      <c r="I50" s="300"/>
      <c r="J50" s="300"/>
      <c r="K50" s="300"/>
      <c r="X50" s="300"/>
      <c r="AA50" s="300"/>
      <c r="AE50" s="300"/>
      <c r="AF50" s="300"/>
    </row>
    <row r="51" spans="1:47" ht="15.75" customHeight="1">
      <c r="A51" s="362">
        <v>2</v>
      </c>
      <c r="B51" s="483" t="str">
        <f>C34</f>
        <v>BREADING</v>
      </c>
      <c r="C51" s="423"/>
      <c r="D51" s="363">
        <f>C47</f>
        <v>9546</v>
      </c>
      <c r="I51" s="300"/>
      <c r="J51" s="300"/>
      <c r="K51" s="300"/>
      <c r="X51" s="300"/>
      <c r="AA51" s="300"/>
      <c r="AE51" s="300"/>
      <c r="AF51" s="300"/>
    </row>
    <row r="52" spans="1:47" ht="15.75" customHeight="1">
      <c r="A52" s="362">
        <v>3</v>
      </c>
      <c r="B52" s="483" t="str">
        <f>D34</f>
        <v>OIL</v>
      </c>
      <c r="C52" s="423"/>
      <c r="D52" s="363">
        <f>D47</f>
        <v>15114</v>
      </c>
      <c r="I52" s="300"/>
      <c r="J52" s="300"/>
      <c r="K52" s="300"/>
      <c r="X52" s="300"/>
      <c r="AA52" s="300"/>
      <c r="AE52" s="300"/>
      <c r="AF52" s="300"/>
    </row>
    <row r="53" spans="1:47" ht="15.75" customHeight="1">
      <c r="A53" s="362">
        <v>4</v>
      </c>
      <c r="B53" s="483" t="str">
        <f>E34</f>
        <v>GRAVY</v>
      </c>
      <c r="C53" s="423"/>
      <c r="D53" s="363">
        <f>E47</f>
        <v>3240</v>
      </c>
      <c r="I53" s="300"/>
      <c r="J53" s="300"/>
      <c r="K53" s="300"/>
      <c r="X53" s="300"/>
      <c r="AA53" s="300"/>
      <c r="AE53" s="300"/>
      <c r="AF53" s="300"/>
    </row>
    <row r="54" spans="1:47" ht="15.75" customHeight="1">
      <c r="A54" s="362">
        <v>5</v>
      </c>
      <c r="B54" s="483" t="str">
        <f>F34</f>
        <v>SALARY</v>
      </c>
      <c r="C54" s="423"/>
      <c r="D54" s="363">
        <f>F47</f>
        <v>43550</v>
      </c>
      <c r="I54" s="300"/>
      <c r="J54" s="300"/>
      <c r="K54" s="300"/>
      <c r="X54" s="300"/>
      <c r="AA54" s="300"/>
      <c r="AE54" s="300"/>
      <c r="AF54" s="300"/>
    </row>
    <row r="55" spans="1:47" ht="15.75" customHeight="1">
      <c r="A55" s="362"/>
      <c r="B55" s="483" t="str">
        <f>G4</f>
        <v>HOLIDAY</v>
      </c>
      <c r="C55" s="423"/>
      <c r="D55" s="363">
        <f>G47</f>
        <v>0</v>
      </c>
      <c r="I55" s="300"/>
      <c r="J55" s="300"/>
      <c r="K55" s="300"/>
      <c r="X55" s="300"/>
      <c r="AA55" s="300"/>
      <c r="AC55" s="3"/>
      <c r="AE55" s="300"/>
      <c r="AF55" s="300"/>
    </row>
    <row r="56" spans="1:47" ht="15.75" customHeight="1">
      <c r="A56" s="362"/>
      <c r="B56" s="483" t="str">
        <f>H4</f>
        <v>OVERTIME</v>
      </c>
      <c r="C56" s="423"/>
      <c r="D56" s="363">
        <f>H47</f>
        <v>0</v>
      </c>
      <c r="I56" s="300"/>
      <c r="J56" s="300"/>
      <c r="K56" s="300"/>
      <c r="X56" s="300"/>
      <c r="AA56" s="300"/>
      <c r="AC56" s="3"/>
      <c r="AE56" s="300"/>
      <c r="AF56" s="300"/>
    </row>
    <row r="57" spans="1:47" ht="15.75" customHeight="1">
      <c r="A57" s="362"/>
      <c r="B57" s="483" t="str">
        <f>I4</f>
        <v>TL ALLOWANCE</v>
      </c>
      <c r="C57" s="423"/>
      <c r="D57" s="363">
        <f>I47</f>
        <v>1300</v>
      </c>
      <c r="I57" s="300"/>
      <c r="J57" s="300"/>
      <c r="K57" s="300"/>
      <c r="X57" s="300"/>
      <c r="AA57" s="300"/>
      <c r="AC57" s="3"/>
      <c r="AE57" s="300"/>
      <c r="AF57" s="300"/>
    </row>
    <row r="58" spans="1:47" ht="15.75" customHeight="1">
      <c r="A58" s="362">
        <v>6</v>
      </c>
      <c r="B58" s="483" t="str">
        <f>J34</f>
        <v>Admin / Office Supplies</v>
      </c>
      <c r="C58" s="423"/>
      <c r="D58" s="363">
        <f>J47</f>
        <v>1646.72</v>
      </c>
      <c r="I58" s="300"/>
      <c r="J58" s="300"/>
      <c r="K58" s="300"/>
      <c r="X58" s="300"/>
      <c r="AA58" s="300"/>
      <c r="AC58" s="3"/>
      <c r="AE58" s="300"/>
      <c r="AF58" s="300"/>
    </row>
    <row r="59" spans="1:47" ht="15.75" customHeight="1">
      <c r="A59" s="362">
        <v>7</v>
      </c>
      <c r="B59" s="483" t="str">
        <f>K34</f>
        <v>13th month</v>
      </c>
      <c r="C59" s="423"/>
      <c r="D59" s="363">
        <f>K47</f>
        <v>4792.74</v>
      </c>
      <c r="I59" s="300"/>
      <c r="J59" s="300"/>
      <c r="K59" s="300"/>
      <c r="X59" s="300"/>
      <c r="AA59" s="300"/>
      <c r="AE59" s="300"/>
      <c r="AF59" s="300"/>
    </row>
    <row r="60" spans="1:47" ht="15.75" customHeight="1">
      <c r="A60" s="362">
        <v>8</v>
      </c>
      <c r="B60" s="483" t="str">
        <f>L34</f>
        <v>pag ibig</v>
      </c>
      <c r="C60" s="423"/>
      <c r="D60" s="363">
        <f>L47</f>
        <v>275</v>
      </c>
      <c r="I60" s="300"/>
      <c r="J60" s="300"/>
      <c r="K60" s="300"/>
      <c r="X60" s="300"/>
      <c r="AA60" s="300"/>
      <c r="AE60" s="300"/>
      <c r="AF60" s="300"/>
    </row>
    <row r="61" spans="1:47" ht="15.75" customHeight="1">
      <c r="A61" s="362">
        <v>9</v>
      </c>
      <c r="B61" s="483" t="str">
        <f>M34</f>
        <v>SSS</v>
      </c>
      <c r="C61" s="423"/>
      <c r="D61" s="363">
        <f>M47</f>
        <v>1428.86</v>
      </c>
      <c r="I61" s="300"/>
      <c r="J61" s="300"/>
      <c r="K61" s="300"/>
      <c r="X61" s="300"/>
      <c r="AA61" s="300"/>
      <c r="AE61" s="300"/>
      <c r="AF61" s="300"/>
    </row>
    <row r="62" spans="1:47" ht="15.75" customHeight="1">
      <c r="A62" s="362">
        <v>10</v>
      </c>
      <c r="B62" s="483" t="str">
        <f>N34</f>
        <v>PHIL
HEALTH</v>
      </c>
      <c r="C62" s="423"/>
      <c r="D62" s="363">
        <f>N47</f>
        <v>346.43</v>
      </c>
      <c r="I62" s="300"/>
      <c r="J62" s="300"/>
      <c r="K62" s="300"/>
      <c r="X62" s="300"/>
      <c r="AA62" s="300"/>
      <c r="AE62" s="300"/>
      <c r="AF62" s="300"/>
    </row>
    <row r="63" spans="1:47" ht="15.75" customHeight="1">
      <c r="A63" s="362">
        <v>11</v>
      </c>
      <c r="B63" s="483" t="str">
        <f>P34</f>
        <v>SIOMAI SAUCE</v>
      </c>
      <c r="C63" s="423"/>
      <c r="D63" s="363">
        <f>P47</f>
        <v>0</v>
      </c>
      <c r="I63" s="300"/>
      <c r="J63" s="300"/>
      <c r="K63" s="300"/>
      <c r="X63" s="300"/>
      <c r="AA63" s="300"/>
      <c r="AE63" s="300"/>
      <c r="AF63" s="300"/>
    </row>
    <row r="64" spans="1:47" ht="15.75" customHeight="1">
      <c r="A64" s="362">
        <v>12</v>
      </c>
      <c r="B64" s="483" t="str">
        <f>Q34</f>
        <v>TRANSPO.</v>
      </c>
      <c r="C64" s="423"/>
      <c r="D64" s="363">
        <f>Q47</f>
        <v>0</v>
      </c>
      <c r="I64" s="300"/>
      <c r="J64" s="300"/>
      <c r="K64" s="300"/>
      <c r="X64" s="300"/>
      <c r="AA64" s="300"/>
      <c r="AE64" s="300"/>
      <c r="AF64" s="300"/>
    </row>
    <row r="65" spans="1:32" ht="15.75" customHeight="1">
      <c r="A65" s="362">
        <v>13</v>
      </c>
      <c r="B65" s="483" t="str">
        <f>R34</f>
        <v>CHARGE DEPOSIT</v>
      </c>
      <c r="C65" s="423"/>
      <c r="D65" s="363">
        <f>R47</f>
        <v>0</v>
      </c>
      <c r="I65" s="300"/>
      <c r="J65" s="300"/>
      <c r="K65" s="300"/>
      <c r="X65" s="300"/>
      <c r="AA65" s="300"/>
      <c r="AE65" s="300"/>
      <c r="AF65" s="300"/>
    </row>
    <row r="66" spans="1:32" ht="15.75" customHeight="1">
      <c r="A66" s="362">
        <v>14</v>
      </c>
      <c r="B66" s="483" t="str">
        <f>S34</f>
        <v>RENTAL</v>
      </c>
      <c r="C66" s="423"/>
      <c r="D66" s="363">
        <f>S47</f>
        <v>28000</v>
      </c>
      <c r="I66" s="300"/>
      <c r="J66" s="300"/>
      <c r="K66" s="300"/>
      <c r="X66" s="300"/>
      <c r="AA66" s="300"/>
      <c r="AE66" s="300"/>
      <c r="AF66" s="300"/>
    </row>
    <row r="67" spans="1:32" ht="15.75" customHeight="1">
      <c r="A67" s="362">
        <v>15</v>
      </c>
      <c r="B67" s="483" t="str">
        <f>T34</f>
        <v>LIGHT</v>
      </c>
      <c r="C67" s="423"/>
      <c r="D67" s="363">
        <f>T47</f>
        <v>9007.869999999999</v>
      </c>
      <c r="I67" s="300"/>
      <c r="J67" s="300"/>
      <c r="K67" s="300"/>
      <c r="X67" s="300"/>
      <c r="AA67" s="300"/>
      <c r="AE67" s="300"/>
      <c r="AF67" s="300"/>
    </row>
    <row r="68" spans="1:32" ht="15.75" customHeight="1">
      <c r="A68" s="362">
        <v>16</v>
      </c>
      <c r="B68" s="483" t="str">
        <f>U34</f>
        <v>WATER</v>
      </c>
      <c r="C68" s="423"/>
      <c r="D68" s="363">
        <f>U47</f>
        <v>2160</v>
      </c>
      <c r="I68" s="300"/>
      <c r="J68" s="300"/>
      <c r="K68" s="300"/>
      <c r="X68" s="300"/>
      <c r="AA68" s="300"/>
      <c r="AE68" s="300"/>
      <c r="AF68" s="300"/>
    </row>
    <row r="69" spans="1:32" ht="15.75" customHeight="1">
      <c r="A69" s="362">
        <v>17</v>
      </c>
      <c r="B69" s="483" t="str">
        <f>V34</f>
        <v>BIR/TAXES</v>
      </c>
      <c r="C69" s="423"/>
      <c r="D69" s="363">
        <f>V47</f>
        <v>4732.6900000000005</v>
      </c>
      <c r="I69" s="300"/>
      <c r="J69" s="300"/>
      <c r="K69" s="300"/>
      <c r="X69" s="300"/>
      <c r="AA69" s="300"/>
      <c r="AE69" s="300"/>
      <c r="AF69" s="300"/>
    </row>
    <row r="70" spans="1:32" ht="15.75" customHeight="1">
      <c r="A70" s="362">
        <v>18</v>
      </c>
      <c r="B70" s="483" t="str">
        <f>X34</f>
        <v>supot/roll bag/T-bag</v>
      </c>
      <c r="C70" s="423"/>
      <c r="D70" s="363">
        <f>X47</f>
        <v>2166.75</v>
      </c>
      <c r="I70" s="300"/>
      <c r="J70" s="300"/>
      <c r="K70" s="300"/>
      <c r="X70" s="300"/>
      <c r="AA70" s="300"/>
      <c r="AE70" s="300"/>
      <c r="AF70" s="300"/>
    </row>
    <row r="71" spans="1:32" ht="15.75" customHeight="1">
      <c r="A71" s="362">
        <v>19</v>
      </c>
      <c r="B71" s="483" t="str">
        <f>Y34</f>
        <v>COMMUNICATION</v>
      </c>
      <c r="C71" s="423"/>
      <c r="D71" s="363">
        <f>Y47</f>
        <v>200</v>
      </c>
      <c r="I71" s="300"/>
      <c r="J71" s="300"/>
      <c r="K71" s="300"/>
      <c r="X71" s="300"/>
      <c r="AA71" s="300"/>
      <c r="AE71" s="300"/>
      <c r="AF71" s="300"/>
    </row>
    <row r="72" spans="1:32" ht="15.75" customHeight="1">
      <c r="A72" s="362">
        <v>20</v>
      </c>
      <c r="B72" s="483" t="str">
        <f>Z34</f>
        <v>SENIOR DISC.</v>
      </c>
      <c r="C72" s="423"/>
      <c r="D72" s="363">
        <f>Z47</f>
        <v>64.27000000000001</v>
      </c>
      <c r="I72" s="300"/>
      <c r="J72" s="300"/>
      <c r="K72" s="300"/>
      <c r="X72" s="300"/>
      <c r="AA72" s="300"/>
      <c r="AE72" s="300"/>
      <c r="AF72" s="300"/>
    </row>
    <row r="73" spans="1:32" ht="15.75" customHeight="1">
      <c r="A73" s="362">
        <v>21</v>
      </c>
      <c r="B73" s="485" t="str">
        <f>AA34</f>
        <v>Detergent</v>
      </c>
      <c r="C73" s="423"/>
      <c r="D73" s="363">
        <f>AA47</f>
        <v>629.75</v>
      </c>
    </row>
    <row r="74" spans="1:32" ht="15.75" customHeight="1">
      <c r="A74" s="362">
        <v>22</v>
      </c>
      <c r="B74" s="485" t="str">
        <f>AB34</f>
        <v>SERVICE WATER</v>
      </c>
      <c r="C74" s="423"/>
      <c r="D74" s="363">
        <f>AB47</f>
        <v>0</v>
      </c>
    </row>
    <row r="75" spans="1:32" ht="15.75" customHeight="1">
      <c r="A75" s="362">
        <v>23</v>
      </c>
      <c r="B75" s="484" t="str">
        <f>AD34</f>
        <v>KITCHEN
WARES</v>
      </c>
      <c r="C75" s="423"/>
      <c r="D75" s="363">
        <f>AD47</f>
        <v>0</v>
      </c>
    </row>
    <row r="76" spans="1:32" ht="15.75" customHeight="1">
      <c r="A76" s="362">
        <v>24</v>
      </c>
      <c r="B76" s="485" t="str">
        <f>AE34</f>
        <v>(Patis / suka)</v>
      </c>
      <c r="C76" s="423"/>
      <c r="D76" s="363">
        <f>AE47</f>
        <v>651</v>
      </c>
    </row>
    <row r="77" spans="1:32" ht="15.75" customHeight="1">
      <c r="A77" s="362">
        <v>25</v>
      </c>
      <c r="B77" s="485" t="str">
        <f>AF34</f>
        <v>Maintenance &amp; Labor</v>
      </c>
      <c r="C77" s="423"/>
      <c r="D77" s="363">
        <f>AF47</f>
        <v>6650</v>
      </c>
    </row>
    <row r="78" spans="1:32" ht="15.75" customHeight="1">
      <c r="A78" s="362">
        <v>26</v>
      </c>
      <c r="B78" s="485" t="str">
        <f>AG34</f>
        <v>OTHERS</v>
      </c>
      <c r="C78" s="423"/>
      <c r="D78" s="363">
        <f>AG47</f>
        <v>0</v>
      </c>
    </row>
    <row r="79" spans="1:32" ht="15.75" customHeight="1">
      <c r="A79" s="362">
        <v>27</v>
      </c>
      <c r="B79" s="486" t="str">
        <f>AH34</f>
        <v>ADMIN COST</v>
      </c>
      <c r="C79" s="423"/>
      <c r="D79" s="363">
        <f>AH47</f>
        <v>6787.62</v>
      </c>
    </row>
    <row r="80" spans="1:32" ht="36" customHeight="1">
      <c r="A80" s="362">
        <v>28</v>
      </c>
      <c r="B80" s="484" t="str">
        <f>AI34</f>
        <v>TRANSPO (SUPERVISORS REPLENISHMENT)</v>
      </c>
      <c r="C80" s="423"/>
      <c r="D80" s="363">
        <f>AI47</f>
        <v>1160.52</v>
      </c>
    </row>
    <row r="81" spans="1:4" ht="36" customHeight="1">
      <c r="A81" s="362">
        <v>29</v>
      </c>
      <c r="B81" s="484" t="s">
        <v>153</v>
      </c>
      <c r="C81" s="423"/>
      <c r="D81" s="363">
        <f>AJ47</f>
        <v>0</v>
      </c>
    </row>
    <row r="82" spans="1:4" ht="27.75" customHeight="1">
      <c r="A82" s="382"/>
      <c r="B82" s="487" t="s">
        <v>14</v>
      </c>
      <c r="C82" s="423"/>
      <c r="D82" s="363">
        <f>SUM(D50:D80)</f>
        <v>160446.21999999997</v>
      </c>
    </row>
    <row r="83" spans="1:4" ht="15.75" customHeight="1">
      <c r="D83" s="156">
        <f>D82-AS47</f>
        <v>0</v>
      </c>
    </row>
    <row r="84" spans="1:4" ht="15.75" customHeight="1"/>
    <row r="85" spans="1:4" ht="15.75" customHeight="1"/>
    <row r="86" spans="1:4" ht="15.75" customHeight="1"/>
    <row r="87" spans="1:4" ht="15.75" customHeight="1"/>
    <row r="88" spans="1:4" ht="15.75" customHeight="1"/>
    <row r="89" spans="1:4" ht="15.75" customHeight="1"/>
    <row r="90" spans="1:4" ht="15.75" customHeight="1"/>
    <row r="91" spans="1:4" ht="15.75" customHeight="1"/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79:C79"/>
    <mergeCell ref="B80:C80"/>
    <mergeCell ref="B81:C81"/>
    <mergeCell ref="B82:C82"/>
    <mergeCell ref="B68:C68"/>
    <mergeCell ref="B69:C69"/>
    <mergeCell ref="B70:C70"/>
    <mergeCell ref="B71:C71"/>
    <mergeCell ref="B72:C72"/>
    <mergeCell ref="B73:C73"/>
    <mergeCell ref="B74:C74"/>
    <mergeCell ref="B67:C67"/>
    <mergeCell ref="B75:C75"/>
    <mergeCell ref="B76:C76"/>
    <mergeCell ref="B77:C77"/>
    <mergeCell ref="B78:C78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D1:E1"/>
    <mergeCell ref="C3:D3"/>
    <mergeCell ref="B49:D49"/>
    <mergeCell ref="B50:C50"/>
    <mergeCell ref="B51:C51"/>
  </mergeCells>
  <pageMargins left="0.69930555555555596" right="0.69930555555555596" top="0.75" bottom="0.75" header="0" footer="0"/>
  <pageSetup paperSize="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000"/>
  <sheetViews>
    <sheetView workbookViewId="0"/>
  </sheetViews>
  <sheetFormatPr defaultColWidth="14.453125" defaultRowHeight="15" customHeight="1"/>
  <cols>
    <col min="1" max="1" width="21.453125" customWidth="1"/>
    <col min="5" max="5" width="16.26953125" customWidth="1"/>
  </cols>
  <sheetData>
    <row r="1" spans="1:21" ht="25">
      <c r="A1" s="451" t="s">
        <v>122</v>
      </c>
      <c r="B1" s="438"/>
      <c r="C1" s="438"/>
      <c r="D1" s="451"/>
      <c r="E1" s="438"/>
      <c r="F1" s="317"/>
      <c r="G1" s="317"/>
    </row>
    <row r="2" spans="1:21" ht="17.5">
      <c r="A2" s="479" t="s">
        <v>123</v>
      </c>
      <c r="B2" s="438"/>
      <c r="C2" s="438"/>
      <c r="D2" s="171"/>
      <c r="E2" s="171"/>
      <c r="F2" s="318"/>
      <c r="G2" s="318"/>
    </row>
    <row r="3" spans="1:21" ht="22.5">
      <c r="A3" s="488" t="s">
        <v>38</v>
      </c>
      <c r="B3" s="438"/>
      <c r="C3" s="477"/>
      <c r="D3" s="438"/>
      <c r="E3" s="248"/>
      <c r="F3" s="319"/>
      <c r="G3" s="319"/>
    </row>
    <row r="4" spans="1:21" ht="30">
      <c r="A4" s="320" t="s">
        <v>7</v>
      </c>
      <c r="B4" s="259" t="s">
        <v>159</v>
      </c>
      <c r="C4" s="259" t="s">
        <v>160</v>
      </c>
      <c r="D4" s="259" t="s">
        <v>161</v>
      </c>
      <c r="E4" s="259" t="s">
        <v>162</v>
      </c>
      <c r="F4" s="321" t="s">
        <v>146</v>
      </c>
      <c r="G4" s="321" t="s">
        <v>23</v>
      </c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</row>
    <row r="5" spans="1:21" ht="15.5">
      <c r="A5" s="275">
        <v>1</v>
      </c>
      <c r="B5" s="276">
        <f>'1'!W27</f>
        <v>0</v>
      </c>
      <c r="C5" s="277">
        <f>'1'!W24</f>
        <v>0</v>
      </c>
      <c r="D5" s="276">
        <f>'1'!W25</f>
        <v>0</v>
      </c>
      <c r="E5" s="276">
        <f>'1'!W26</f>
        <v>0</v>
      </c>
      <c r="F5" s="276">
        <f>'1'!W28</f>
        <v>0</v>
      </c>
      <c r="G5" s="323">
        <f t="shared" ref="G5:G11" si="0">SUM(B5:F5)</f>
        <v>0</v>
      </c>
    </row>
    <row r="6" spans="1:21" ht="15.5">
      <c r="A6" s="275">
        <v>2</v>
      </c>
      <c r="B6" s="276">
        <f>'2'!W27</f>
        <v>0</v>
      </c>
      <c r="C6" s="276">
        <f>'2'!W24</f>
        <v>0</v>
      </c>
      <c r="D6" s="276">
        <f>'2'!W25</f>
        <v>0</v>
      </c>
      <c r="E6" s="276">
        <f>'2'!W26</f>
        <v>0</v>
      </c>
      <c r="F6" s="276">
        <f>'2'!W28</f>
        <v>60</v>
      </c>
      <c r="G6" s="323">
        <f t="shared" si="0"/>
        <v>60</v>
      </c>
    </row>
    <row r="7" spans="1:21" ht="15.5">
      <c r="A7" s="275">
        <v>3</v>
      </c>
      <c r="B7" s="276">
        <f>'3'!W27</f>
        <v>0</v>
      </c>
      <c r="C7" s="276">
        <f>'3'!W24</f>
        <v>0</v>
      </c>
      <c r="D7" s="276">
        <f>'3'!W25</f>
        <v>0</v>
      </c>
      <c r="E7" s="276">
        <f>'3'!W26</f>
        <v>0</v>
      </c>
      <c r="F7" s="276">
        <f>'3'!W28</f>
        <v>0</v>
      </c>
      <c r="G7" s="323">
        <f t="shared" si="0"/>
        <v>0</v>
      </c>
    </row>
    <row r="8" spans="1:21" ht="15.5">
      <c r="A8" s="275">
        <v>4</v>
      </c>
      <c r="B8" s="276">
        <f>'4'!W27</f>
        <v>0</v>
      </c>
      <c r="C8" s="276">
        <f>'4'!W24</f>
        <v>0</v>
      </c>
      <c r="D8" s="276">
        <f>'4'!W25</f>
        <v>0</v>
      </c>
      <c r="E8" s="276">
        <f>'4'!W26</f>
        <v>0</v>
      </c>
      <c r="F8" s="276">
        <f>'4'!W28</f>
        <v>90</v>
      </c>
      <c r="G8" s="323">
        <f t="shared" si="0"/>
        <v>90</v>
      </c>
    </row>
    <row r="9" spans="1:21" ht="15.5">
      <c r="A9" s="275">
        <v>5</v>
      </c>
      <c r="B9" s="276">
        <f>'5'!W27</f>
        <v>0</v>
      </c>
      <c r="C9" s="276">
        <f>'5'!W24</f>
        <v>500</v>
      </c>
      <c r="D9" s="276">
        <f>'5'!W25</f>
        <v>0</v>
      </c>
      <c r="E9" s="276">
        <f>'5'!W26</f>
        <v>0</v>
      </c>
      <c r="F9" s="276">
        <f>'5'!W28</f>
        <v>0</v>
      </c>
      <c r="G9" s="323">
        <f t="shared" si="0"/>
        <v>500</v>
      </c>
    </row>
    <row r="10" spans="1:21" ht="15.5">
      <c r="A10" s="275">
        <v>6</v>
      </c>
      <c r="B10" s="276">
        <f>'6'!W27</f>
        <v>0</v>
      </c>
      <c r="C10" s="276">
        <f>'6'!W24</f>
        <v>0</v>
      </c>
      <c r="D10" s="276">
        <f>'6'!W25</f>
        <v>0</v>
      </c>
      <c r="E10" s="276">
        <f>'6'!W26</f>
        <v>0</v>
      </c>
      <c r="F10" s="276">
        <f>'6'!W28</f>
        <v>60</v>
      </c>
      <c r="G10" s="323">
        <f t="shared" si="0"/>
        <v>60</v>
      </c>
    </row>
    <row r="11" spans="1:21" ht="15.5">
      <c r="A11" s="275">
        <v>7</v>
      </c>
      <c r="B11" s="276">
        <f>'7'!W27</f>
        <v>0</v>
      </c>
      <c r="C11" s="276">
        <f>'7'!W24</f>
        <v>0</v>
      </c>
      <c r="D11" s="276">
        <f>'7'!W25</f>
        <v>0</v>
      </c>
      <c r="E11" s="276">
        <f>'7'!W26</f>
        <v>500</v>
      </c>
      <c r="F11" s="276">
        <f>'7'!W28</f>
        <v>30</v>
      </c>
      <c r="G11" s="323">
        <f t="shared" si="0"/>
        <v>530</v>
      </c>
    </row>
    <row r="12" spans="1:21" ht="14.5">
      <c r="A12" s="291" t="s">
        <v>23</v>
      </c>
      <c r="B12" s="292">
        <f t="shared" ref="B12:G12" si="1">SUM(B5:B11)</f>
        <v>0</v>
      </c>
      <c r="C12" s="292">
        <f t="shared" si="1"/>
        <v>500</v>
      </c>
      <c r="D12" s="292">
        <f t="shared" si="1"/>
        <v>0</v>
      </c>
      <c r="E12" s="292">
        <f t="shared" si="1"/>
        <v>500</v>
      </c>
      <c r="F12" s="292">
        <f t="shared" si="1"/>
        <v>240</v>
      </c>
      <c r="G12" s="292">
        <f t="shared" si="1"/>
        <v>1240</v>
      </c>
    </row>
    <row r="13" spans="1:21" ht="14.5">
      <c r="A13" s="50"/>
    </row>
    <row r="14" spans="1:21" ht="30">
      <c r="A14" s="259" t="s">
        <v>7</v>
      </c>
      <c r="B14" s="260" t="str">
        <f t="shared" ref="B14:G14" si="2">B4</f>
        <v>Birthday cake</v>
      </c>
      <c r="C14" s="264" t="str">
        <f t="shared" si="2"/>
        <v>staff bunos / incentives</v>
      </c>
      <c r="D14" s="259" t="str">
        <f t="shared" si="2"/>
        <v>owners pull-out</v>
      </c>
      <c r="E14" s="264" t="str">
        <f t="shared" si="2"/>
        <v>Other Capex</v>
      </c>
      <c r="F14" s="321" t="str">
        <f t="shared" si="2"/>
        <v>SERVICE WATER</v>
      </c>
      <c r="G14" s="321" t="str">
        <f t="shared" si="2"/>
        <v>TOTAL</v>
      </c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</row>
    <row r="15" spans="1:21" ht="15.5">
      <c r="A15" s="275">
        <v>8</v>
      </c>
      <c r="B15" s="276">
        <f>'8'!W27</f>
        <v>0</v>
      </c>
      <c r="C15" s="276">
        <f>'8'!W24</f>
        <v>0</v>
      </c>
      <c r="D15" s="276">
        <f>'8'!W25</f>
        <v>0</v>
      </c>
      <c r="E15" s="276">
        <f>'8'!W26</f>
        <v>0</v>
      </c>
      <c r="F15" s="276">
        <f>'8'!W28</f>
        <v>0</v>
      </c>
      <c r="G15" s="323">
        <f t="shared" ref="G15:G21" si="3">SUM(B15:F15)</f>
        <v>0</v>
      </c>
    </row>
    <row r="16" spans="1:21" ht="15.5">
      <c r="A16" s="275">
        <v>9</v>
      </c>
      <c r="B16" s="276">
        <f>'9'!W27</f>
        <v>0</v>
      </c>
      <c r="C16" s="276">
        <f>'9'!W24</f>
        <v>0</v>
      </c>
      <c r="D16" s="276">
        <f>'9'!W25</f>
        <v>0</v>
      </c>
      <c r="E16" s="276">
        <f>'9'!W26</f>
        <v>0</v>
      </c>
      <c r="F16" s="276">
        <f>'9'!W28</f>
        <v>60</v>
      </c>
      <c r="G16" s="323">
        <f t="shared" si="3"/>
        <v>60</v>
      </c>
    </row>
    <row r="17" spans="1:21" ht="15.5">
      <c r="A17" s="275">
        <v>10</v>
      </c>
      <c r="B17" s="276">
        <f>'10'!W27</f>
        <v>0</v>
      </c>
      <c r="C17" s="276">
        <f>'10'!W24</f>
        <v>0</v>
      </c>
      <c r="D17" s="276">
        <f>'10'!W25</f>
        <v>0</v>
      </c>
      <c r="E17" s="276">
        <f>'10'!W26</f>
        <v>0</v>
      </c>
      <c r="F17" s="276">
        <f>'10'!W28</f>
        <v>0</v>
      </c>
      <c r="G17" s="323">
        <f t="shared" si="3"/>
        <v>0</v>
      </c>
    </row>
    <row r="18" spans="1:21" ht="15.5">
      <c r="A18" s="275">
        <v>11</v>
      </c>
      <c r="B18" s="276">
        <f>'11'!W27</f>
        <v>0</v>
      </c>
      <c r="C18" s="276">
        <f>'11'!W24</f>
        <v>0</v>
      </c>
      <c r="D18" s="276">
        <f>'11'!W25</f>
        <v>0</v>
      </c>
      <c r="E18" s="276">
        <f>'11'!W26</f>
        <v>0</v>
      </c>
      <c r="F18" s="276">
        <f>'11'!W28</f>
        <v>60</v>
      </c>
      <c r="G18" s="323">
        <f t="shared" si="3"/>
        <v>60</v>
      </c>
    </row>
    <row r="19" spans="1:21" ht="15.5">
      <c r="A19" s="275">
        <v>12</v>
      </c>
      <c r="B19" s="276">
        <f>'12'!W27</f>
        <v>0</v>
      </c>
      <c r="C19" s="276">
        <f>'12'!W24</f>
        <v>0</v>
      </c>
      <c r="D19" s="276">
        <f>'12'!W25</f>
        <v>0</v>
      </c>
      <c r="E19" s="276">
        <f>'12'!W26</f>
        <v>0</v>
      </c>
      <c r="F19" s="276">
        <f>'12'!W28</f>
        <v>0</v>
      </c>
      <c r="G19" s="323">
        <f t="shared" si="3"/>
        <v>0</v>
      </c>
    </row>
    <row r="20" spans="1:21" ht="15.5">
      <c r="A20" s="275">
        <v>13</v>
      </c>
      <c r="B20" s="276">
        <f>'13'!W27</f>
        <v>0</v>
      </c>
      <c r="C20" s="276">
        <f>'13'!W24</f>
        <v>0</v>
      </c>
      <c r="D20" s="276">
        <f>'13'!W25</f>
        <v>0</v>
      </c>
      <c r="E20" s="276">
        <f>'13'!W26</f>
        <v>0</v>
      </c>
      <c r="F20" s="276">
        <f>'13'!W28</f>
        <v>90</v>
      </c>
      <c r="G20" s="323">
        <f t="shared" si="3"/>
        <v>90</v>
      </c>
    </row>
    <row r="21" spans="1:21" ht="15.75" customHeight="1">
      <c r="A21" s="275">
        <v>14</v>
      </c>
      <c r="B21" s="276">
        <f>'14'!W28</f>
        <v>0</v>
      </c>
      <c r="C21" s="276">
        <f>'14'!W25</f>
        <v>0</v>
      </c>
      <c r="D21" s="276">
        <f>'14'!W26</f>
        <v>0</v>
      </c>
      <c r="E21" s="276">
        <f>'14'!W27</f>
        <v>0</v>
      </c>
      <c r="F21" s="276">
        <f>'14'!W29</f>
        <v>0</v>
      </c>
      <c r="G21" s="323">
        <f t="shared" si="3"/>
        <v>0</v>
      </c>
    </row>
    <row r="22" spans="1:21" ht="15.75" customHeight="1">
      <c r="A22" s="291" t="s">
        <v>23</v>
      </c>
      <c r="B22" s="292">
        <f t="shared" ref="B22:G22" si="4">SUM(B15:B21)</f>
        <v>0</v>
      </c>
      <c r="C22" s="292">
        <f t="shared" si="4"/>
        <v>0</v>
      </c>
      <c r="D22" s="292">
        <f t="shared" si="4"/>
        <v>0</v>
      </c>
      <c r="E22" s="292">
        <f t="shared" si="4"/>
        <v>0</v>
      </c>
      <c r="F22" s="292">
        <f t="shared" si="4"/>
        <v>210</v>
      </c>
      <c r="G22" s="292">
        <f t="shared" si="4"/>
        <v>210</v>
      </c>
    </row>
    <row r="23" spans="1:21" ht="15.75" customHeight="1"/>
    <row r="24" spans="1:21" ht="15.75" customHeight="1">
      <c r="A24" s="259" t="s">
        <v>7</v>
      </c>
      <c r="B24" s="260" t="str">
        <f t="shared" ref="B24:G24" si="5">B14</f>
        <v>Birthday cake</v>
      </c>
      <c r="C24" s="260" t="str">
        <f t="shared" si="5"/>
        <v>staff bunos / incentives</v>
      </c>
      <c r="D24" s="260" t="str">
        <f t="shared" si="5"/>
        <v>owners pull-out</v>
      </c>
      <c r="E24" s="260" t="str">
        <f t="shared" si="5"/>
        <v>Other Capex</v>
      </c>
      <c r="F24" s="260" t="str">
        <f t="shared" si="5"/>
        <v>SERVICE WATER</v>
      </c>
      <c r="G24" s="260" t="str">
        <f t="shared" si="5"/>
        <v>TOTAL</v>
      </c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</row>
    <row r="25" spans="1:21" ht="15.75" customHeight="1">
      <c r="A25" s="275">
        <v>15</v>
      </c>
      <c r="B25" s="276">
        <f>'15'!W27</f>
        <v>0</v>
      </c>
      <c r="C25" s="276">
        <f>'15'!W24</f>
        <v>0</v>
      </c>
      <c r="D25" s="276">
        <f>'15'!W25</f>
        <v>0</v>
      </c>
      <c r="E25" s="276">
        <f>'15'!W26</f>
        <v>0</v>
      </c>
      <c r="F25" s="276">
        <f>'15'!W28</f>
        <v>90</v>
      </c>
      <c r="G25" s="323">
        <f t="shared" ref="G25:G31" si="6">SUM(B25:F25)</f>
        <v>90</v>
      </c>
    </row>
    <row r="26" spans="1:21" ht="15.75" customHeight="1">
      <c r="A26" s="275">
        <v>16</v>
      </c>
      <c r="B26" s="276">
        <f>'16'!W27</f>
        <v>0</v>
      </c>
      <c r="C26" s="276">
        <f>'16'!W24</f>
        <v>0</v>
      </c>
      <c r="D26" s="276">
        <f>'16'!W25</f>
        <v>0</v>
      </c>
      <c r="E26" s="276">
        <f>'16'!W26</f>
        <v>0</v>
      </c>
      <c r="F26" s="276">
        <f>'16'!W28</f>
        <v>0</v>
      </c>
      <c r="G26" s="323">
        <f t="shared" si="6"/>
        <v>0</v>
      </c>
    </row>
    <row r="27" spans="1:21" ht="15.75" customHeight="1">
      <c r="A27" s="275">
        <v>17</v>
      </c>
      <c r="B27" s="276">
        <f>'17'!W27</f>
        <v>0</v>
      </c>
      <c r="C27" s="276">
        <f>'17'!W24</f>
        <v>0</v>
      </c>
      <c r="D27" s="276">
        <f>'17'!W25</f>
        <v>0</v>
      </c>
      <c r="E27" s="276">
        <f>'17'!W26</f>
        <v>0</v>
      </c>
      <c r="F27" s="276">
        <f>'17'!W28</f>
        <v>90</v>
      </c>
      <c r="G27" s="323">
        <f t="shared" si="6"/>
        <v>90</v>
      </c>
    </row>
    <row r="28" spans="1:21" ht="15.75" customHeight="1">
      <c r="A28" s="275">
        <v>18</v>
      </c>
      <c r="B28" s="276">
        <f>'18'!W27</f>
        <v>0</v>
      </c>
      <c r="C28" s="276">
        <f>'18'!W24</f>
        <v>0</v>
      </c>
      <c r="D28" s="276">
        <f>'18'!W25</f>
        <v>0</v>
      </c>
      <c r="E28" s="276">
        <f>'18'!W26</f>
        <v>0</v>
      </c>
      <c r="F28" s="276">
        <f>'18'!W28</f>
        <v>30</v>
      </c>
      <c r="G28" s="323">
        <f t="shared" si="6"/>
        <v>30</v>
      </c>
    </row>
    <row r="29" spans="1:21" ht="15.75" customHeight="1">
      <c r="A29" s="275">
        <v>19</v>
      </c>
      <c r="B29" s="276">
        <f>'19'!W27</f>
        <v>0</v>
      </c>
      <c r="C29" s="276">
        <f>'19'!W24</f>
        <v>0</v>
      </c>
      <c r="D29" s="276">
        <f>'19'!W25</f>
        <v>0</v>
      </c>
      <c r="E29" s="325">
        <f>'19'!W26</f>
        <v>0</v>
      </c>
      <c r="F29" s="276">
        <f>'19'!W28</f>
        <v>0</v>
      </c>
      <c r="G29" s="323">
        <f t="shared" si="6"/>
        <v>0</v>
      </c>
    </row>
    <row r="30" spans="1:21" ht="15.75" customHeight="1">
      <c r="A30" s="275">
        <v>20</v>
      </c>
      <c r="B30" s="276">
        <f>'20'!W27</f>
        <v>0</v>
      </c>
      <c r="C30" s="276">
        <f>'20'!W24</f>
        <v>0</v>
      </c>
      <c r="D30" s="276">
        <f>'20'!W25</f>
        <v>0</v>
      </c>
      <c r="E30" s="276">
        <f>'20'!W26</f>
        <v>0</v>
      </c>
      <c r="F30" s="276">
        <f>'20'!W28</f>
        <v>90</v>
      </c>
      <c r="G30" s="323">
        <f t="shared" si="6"/>
        <v>90</v>
      </c>
    </row>
    <row r="31" spans="1:21" ht="15.75" customHeight="1">
      <c r="A31" s="275">
        <v>21</v>
      </c>
      <c r="B31" s="276">
        <f>'21'!W27</f>
        <v>0</v>
      </c>
      <c r="C31" s="276">
        <f>'21'!W24</f>
        <v>0</v>
      </c>
      <c r="D31" s="276">
        <f>'21'!W25</f>
        <v>0</v>
      </c>
      <c r="E31" s="276">
        <f>'21'!W26</f>
        <v>75</v>
      </c>
      <c r="F31" s="276">
        <f>'21'!W28</f>
        <v>60</v>
      </c>
      <c r="G31" s="323">
        <f t="shared" si="6"/>
        <v>135</v>
      </c>
    </row>
    <row r="32" spans="1:21" ht="15.75" customHeight="1">
      <c r="A32" s="291" t="s">
        <v>23</v>
      </c>
      <c r="B32" s="292">
        <f t="shared" ref="B32:G32" si="7">SUM(B25:B31)</f>
        <v>0</v>
      </c>
      <c r="C32" s="292">
        <f t="shared" si="7"/>
        <v>0</v>
      </c>
      <c r="D32" s="292">
        <f t="shared" si="7"/>
        <v>0</v>
      </c>
      <c r="E32" s="292">
        <f t="shared" si="7"/>
        <v>75</v>
      </c>
      <c r="F32" s="292">
        <f t="shared" si="7"/>
        <v>360</v>
      </c>
      <c r="G32" s="292">
        <f t="shared" si="7"/>
        <v>435</v>
      </c>
    </row>
    <row r="33" spans="1:21" ht="15.75" customHeight="1"/>
    <row r="34" spans="1:21" ht="15.75" customHeight="1">
      <c r="A34" s="259" t="s">
        <v>7</v>
      </c>
      <c r="B34" s="260" t="str">
        <f t="shared" ref="B34:G34" si="8">B24</f>
        <v>Birthday cake</v>
      </c>
      <c r="C34" s="260" t="str">
        <f t="shared" si="8"/>
        <v>staff bunos / incentives</v>
      </c>
      <c r="D34" s="260" t="str">
        <f t="shared" si="8"/>
        <v>owners pull-out</v>
      </c>
      <c r="E34" s="260" t="str">
        <f t="shared" si="8"/>
        <v>Other Capex</v>
      </c>
      <c r="F34" s="260" t="str">
        <f t="shared" si="8"/>
        <v>SERVICE WATER</v>
      </c>
      <c r="G34" s="260" t="str">
        <f t="shared" si="8"/>
        <v>TOTAL</v>
      </c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</row>
    <row r="35" spans="1:21" ht="15.75" customHeight="1">
      <c r="A35" s="275">
        <v>22</v>
      </c>
      <c r="B35" s="276">
        <f>'22'!W27</f>
        <v>0</v>
      </c>
      <c r="C35" s="276">
        <f>'22'!W24</f>
        <v>0</v>
      </c>
      <c r="D35" s="276">
        <f>'22'!W25</f>
        <v>0</v>
      </c>
      <c r="E35" s="276">
        <f>'22'!W26</f>
        <v>0</v>
      </c>
      <c r="F35" s="276">
        <f>'22'!W28</f>
        <v>0</v>
      </c>
      <c r="G35" s="323">
        <f t="shared" ref="G35:G44" si="9">SUM(B35:F35)</f>
        <v>0</v>
      </c>
    </row>
    <row r="36" spans="1:21" ht="15.75" customHeight="1">
      <c r="A36" s="275">
        <v>23</v>
      </c>
      <c r="B36" s="276">
        <f>'23'!W27</f>
        <v>0</v>
      </c>
      <c r="C36" s="276">
        <f>'23'!W24</f>
        <v>0</v>
      </c>
      <c r="D36" s="276">
        <f>'23'!W25</f>
        <v>0</v>
      </c>
      <c r="E36" s="276">
        <f>'23'!W26</f>
        <v>0</v>
      </c>
      <c r="F36" s="276">
        <f>'23'!W28</f>
        <v>60</v>
      </c>
      <c r="G36" s="323">
        <f t="shared" si="9"/>
        <v>60</v>
      </c>
    </row>
    <row r="37" spans="1:21" ht="15.75" customHeight="1">
      <c r="A37" s="275">
        <v>24</v>
      </c>
      <c r="B37" s="276">
        <f>'24'!W27</f>
        <v>0</v>
      </c>
      <c r="C37" s="276">
        <f>'24'!W24</f>
        <v>0</v>
      </c>
      <c r="D37" s="276">
        <f>'24'!W25</f>
        <v>0</v>
      </c>
      <c r="E37" s="276">
        <f>'24'!W26</f>
        <v>0</v>
      </c>
      <c r="F37" s="276">
        <f>'24'!W28</f>
        <v>0</v>
      </c>
      <c r="G37" s="323">
        <f t="shared" si="9"/>
        <v>0</v>
      </c>
    </row>
    <row r="38" spans="1:21" ht="15.75" customHeight="1">
      <c r="A38" s="275">
        <v>25</v>
      </c>
      <c r="B38" s="276">
        <f>'25'!W27</f>
        <v>0</v>
      </c>
      <c r="C38" s="276">
        <f>'25'!W24</f>
        <v>0</v>
      </c>
      <c r="D38" s="276">
        <f>'25'!W25</f>
        <v>0</v>
      </c>
      <c r="E38" s="276">
        <f>'25'!W26</f>
        <v>0</v>
      </c>
      <c r="F38" s="276">
        <f>'25'!W28</f>
        <v>60</v>
      </c>
      <c r="G38" s="323">
        <f t="shared" si="9"/>
        <v>60</v>
      </c>
    </row>
    <row r="39" spans="1:21" ht="15.75" customHeight="1">
      <c r="A39" s="275">
        <v>26</v>
      </c>
      <c r="B39" s="276">
        <f>'26'!W27</f>
        <v>0</v>
      </c>
      <c r="C39" s="276">
        <f>'26'!W24</f>
        <v>0</v>
      </c>
      <c r="D39" s="276">
        <f>'26'!W25</f>
        <v>0</v>
      </c>
      <c r="E39" s="276">
        <f>'26'!W26</f>
        <v>0</v>
      </c>
      <c r="F39" s="276">
        <f>'26'!W28</f>
        <v>0</v>
      </c>
      <c r="G39" s="323">
        <f t="shared" si="9"/>
        <v>0</v>
      </c>
    </row>
    <row r="40" spans="1:21" ht="15.75" customHeight="1">
      <c r="A40" s="275">
        <v>27</v>
      </c>
      <c r="B40" s="276">
        <f>'27'!W27</f>
        <v>0</v>
      </c>
      <c r="C40" s="276">
        <f>'27'!W24</f>
        <v>0</v>
      </c>
      <c r="D40" s="276">
        <f>'27'!W25</f>
        <v>0</v>
      </c>
      <c r="E40" s="276">
        <f>'27'!W26</f>
        <v>0</v>
      </c>
      <c r="F40" s="276">
        <f>'27'!W28</f>
        <v>90</v>
      </c>
      <c r="G40" s="323">
        <f t="shared" si="9"/>
        <v>90</v>
      </c>
    </row>
    <row r="41" spans="1:21" ht="15.75" customHeight="1">
      <c r="A41" s="275">
        <v>28</v>
      </c>
      <c r="B41" s="276">
        <f>'28'!W27</f>
        <v>0</v>
      </c>
      <c r="C41" s="276">
        <f>'28'!W24</f>
        <v>0</v>
      </c>
      <c r="D41" s="276">
        <f>'28'!W25</f>
        <v>0</v>
      </c>
      <c r="E41" s="276">
        <f>'28'!W26</f>
        <v>0</v>
      </c>
      <c r="F41" s="276">
        <f>'28'!W28</f>
        <v>0</v>
      </c>
      <c r="G41" s="323">
        <f t="shared" si="9"/>
        <v>0</v>
      </c>
    </row>
    <row r="42" spans="1:21" ht="15.75" customHeight="1">
      <c r="A42" s="275">
        <v>29</v>
      </c>
      <c r="B42" s="276">
        <f>'29'!W27</f>
        <v>0</v>
      </c>
      <c r="C42" s="276">
        <f>'29'!W24</f>
        <v>0</v>
      </c>
      <c r="D42" s="276">
        <f>'29'!W25</f>
        <v>0</v>
      </c>
      <c r="E42" s="276">
        <f>'29'!W26</f>
        <v>0</v>
      </c>
      <c r="F42" s="276">
        <f>'29'!W28</f>
        <v>60</v>
      </c>
      <c r="G42" s="323">
        <f t="shared" si="9"/>
        <v>60</v>
      </c>
    </row>
    <row r="43" spans="1:21" ht="15.75" customHeight="1">
      <c r="A43" s="275">
        <v>30</v>
      </c>
      <c r="B43" s="276">
        <f>'30'!W27</f>
        <v>0</v>
      </c>
      <c r="C43" s="276">
        <f>'30'!W24</f>
        <v>0</v>
      </c>
      <c r="D43" s="276">
        <f>'30'!W25</f>
        <v>0</v>
      </c>
      <c r="E43" s="276">
        <f>'30'!W26</f>
        <v>0</v>
      </c>
      <c r="F43" s="276">
        <f>'30'!W28</f>
        <v>0</v>
      </c>
      <c r="G43" s="323">
        <f t="shared" si="9"/>
        <v>0</v>
      </c>
    </row>
    <row r="44" spans="1:21" ht="15.75" customHeight="1">
      <c r="A44" s="275">
        <v>31</v>
      </c>
      <c r="B44" s="276">
        <f>'31'!W27</f>
        <v>0</v>
      </c>
      <c r="C44" s="276">
        <f>'31'!W24</f>
        <v>0</v>
      </c>
      <c r="D44" s="276">
        <f>'31'!W25</f>
        <v>0</v>
      </c>
      <c r="E44" s="276">
        <f>'31'!W26</f>
        <v>0</v>
      </c>
      <c r="F44" s="276">
        <f>'31'!W28</f>
        <v>0</v>
      </c>
      <c r="G44" s="323">
        <f t="shared" si="9"/>
        <v>0</v>
      </c>
    </row>
    <row r="45" spans="1:21" ht="15.75" customHeight="1">
      <c r="A45" s="291" t="s">
        <v>23</v>
      </c>
      <c r="B45" s="292">
        <f t="shared" ref="B45:G45" si="10">SUM(B35:B44)</f>
        <v>0</v>
      </c>
      <c r="C45" s="292">
        <f t="shared" si="10"/>
        <v>0</v>
      </c>
      <c r="D45" s="292">
        <f t="shared" si="10"/>
        <v>0</v>
      </c>
      <c r="E45" s="292">
        <f t="shared" si="10"/>
        <v>0</v>
      </c>
      <c r="F45" s="292">
        <f t="shared" si="10"/>
        <v>270</v>
      </c>
      <c r="G45" s="292">
        <f t="shared" si="10"/>
        <v>270</v>
      </c>
    </row>
    <row r="46" spans="1:21" ht="15.75" customHeight="1">
      <c r="A46" s="330"/>
    </row>
    <row r="47" spans="1:21" ht="15.75" customHeight="1">
      <c r="A47" s="23" t="s">
        <v>156</v>
      </c>
      <c r="B47" s="285">
        <f t="shared" ref="B47:G47" si="11">B12+B22+B32+B45</f>
        <v>0</v>
      </c>
      <c r="C47" s="285">
        <f t="shared" si="11"/>
        <v>500</v>
      </c>
      <c r="D47" s="285">
        <f t="shared" si="11"/>
        <v>0</v>
      </c>
      <c r="E47" s="285">
        <f t="shared" si="11"/>
        <v>575</v>
      </c>
      <c r="F47" s="285">
        <f t="shared" si="11"/>
        <v>1080</v>
      </c>
      <c r="G47" s="285">
        <f t="shared" si="11"/>
        <v>2155</v>
      </c>
    </row>
    <row r="48" spans="1:21" ht="15.75" customHeight="1"/>
    <row r="49" spans="1:2" ht="15.75" customHeight="1"/>
    <row r="50" spans="1:2" ht="15.75" customHeight="1">
      <c r="A50" s="37" t="str">
        <f>B4</f>
        <v>Birthday cake</v>
      </c>
      <c r="B50" s="38">
        <f>B47</f>
        <v>0</v>
      </c>
    </row>
    <row r="51" spans="1:2" ht="15.75" customHeight="1">
      <c r="A51" s="37" t="str">
        <f>C4</f>
        <v>staff bunos / incentives</v>
      </c>
      <c r="B51" s="38">
        <f>C47</f>
        <v>500</v>
      </c>
    </row>
    <row r="52" spans="1:2" ht="15.75" customHeight="1">
      <c r="A52" s="37" t="str">
        <f>D4</f>
        <v>owners pull-out</v>
      </c>
      <c r="B52" s="38">
        <f>D47</f>
        <v>0</v>
      </c>
    </row>
    <row r="53" spans="1:2" ht="15.75" customHeight="1">
      <c r="A53" s="37" t="str">
        <f>E4</f>
        <v>Other Capex</v>
      </c>
      <c r="B53" s="38">
        <f>E47</f>
        <v>575</v>
      </c>
    </row>
    <row r="54" spans="1:2" ht="15.75" customHeight="1">
      <c r="A54" s="37" t="str">
        <f>F4</f>
        <v>SERVICE WATER</v>
      </c>
      <c r="B54" s="38">
        <f>F47</f>
        <v>1080</v>
      </c>
    </row>
    <row r="55" spans="1:2" ht="15.75" customHeight="1">
      <c r="A55" s="37" t="s">
        <v>16</v>
      </c>
      <c r="B55" s="38">
        <f>SUM(B50:B54)</f>
        <v>2155</v>
      </c>
    </row>
    <row r="56" spans="1:2" ht="15.75" customHeight="1">
      <c r="B56" s="38">
        <f>G47-B55</f>
        <v>0</v>
      </c>
    </row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D1:E1"/>
    <mergeCell ref="A2:C2"/>
    <mergeCell ref="A3:B3"/>
    <mergeCell ref="C3:D3"/>
  </mergeCells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5.7265625" customWidth="1"/>
    <col min="2" max="2" width="13" customWidth="1"/>
    <col min="3" max="3" width="13.54296875" customWidth="1"/>
    <col min="4" max="4" width="7.7265625" customWidth="1"/>
    <col min="5" max="5" width="13.81640625" customWidth="1"/>
    <col min="6" max="6" width="14.81640625" customWidth="1"/>
    <col min="7" max="7" width="10" customWidth="1"/>
    <col min="8" max="8" width="12.54296875" customWidth="1"/>
    <col min="9" max="9" width="13.54296875" customWidth="1"/>
    <col min="10" max="10" width="8.81640625" customWidth="1"/>
    <col min="12" max="12" width="12" customWidth="1"/>
    <col min="13" max="13" width="13.26953125" customWidth="1"/>
    <col min="14" max="14" width="7.26953125" customWidth="1"/>
    <col min="15" max="15" width="16.453125" customWidth="1"/>
    <col min="16" max="19" width="15.54296875" customWidth="1"/>
    <col min="20" max="20" width="15.7265625" customWidth="1"/>
    <col min="22" max="22" width="11.7265625" customWidth="1"/>
    <col min="23" max="23" width="13" customWidth="1"/>
  </cols>
  <sheetData>
    <row r="1" spans="1:30" ht="14.5">
      <c r="A1" s="3" t="s">
        <v>166</v>
      </c>
      <c r="G1" s="39"/>
    </row>
    <row r="2" spans="1:30" ht="29">
      <c r="A2" s="332" t="s">
        <v>7</v>
      </c>
      <c r="B2" s="489" t="s">
        <v>113</v>
      </c>
      <c r="C2" s="465"/>
      <c r="D2" s="332"/>
      <c r="E2" s="489" t="s">
        <v>15</v>
      </c>
      <c r="F2" s="465"/>
      <c r="G2" s="333"/>
      <c r="H2" s="489" t="s">
        <v>115</v>
      </c>
      <c r="I2" s="465"/>
      <c r="J2" s="273"/>
      <c r="K2" s="334" t="s">
        <v>151</v>
      </c>
      <c r="L2" s="490" t="s">
        <v>116</v>
      </c>
      <c r="M2" s="423"/>
      <c r="N2" s="335"/>
      <c r="O2" s="336" t="s">
        <v>167</v>
      </c>
      <c r="P2" s="491" t="s">
        <v>168</v>
      </c>
      <c r="Q2" s="445"/>
      <c r="R2" s="423"/>
      <c r="S2" s="335" t="s">
        <v>10</v>
      </c>
      <c r="T2" s="335" t="s">
        <v>169</v>
      </c>
      <c r="U2" s="335" t="s">
        <v>170</v>
      </c>
      <c r="V2" s="335"/>
      <c r="W2" s="335"/>
      <c r="X2" s="273"/>
      <c r="Y2" s="273"/>
      <c r="Z2" s="273"/>
      <c r="AA2" s="273"/>
      <c r="AB2" s="273"/>
      <c r="AC2" s="273"/>
      <c r="AD2" s="273"/>
    </row>
    <row r="3" spans="1:30" ht="30.75" customHeight="1">
      <c r="A3" s="337"/>
      <c r="B3" s="337"/>
      <c r="C3" s="337"/>
      <c r="D3" s="338"/>
      <c r="E3" s="337"/>
      <c r="F3" s="337"/>
      <c r="G3" s="339"/>
      <c r="H3" s="337"/>
      <c r="I3" s="337"/>
      <c r="J3" s="196"/>
      <c r="K3" s="338"/>
      <c r="L3" s="337"/>
      <c r="M3" s="337"/>
      <c r="N3" s="337"/>
      <c r="O3" s="337"/>
      <c r="P3" s="340" t="s">
        <v>171</v>
      </c>
      <c r="Q3" s="340" t="s">
        <v>115</v>
      </c>
      <c r="R3" s="340" t="s">
        <v>172</v>
      </c>
      <c r="S3" s="337"/>
      <c r="T3" s="341"/>
      <c r="U3" s="341" t="s">
        <v>173</v>
      </c>
      <c r="V3" s="341" t="s">
        <v>174</v>
      </c>
      <c r="W3" s="341" t="s">
        <v>175</v>
      </c>
      <c r="X3" s="196"/>
      <c r="Y3" s="196"/>
      <c r="Z3" s="196"/>
      <c r="AA3" s="196"/>
      <c r="AB3" s="196"/>
      <c r="AC3" s="196"/>
      <c r="AD3" s="196"/>
    </row>
    <row r="4" spans="1:30" ht="14.5">
      <c r="A4" s="342">
        <v>1</v>
      </c>
      <c r="B4" s="343">
        <f>GROSS!CA7</f>
        <v>14797</v>
      </c>
      <c r="C4" s="344">
        <f>'1'!H31</f>
        <v>14797</v>
      </c>
      <c r="D4" s="39">
        <f t="shared" ref="D4:D34" si="0">C4-B4</f>
        <v>0</v>
      </c>
      <c r="E4" s="343">
        <f>DELIVERIES!CA7</f>
        <v>10920</v>
      </c>
      <c r="F4" s="344">
        <f>'1'!Z32</f>
        <v>10920</v>
      </c>
      <c r="G4" s="39">
        <f t="shared" ref="G4:G34" si="1">F4-E4</f>
        <v>0</v>
      </c>
      <c r="H4" s="343">
        <f>OPEX!AS5</f>
        <v>5644</v>
      </c>
      <c r="I4" s="344">
        <f>'1'!Z34</f>
        <v>4270</v>
      </c>
      <c r="J4" s="39">
        <f t="shared" ref="J4:J34" si="2">I4-H4</f>
        <v>-1374</v>
      </c>
      <c r="K4" s="345"/>
      <c r="L4" s="345">
        <f>CAPEX!G5</f>
        <v>0</v>
      </c>
      <c r="M4" s="345">
        <f>'1'!W30</f>
        <v>0</v>
      </c>
      <c r="N4" s="70">
        <f t="shared" ref="N4:N34" si="3">L4-M4</f>
        <v>0</v>
      </c>
      <c r="O4" s="345">
        <f>'1'!W22</f>
        <v>1700</v>
      </c>
      <c r="P4" s="346">
        <f>'1'!Z35</f>
        <v>9220</v>
      </c>
      <c r="Q4" s="346">
        <f>'1'!Z38</f>
        <v>0</v>
      </c>
      <c r="R4" s="346">
        <f t="shared" ref="R4:R35" si="4">P4+Q4</f>
        <v>9220</v>
      </c>
      <c r="S4" s="345">
        <f>'1'!B36</f>
        <v>8827</v>
      </c>
      <c r="T4" s="347">
        <f>'1'!B37</f>
        <v>0</v>
      </c>
      <c r="U4" s="348">
        <f>'1'!W11</f>
        <v>0</v>
      </c>
      <c r="V4" s="349">
        <f>'1'!T15</f>
        <v>0</v>
      </c>
      <c r="W4" s="350">
        <f>'1'!W12</f>
        <v>0</v>
      </c>
    </row>
    <row r="5" spans="1:30" ht="14.5">
      <c r="A5" s="342">
        <v>2</v>
      </c>
      <c r="B5" s="343">
        <f>GROSS!CA8</f>
        <v>17889</v>
      </c>
      <c r="C5" s="345">
        <f>'2'!H31</f>
        <v>17889</v>
      </c>
      <c r="D5" s="39">
        <f t="shared" si="0"/>
        <v>0</v>
      </c>
      <c r="E5" s="343">
        <f>DELIVERIES!CA8</f>
        <v>8645</v>
      </c>
      <c r="F5" s="345">
        <f>'2'!Z32</f>
        <v>8525</v>
      </c>
      <c r="G5" s="39">
        <f t="shared" si="1"/>
        <v>-120</v>
      </c>
      <c r="H5" s="343">
        <f>OPEX!AS6</f>
        <v>1284</v>
      </c>
      <c r="I5" s="345">
        <f>'2'!Z34</f>
        <v>1284</v>
      </c>
      <c r="J5" s="39">
        <f t="shared" si="2"/>
        <v>0</v>
      </c>
      <c r="K5" s="345"/>
      <c r="L5" s="345">
        <f>CAPEX!G6</f>
        <v>60</v>
      </c>
      <c r="M5" s="345">
        <f>'2'!W30</f>
        <v>60</v>
      </c>
      <c r="N5" s="70">
        <f t="shared" si="3"/>
        <v>0</v>
      </c>
      <c r="O5" s="345">
        <f>'2'!W22</f>
        <v>2095</v>
      </c>
      <c r="P5" s="346">
        <f>'2'!Z35</f>
        <v>6430</v>
      </c>
      <c r="Q5" s="346">
        <f>'2'!Z38</f>
        <v>0</v>
      </c>
      <c r="R5" s="346">
        <f t="shared" si="4"/>
        <v>6430</v>
      </c>
      <c r="S5" s="345">
        <f>'2'!B36</f>
        <v>14450</v>
      </c>
      <c r="T5" s="347">
        <f>'2'!B37</f>
        <v>0</v>
      </c>
      <c r="U5" s="348">
        <f>'2'!W11</f>
        <v>0</v>
      </c>
      <c r="V5" s="348">
        <f>'2'!T15</f>
        <v>0</v>
      </c>
      <c r="W5" s="348">
        <f>'2'!W12</f>
        <v>0</v>
      </c>
      <c r="X5" s="37"/>
    </row>
    <row r="6" spans="1:30" ht="14.5">
      <c r="A6" s="342">
        <v>3</v>
      </c>
      <c r="B6" s="343">
        <f>GROSS!CA9</f>
        <v>16664</v>
      </c>
      <c r="C6" s="345">
        <f>'3'!H31</f>
        <v>16664</v>
      </c>
      <c r="D6" s="39">
        <f t="shared" si="0"/>
        <v>0</v>
      </c>
      <c r="E6" s="343">
        <f>DELIVERIES!CA9</f>
        <v>13770</v>
      </c>
      <c r="F6" s="345">
        <f>'3'!Z32</f>
        <v>13890</v>
      </c>
      <c r="G6" s="39">
        <f t="shared" si="1"/>
        <v>120</v>
      </c>
      <c r="H6" s="343">
        <f>OPEX!AS7</f>
        <v>2735</v>
      </c>
      <c r="I6" s="345">
        <f>'3'!Z34</f>
        <v>2735</v>
      </c>
      <c r="J6" s="39">
        <f t="shared" si="2"/>
        <v>0</v>
      </c>
      <c r="K6" s="345"/>
      <c r="L6" s="345">
        <f>CAPEX!G7</f>
        <v>0</v>
      </c>
      <c r="M6" s="345">
        <f>'3'!W30</f>
        <v>0</v>
      </c>
      <c r="N6" s="70">
        <f t="shared" si="3"/>
        <v>0</v>
      </c>
      <c r="O6" s="345">
        <f>'3'!W22</f>
        <v>4400</v>
      </c>
      <c r="P6" s="346">
        <f>'3'!Z35</f>
        <v>9490</v>
      </c>
      <c r="Q6" s="346">
        <f>'3'!Z38</f>
        <v>1644</v>
      </c>
      <c r="R6" s="346">
        <f t="shared" si="4"/>
        <v>11134</v>
      </c>
      <c r="S6" s="345">
        <f>'3'!B36</f>
        <v>11181.5</v>
      </c>
      <c r="T6" s="347">
        <f>'3'!B37</f>
        <v>8.5</v>
      </c>
      <c r="U6" s="348">
        <f>'3'!W11</f>
        <v>0</v>
      </c>
      <c r="V6" s="348">
        <f>'3'!T15</f>
        <v>0</v>
      </c>
      <c r="W6" s="348">
        <f>'3'!W12</f>
        <v>0</v>
      </c>
    </row>
    <row r="7" spans="1:30" ht="14.5">
      <c r="A7" s="342">
        <v>4</v>
      </c>
      <c r="B7" s="343">
        <f>GROSS!CA10</f>
        <v>12936</v>
      </c>
      <c r="C7" s="345">
        <f>'4'!H31</f>
        <v>12936</v>
      </c>
      <c r="D7" s="39">
        <f t="shared" si="0"/>
        <v>0</v>
      </c>
      <c r="E7" s="343">
        <f>DELIVERIES!CA10</f>
        <v>20130</v>
      </c>
      <c r="F7" s="345">
        <f>'4'!Z32</f>
        <v>20130</v>
      </c>
      <c r="G7" s="39">
        <f t="shared" si="1"/>
        <v>0</v>
      </c>
      <c r="H7" s="343">
        <f>OPEX!AS8</f>
        <v>13797.5</v>
      </c>
      <c r="I7" s="345">
        <f>'4'!Z34</f>
        <v>13797.5</v>
      </c>
      <c r="J7" s="39">
        <f t="shared" si="2"/>
        <v>0</v>
      </c>
      <c r="K7" s="345"/>
      <c r="L7" s="345">
        <f>CAPEX!G8</f>
        <v>90</v>
      </c>
      <c r="M7" s="345">
        <f>'4'!W30</f>
        <v>90</v>
      </c>
      <c r="N7" s="70">
        <f t="shared" si="3"/>
        <v>0</v>
      </c>
      <c r="O7" s="345">
        <f>'4'!W22</f>
        <v>1360</v>
      </c>
      <c r="P7" s="346">
        <f>'4'!Z35</f>
        <v>18770</v>
      </c>
      <c r="Q7" s="346">
        <f>'4'!Z38</f>
        <v>3235</v>
      </c>
      <c r="R7" s="346">
        <f t="shared" si="4"/>
        <v>22005</v>
      </c>
      <c r="S7" s="345">
        <f>'4'!B36</f>
        <v>2424</v>
      </c>
      <c r="T7" s="347">
        <f>'4'!B37</f>
        <v>0.5</v>
      </c>
      <c r="U7" s="348">
        <f>'4'!W11</f>
        <v>237.5</v>
      </c>
      <c r="V7" s="348">
        <f>'4'!T15</f>
        <v>0</v>
      </c>
      <c r="W7" s="348">
        <f>'4'!W12</f>
        <v>1500</v>
      </c>
      <c r="X7" s="37"/>
    </row>
    <row r="8" spans="1:30" ht="14.5">
      <c r="A8" s="342">
        <v>5</v>
      </c>
      <c r="B8" s="343">
        <f>GROSS!CA11</f>
        <v>19041</v>
      </c>
      <c r="C8" s="345">
        <f>'5'!H31</f>
        <v>19041</v>
      </c>
      <c r="D8" s="39">
        <f t="shared" si="0"/>
        <v>0</v>
      </c>
      <c r="E8" s="343">
        <f>DELIVERIES!CA11</f>
        <v>1997.5</v>
      </c>
      <c r="F8" s="345">
        <f>'5'!Z32</f>
        <v>1997.5</v>
      </c>
      <c r="G8" s="39">
        <f t="shared" si="1"/>
        <v>0</v>
      </c>
      <c r="H8" s="343">
        <f>OPEX!AS9</f>
        <v>4270</v>
      </c>
      <c r="I8" s="345">
        <f>'5'!Z34</f>
        <v>4270</v>
      </c>
      <c r="J8" s="39">
        <f t="shared" si="2"/>
        <v>0</v>
      </c>
      <c r="K8" s="345"/>
      <c r="L8" s="345">
        <f>CAPEX!G9</f>
        <v>500</v>
      </c>
      <c r="M8" s="345">
        <f>'5'!W30</f>
        <v>500</v>
      </c>
      <c r="N8" s="70">
        <f t="shared" si="3"/>
        <v>0</v>
      </c>
      <c r="O8" s="345">
        <f>'5'!W22</f>
        <v>1997.5</v>
      </c>
      <c r="P8" s="346">
        <f>'5'!Z35</f>
        <v>0</v>
      </c>
      <c r="Q8" s="346">
        <f>'5'!Z38</f>
        <v>0</v>
      </c>
      <c r="R8" s="346">
        <f t="shared" si="4"/>
        <v>0</v>
      </c>
      <c r="S8" s="345">
        <f>'5'!B36</f>
        <v>12279</v>
      </c>
      <c r="T8" s="347">
        <f>'5'!B37</f>
        <v>5.5</v>
      </c>
      <c r="U8" s="348">
        <f>'5'!W11</f>
        <v>0</v>
      </c>
      <c r="V8" s="348">
        <f>'5'!T15</f>
        <v>0</v>
      </c>
      <c r="W8" s="348">
        <f>'5'!W12</f>
        <v>0</v>
      </c>
    </row>
    <row r="9" spans="1:30" ht="14.5">
      <c r="A9" s="342">
        <v>6</v>
      </c>
      <c r="B9" s="343">
        <f>GROSS!CA12</f>
        <v>16561</v>
      </c>
      <c r="C9" s="345">
        <f>'6'!H31</f>
        <v>16561</v>
      </c>
      <c r="D9" s="39">
        <f t="shared" si="0"/>
        <v>0</v>
      </c>
      <c r="E9" s="343">
        <f>DELIVERIES!CA12</f>
        <v>7145</v>
      </c>
      <c r="F9" s="345">
        <f>'6'!Z32</f>
        <v>7145</v>
      </c>
      <c r="G9" s="39">
        <f t="shared" si="1"/>
        <v>0</v>
      </c>
      <c r="H9" s="343">
        <f>OPEX!AS10</f>
        <v>5185</v>
      </c>
      <c r="I9" s="345">
        <f>'6'!Z34</f>
        <v>5185</v>
      </c>
      <c r="J9" s="39">
        <f t="shared" si="2"/>
        <v>0</v>
      </c>
      <c r="K9" s="345"/>
      <c r="L9" s="345">
        <f>CAPEX!G10</f>
        <v>60</v>
      </c>
      <c r="M9" s="345">
        <f>'6'!W30</f>
        <v>60</v>
      </c>
      <c r="N9" s="70">
        <f t="shared" si="3"/>
        <v>0</v>
      </c>
      <c r="O9" s="345">
        <f>'6'!W22</f>
        <v>2115</v>
      </c>
      <c r="P9" s="346">
        <f>'6'!Z35</f>
        <v>5030</v>
      </c>
      <c r="Q9" s="346">
        <f>'6'!Z38</f>
        <v>0</v>
      </c>
      <c r="R9" s="346">
        <f t="shared" si="4"/>
        <v>5030</v>
      </c>
      <c r="S9" s="345">
        <f>'6'!B36</f>
        <v>9207.5</v>
      </c>
      <c r="T9" s="347">
        <f>'6'!B37</f>
        <v>6.5</v>
      </c>
      <c r="U9" s="348">
        <f>'6'!W11</f>
        <v>0</v>
      </c>
      <c r="V9" s="348">
        <f>'6'!T15</f>
        <v>0</v>
      </c>
      <c r="W9" s="348">
        <f>'6'!W12</f>
        <v>0</v>
      </c>
      <c r="X9" s="37"/>
    </row>
    <row r="10" spans="1:30" ht="14.5">
      <c r="A10" s="342">
        <v>7</v>
      </c>
      <c r="B10" s="343">
        <f>GROSS!CA13</f>
        <v>14102</v>
      </c>
      <c r="C10" s="345">
        <f>'7'!H31</f>
        <v>14102</v>
      </c>
      <c r="D10" s="39">
        <f t="shared" si="0"/>
        <v>0</v>
      </c>
      <c r="E10" s="343">
        <f>DELIVERIES!CA13</f>
        <v>11394</v>
      </c>
      <c r="F10" s="345">
        <f>'7'!Z32</f>
        <v>11394</v>
      </c>
      <c r="G10" s="39">
        <f t="shared" si="1"/>
        <v>0</v>
      </c>
      <c r="H10" s="343">
        <f>OPEX!AS11</f>
        <v>2430</v>
      </c>
      <c r="I10" s="345">
        <f>'7'!Z34</f>
        <v>2430</v>
      </c>
      <c r="J10" s="39">
        <f t="shared" si="2"/>
        <v>0</v>
      </c>
      <c r="K10" s="345"/>
      <c r="L10" s="345">
        <f>CAPEX!G11</f>
        <v>530</v>
      </c>
      <c r="M10" s="345">
        <f>'7'!W30</f>
        <v>530</v>
      </c>
      <c r="N10" s="70">
        <f t="shared" si="3"/>
        <v>0</v>
      </c>
      <c r="O10" s="345">
        <f>'7'!W22</f>
        <v>3504</v>
      </c>
      <c r="P10" s="346">
        <f>'7'!Z35</f>
        <v>7890</v>
      </c>
      <c r="Q10" s="346">
        <f>'7'!Z38</f>
        <v>270</v>
      </c>
      <c r="R10" s="346">
        <f t="shared" si="4"/>
        <v>8160</v>
      </c>
      <c r="S10" s="345">
        <f>'7'!B36</f>
        <v>6410</v>
      </c>
      <c r="T10" s="347">
        <f>'7'!B37</f>
        <v>2</v>
      </c>
      <c r="U10" s="348">
        <f>'7'!W11</f>
        <v>0</v>
      </c>
      <c r="V10" s="348">
        <f>'7'!T15</f>
        <v>1500</v>
      </c>
      <c r="W10" s="348">
        <f>'7'!W12</f>
        <v>0</v>
      </c>
    </row>
    <row r="11" spans="1:30" ht="14.5">
      <c r="A11" s="342">
        <v>8</v>
      </c>
      <c r="B11" s="70">
        <f>GROSS!CA19</f>
        <v>18444</v>
      </c>
      <c r="C11" s="345">
        <f>'8'!H31</f>
        <v>18444</v>
      </c>
      <c r="D11" s="39">
        <f t="shared" si="0"/>
        <v>0</v>
      </c>
      <c r="E11" s="70">
        <f>DELIVERIES!CA19</f>
        <v>7550</v>
      </c>
      <c r="F11" s="345">
        <f>'8'!Z32</f>
        <v>7550</v>
      </c>
      <c r="G11" s="39">
        <f t="shared" si="1"/>
        <v>0</v>
      </c>
      <c r="H11" s="70">
        <f>OPEX!AS15</f>
        <v>8366.2899999999991</v>
      </c>
      <c r="I11" s="345">
        <f>'8'!Z34</f>
        <v>8366.2900000000009</v>
      </c>
      <c r="J11" s="39">
        <f t="shared" si="2"/>
        <v>0</v>
      </c>
      <c r="K11" s="345"/>
      <c r="L11" s="345">
        <f>CAPEX!G15</f>
        <v>0</v>
      </c>
      <c r="M11" s="345">
        <f>'8'!W30</f>
        <v>0</v>
      </c>
      <c r="N11" s="70">
        <f t="shared" si="3"/>
        <v>0</v>
      </c>
      <c r="O11" s="345">
        <f>'8'!W22</f>
        <v>1530</v>
      </c>
      <c r="P11" s="346">
        <f>'8'!Z35</f>
        <v>6020</v>
      </c>
      <c r="Q11" s="346">
        <f>'8'!Z38</f>
        <v>1591</v>
      </c>
      <c r="R11" s="346">
        <f t="shared" si="4"/>
        <v>7611</v>
      </c>
      <c r="S11" s="345">
        <f>'8'!B36</f>
        <v>10141</v>
      </c>
      <c r="T11" s="347">
        <f>'8'!B37</f>
        <v>2.2900000000008731</v>
      </c>
      <c r="U11" s="348">
        <f>'8'!W11</f>
        <v>0</v>
      </c>
      <c r="V11" s="348">
        <f>'8'!T15</f>
        <v>0</v>
      </c>
      <c r="W11" s="348">
        <f>'8'!W12</f>
        <v>0</v>
      </c>
      <c r="X11" s="37"/>
    </row>
    <row r="12" spans="1:30" ht="14.5">
      <c r="A12" s="342">
        <v>9</v>
      </c>
      <c r="B12" s="70">
        <f>GROSS!CA20</f>
        <v>18214</v>
      </c>
      <c r="C12" s="345">
        <f>'9'!H31</f>
        <v>18214</v>
      </c>
      <c r="D12" s="39">
        <f t="shared" si="0"/>
        <v>0</v>
      </c>
      <c r="E12" s="70">
        <f>DELIVERIES!CA20</f>
        <v>9410</v>
      </c>
      <c r="F12" s="345">
        <f>'9'!Z32</f>
        <v>9410</v>
      </c>
      <c r="G12" s="39">
        <f t="shared" si="1"/>
        <v>0</v>
      </c>
      <c r="H12" s="70">
        <f>OPEX!AS16</f>
        <v>9752.25</v>
      </c>
      <c r="I12" s="345">
        <f>'9'!Z34</f>
        <v>9752.25</v>
      </c>
      <c r="J12" s="39">
        <f t="shared" si="2"/>
        <v>0</v>
      </c>
      <c r="K12" s="345"/>
      <c r="L12" s="345">
        <f>CAPEX!G16</f>
        <v>60</v>
      </c>
      <c r="M12" s="345">
        <f>'9'!W30</f>
        <v>60</v>
      </c>
      <c r="N12" s="70">
        <f t="shared" si="3"/>
        <v>0</v>
      </c>
      <c r="O12" s="345">
        <f>'9'!W22</f>
        <v>1530</v>
      </c>
      <c r="P12" s="346">
        <f>'9'!Z35</f>
        <v>7880</v>
      </c>
      <c r="Q12" s="346">
        <f>'9'!Z38</f>
        <v>1374</v>
      </c>
      <c r="R12" s="346">
        <f t="shared" si="4"/>
        <v>9254</v>
      </c>
      <c r="S12" s="345">
        <f>'9'!B36</f>
        <v>8250</v>
      </c>
      <c r="T12" s="347">
        <f>'9'!B37</f>
        <v>4.25</v>
      </c>
      <c r="U12" s="348">
        <f>'9'!W11</f>
        <v>0</v>
      </c>
      <c r="V12" s="348">
        <f>'9'!T15</f>
        <v>0</v>
      </c>
      <c r="W12" s="348">
        <f>'9'!W12</f>
        <v>0</v>
      </c>
    </row>
    <row r="13" spans="1:30" ht="14.5">
      <c r="A13" s="342">
        <v>10</v>
      </c>
      <c r="B13" s="70">
        <f>GROSS!CA21</f>
        <v>15286</v>
      </c>
      <c r="C13" s="345">
        <f>'10'!H31</f>
        <v>15286</v>
      </c>
      <c r="D13" s="39">
        <f t="shared" si="0"/>
        <v>0</v>
      </c>
      <c r="E13" s="70">
        <f>DELIVERIES!CA21</f>
        <v>12755</v>
      </c>
      <c r="F13" s="345">
        <f>'10'!Z32</f>
        <v>12755</v>
      </c>
      <c r="G13" s="39">
        <f t="shared" si="1"/>
        <v>0</v>
      </c>
      <c r="H13" s="70">
        <f>OPEX!AS17</f>
        <v>5270</v>
      </c>
      <c r="I13" s="345">
        <f>'10'!Z34</f>
        <v>5270</v>
      </c>
      <c r="J13" s="39">
        <f t="shared" si="2"/>
        <v>0</v>
      </c>
      <c r="K13" s="345"/>
      <c r="L13" s="345">
        <f>CAPEX!G17</f>
        <v>0</v>
      </c>
      <c r="M13" s="345">
        <f>'10'!W30</f>
        <v>0</v>
      </c>
      <c r="N13" s="70">
        <f t="shared" si="3"/>
        <v>0</v>
      </c>
      <c r="O13" s="345">
        <f>'10'!W22</f>
        <v>3505</v>
      </c>
      <c r="P13" s="346">
        <f>'10'!Z35</f>
        <v>9250</v>
      </c>
      <c r="Q13" s="346">
        <f>'10'!Z38</f>
        <v>270</v>
      </c>
      <c r="R13" s="346">
        <f t="shared" si="4"/>
        <v>9520</v>
      </c>
      <c r="S13" s="345">
        <f>'10'!B36</f>
        <v>6781</v>
      </c>
      <c r="T13" s="347">
        <f>'10'!B37</f>
        <v>0</v>
      </c>
      <c r="U13" s="348">
        <f>'10'!W11</f>
        <v>0</v>
      </c>
      <c r="V13" s="348">
        <f>'10'!T15</f>
        <v>0</v>
      </c>
      <c r="W13" s="348">
        <f>'10'!W12</f>
        <v>0</v>
      </c>
      <c r="X13" s="37"/>
    </row>
    <row r="14" spans="1:30" ht="14.5">
      <c r="A14" s="342">
        <v>11</v>
      </c>
      <c r="B14" s="70">
        <f>GROSS!CA22</f>
        <v>17440</v>
      </c>
      <c r="C14" s="345">
        <f>'11'!H31</f>
        <v>17440</v>
      </c>
      <c r="D14" s="39">
        <f t="shared" si="0"/>
        <v>0</v>
      </c>
      <c r="E14" s="70">
        <f>DELIVERIES!CA22</f>
        <v>21673</v>
      </c>
      <c r="F14" s="345">
        <f>'11'!Z32</f>
        <v>21673</v>
      </c>
      <c r="G14" s="39">
        <f t="shared" si="1"/>
        <v>0</v>
      </c>
      <c r="H14" s="70">
        <f>OPEX!AS18</f>
        <v>16676.5</v>
      </c>
      <c r="I14" s="345">
        <f>'11'!Z34</f>
        <v>16676.5</v>
      </c>
      <c r="J14" s="39">
        <f t="shared" si="2"/>
        <v>0</v>
      </c>
      <c r="K14" s="345"/>
      <c r="L14" s="345">
        <f>CAPEX!G18</f>
        <v>60</v>
      </c>
      <c r="M14" s="345">
        <f>'11'!W30</f>
        <v>60</v>
      </c>
      <c r="N14" s="70">
        <f t="shared" si="3"/>
        <v>0</v>
      </c>
      <c r="O14" s="345">
        <f>'11'!W22</f>
        <v>1823</v>
      </c>
      <c r="P14" s="346">
        <f>'11'!Z35</f>
        <v>19850</v>
      </c>
      <c r="Q14" s="346">
        <f>'11'!Z38</f>
        <v>1914</v>
      </c>
      <c r="R14" s="346">
        <f t="shared" si="4"/>
        <v>21764</v>
      </c>
      <c r="S14" s="345">
        <f>'11'!B36</f>
        <v>2295</v>
      </c>
      <c r="T14" s="347">
        <f>'11'!B37</f>
        <v>0.5</v>
      </c>
      <c r="U14" s="348">
        <f>'11'!W11</f>
        <v>237.5</v>
      </c>
      <c r="V14" s="348">
        <f>'11'!T15</f>
        <v>0</v>
      </c>
      <c r="W14" s="348">
        <f>'11'!W12</f>
        <v>1500</v>
      </c>
    </row>
    <row r="15" spans="1:30" ht="14.5">
      <c r="A15" s="342">
        <v>12</v>
      </c>
      <c r="B15" s="70">
        <f>GROSS!CA23</f>
        <v>20150</v>
      </c>
      <c r="C15" s="345">
        <f>'12'!H31</f>
        <v>20150</v>
      </c>
      <c r="D15" s="39">
        <f t="shared" si="0"/>
        <v>0</v>
      </c>
      <c r="E15" s="70">
        <f>DELIVERIES!CA23</f>
        <v>1530</v>
      </c>
      <c r="F15" s="345">
        <f>'12'!Z32</f>
        <v>1530</v>
      </c>
      <c r="G15" s="39">
        <f t="shared" si="1"/>
        <v>0</v>
      </c>
      <c r="H15" s="70">
        <f>OPEX!AS19</f>
        <v>1022.14</v>
      </c>
      <c r="I15" s="345">
        <f>'12'!Z34</f>
        <v>1022.14</v>
      </c>
      <c r="J15" s="39">
        <f t="shared" si="2"/>
        <v>0</v>
      </c>
      <c r="K15" s="345"/>
      <c r="L15" s="345">
        <f>CAPEX!G19</f>
        <v>0</v>
      </c>
      <c r="M15" s="345">
        <f>'12'!W30</f>
        <v>0</v>
      </c>
      <c r="N15" s="70">
        <f t="shared" si="3"/>
        <v>0</v>
      </c>
      <c r="O15" s="345">
        <f>'12'!W22</f>
        <v>1530</v>
      </c>
      <c r="P15" s="346">
        <f>'12'!Z35</f>
        <v>0</v>
      </c>
      <c r="Q15" s="346">
        <f>'12'!Z38</f>
        <v>0</v>
      </c>
      <c r="R15" s="346">
        <f t="shared" si="4"/>
        <v>0</v>
      </c>
      <c r="S15" s="345">
        <f>'12'!B36</f>
        <v>17603</v>
      </c>
      <c r="T15" s="347">
        <f>'12'!B37</f>
        <v>5.1399999999994179</v>
      </c>
      <c r="U15" s="348">
        <f>'12'!W11</f>
        <v>0</v>
      </c>
      <c r="V15" s="348">
        <f>'12'!T15</f>
        <v>0</v>
      </c>
      <c r="W15" s="348">
        <f>'12'!W12</f>
        <v>0</v>
      </c>
      <c r="X15" s="37"/>
    </row>
    <row r="16" spans="1:30" ht="14.5">
      <c r="A16" s="342">
        <v>13</v>
      </c>
      <c r="B16" s="70">
        <f>GROSS!CA24</f>
        <v>15248</v>
      </c>
      <c r="C16" s="345">
        <f>'13'!H31</f>
        <v>15248</v>
      </c>
      <c r="D16" s="39">
        <f t="shared" si="0"/>
        <v>0</v>
      </c>
      <c r="E16" s="70">
        <f>DELIVERIES!CA24</f>
        <v>11665</v>
      </c>
      <c r="F16" s="345">
        <f>'13'!Z32</f>
        <v>11665</v>
      </c>
      <c r="G16" s="39">
        <f t="shared" si="1"/>
        <v>0</v>
      </c>
      <c r="H16" s="70">
        <f>OPEX!AS20</f>
        <v>1866</v>
      </c>
      <c r="I16" s="345">
        <f>'13'!Z34</f>
        <v>1866</v>
      </c>
      <c r="J16" s="39">
        <f t="shared" si="2"/>
        <v>0</v>
      </c>
      <c r="K16" s="345"/>
      <c r="L16" s="345">
        <f>CAPEX!G20</f>
        <v>90</v>
      </c>
      <c r="M16" s="345">
        <f>'13'!W30</f>
        <v>90</v>
      </c>
      <c r="N16" s="70">
        <f t="shared" si="3"/>
        <v>0</v>
      </c>
      <c r="O16" s="345">
        <f>'13'!W22</f>
        <v>2725</v>
      </c>
      <c r="P16" s="346">
        <f>'13'!Z35</f>
        <v>8940</v>
      </c>
      <c r="Q16" s="346">
        <f>'13'!Z38</f>
        <v>1591</v>
      </c>
      <c r="R16" s="346">
        <f t="shared" si="4"/>
        <v>10531</v>
      </c>
      <c r="S16" s="345">
        <f>'13'!B36</f>
        <v>12159</v>
      </c>
      <c r="T16" s="347">
        <f>'13'!B37</f>
        <v>1</v>
      </c>
      <c r="U16" s="348">
        <f>'13'!W11</f>
        <v>0</v>
      </c>
      <c r="V16" s="348">
        <f>'13'!T15</f>
        <v>0</v>
      </c>
      <c r="W16" s="348">
        <f>'13'!W12</f>
        <v>0</v>
      </c>
    </row>
    <row r="17" spans="1:24" ht="14.5">
      <c r="A17" s="342">
        <v>14</v>
      </c>
      <c r="B17" s="70">
        <f>GROSS!CA25</f>
        <v>15740</v>
      </c>
      <c r="C17" s="345">
        <f>'14'!H31</f>
        <v>15740</v>
      </c>
      <c r="D17" s="39">
        <f t="shared" si="0"/>
        <v>0</v>
      </c>
      <c r="E17" s="70">
        <f>DELIVERIES!CA25</f>
        <v>10631</v>
      </c>
      <c r="F17" s="345">
        <f>'14'!Z32</f>
        <v>10631</v>
      </c>
      <c r="G17" s="39">
        <f t="shared" si="1"/>
        <v>0</v>
      </c>
      <c r="H17" s="70">
        <f>OPEX!AS21</f>
        <v>6409.5</v>
      </c>
      <c r="I17" s="345">
        <f>'14'!Z34</f>
        <v>6409.5</v>
      </c>
      <c r="J17" s="39">
        <f t="shared" si="2"/>
        <v>0</v>
      </c>
      <c r="K17" s="345"/>
      <c r="L17" s="345">
        <f>CAPEX!G21</f>
        <v>0</v>
      </c>
      <c r="M17" s="345">
        <f>'14'!W30</f>
        <v>0</v>
      </c>
      <c r="N17" s="70">
        <f t="shared" si="3"/>
        <v>0</v>
      </c>
      <c r="O17" s="345">
        <f>'14'!W23</f>
        <v>0</v>
      </c>
      <c r="P17" s="346">
        <f>'14'!Z36</f>
        <v>13569.5</v>
      </c>
      <c r="Q17" s="346">
        <f>'14'!Z39</f>
        <v>0</v>
      </c>
      <c r="R17" s="346">
        <f t="shared" si="4"/>
        <v>13569.5</v>
      </c>
      <c r="S17" s="345">
        <f>'14'!B36</f>
        <v>5359.5</v>
      </c>
      <c r="T17" s="347">
        <f>'14'!B37</f>
        <v>0</v>
      </c>
      <c r="U17" s="348">
        <f>'14'!W12</f>
        <v>0</v>
      </c>
      <c r="V17" s="348">
        <f>'14'!T15</f>
        <v>500</v>
      </c>
      <c r="W17" s="348">
        <f>'14'!W12</f>
        <v>0</v>
      </c>
      <c r="X17" s="37"/>
    </row>
    <row r="18" spans="1:24" ht="14.5">
      <c r="A18" s="342">
        <v>15</v>
      </c>
      <c r="B18" s="70">
        <f>GROSS!CA31</f>
        <v>18654</v>
      </c>
      <c r="C18" s="345">
        <f>'15'!H31</f>
        <v>18654</v>
      </c>
      <c r="D18" s="39">
        <f t="shared" si="0"/>
        <v>0</v>
      </c>
      <c r="E18" s="70">
        <f>DELIVERIES!CA31</f>
        <v>8770</v>
      </c>
      <c r="F18" s="345">
        <f>'15'!Z32</f>
        <v>8770</v>
      </c>
      <c r="G18" s="39">
        <f t="shared" si="1"/>
        <v>0</v>
      </c>
      <c r="H18" s="70">
        <f>OPEX!AS25</f>
        <v>4381.87</v>
      </c>
      <c r="I18" s="345">
        <f>'15'!Z34</f>
        <v>4381.87</v>
      </c>
      <c r="J18" s="39">
        <f t="shared" si="2"/>
        <v>0</v>
      </c>
      <c r="K18" s="345"/>
      <c r="L18" s="345">
        <f>CAPEX!G25</f>
        <v>90</v>
      </c>
      <c r="M18" s="345">
        <f>'15'!W30</f>
        <v>90</v>
      </c>
      <c r="N18" s="70">
        <f t="shared" si="3"/>
        <v>0</v>
      </c>
      <c r="O18" s="345">
        <f>'15'!W22</f>
        <v>1530</v>
      </c>
      <c r="P18" s="346">
        <f>'15'!Z35</f>
        <v>7240</v>
      </c>
      <c r="Q18" s="346">
        <f>'15'!Z38</f>
        <v>1374</v>
      </c>
      <c r="R18" s="346">
        <f t="shared" si="4"/>
        <v>8614</v>
      </c>
      <c r="S18" s="345">
        <f>'15'!B36</f>
        <v>14026</v>
      </c>
      <c r="T18" s="347">
        <f>'15'!B37</f>
        <v>-0.13000000000101863</v>
      </c>
      <c r="U18" s="348">
        <f>'15'!W11</f>
        <v>0</v>
      </c>
      <c r="V18" s="348">
        <f>'15'!T15</f>
        <v>0</v>
      </c>
      <c r="W18" s="348">
        <f>'15'!W12</f>
        <v>0</v>
      </c>
    </row>
    <row r="19" spans="1:24" ht="14.5">
      <c r="A19" s="342">
        <v>16</v>
      </c>
      <c r="B19" s="70">
        <f>GROSS!CA32</f>
        <v>17527</v>
      </c>
      <c r="C19" s="345">
        <f>'16'!H31</f>
        <v>17527</v>
      </c>
      <c r="D19" s="39">
        <f t="shared" si="0"/>
        <v>0</v>
      </c>
      <c r="E19" s="70">
        <f>DELIVERIES!CA32</f>
        <v>9735</v>
      </c>
      <c r="F19" s="345">
        <f>'16'!Z32</f>
        <v>9735</v>
      </c>
      <c r="G19" s="39">
        <f t="shared" si="1"/>
        <v>0</v>
      </c>
      <c r="H19" s="70">
        <f>OPEX!AS26</f>
        <v>4060</v>
      </c>
      <c r="I19" s="345">
        <f>'16'!Z34</f>
        <v>4060</v>
      </c>
      <c r="J19" s="39">
        <f t="shared" si="2"/>
        <v>0</v>
      </c>
      <c r="K19" s="345"/>
      <c r="L19" s="345">
        <f>CAPEX!G26</f>
        <v>0</v>
      </c>
      <c r="M19" s="345">
        <f>'16'!W30</f>
        <v>0</v>
      </c>
      <c r="N19" s="70">
        <f t="shared" si="3"/>
        <v>0</v>
      </c>
      <c r="O19" s="345">
        <f>'16'!W22</f>
        <v>1615</v>
      </c>
      <c r="P19" s="346">
        <f>'16'!Z35</f>
        <v>8120</v>
      </c>
      <c r="Q19" s="346">
        <f>'16'!Z38</f>
        <v>0</v>
      </c>
      <c r="R19" s="346">
        <f t="shared" si="4"/>
        <v>8120</v>
      </c>
      <c r="S19" s="345">
        <f>'16'!B36</f>
        <v>11853</v>
      </c>
      <c r="T19" s="347">
        <f>'16'!B37</f>
        <v>1</v>
      </c>
      <c r="U19" s="348">
        <f>'16'!W11</f>
        <v>0</v>
      </c>
      <c r="V19" s="348">
        <f>'16'!T15</f>
        <v>0</v>
      </c>
      <c r="W19" s="348">
        <f>'16'!W12</f>
        <v>0</v>
      </c>
      <c r="X19" s="37"/>
    </row>
    <row r="20" spans="1:24" ht="14.5">
      <c r="A20" s="342">
        <v>17</v>
      </c>
      <c r="B20" s="70">
        <f>GROSS!CA33</f>
        <v>17898</v>
      </c>
      <c r="C20" s="345">
        <f>'17'!H31</f>
        <v>17898</v>
      </c>
      <c r="D20" s="39">
        <f t="shared" si="0"/>
        <v>0</v>
      </c>
      <c r="E20" s="70">
        <f>DELIVERIES!CA33</f>
        <v>15440</v>
      </c>
      <c r="F20" s="345">
        <f>'17'!Z32</f>
        <v>15440</v>
      </c>
      <c r="G20" s="39">
        <f t="shared" si="1"/>
        <v>0</v>
      </c>
      <c r="H20" s="70">
        <f>OPEX!AS27</f>
        <v>4200.6900000000005</v>
      </c>
      <c r="I20" s="345">
        <f>'17'!Z34</f>
        <v>4200.6900000000005</v>
      </c>
      <c r="J20" s="39">
        <f t="shared" si="2"/>
        <v>0</v>
      </c>
      <c r="K20" s="345"/>
      <c r="L20" s="345">
        <f>CAPEX!G27</f>
        <v>90</v>
      </c>
      <c r="M20" s="345">
        <f>'17'!W30</f>
        <v>90</v>
      </c>
      <c r="N20" s="70">
        <f t="shared" si="3"/>
        <v>0</v>
      </c>
      <c r="O20" s="345">
        <f>'17'!W22</f>
        <v>3170</v>
      </c>
      <c r="P20" s="346">
        <f>'17'!Z35</f>
        <v>12270</v>
      </c>
      <c r="Q20" s="346">
        <f>'17'!Z38</f>
        <v>0</v>
      </c>
      <c r="R20" s="346">
        <f t="shared" si="4"/>
        <v>12270</v>
      </c>
      <c r="S20" s="345">
        <f>'17'!B36</f>
        <v>10438</v>
      </c>
      <c r="T20" s="347">
        <f>'17'!B37</f>
        <v>0.69000000000050932</v>
      </c>
      <c r="U20" s="348">
        <f>'17'!W11</f>
        <v>0</v>
      </c>
      <c r="V20" s="348">
        <f>'17'!T15</f>
        <v>0</v>
      </c>
      <c r="W20" s="348">
        <f>'17'!W12</f>
        <v>0</v>
      </c>
    </row>
    <row r="21" spans="1:24" ht="15.75" customHeight="1">
      <c r="A21" s="342">
        <v>18</v>
      </c>
      <c r="B21" s="70">
        <f>GROSS!CA34</f>
        <v>16732</v>
      </c>
      <c r="C21" s="345">
        <f>'18'!H31</f>
        <v>16732</v>
      </c>
      <c r="D21" s="39">
        <f t="shared" si="0"/>
        <v>0</v>
      </c>
      <c r="E21" s="70">
        <f>DELIVERIES!CA34</f>
        <v>22270</v>
      </c>
      <c r="F21" s="345">
        <f>'18'!Z32</f>
        <v>22270</v>
      </c>
      <c r="G21" s="39">
        <f t="shared" si="1"/>
        <v>0</v>
      </c>
      <c r="H21" s="70">
        <f>OPEX!AS28</f>
        <v>15254.57</v>
      </c>
      <c r="I21" s="345">
        <f>'18'!Z34</f>
        <v>15254.57</v>
      </c>
      <c r="J21" s="39">
        <f t="shared" si="2"/>
        <v>0</v>
      </c>
      <c r="K21" s="345"/>
      <c r="L21" s="345">
        <f>CAPEX!G28</f>
        <v>30</v>
      </c>
      <c r="M21" s="345">
        <f>'18'!W30</f>
        <v>30</v>
      </c>
      <c r="N21" s="70">
        <f t="shared" si="3"/>
        <v>0</v>
      </c>
      <c r="O21" s="345">
        <f>'18'!W22</f>
        <v>1700</v>
      </c>
      <c r="P21" s="346">
        <f>'18'!Z35</f>
        <v>20570</v>
      </c>
      <c r="Q21" s="346">
        <f>'18'!Z38</f>
        <v>2131</v>
      </c>
      <c r="R21" s="346">
        <f t="shared" si="4"/>
        <v>22701</v>
      </c>
      <c r="S21" s="345">
        <f>'18'!B36</f>
        <v>2379</v>
      </c>
      <c r="T21" s="347">
        <f>'18'!B37</f>
        <v>0.56999999999970896</v>
      </c>
      <c r="U21" s="348">
        <f>'18'!W11</f>
        <v>237.5</v>
      </c>
      <c r="V21" s="348">
        <f>'18'!T15</f>
        <v>0</v>
      </c>
      <c r="W21" s="348">
        <f>'18'!W12</f>
        <v>500</v>
      </c>
      <c r="X21" s="37"/>
    </row>
    <row r="22" spans="1:24" ht="15.75" customHeight="1">
      <c r="A22" s="342">
        <v>19</v>
      </c>
      <c r="B22" s="70">
        <f>GROSS!CA35</f>
        <v>20302</v>
      </c>
      <c r="C22" s="345">
        <f>'19'!H31</f>
        <v>20302</v>
      </c>
      <c r="D22" s="39">
        <f t="shared" si="0"/>
        <v>0</v>
      </c>
      <c r="E22" s="70">
        <f>DELIVERIES!CA35</f>
        <v>2125</v>
      </c>
      <c r="F22" s="345">
        <f>'19'!Z32</f>
        <v>2125</v>
      </c>
      <c r="G22" s="39">
        <f t="shared" si="1"/>
        <v>0</v>
      </c>
      <c r="H22" s="70">
        <f>OPEX!AS29</f>
        <v>85.87</v>
      </c>
      <c r="I22" s="345">
        <f>'19'!Z34</f>
        <v>85.87</v>
      </c>
      <c r="J22" s="39">
        <f t="shared" si="2"/>
        <v>0</v>
      </c>
      <c r="K22" s="345"/>
      <c r="L22" s="345">
        <f>CAPEX!G29</f>
        <v>0</v>
      </c>
      <c r="M22" s="345">
        <f>'19'!W30</f>
        <v>0</v>
      </c>
      <c r="N22" s="70">
        <f t="shared" si="3"/>
        <v>0</v>
      </c>
      <c r="O22" s="345">
        <f>'19'!W22</f>
        <v>2125</v>
      </c>
      <c r="P22" s="346">
        <f>'19'!Z35</f>
        <v>0</v>
      </c>
      <c r="Q22" s="346">
        <f>'19'!Z38</f>
        <v>0</v>
      </c>
      <c r="R22" s="346">
        <f t="shared" si="4"/>
        <v>0</v>
      </c>
      <c r="S22" s="345">
        <f>'19'!B36</f>
        <v>18092</v>
      </c>
      <c r="T22" s="347">
        <f>'19'!B37</f>
        <v>0.86999999999898137</v>
      </c>
      <c r="U22" s="348">
        <f>'19'!W11</f>
        <v>0</v>
      </c>
      <c r="V22" s="348">
        <f>'19'!T15</f>
        <v>0</v>
      </c>
      <c r="W22" s="348">
        <f>'19'!W12</f>
        <v>0</v>
      </c>
    </row>
    <row r="23" spans="1:24" ht="15.75" customHeight="1">
      <c r="A23" s="342">
        <v>20</v>
      </c>
      <c r="B23" s="70">
        <f>GROSS!CA36</f>
        <v>15110</v>
      </c>
      <c r="C23" s="345">
        <f>'20'!H31</f>
        <v>15110</v>
      </c>
      <c r="D23" s="39">
        <f t="shared" si="0"/>
        <v>0</v>
      </c>
      <c r="E23" s="70">
        <f>DELIVERIES!CA36</f>
        <v>8860</v>
      </c>
      <c r="F23" s="345">
        <f>'20'!Z32</f>
        <v>8860</v>
      </c>
      <c r="G23" s="39">
        <f t="shared" si="1"/>
        <v>0</v>
      </c>
      <c r="H23" s="70">
        <f>OPEX!AS30</f>
        <v>1929.95</v>
      </c>
      <c r="I23" s="345">
        <f>'20'!Z34</f>
        <v>1929.95</v>
      </c>
      <c r="J23" s="39">
        <f t="shared" si="2"/>
        <v>0</v>
      </c>
      <c r="K23" s="345"/>
      <c r="L23" s="345">
        <f>CAPEX!G30</f>
        <v>90</v>
      </c>
      <c r="M23" s="345">
        <f>'20'!W30</f>
        <v>90</v>
      </c>
      <c r="N23" s="70">
        <f t="shared" si="3"/>
        <v>0</v>
      </c>
      <c r="O23" s="345">
        <f>'20'!W22</f>
        <v>1530</v>
      </c>
      <c r="P23" s="346">
        <f>'20'!Z35</f>
        <v>7330</v>
      </c>
      <c r="Q23" s="346">
        <f>'20'!Z38</f>
        <v>1374</v>
      </c>
      <c r="R23" s="346">
        <f t="shared" si="4"/>
        <v>8704</v>
      </c>
      <c r="S23" s="345">
        <f>'20'!B36</f>
        <v>12936</v>
      </c>
      <c r="T23" s="347">
        <f>'20'!B37</f>
        <v>1.9500000000007276</v>
      </c>
      <c r="U23" s="348">
        <f>'20'!W11</f>
        <v>0</v>
      </c>
      <c r="V23" s="348">
        <f>'20'!T15</f>
        <v>0</v>
      </c>
      <c r="W23" s="348">
        <f>'20'!W12</f>
        <v>0</v>
      </c>
      <c r="X23" s="37"/>
    </row>
    <row r="24" spans="1:24" ht="15.75" customHeight="1">
      <c r="A24" s="342">
        <v>21</v>
      </c>
      <c r="B24" s="70">
        <f>GROSS!CA37</f>
        <v>15951</v>
      </c>
      <c r="C24" s="345">
        <f>'21'!H31</f>
        <v>15951</v>
      </c>
      <c r="D24" s="39">
        <f t="shared" si="0"/>
        <v>0</v>
      </c>
      <c r="E24" s="70">
        <f>DELIVERIES!CA37</f>
        <v>18558</v>
      </c>
      <c r="F24" s="345">
        <f>'21'!Z32</f>
        <v>18558</v>
      </c>
      <c r="G24" s="39">
        <f t="shared" si="1"/>
        <v>0</v>
      </c>
      <c r="H24" s="70">
        <f>OPEX!AS31</f>
        <v>564.82000000000005</v>
      </c>
      <c r="I24" s="345">
        <f>'21'!Z34</f>
        <v>564.82000000000016</v>
      </c>
      <c r="J24" s="39">
        <f t="shared" si="2"/>
        <v>0</v>
      </c>
      <c r="K24" s="345"/>
      <c r="L24" s="345">
        <f>CAPEX!G31</f>
        <v>135</v>
      </c>
      <c r="M24" s="345">
        <f>'21'!W30</f>
        <v>135</v>
      </c>
      <c r="N24" s="70">
        <f t="shared" si="3"/>
        <v>0</v>
      </c>
      <c r="O24" s="345">
        <f>'21'!W22</f>
        <v>6178</v>
      </c>
      <c r="P24" s="346">
        <f>'21'!Z35</f>
        <v>12380</v>
      </c>
      <c r="Q24" s="346">
        <f>'21'!Z38</f>
        <v>0</v>
      </c>
      <c r="R24" s="346">
        <f t="shared" si="4"/>
        <v>12380</v>
      </c>
      <c r="S24" s="345">
        <f>'21'!B36</f>
        <v>8075</v>
      </c>
      <c r="T24" s="347">
        <f>'21'!B37</f>
        <v>1.819999999999709</v>
      </c>
      <c r="U24" s="348">
        <f>'21'!W11</f>
        <v>0</v>
      </c>
      <c r="V24" s="348">
        <f>'21'!T15</f>
        <v>1000</v>
      </c>
      <c r="W24" s="348">
        <f>'21'!W12</f>
        <v>0</v>
      </c>
    </row>
    <row r="25" spans="1:24" ht="15.75" customHeight="1">
      <c r="A25" s="342">
        <v>22</v>
      </c>
      <c r="B25" s="70">
        <f>GROSS!CA43</f>
        <v>15625</v>
      </c>
      <c r="C25" s="345">
        <f>'22'!H31</f>
        <v>15625</v>
      </c>
      <c r="D25" s="39">
        <f t="shared" si="0"/>
        <v>0</v>
      </c>
      <c r="E25" s="70">
        <f>DELIVERIES!CA43</f>
        <v>8595</v>
      </c>
      <c r="F25" s="345">
        <f>'22'!Z32</f>
        <v>8595</v>
      </c>
      <c r="G25" s="39">
        <f t="shared" si="1"/>
        <v>0</v>
      </c>
      <c r="H25" s="70">
        <f>OPEX!AS35</f>
        <v>3088</v>
      </c>
      <c r="I25" s="345">
        <f>'22'!Z34</f>
        <v>3088</v>
      </c>
      <c r="J25" s="39">
        <f t="shared" si="2"/>
        <v>0</v>
      </c>
      <c r="K25" s="345"/>
      <c r="L25" s="345">
        <f>CAPEX!G35</f>
        <v>0</v>
      </c>
      <c r="M25" s="345">
        <f>'22'!W30</f>
        <v>0</v>
      </c>
      <c r="N25" s="70">
        <f t="shared" si="3"/>
        <v>0</v>
      </c>
      <c r="O25" s="345">
        <f>'22'!W22</f>
        <v>2235</v>
      </c>
      <c r="P25" s="346">
        <f>'22'!Z35</f>
        <v>6360</v>
      </c>
      <c r="Q25" s="346">
        <f>'22'!Z38</f>
        <v>1644</v>
      </c>
      <c r="R25" s="346">
        <f t="shared" si="4"/>
        <v>8004</v>
      </c>
      <c r="S25" s="345">
        <f>'22'!B36</f>
        <v>11947</v>
      </c>
      <c r="T25" s="347">
        <f>'22'!B37</f>
        <v>1</v>
      </c>
      <c r="U25" s="348">
        <f>'22'!W11</f>
        <v>0</v>
      </c>
      <c r="V25" s="348">
        <f>'22'!T15</f>
        <v>0</v>
      </c>
      <c r="W25" s="348">
        <f>'22'!W12</f>
        <v>0</v>
      </c>
      <c r="X25" s="37"/>
    </row>
    <row r="26" spans="1:24" ht="15.75" customHeight="1">
      <c r="A26" s="342">
        <v>23</v>
      </c>
      <c r="B26" s="70">
        <f>GROSS!CA44</f>
        <v>16503</v>
      </c>
      <c r="C26" s="345">
        <f>'23'!H31</f>
        <v>16503</v>
      </c>
      <c r="D26" s="39">
        <f t="shared" si="0"/>
        <v>0</v>
      </c>
      <c r="E26" s="70">
        <f>DELIVERIES!CA44</f>
        <v>9440</v>
      </c>
      <c r="F26" s="345">
        <f>'23'!Z32</f>
        <v>9440</v>
      </c>
      <c r="G26" s="39">
        <f t="shared" si="1"/>
        <v>0</v>
      </c>
      <c r="H26" s="70">
        <f>OPEX!AS36</f>
        <v>7239.07</v>
      </c>
      <c r="I26" s="345">
        <f>'23'!Z34</f>
        <v>7239.07</v>
      </c>
      <c r="J26" s="39">
        <f t="shared" si="2"/>
        <v>0</v>
      </c>
      <c r="K26" s="345"/>
      <c r="L26" s="345">
        <f>CAPEX!G36</f>
        <v>60</v>
      </c>
      <c r="M26" s="345">
        <f>'23'!W30</f>
        <v>60</v>
      </c>
      <c r="N26" s="70">
        <f t="shared" si="3"/>
        <v>0</v>
      </c>
      <c r="O26" s="345">
        <f>'23'!W22</f>
        <v>1700</v>
      </c>
      <c r="P26" s="346">
        <f>'23'!Z35</f>
        <v>7740</v>
      </c>
      <c r="Q26" s="346">
        <f>'23'!Z38</f>
        <v>0</v>
      </c>
      <c r="R26" s="346">
        <f t="shared" si="4"/>
        <v>7740</v>
      </c>
      <c r="S26" s="345">
        <f>'23'!B36</f>
        <v>7505</v>
      </c>
      <c r="T26" s="347">
        <f>'23'!B37</f>
        <v>1.069999999999709</v>
      </c>
      <c r="U26" s="348">
        <f>'23'!W11</f>
        <v>0</v>
      </c>
      <c r="V26" s="348">
        <f>'23'!T15</f>
        <v>0</v>
      </c>
      <c r="W26" s="348">
        <f>'23'!W12</f>
        <v>0</v>
      </c>
    </row>
    <row r="27" spans="1:24" ht="15.75" customHeight="1">
      <c r="A27" s="342">
        <v>24</v>
      </c>
      <c r="B27" s="70">
        <f>GROSS!CA45</f>
        <v>17337</v>
      </c>
      <c r="C27" s="345">
        <f>'24'!H31</f>
        <v>17337</v>
      </c>
      <c r="D27" s="39">
        <f t="shared" si="0"/>
        <v>0</v>
      </c>
      <c r="E27" s="70">
        <f>DELIVERIES!CA45</f>
        <v>9310</v>
      </c>
      <c r="F27" s="345">
        <f>'24'!Z32</f>
        <v>9310</v>
      </c>
      <c r="G27" s="39">
        <f t="shared" si="1"/>
        <v>0</v>
      </c>
      <c r="H27" s="70">
        <f>OPEX!AS37</f>
        <v>4552.75</v>
      </c>
      <c r="I27" s="345">
        <f>'24'!Z34</f>
        <v>4552.75</v>
      </c>
      <c r="J27" s="39">
        <f t="shared" si="2"/>
        <v>0</v>
      </c>
      <c r="K27" s="345"/>
      <c r="L27" s="345">
        <f>CAPEX!G37</f>
        <v>0</v>
      </c>
      <c r="M27" s="345">
        <f>'24'!W30</f>
        <v>0</v>
      </c>
      <c r="N27" s="70">
        <f t="shared" si="3"/>
        <v>0</v>
      </c>
      <c r="O27" s="345">
        <f>'24'!W22</f>
        <v>3590</v>
      </c>
      <c r="P27" s="346">
        <f>'24'!Z35</f>
        <v>5720</v>
      </c>
      <c r="Q27" s="346">
        <f>'24'!Z38</f>
        <v>1591</v>
      </c>
      <c r="R27" s="346">
        <f t="shared" si="4"/>
        <v>7311</v>
      </c>
      <c r="S27" s="345">
        <f>'24'!B36</f>
        <v>10785.25</v>
      </c>
      <c r="T27" s="347">
        <f>'24'!B37</f>
        <v>0</v>
      </c>
      <c r="U27" s="348">
        <f>'24'!W11</f>
        <v>0</v>
      </c>
      <c r="V27" s="348">
        <f>'24'!T15</f>
        <v>0</v>
      </c>
      <c r="W27" s="348">
        <f>'24'!W12</f>
        <v>0</v>
      </c>
      <c r="X27" s="37"/>
    </row>
    <row r="28" spans="1:24" ht="15.75" customHeight="1">
      <c r="A28" s="342">
        <v>25</v>
      </c>
      <c r="B28" s="70">
        <f>GROSS!CA46</f>
        <v>14880</v>
      </c>
      <c r="C28" s="345">
        <f>'25'!H31</f>
        <v>14880</v>
      </c>
      <c r="D28" s="39">
        <f t="shared" si="0"/>
        <v>0</v>
      </c>
      <c r="E28" s="70">
        <f>DELIVERIES!CA46</f>
        <v>20880</v>
      </c>
      <c r="F28" s="345">
        <f>'25'!Z32</f>
        <v>20880</v>
      </c>
      <c r="G28" s="39">
        <f t="shared" si="1"/>
        <v>0</v>
      </c>
      <c r="H28" s="70">
        <f>OPEX!AS38</f>
        <v>12537.57</v>
      </c>
      <c r="I28" s="345">
        <f>'25'!Z34</f>
        <v>12537.57</v>
      </c>
      <c r="J28" s="39">
        <f t="shared" si="2"/>
        <v>0</v>
      </c>
      <c r="K28" s="345"/>
      <c r="L28" s="345">
        <f>CAPEX!G38</f>
        <v>60</v>
      </c>
      <c r="M28" s="345">
        <f>'25'!W30</f>
        <v>60</v>
      </c>
      <c r="N28" s="70">
        <f t="shared" si="3"/>
        <v>0</v>
      </c>
      <c r="O28" s="345">
        <f>'25'!W22</f>
        <v>1700</v>
      </c>
      <c r="P28" s="346">
        <f>'25'!Z35</f>
        <v>19180</v>
      </c>
      <c r="Q28" s="346">
        <f>'25'!Z38</f>
        <v>1914</v>
      </c>
      <c r="R28" s="346">
        <f t="shared" si="4"/>
        <v>21094</v>
      </c>
      <c r="S28" s="345">
        <f>'25'!B36</f>
        <v>3482</v>
      </c>
      <c r="T28" s="347">
        <f>'25'!B37</f>
        <v>-14.430000000000291</v>
      </c>
      <c r="U28" s="348">
        <f>'25'!W11</f>
        <v>237.5</v>
      </c>
      <c r="V28" s="348">
        <f>'25'!T15</f>
        <v>0</v>
      </c>
      <c r="W28" s="348">
        <f>'25'!W12</f>
        <v>1000</v>
      </c>
    </row>
    <row r="29" spans="1:24" ht="15.75" customHeight="1">
      <c r="A29" s="342">
        <v>26</v>
      </c>
      <c r="B29" s="70">
        <f>GROSS!CA47</f>
        <v>18894</v>
      </c>
      <c r="C29" s="345">
        <f>'26'!H31</f>
        <v>18894</v>
      </c>
      <c r="D29" s="39">
        <f t="shared" si="0"/>
        <v>0</v>
      </c>
      <c r="E29" s="70">
        <f>DELIVERIES!CA47</f>
        <v>1700</v>
      </c>
      <c r="F29" s="345">
        <f>'26'!Z32</f>
        <v>1700</v>
      </c>
      <c r="G29" s="39">
        <f t="shared" si="1"/>
        <v>0</v>
      </c>
      <c r="H29" s="70">
        <f>OPEX!AS39</f>
        <v>4932.99</v>
      </c>
      <c r="I29" s="345">
        <f>'26'!Z34</f>
        <v>4932.99</v>
      </c>
      <c r="J29" s="39">
        <f t="shared" si="2"/>
        <v>0</v>
      </c>
      <c r="K29" s="345"/>
      <c r="L29" s="345">
        <f>CAPEX!G39</f>
        <v>0</v>
      </c>
      <c r="M29" s="345">
        <f>'26'!W30</f>
        <v>0</v>
      </c>
      <c r="N29" s="70">
        <f t="shared" si="3"/>
        <v>0</v>
      </c>
      <c r="O29" s="345">
        <f>'26'!W22</f>
        <v>1700</v>
      </c>
      <c r="P29" s="346">
        <f>'26'!Z35</f>
        <v>0</v>
      </c>
      <c r="Q29" s="346">
        <f>'26'!Z38</f>
        <v>0</v>
      </c>
      <c r="R29" s="346">
        <f t="shared" si="4"/>
        <v>0</v>
      </c>
      <c r="S29" s="345">
        <f>'26'!B36</f>
        <v>12263.25</v>
      </c>
      <c r="T29" s="347">
        <f>'26'!B37</f>
        <v>2.2399999999997817</v>
      </c>
      <c r="U29" s="348">
        <f>'26'!W11</f>
        <v>0</v>
      </c>
      <c r="V29" s="348">
        <f>'26'!T15</f>
        <v>0</v>
      </c>
      <c r="W29" s="348">
        <f>'26'!W12</f>
        <v>0</v>
      </c>
      <c r="X29" s="37"/>
    </row>
    <row r="30" spans="1:24" ht="15.75" customHeight="1">
      <c r="A30" s="342">
        <v>27</v>
      </c>
      <c r="B30" s="70">
        <f>GROSS!CA48</f>
        <v>15393</v>
      </c>
      <c r="C30" s="345">
        <f>'27'!H31</f>
        <v>15393</v>
      </c>
      <c r="D30" s="39">
        <f t="shared" si="0"/>
        <v>0</v>
      </c>
      <c r="E30" s="70">
        <f>DELIVERIES!CA48</f>
        <v>11800</v>
      </c>
      <c r="F30" s="345">
        <f>'27'!Z32</f>
        <v>11800</v>
      </c>
      <c r="G30" s="39">
        <f t="shared" si="1"/>
        <v>0</v>
      </c>
      <c r="H30" s="70">
        <f>OPEX!AS40</f>
        <v>0</v>
      </c>
      <c r="I30" s="345">
        <f>'27'!Z34</f>
        <v>0</v>
      </c>
      <c r="J30" s="39">
        <f t="shared" si="2"/>
        <v>0</v>
      </c>
      <c r="K30" s="345"/>
      <c r="L30" s="345">
        <f>CAPEX!G40</f>
        <v>90</v>
      </c>
      <c r="M30" s="345">
        <f>'27'!W30</f>
        <v>90</v>
      </c>
      <c r="N30" s="70">
        <f t="shared" si="3"/>
        <v>0</v>
      </c>
      <c r="O30" s="345">
        <f>'27'!W22</f>
        <v>2020</v>
      </c>
      <c r="P30" s="346">
        <f>'27'!Z35</f>
        <v>9780</v>
      </c>
      <c r="Q30" s="346">
        <f>'27'!Z38</f>
        <v>0</v>
      </c>
      <c r="R30" s="346">
        <f t="shared" si="4"/>
        <v>9780</v>
      </c>
      <c r="S30" s="345">
        <f>'27'!B36</f>
        <v>13293</v>
      </c>
      <c r="T30" s="347">
        <f>'27'!B37</f>
        <v>10</v>
      </c>
      <c r="U30" s="348">
        <f>'27'!W11</f>
        <v>0</v>
      </c>
      <c r="V30" s="348">
        <f>'27'!T15</f>
        <v>0</v>
      </c>
      <c r="W30" s="348">
        <f>'27'!W12</f>
        <v>0</v>
      </c>
    </row>
    <row r="31" spans="1:24" ht="15.75" customHeight="1">
      <c r="A31" s="342">
        <v>28</v>
      </c>
      <c r="B31" s="70">
        <f>GROSS!CA49</f>
        <v>15154</v>
      </c>
      <c r="C31" s="345">
        <f>'28'!H31</f>
        <v>15154</v>
      </c>
      <c r="D31" s="39">
        <f t="shared" si="0"/>
        <v>0</v>
      </c>
      <c r="E31" s="70">
        <f>DELIVERIES!CA49</f>
        <v>10840</v>
      </c>
      <c r="F31" s="345">
        <f>'28'!Z32</f>
        <v>10840</v>
      </c>
      <c r="G31" s="39">
        <f t="shared" si="1"/>
        <v>0</v>
      </c>
      <c r="H31" s="70">
        <f>OPEX!AS41</f>
        <v>3104.75</v>
      </c>
      <c r="I31" s="345">
        <f>'28'!Z34</f>
        <v>3104.75</v>
      </c>
      <c r="J31" s="39">
        <f t="shared" si="2"/>
        <v>0</v>
      </c>
      <c r="K31" s="345"/>
      <c r="L31" s="345">
        <f>CAPEX!G41</f>
        <v>0</v>
      </c>
      <c r="M31" s="345">
        <f>'28'!W30</f>
        <v>0</v>
      </c>
      <c r="N31" s="70">
        <f t="shared" si="3"/>
        <v>0</v>
      </c>
      <c r="O31" s="345">
        <f>'28'!W22</f>
        <v>4470</v>
      </c>
      <c r="P31" s="346">
        <f>'28'!Z35</f>
        <v>6370</v>
      </c>
      <c r="Q31" s="346">
        <f>'28'!Z38</f>
        <v>2965</v>
      </c>
      <c r="R31" s="346">
        <f t="shared" si="4"/>
        <v>9335</v>
      </c>
      <c r="S31" s="345">
        <f>'28'!B36</f>
        <v>9050</v>
      </c>
      <c r="T31" s="347">
        <f>'28'!B37</f>
        <v>5.75</v>
      </c>
      <c r="U31" s="348">
        <f>'28'!W11</f>
        <v>0</v>
      </c>
      <c r="V31" s="348">
        <f>'28'!T15</f>
        <v>1500</v>
      </c>
      <c r="W31" s="348">
        <f>'28'!W12</f>
        <v>0</v>
      </c>
      <c r="X31" s="37"/>
    </row>
    <row r="32" spans="1:24" ht="15.75" customHeight="1">
      <c r="A32" s="342">
        <v>29</v>
      </c>
      <c r="B32" s="70">
        <f>GROSS!CA50</f>
        <v>12776</v>
      </c>
      <c r="C32" s="345">
        <f>'29'!H31</f>
        <v>12776</v>
      </c>
      <c r="D32" s="39">
        <f t="shared" si="0"/>
        <v>0</v>
      </c>
      <c r="E32" s="70">
        <f>DELIVERIES!CA50</f>
        <v>9435</v>
      </c>
      <c r="F32" s="345">
        <f>'29'!Z32</f>
        <v>9435</v>
      </c>
      <c r="G32" s="39">
        <f t="shared" si="1"/>
        <v>0</v>
      </c>
      <c r="H32" s="70">
        <f>OPEX!AS42</f>
        <v>198</v>
      </c>
      <c r="I32" s="345">
        <f>'29'!Z34</f>
        <v>198</v>
      </c>
      <c r="J32" s="39">
        <f t="shared" si="2"/>
        <v>0</v>
      </c>
      <c r="K32" s="345"/>
      <c r="L32" s="345">
        <f>CAPEX!G42</f>
        <v>60</v>
      </c>
      <c r="M32" s="345">
        <f>'29'!W30</f>
        <v>60</v>
      </c>
      <c r="N32" s="70">
        <f t="shared" si="3"/>
        <v>0</v>
      </c>
      <c r="O32" s="345">
        <f>'29'!W22</f>
        <v>1615</v>
      </c>
      <c r="P32" s="346">
        <f>'29'!Z35</f>
        <v>7820</v>
      </c>
      <c r="Q32" s="346">
        <f>'29'!Z38</f>
        <v>0</v>
      </c>
      <c r="R32" s="346">
        <f t="shared" si="4"/>
        <v>7820</v>
      </c>
      <c r="S32" s="345">
        <f>'29'!B36</f>
        <v>10903</v>
      </c>
      <c r="T32" s="347">
        <f>'29'!B37</f>
        <v>0</v>
      </c>
      <c r="U32" s="348">
        <f>'29'!W11</f>
        <v>0</v>
      </c>
      <c r="V32" s="348">
        <f>'29'!T15</f>
        <v>0</v>
      </c>
      <c r="W32" s="348">
        <f>'29'!W12</f>
        <v>0</v>
      </c>
    </row>
    <row r="33" spans="1:24" ht="15.75" customHeight="1">
      <c r="A33" s="342">
        <v>30</v>
      </c>
      <c r="B33" s="70">
        <f>GROSS!CA51</f>
        <v>15386</v>
      </c>
      <c r="C33" s="345">
        <f>'30'!H31</f>
        <v>15386</v>
      </c>
      <c r="D33" s="39">
        <f t="shared" si="0"/>
        <v>0</v>
      </c>
      <c r="E33" s="70">
        <f>DELIVERIES!CA51</f>
        <v>8480</v>
      </c>
      <c r="F33" s="345">
        <f>'30'!Z32</f>
        <v>8480</v>
      </c>
      <c r="G33" s="39">
        <f t="shared" si="1"/>
        <v>0</v>
      </c>
      <c r="H33" s="70">
        <f>OPEX!AS43</f>
        <v>285</v>
      </c>
      <c r="I33" s="345">
        <f>'30'!Z34</f>
        <v>285</v>
      </c>
      <c r="J33" s="39">
        <f t="shared" si="2"/>
        <v>0</v>
      </c>
      <c r="K33" s="345"/>
      <c r="L33" s="345">
        <f>CAPEX!G43</f>
        <v>0</v>
      </c>
      <c r="M33" s="345">
        <f>'30'!W30</f>
        <v>0</v>
      </c>
      <c r="N33" s="70">
        <f t="shared" si="3"/>
        <v>0</v>
      </c>
      <c r="O33" s="345">
        <f>'30'!W22</f>
        <v>2000</v>
      </c>
      <c r="P33" s="346">
        <f>'30'!Z35</f>
        <v>6480</v>
      </c>
      <c r="Q33" s="346">
        <f>'30'!Z38</f>
        <v>270</v>
      </c>
      <c r="R33" s="346">
        <f t="shared" si="4"/>
        <v>6750</v>
      </c>
      <c r="S33" s="345">
        <f>'30'!B36</f>
        <v>13372</v>
      </c>
      <c r="T33" s="347">
        <f>'30'!B37</f>
        <v>1</v>
      </c>
      <c r="U33" s="348">
        <f>'30'!W11</f>
        <v>0</v>
      </c>
      <c r="V33" s="348">
        <f>'30'!T15</f>
        <v>0</v>
      </c>
      <c r="W33" s="348">
        <f>'30'!W12</f>
        <v>0</v>
      </c>
    </row>
    <row r="34" spans="1:24" ht="15.75" customHeight="1">
      <c r="A34" s="342">
        <v>31</v>
      </c>
      <c r="B34" s="70">
        <f>GROSS!CA52</f>
        <v>15749</v>
      </c>
      <c r="C34" s="345">
        <f>'31'!H31</f>
        <v>15749</v>
      </c>
      <c r="D34" s="39">
        <f t="shared" si="0"/>
        <v>0</v>
      </c>
      <c r="E34" s="70">
        <f>DELIVERIES!CA52</f>
        <v>9719</v>
      </c>
      <c r="F34" s="345">
        <f>'31'!Z32</f>
        <v>9719</v>
      </c>
      <c r="G34" s="39">
        <f t="shared" si="1"/>
        <v>0</v>
      </c>
      <c r="H34" s="70">
        <f>OPEX!AS44-K34</f>
        <v>1374</v>
      </c>
      <c r="I34" s="345">
        <f>'31'!Z34</f>
        <v>1374</v>
      </c>
      <c r="J34" s="39">
        <f t="shared" si="2"/>
        <v>0</v>
      </c>
      <c r="K34" s="345">
        <f>OPEX!AI47+OPEX!AH47</f>
        <v>7948.1399999999994</v>
      </c>
      <c r="L34" s="345">
        <f>CAPEX!G44</f>
        <v>0</v>
      </c>
      <c r="M34" s="345">
        <f>'31'!W30</f>
        <v>0</v>
      </c>
      <c r="N34" s="70">
        <f t="shared" si="3"/>
        <v>0</v>
      </c>
      <c r="O34" s="345">
        <f>'31'!W22</f>
        <v>3009</v>
      </c>
      <c r="P34" s="346">
        <f>'31'!Z35</f>
        <v>6710</v>
      </c>
      <c r="Q34" s="412">
        <f>'31'!Z38</f>
        <v>1374</v>
      </c>
      <c r="R34" s="412">
        <f t="shared" si="4"/>
        <v>8084</v>
      </c>
      <c r="S34" s="401">
        <f>'31'!B36</f>
        <v>12746</v>
      </c>
      <c r="T34" s="347">
        <f>'31'!B37</f>
        <v>6</v>
      </c>
      <c r="U34" s="348">
        <f>'31'!W11</f>
        <v>0</v>
      </c>
      <c r="V34" s="348">
        <f>'31'!T15</f>
        <v>0</v>
      </c>
      <c r="W34" s="348">
        <f>'31'!W12</f>
        <v>0</v>
      </c>
    </row>
    <row r="35" spans="1:24" ht="15.75" customHeight="1">
      <c r="B35" s="39">
        <f t="shared" ref="B35:C35" si="5">SUM(B4:B34)</f>
        <v>512383</v>
      </c>
      <c r="C35" s="39">
        <f t="shared" si="5"/>
        <v>512383</v>
      </c>
      <c r="E35" s="39">
        <f t="shared" ref="E35:F35" si="6">SUM(E4:E34)</f>
        <v>335172.5</v>
      </c>
      <c r="F35" s="39">
        <f t="shared" si="6"/>
        <v>335172.5</v>
      </c>
      <c r="G35" s="39"/>
      <c r="H35" s="39">
        <f t="shared" ref="H35:I35" si="7">SUM(H4:H34)</f>
        <v>152498.07999999999</v>
      </c>
      <c r="I35" s="39">
        <f t="shared" si="7"/>
        <v>151124.07999999999</v>
      </c>
      <c r="K35" s="39"/>
      <c r="L35" s="39">
        <f>SUM(L4:L34)</f>
        <v>2155</v>
      </c>
      <c r="M35" s="39"/>
      <c r="N35" s="39"/>
      <c r="O35" s="39">
        <f t="shared" ref="O35:Q35" si="8">SUM(O4:O34)</f>
        <v>71701.5</v>
      </c>
      <c r="P35" s="413">
        <f t="shared" si="8"/>
        <v>266409.5</v>
      </c>
      <c r="Q35" s="415">
        <f t="shared" si="8"/>
        <v>26526</v>
      </c>
      <c r="R35" s="415">
        <f t="shared" si="4"/>
        <v>292935.5</v>
      </c>
      <c r="S35" s="416">
        <f t="shared" ref="S35:X35" si="9">SUM(S4:S34)</f>
        <v>310513</v>
      </c>
      <c r="T35" s="39">
        <f t="shared" si="9"/>
        <v>55.579999999998108</v>
      </c>
      <c r="U35" s="39">
        <f t="shared" si="9"/>
        <v>950</v>
      </c>
      <c r="V35" s="39">
        <f t="shared" si="9"/>
        <v>4500</v>
      </c>
      <c r="W35" s="39">
        <f t="shared" si="9"/>
        <v>4500</v>
      </c>
      <c r="X35" s="39">
        <f t="shared" si="9"/>
        <v>0</v>
      </c>
    </row>
    <row r="36" spans="1:24" ht="15.75" customHeight="1">
      <c r="G36" s="39"/>
    </row>
    <row r="37" spans="1:24" ht="15.75" customHeight="1">
      <c r="B37" s="157">
        <f>B35/31</f>
        <v>16528.483870967742</v>
      </c>
      <c r="F37" s="39">
        <f>E35-F35</f>
        <v>0</v>
      </c>
      <c r="G37" s="39"/>
    </row>
    <row r="38" spans="1:24" ht="15.75" customHeight="1">
      <c r="G38" s="39"/>
    </row>
    <row r="39" spans="1:24" ht="15.75" customHeight="1">
      <c r="G39" s="39"/>
    </row>
    <row r="40" spans="1:24" ht="15.75" customHeight="1">
      <c r="G40" s="39"/>
    </row>
    <row r="41" spans="1:24" ht="15.75" customHeight="1">
      <c r="G41" s="39"/>
    </row>
    <row r="42" spans="1:24" ht="15.75" customHeight="1">
      <c r="G42" s="39"/>
    </row>
    <row r="43" spans="1:24" ht="15.75" customHeight="1">
      <c r="G43" s="39"/>
    </row>
    <row r="44" spans="1:24" ht="15.75" customHeight="1">
      <c r="G44" s="39"/>
    </row>
    <row r="45" spans="1:24" ht="15.75" customHeight="1">
      <c r="G45" s="39"/>
    </row>
    <row r="46" spans="1:24" ht="15.75" customHeight="1">
      <c r="G46" s="39"/>
    </row>
    <row r="47" spans="1:24" ht="15.75" customHeight="1">
      <c r="G47" s="39"/>
    </row>
    <row r="48" spans="1:24" ht="15.75" customHeight="1">
      <c r="G48" s="39"/>
    </row>
    <row r="49" spans="7:7" ht="15.75" customHeight="1">
      <c r="G49" s="39"/>
    </row>
    <row r="50" spans="7:7" ht="15.75" customHeight="1">
      <c r="G50" s="39"/>
    </row>
    <row r="51" spans="7:7" ht="15.75" customHeight="1">
      <c r="G51" s="39"/>
    </row>
    <row r="52" spans="7:7" ht="15.75" customHeight="1">
      <c r="G52" s="39"/>
    </row>
    <row r="53" spans="7:7" ht="15.75" customHeight="1">
      <c r="G53" s="39"/>
    </row>
    <row r="54" spans="7:7" ht="15.75" customHeight="1">
      <c r="G54" s="39"/>
    </row>
    <row r="55" spans="7:7" ht="15.75" customHeight="1">
      <c r="G55" s="39"/>
    </row>
    <row r="56" spans="7:7" ht="15.75" customHeight="1">
      <c r="G56" s="39"/>
    </row>
    <row r="57" spans="7:7" ht="15.75" customHeight="1">
      <c r="G57" s="39"/>
    </row>
    <row r="58" spans="7:7" ht="15.75" customHeight="1">
      <c r="G58" s="39"/>
    </row>
    <row r="59" spans="7:7" ht="15.75" customHeight="1">
      <c r="G59" s="39"/>
    </row>
    <row r="60" spans="7:7" ht="15.75" customHeight="1">
      <c r="G60" s="39"/>
    </row>
    <row r="61" spans="7:7" ht="15.75" customHeight="1">
      <c r="G61" s="39"/>
    </row>
    <row r="62" spans="7:7" ht="15.75" customHeight="1">
      <c r="G62" s="39"/>
    </row>
    <row r="63" spans="7:7" ht="15.75" customHeight="1">
      <c r="G63" s="39"/>
    </row>
    <row r="64" spans="7:7" ht="15.75" customHeight="1">
      <c r="G64" s="39"/>
    </row>
    <row r="65" spans="7:7" ht="15.75" customHeight="1">
      <c r="G65" s="39"/>
    </row>
    <row r="66" spans="7:7" ht="15.75" customHeight="1">
      <c r="G66" s="39"/>
    </row>
    <row r="67" spans="7:7" ht="15.75" customHeight="1">
      <c r="G67" s="39"/>
    </row>
    <row r="68" spans="7:7" ht="15.75" customHeight="1">
      <c r="G68" s="39"/>
    </row>
    <row r="69" spans="7:7" ht="15.75" customHeight="1">
      <c r="G69" s="39"/>
    </row>
    <row r="70" spans="7:7" ht="15.75" customHeight="1">
      <c r="G70" s="39"/>
    </row>
    <row r="71" spans="7:7" ht="15.75" customHeight="1">
      <c r="G71" s="39"/>
    </row>
    <row r="72" spans="7:7" ht="15.75" customHeight="1">
      <c r="G72" s="39"/>
    </row>
    <row r="73" spans="7:7" ht="15.75" customHeight="1">
      <c r="G73" s="39"/>
    </row>
    <row r="74" spans="7:7" ht="15.75" customHeight="1">
      <c r="G74" s="39"/>
    </row>
    <row r="75" spans="7:7" ht="15.75" customHeight="1">
      <c r="G75" s="39"/>
    </row>
    <row r="76" spans="7:7" ht="15.75" customHeight="1">
      <c r="G76" s="39"/>
    </row>
    <row r="77" spans="7:7" ht="15.75" customHeight="1">
      <c r="G77" s="39"/>
    </row>
    <row r="78" spans="7:7" ht="15.75" customHeight="1">
      <c r="G78" s="39"/>
    </row>
    <row r="79" spans="7:7" ht="15.75" customHeight="1">
      <c r="G79" s="39"/>
    </row>
    <row r="80" spans="7:7" ht="15.75" customHeight="1">
      <c r="G80" s="39"/>
    </row>
    <row r="81" spans="7:7" ht="15.75" customHeight="1">
      <c r="G81" s="39"/>
    </row>
    <row r="82" spans="7:7" ht="15.75" customHeight="1">
      <c r="G82" s="39"/>
    </row>
    <row r="83" spans="7:7" ht="15.75" customHeight="1">
      <c r="G83" s="39"/>
    </row>
    <row r="84" spans="7:7" ht="15.75" customHeight="1">
      <c r="G84" s="39"/>
    </row>
    <row r="85" spans="7:7" ht="15.75" customHeight="1">
      <c r="G85" s="39"/>
    </row>
    <row r="86" spans="7:7" ht="15.75" customHeight="1">
      <c r="G86" s="39"/>
    </row>
    <row r="87" spans="7:7" ht="15.75" customHeight="1">
      <c r="G87" s="39"/>
    </row>
    <row r="88" spans="7:7" ht="15.75" customHeight="1">
      <c r="G88" s="39"/>
    </row>
    <row r="89" spans="7:7" ht="15.75" customHeight="1">
      <c r="G89" s="39"/>
    </row>
    <row r="90" spans="7:7" ht="15.75" customHeight="1">
      <c r="G90" s="39"/>
    </row>
    <row r="91" spans="7:7" ht="15.75" customHeight="1">
      <c r="G91" s="39"/>
    </row>
    <row r="92" spans="7:7" ht="15.75" customHeight="1">
      <c r="G92" s="39"/>
    </row>
    <row r="93" spans="7:7" ht="15.75" customHeight="1">
      <c r="G93" s="39"/>
    </row>
    <row r="94" spans="7:7" ht="15.75" customHeight="1">
      <c r="G94" s="39"/>
    </row>
    <row r="95" spans="7:7" ht="15.75" customHeight="1">
      <c r="G95" s="39"/>
    </row>
    <row r="96" spans="7:7" ht="15.75" customHeight="1">
      <c r="G96" s="39"/>
    </row>
    <row r="97" spans="7:7" ht="15.75" customHeight="1">
      <c r="G97" s="39"/>
    </row>
    <row r="98" spans="7:7" ht="15.75" customHeight="1">
      <c r="G98" s="39"/>
    </row>
    <row r="99" spans="7:7" ht="15.75" customHeight="1">
      <c r="G99" s="39"/>
    </row>
    <row r="100" spans="7:7" ht="15.75" customHeight="1">
      <c r="G100" s="39"/>
    </row>
    <row r="101" spans="7:7" ht="15.75" customHeight="1">
      <c r="G101" s="39"/>
    </row>
    <row r="102" spans="7:7" ht="15.75" customHeight="1">
      <c r="G102" s="39"/>
    </row>
    <row r="103" spans="7:7" ht="15.75" customHeight="1">
      <c r="G103" s="39"/>
    </row>
    <row r="104" spans="7:7" ht="15.75" customHeight="1">
      <c r="G104" s="39"/>
    </row>
    <row r="105" spans="7:7" ht="15.75" customHeight="1">
      <c r="G105" s="39"/>
    </row>
    <row r="106" spans="7:7" ht="15.75" customHeight="1">
      <c r="G106" s="39"/>
    </row>
    <row r="107" spans="7:7" ht="15.75" customHeight="1">
      <c r="G107" s="39"/>
    </row>
    <row r="108" spans="7:7" ht="15.75" customHeight="1">
      <c r="G108" s="39"/>
    </row>
    <row r="109" spans="7:7" ht="15.75" customHeight="1">
      <c r="G109" s="39"/>
    </row>
    <row r="110" spans="7:7" ht="15.75" customHeight="1">
      <c r="G110" s="39"/>
    </row>
    <row r="111" spans="7:7" ht="15.75" customHeight="1">
      <c r="G111" s="39"/>
    </row>
    <row r="112" spans="7:7" ht="15.75" customHeight="1">
      <c r="G112" s="39"/>
    </row>
    <row r="113" spans="7:7" ht="15.75" customHeight="1">
      <c r="G113" s="39"/>
    </row>
    <row r="114" spans="7:7" ht="15.75" customHeight="1">
      <c r="G114" s="39"/>
    </row>
    <row r="115" spans="7:7" ht="15.75" customHeight="1">
      <c r="G115" s="39"/>
    </row>
    <row r="116" spans="7:7" ht="15.75" customHeight="1">
      <c r="G116" s="39"/>
    </row>
    <row r="117" spans="7:7" ht="15.75" customHeight="1">
      <c r="G117" s="39"/>
    </row>
    <row r="118" spans="7:7" ht="15.75" customHeight="1">
      <c r="G118" s="39"/>
    </row>
    <row r="119" spans="7:7" ht="15.75" customHeight="1">
      <c r="G119" s="39"/>
    </row>
    <row r="120" spans="7:7" ht="15.75" customHeight="1">
      <c r="G120" s="39"/>
    </row>
    <row r="121" spans="7:7" ht="15.75" customHeight="1">
      <c r="G121" s="39"/>
    </row>
    <row r="122" spans="7:7" ht="15.75" customHeight="1">
      <c r="G122" s="39"/>
    </row>
    <row r="123" spans="7:7" ht="15.75" customHeight="1">
      <c r="G123" s="39"/>
    </row>
    <row r="124" spans="7:7" ht="15.75" customHeight="1">
      <c r="G124" s="39"/>
    </row>
    <row r="125" spans="7:7" ht="15.75" customHeight="1">
      <c r="G125" s="39"/>
    </row>
    <row r="126" spans="7:7" ht="15.75" customHeight="1">
      <c r="G126" s="39"/>
    </row>
    <row r="127" spans="7:7" ht="15.75" customHeight="1">
      <c r="G127" s="39"/>
    </row>
    <row r="128" spans="7:7" ht="15.75" customHeight="1">
      <c r="G128" s="39"/>
    </row>
    <row r="129" spans="7:7" ht="15.75" customHeight="1">
      <c r="G129" s="39"/>
    </row>
    <row r="130" spans="7:7" ht="15.75" customHeight="1">
      <c r="G130" s="39"/>
    </row>
    <row r="131" spans="7:7" ht="15.75" customHeight="1">
      <c r="G131" s="39"/>
    </row>
    <row r="132" spans="7:7" ht="15.75" customHeight="1">
      <c r="G132" s="39"/>
    </row>
    <row r="133" spans="7:7" ht="15.75" customHeight="1">
      <c r="G133" s="39"/>
    </row>
    <row r="134" spans="7:7" ht="15.75" customHeight="1">
      <c r="G134" s="39"/>
    </row>
    <row r="135" spans="7:7" ht="15.75" customHeight="1">
      <c r="G135" s="39"/>
    </row>
    <row r="136" spans="7:7" ht="15.75" customHeight="1">
      <c r="G136" s="39"/>
    </row>
    <row r="137" spans="7:7" ht="15.75" customHeight="1">
      <c r="G137" s="39"/>
    </row>
    <row r="138" spans="7:7" ht="15.75" customHeight="1">
      <c r="G138" s="39"/>
    </row>
    <row r="139" spans="7:7" ht="15.75" customHeight="1">
      <c r="G139" s="39"/>
    </row>
    <row r="140" spans="7:7" ht="15.75" customHeight="1">
      <c r="G140" s="39"/>
    </row>
    <row r="141" spans="7:7" ht="15.75" customHeight="1">
      <c r="G141" s="39"/>
    </row>
    <row r="142" spans="7:7" ht="15.75" customHeight="1">
      <c r="G142" s="39"/>
    </row>
    <row r="143" spans="7:7" ht="15.75" customHeight="1">
      <c r="G143" s="39"/>
    </row>
    <row r="144" spans="7:7" ht="15.75" customHeight="1">
      <c r="G144" s="39"/>
    </row>
    <row r="145" spans="7:7" ht="15.75" customHeight="1">
      <c r="G145" s="39"/>
    </row>
    <row r="146" spans="7:7" ht="15.75" customHeight="1">
      <c r="G146" s="39"/>
    </row>
    <row r="147" spans="7:7" ht="15.75" customHeight="1">
      <c r="G147" s="39"/>
    </row>
    <row r="148" spans="7:7" ht="15.75" customHeight="1">
      <c r="G148" s="39"/>
    </row>
    <row r="149" spans="7:7" ht="15.75" customHeight="1">
      <c r="G149" s="39"/>
    </row>
    <row r="150" spans="7:7" ht="15.75" customHeight="1">
      <c r="G150" s="39"/>
    </row>
    <row r="151" spans="7:7" ht="15.75" customHeight="1">
      <c r="G151" s="39"/>
    </row>
    <row r="152" spans="7:7" ht="15.75" customHeight="1">
      <c r="G152" s="39"/>
    </row>
    <row r="153" spans="7:7" ht="15.75" customHeight="1">
      <c r="G153" s="39"/>
    </row>
    <row r="154" spans="7:7" ht="15.75" customHeight="1">
      <c r="G154" s="39"/>
    </row>
    <row r="155" spans="7:7" ht="15.75" customHeight="1">
      <c r="G155" s="39"/>
    </row>
    <row r="156" spans="7:7" ht="15.75" customHeight="1">
      <c r="G156" s="39"/>
    </row>
    <row r="157" spans="7:7" ht="15.75" customHeight="1">
      <c r="G157" s="39"/>
    </row>
    <row r="158" spans="7:7" ht="15.75" customHeight="1">
      <c r="G158" s="39"/>
    </row>
    <row r="159" spans="7:7" ht="15.75" customHeight="1">
      <c r="G159" s="39"/>
    </row>
    <row r="160" spans="7:7" ht="15.75" customHeight="1">
      <c r="G160" s="39"/>
    </row>
    <row r="161" spans="7:7" ht="15.75" customHeight="1">
      <c r="G161" s="39"/>
    </row>
    <row r="162" spans="7:7" ht="15.75" customHeight="1">
      <c r="G162" s="39"/>
    </row>
    <row r="163" spans="7:7" ht="15.75" customHeight="1">
      <c r="G163" s="39"/>
    </row>
    <row r="164" spans="7:7" ht="15.75" customHeight="1">
      <c r="G164" s="39"/>
    </row>
    <row r="165" spans="7:7" ht="15.75" customHeight="1">
      <c r="G165" s="39"/>
    </row>
    <row r="166" spans="7:7" ht="15.75" customHeight="1">
      <c r="G166" s="39"/>
    </row>
    <row r="167" spans="7:7" ht="15.75" customHeight="1">
      <c r="G167" s="39"/>
    </row>
    <row r="168" spans="7:7" ht="15.75" customHeight="1">
      <c r="G168" s="39"/>
    </row>
    <row r="169" spans="7:7" ht="15.75" customHeight="1">
      <c r="G169" s="39"/>
    </row>
    <row r="170" spans="7:7" ht="15.75" customHeight="1">
      <c r="G170" s="39"/>
    </row>
    <row r="171" spans="7:7" ht="15.75" customHeight="1">
      <c r="G171" s="39"/>
    </row>
    <row r="172" spans="7:7" ht="15.75" customHeight="1">
      <c r="G172" s="39"/>
    </row>
    <row r="173" spans="7:7" ht="15.75" customHeight="1">
      <c r="G173" s="39"/>
    </row>
    <row r="174" spans="7:7" ht="15.75" customHeight="1">
      <c r="G174" s="39"/>
    </row>
    <row r="175" spans="7:7" ht="15.75" customHeight="1">
      <c r="G175" s="39"/>
    </row>
    <row r="176" spans="7:7" ht="15.75" customHeight="1">
      <c r="G176" s="39"/>
    </row>
    <row r="177" spans="7:7" ht="15.75" customHeight="1">
      <c r="G177" s="39"/>
    </row>
    <row r="178" spans="7:7" ht="15.75" customHeight="1">
      <c r="G178" s="39"/>
    </row>
    <row r="179" spans="7:7" ht="15.75" customHeight="1">
      <c r="G179" s="39"/>
    </row>
    <row r="180" spans="7:7" ht="15.75" customHeight="1">
      <c r="G180" s="39"/>
    </row>
    <row r="181" spans="7:7" ht="15.75" customHeight="1">
      <c r="G181" s="39"/>
    </row>
    <row r="182" spans="7:7" ht="15.75" customHeight="1">
      <c r="G182" s="39"/>
    </row>
    <row r="183" spans="7:7" ht="15.75" customHeight="1">
      <c r="G183" s="39"/>
    </row>
    <row r="184" spans="7:7" ht="15.75" customHeight="1">
      <c r="G184" s="39"/>
    </row>
    <row r="185" spans="7:7" ht="15.75" customHeight="1">
      <c r="G185" s="39"/>
    </row>
    <row r="186" spans="7:7" ht="15.75" customHeight="1">
      <c r="G186" s="39"/>
    </row>
    <row r="187" spans="7:7" ht="15.75" customHeight="1">
      <c r="G187" s="39"/>
    </row>
    <row r="188" spans="7:7" ht="15.75" customHeight="1">
      <c r="G188" s="39"/>
    </row>
    <row r="189" spans="7:7" ht="15.75" customHeight="1">
      <c r="G189" s="39"/>
    </row>
    <row r="190" spans="7:7" ht="15.75" customHeight="1">
      <c r="G190" s="39"/>
    </row>
    <row r="191" spans="7:7" ht="15.75" customHeight="1">
      <c r="G191" s="39"/>
    </row>
    <row r="192" spans="7:7" ht="15.75" customHeight="1">
      <c r="G192" s="39"/>
    </row>
    <row r="193" spans="7:7" ht="15.75" customHeight="1">
      <c r="G193" s="39"/>
    </row>
    <row r="194" spans="7:7" ht="15.75" customHeight="1">
      <c r="G194" s="39"/>
    </row>
    <row r="195" spans="7:7" ht="15.75" customHeight="1">
      <c r="G195" s="39"/>
    </row>
    <row r="196" spans="7:7" ht="15.75" customHeight="1">
      <c r="G196" s="39"/>
    </row>
    <row r="197" spans="7:7" ht="15.75" customHeight="1">
      <c r="G197" s="39"/>
    </row>
    <row r="198" spans="7:7" ht="15.75" customHeight="1">
      <c r="G198" s="39"/>
    </row>
    <row r="199" spans="7:7" ht="15.75" customHeight="1">
      <c r="G199" s="39"/>
    </row>
    <row r="200" spans="7:7" ht="15.75" customHeight="1">
      <c r="G200" s="39"/>
    </row>
    <row r="201" spans="7:7" ht="15.75" customHeight="1">
      <c r="G201" s="39"/>
    </row>
    <row r="202" spans="7:7" ht="15.75" customHeight="1">
      <c r="G202" s="39"/>
    </row>
    <row r="203" spans="7:7" ht="15.75" customHeight="1">
      <c r="G203" s="39"/>
    </row>
    <row r="204" spans="7:7" ht="15.75" customHeight="1">
      <c r="G204" s="39"/>
    </row>
    <row r="205" spans="7:7" ht="15.75" customHeight="1">
      <c r="G205" s="39"/>
    </row>
    <row r="206" spans="7:7" ht="15.75" customHeight="1">
      <c r="G206" s="39"/>
    </row>
    <row r="207" spans="7:7" ht="15.75" customHeight="1">
      <c r="G207" s="39"/>
    </row>
    <row r="208" spans="7:7" ht="15.75" customHeight="1">
      <c r="G208" s="39"/>
    </row>
    <row r="209" spans="7:7" ht="15.75" customHeight="1">
      <c r="G209" s="39"/>
    </row>
    <row r="210" spans="7:7" ht="15.75" customHeight="1">
      <c r="G210" s="39"/>
    </row>
    <row r="211" spans="7:7" ht="15.75" customHeight="1">
      <c r="G211" s="39"/>
    </row>
    <row r="212" spans="7:7" ht="15.75" customHeight="1">
      <c r="G212" s="39"/>
    </row>
    <row r="213" spans="7:7" ht="15.75" customHeight="1">
      <c r="G213" s="39"/>
    </row>
    <row r="214" spans="7:7" ht="15.75" customHeight="1">
      <c r="G214" s="39"/>
    </row>
    <row r="215" spans="7:7" ht="15.75" customHeight="1">
      <c r="G215" s="39"/>
    </row>
    <row r="216" spans="7:7" ht="15.75" customHeight="1">
      <c r="G216" s="39"/>
    </row>
    <row r="217" spans="7:7" ht="15.75" customHeight="1">
      <c r="G217" s="39"/>
    </row>
    <row r="218" spans="7:7" ht="15.75" customHeight="1">
      <c r="G218" s="39"/>
    </row>
    <row r="219" spans="7:7" ht="15.75" customHeight="1">
      <c r="G219" s="39"/>
    </row>
    <row r="220" spans="7:7" ht="15.75" customHeight="1">
      <c r="G220" s="39"/>
    </row>
    <row r="221" spans="7:7" ht="15.75" customHeight="1">
      <c r="G221" s="39"/>
    </row>
    <row r="222" spans="7:7" ht="15.75" customHeight="1">
      <c r="G222" s="39"/>
    </row>
    <row r="223" spans="7:7" ht="15.75" customHeight="1">
      <c r="G223" s="39"/>
    </row>
    <row r="224" spans="7:7" ht="15.75" customHeight="1">
      <c r="G224" s="39"/>
    </row>
    <row r="225" spans="7:7" ht="15.75" customHeight="1">
      <c r="G225" s="39"/>
    </row>
    <row r="226" spans="7:7" ht="15.75" customHeight="1">
      <c r="G226" s="39"/>
    </row>
    <row r="227" spans="7:7" ht="15.75" customHeight="1">
      <c r="G227" s="39"/>
    </row>
    <row r="228" spans="7:7" ht="15.75" customHeight="1">
      <c r="G228" s="39"/>
    </row>
    <row r="229" spans="7:7" ht="15.75" customHeight="1">
      <c r="G229" s="39"/>
    </row>
    <row r="230" spans="7:7" ht="15.75" customHeight="1">
      <c r="G230" s="39"/>
    </row>
    <row r="231" spans="7:7" ht="15.75" customHeight="1">
      <c r="G231" s="39"/>
    </row>
    <row r="232" spans="7:7" ht="15.75" customHeight="1">
      <c r="G232" s="39"/>
    </row>
    <row r="233" spans="7:7" ht="15.75" customHeight="1">
      <c r="G233" s="39"/>
    </row>
    <row r="234" spans="7:7" ht="15.75" customHeight="1">
      <c r="G234" s="39"/>
    </row>
    <row r="235" spans="7:7" ht="15.75" customHeight="1">
      <c r="G235" s="39"/>
    </row>
    <row r="236" spans="7:7" ht="15.75" customHeight="1">
      <c r="G236" s="39"/>
    </row>
    <row r="237" spans="7:7" ht="15.75" customHeight="1">
      <c r="G237" s="39"/>
    </row>
    <row r="238" spans="7:7" ht="15.75" customHeight="1"/>
    <row r="239" spans="7:7" ht="15.75" customHeight="1"/>
    <row r="240" spans="7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E2:F2"/>
    <mergeCell ref="H2:I2"/>
    <mergeCell ref="L2:M2"/>
    <mergeCell ref="P2:R2"/>
  </mergeCells>
  <pageMargins left="0.69930555555555596" right="0.69930555555555596" top="0.75" bottom="0.75" header="0" footer="0"/>
  <pageSetup paperSize="9" scale="60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0.453125" customWidth="1"/>
    <col min="10" max="10" width="17.81640625" hidden="1" customWidth="1"/>
    <col min="11" max="16" width="9" hidden="1" customWidth="1"/>
    <col min="17" max="17" width="11.54296875" hidden="1" customWidth="1"/>
    <col min="18" max="18" width="0.4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3.7265625" customWidth="1"/>
    <col min="26" max="26" width="10" customWidth="1"/>
    <col min="27" max="27" width="11.81640625" customWidth="1"/>
    <col min="28" max="28" width="12" customWidth="1"/>
  </cols>
  <sheetData>
    <row r="1" spans="1:28" ht="14.5">
      <c r="B1" s="492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178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46204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69">
        <v>175</v>
      </c>
      <c r="C7" s="370">
        <v>250</v>
      </c>
      <c r="D7" s="89"/>
      <c r="E7" s="371">
        <v>256</v>
      </c>
      <c r="F7" s="370">
        <f t="shared" ref="F7:F15" si="0">IFERROR(MAX(0,B7+C7-E7-D7),0)</f>
        <v>169</v>
      </c>
      <c r="G7" s="70">
        <v>50</v>
      </c>
      <c r="H7" s="70">
        <f t="shared" ref="H7:H15" si="1">IFERROR(F7*G7,0)</f>
        <v>8450</v>
      </c>
      <c r="J7" s="89" t="s">
        <v>194</v>
      </c>
      <c r="K7" s="89"/>
      <c r="L7" s="89"/>
      <c r="M7" s="89"/>
      <c r="N7" s="370">
        <f t="shared" ref="N7:N30" si="2">E7</f>
        <v>256</v>
      </c>
      <c r="O7" s="89"/>
      <c r="P7" s="70">
        <v>21</v>
      </c>
      <c r="Q7" s="70">
        <f t="shared" ref="Q7:Q29" si="3">IFERROR(N7*P7,0)</f>
        <v>5376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250</v>
      </c>
      <c r="AA7" s="374">
        <v>35</v>
      </c>
      <c r="AB7" s="374">
        <f t="shared" ref="AB7:AB17" si="4">IFERROR(Z7*AA7,0)</f>
        <v>8750</v>
      </c>
    </row>
    <row r="8" spans="1:28" ht="15.5">
      <c r="A8" s="89" t="s">
        <v>102</v>
      </c>
      <c r="B8" s="375">
        <v>23</v>
      </c>
      <c r="C8" s="89">
        <v>20</v>
      </c>
      <c r="D8" s="89"/>
      <c r="E8" s="376">
        <v>28</v>
      </c>
      <c r="F8" s="89">
        <f t="shared" si="0"/>
        <v>15</v>
      </c>
      <c r="G8" s="70">
        <v>12</v>
      </c>
      <c r="H8" s="70">
        <f t="shared" si="1"/>
        <v>180</v>
      </c>
      <c r="J8" s="89" t="s">
        <v>198</v>
      </c>
      <c r="K8" s="89"/>
      <c r="L8" s="89"/>
      <c r="M8" s="89"/>
      <c r="N8" s="89">
        <f t="shared" si="2"/>
        <v>28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75">
        <v>16</v>
      </c>
      <c r="C9" s="89"/>
      <c r="D9" s="89"/>
      <c r="E9" s="376"/>
      <c r="F9" s="89">
        <f t="shared" si="0"/>
        <v>16</v>
      </c>
      <c r="G9" s="70">
        <v>12</v>
      </c>
      <c r="H9" s="70">
        <f t="shared" si="1"/>
        <v>192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75"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79">
        <v>15</v>
      </c>
      <c r="C11" s="89">
        <v>200</v>
      </c>
      <c r="D11" s="89"/>
      <c r="E11" s="371">
        <v>23</v>
      </c>
      <c r="F11" s="370">
        <f t="shared" si="0"/>
        <v>192</v>
      </c>
      <c r="G11" s="70">
        <v>15</v>
      </c>
      <c r="H11" s="70">
        <f t="shared" si="1"/>
        <v>2880</v>
      </c>
      <c r="J11" s="89" t="s">
        <v>42</v>
      </c>
      <c r="K11" s="89"/>
      <c r="L11" s="89"/>
      <c r="M11" s="89"/>
      <c r="N11" s="370">
        <f t="shared" si="2"/>
        <v>23</v>
      </c>
      <c r="O11" s="89"/>
      <c r="P11" s="70">
        <v>5.5</v>
      </c>
      <c r="Q11" s="70">
        <f t="shared" si="3"/>
        <v>126.5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75">
        <v>70</v>
      </c>
      <c r="C12" s="89"/>
      <c r="D12" s="89"/>
      <c r="E12" s="376">
        <v>27</v>
      </c>
      <c r="F12" s="89">
        <f t="shared" si="0"/>
        <v>43</v>
      </c>
      <c r="G12" s="70">
        <v>10</v>
      </c>
      <c r="H12" s="70">
        <f t="shared" si="1"/>
        <v>430</v>
      </c>
      <c r="J12" s="89" t="s">
        <v>37</v>
      </c>
      <c r="K12" s="89"/>
      <c r="L12" s="89"/>
      <c r="M12" s="89"/>
      <c r="N12" s="89">
        <f t="shared" si="2"/>
        <v>27</v>
      </c>
      <c r="O12" s="89"/>
      <c r="P12" s="70">
        <v>3.5</v>
      </c>
      <c r="Q12" s="70">
        <f t="shared" si="3"/>
        <v>94.5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75">
        <v>32</v>
      </c>
      <c r="C13" s="89">
        <v>50</v>
      </c>
      <c r="D13" s="89"/>
      <c r="E13" s="376">
        <v>50</v>
      </c>
      <c r="F13" s="89">
        <f t="shared" si="0"/>
        <v>32</v>
      </c>
      <c r="G13" s="70">
        <v>8</v>
      </c>
      <c r="H13" s="70">
        <f t="shared" si="1"/>
        <v>256</v>
      </c>
      <c r="J13" s="89" t="s">
        <v>211</v>
      </c>
      <c r="K13" s="89"/>
      <c r="L13" s="89"/>
      <c r="M13" s="89"/>
      <c r="N13" s="89">
        <f t="shared" si="2"/>
        <v>50</v>
      </c>
      <c r="O13" s="89"/>
      <c r="P13" s="70">
        <v>7.5</v>
      </c>
      <c r="Q13" s="70">
        <f t="shared" si="3"/>
        <v>375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83">
        <v>34</v>
      </c>
      <c r="C14" s="89"/>
      <c r="D14" s="89"/>
      <c r="E14" s="376">
        <v>16</v>
      </c>
      <c r="F14" s="89">
        <f t="shared" si="0"/>
        <v>18</v>
      </c>
      <c r="G14" s="70">
        <v>10</v>
      </c>
      <c r="H14" s="70">
        <f t="shared" si="1"/>
        <v>180</v>
      </c>
      <c r="J14" s="89" t="s">
        <v>44</v>
      </c>
      <c r="K14" s="89"/>
      <c r="L14" s="89"/>
      <c r="M14" s="89"/>
      <c r="N14" s="89">
        <f t="shared" si="2"/>
        <v>16</v>
      </c>
      <c r="O14" s="89"/>
      <c r="P14" s="70">
        <v>3.5</v>
      </c>
      <c r="Q14" s="70">
        <f t="shared" si="3"/>
        <v>56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75">
        <v>40</v>
      </c>
      <c r="C15" s="89"/>
      <c r="D15" s="89"/>
      <c r="E15" s="376">
        <v>22</v>
      </c>
      <c r="F15" s="89">
        <f t="shared" si="0"/>
        <v>18</v>
      </c>
      <c r="G15" s="70">
        <v>25</v>
      </c>
      <c r="H15" s="70">
        <f t="shared" si="1"/>
        <v>450</v>
      </c>
      <c r="J15" s="89" t="s">
        <v>41</v>
      </c>
      <c r="K15" s="89"/>
      <c r="L15" s="89"/>
      <c r="M15" s="89"/>
      <c r="N15" s="89">
        <f t="shared" si="2"/>
        <v>22</v>
      </c>
      <c r="O15" s="89"/>
      <c r="P15" s="70">
        <v>8</v>
      </c>
      <c r="Q15" s="70">
        <f t="shared" si="3"/>
        <v>176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5"/>
      <c r="C16" s="386"/>
      <c r="D16" s="386"/>
      <c r="E16" s="386"/>
      <c r="F16" s="386"/>
      <c r="G16" s="387"/>
      <c r="H16" s="345">
        <f>IFERROR(SUM(H7:H15),0)</f>
        <v>13018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75">
        <v>70</v>
      </c>
      <c r="C17" s="89"/>
      <c r="D17" s="89"/>
      <c r="E17" s="376">
        <v>54</v>
      </c>
      <c r="F17" s="89">
        <f t="shared" ref="F17:F29" si="6">IFERROR(MAX(0,B17+C17-E17-D17),0)</f>
        <v>16</v>
      </c>
      <c r="G17" s="70">
        <v>20</v>
      </c>
      <c r="H17" s="70">
        <f t="shared" ref="H17:H29" si="7">IFERROR(F17*G17,0)</f>
        <v>320</v>
      </c>
      <c r="J17" s="89" t="s">
        <v>222</v>
      </c>
      <c r="K17" s="89"/>
      <c r="L17" s="89"/>
      <c r="M17" s="89"/>
      <c r="N17" s="89">
        <f t="shared" si="2"/>
        <v>54</v>
      </c>
      <c r="O17" s="89"/>
      <c r="P17" s="70">
        <f t="shared" si="5"/>
        <v>20</v>
      </c>
      <c r="Q17" s="70">
        <f t="shared" si="3"/>
        <v>1080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83">
        <v>227</v>
      </c>
      <c r="C18" s="89"/>
      <c r="D18" s="89"/>
      <c r="E18" s="376">
        <v>184</v>
      </c>
      <c r="F18" s="89">
        <f t="shared" si="6"/>
        <v>43</v>
      </c>
      <c r="G18" s="70">
        <v>25</v>
      </c>
      <c r="H18" s="70">
        <f t="shared" si="7"/>
        <v>1075</v>
      </c>
      <c r="J18" s="89" t="s">
        <v>36</v>
      </c>
      <c r="K18" s="89"/>
      <c r="L18" s="89"/>
      <c r="M18" s="89"/>
      <c r="N18" s="89">
        <f t="shared" si="2"/>
        <v>184</v>
      </c>
      <c r="O18" s="89"/>
      <c r="P18" s="70">
        <v>7</v>
      </c>
      <c r="Q18" s="70">
        <f t="shared" si="3"/>
        <v>1288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9220</v>
      </c>
    </row>
    <row r="19" spans="1:28" ht="14.5">
      <c r="A19" s="89" t="s">
        <v>228</v>
      </c>
      <c r="B19" s="375"/>
      <c r="C19" s="89"/>
      <c r="D19" s="89"/>
      <c r="E19" s="376"/>
      <c r="F19" s="89">
        <f t="shared" si="6"/>
        <v>0</v>
      </c>
      <c r="G19" s="70">
        <v>55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55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83"/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83"/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75">
        <v>85</v>
      </c>
      <c r="C22" s="89"/>
      <c r="D22" s="89"/>
      <c r="E22" s="376">
        <v>78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78</v>
      </c>
      <c r="O22" s="89"/>
      <c r="P22" s="70">
        <v>7.42</v>
      </c>
      <c r="Q22" s="70">
        <f t="shared" si="3"/>
        <v>578.76</v>
      </c>
      <c r="S22" s="381" t="s">
        <v>241</v>
      </c>
      <c r="T22" s="70"/>
      <c r="V22" s="392" t="s">
        <v>17</v>
      </c>
      <c r="W22" s="393">
        <f>SUM(W16:W21)</f>
        <v>1700</v>
      </c>
      <c r="Y22" s="394"/>
      <c r="Z22" s="394"/>
      <c r="AA22" s="3"/>
      <c r="AB22" s="3"/>
    </row>
    <row r="23" spans="1:28" ht="15.75" customHeight="1">
      <c r="A23" s="89" t="s">
        <v>242</v>
      </c>
      <c r="B23" s="383"/>
      <c r="C23" s="89"/>
      <c r="D23" s="89"/>
      <c r="E23" s="376"/>
      <c r="F23" s="89">
        <f t="shared" si="6"/>
        <v>0</v>
      </c>
      <c r="G23" s="70">
        <v>25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83">
        <v>26</v>
      </c>
      <c r="C24" s="89"/>
      <c r="D24" s="89"/>
      <c r="E24" s="376">
        <v>24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24</v>
      </c>
      <c r="O24" s="89"/>
      <c r="P24" s="70">
        <f>G24</f>
        <v>25</v>
      </c>
      <c r="Q24" s="70">
        <f t="shared" si="3"/>
        <v>600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83"/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>
        <v>4270</v>
      </c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83"/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75">
        <v>107</v>
      </c>
      <c r="C27" s="89"/>
      <c r="D27" s="89"/>
      <c r="E27" s="376">
        <v>100</v>
      </c>
      <c r="F27" s="89">
        <f t="shared" si="6"/>
        <v>7</v>
      </c>
      <c r="G27" s="70">
        <v>17</v>
      </c>
      <c r="H27" s="70">
        <f t="shared" si="7"/>
        <v>119</v>
      </c>
      <c r="J27" s="89" t="s">
        <v>248</v>
      </c>
      <c r="K27" s="89"/>
      <c r="L27" s="89"/>
      <c r="M27" s="89"/>
      <c r="N27" s="89">
        <f t="shared" si="2"/>
        <v>100</v>
      </c>
      <c r="O27" s="89"/>
      <c r="P27" s="70">
        <v>12.8</v>
      </c>
      <c r="Q27" s="70">
        <f t="shared" si="3"/>
        <v>1280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75">
        <v>88</v>
      </c>
      <c r="C28" s="89"/>
      <c r="D28" s="89"/>
      <c r="E28" s="376">
        <v>85</v>
      </c>
      <c r="F28" s="89">
        <f t="shared" si="6"/>
        <v>3</v>
      </c>
      <c r="G28" s="70">
        <v>25</v>
      </c>
      <c r="H28" s="70">
        <f t="shared" si="7"/>
        <v>75</v>
      </c>
      <c r="J28" s="89" t="s">
        <v>251</v>
      </c>
      <c r="K28" s="89"/>
      <c r="L28" s="89"/>
      <c r="M28" s="89"/>
      <c r="N28" s="89">
        <f t="shared" si="2"/>
        <v>85</v>
      </c>
      <c r="O28" s="89"/>
      <c r="P28" s="70">
        <v>10.42</v>
      </c>
      <c r="Q28" s="70">
        <f t="shared" si="3"/>
        <v>885.7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75"/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345">
        <f>IFERROR(SUM(H17:H29),0)</f>
        <v>1779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4270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14797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12189.460000000001</v>
      </c>
      <c r="R31" s="357"/>
      <c r="S31" s="506" t="s">
        <v>256</v>
      </c>
      <c r="T31" s="438"/>
      <c r="U31" s="438"/>
      <c r="V31" s="507"/>
      <c r="W31" s="407">
        <f>T30+W30+W22+W14</f>
        <v>5970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10920</v>
      </c>
    </row>
    <row r="33" spans="1:27" ht="15.75" customHeight="1">
      <c r="A33" s="3" t="s">
        <v>96</v>
      </c>
      <c r="B33" s="498">
        <f>H31</f>
        <v>14797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5970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4270</v>
      </c>
      <c r="AA34" s="39"/>
    </row>
    <row r="35" spans="1:27" ht="15.75" customHeight="1">
      <c r="A35" s="3" t="s">
        <v>258</v>
      </c>
      <c r="B35" s="499">
        <f>IFERROR(B33-B34,0)</f>
        <v>8827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9220</v>
      </c>
      <c r="AA35" s="39"/>
    </row>
    <row r="36" spans="1:27" ht="15.75" customHeight="1">
      <c r="A36" s="3" t="s">
        <v>259</v>
      </c>
      <c r="B36" s="500">
        <v>8827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13490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4"/>
    </row>
    <row r="43" spans="1:27" ht="15.75" customHeight="1">
      <c r="G43" s="39"/>
      <c r="T43" s="39"/>
      <c r="W43" s="4"/>
    </row>
    <row r="44" spans="1:27" ht="15.75" customHeight="1">
      <c r="G44" s="39"/>
      <c r="T44" s="39"/>
      <c r="W44" s="4"/>
    </row>
    <row r="45" spans="1:27" ht="15.75" customHeight="1">
      <c r="G45" s="39"/>
      <c r="T45" s="39"/>
      <c r="W45" s="4"/>
    </row>
    <row r="46" spans="1:27" ht="15.75" customHeight="1">
      <c r="G46" s="39"/>
      <c r="T46" s="39"/>
      <c r="W46" s="4"/>
    </row>
    <row r="47" spans="1:27" ht="15.75" customHeight="1">
      <c r="G47" s="39"/>
      <c r="T47" s="39"/>
      <c r="W47" s="4"/>
    </row>
    <row r="48" spans="1:27" ht="15.75" customHeight="1">
      <c r="G48" s="39"/>
      <c r="T48" s="39"/>
      <c r="W48" s="4"/>
    </row>
    <row r="49" spans="7:23" ht="15.75" customHeight="1">
      <c r="G49" s="39"/>
      <c r="T49" s="39"/>
      <c r="W49" s="4"/>
    </row>
    <row r="50" spans="7:23" ht="15.75" customHeight="1">
      <c r="G50" s="39"/>
      <c r="T50" s="39"/>
      <c r="W50" s="4"/>
    </row>
    <row r="51" spans="7:23" ht="15.75" customHeight="1">
      <c r="G51" s="39"/>
      <c r="T51" s="39"/>
      <c r="W51" s="4"/>
    </row>
    <row r="52" spans="7:23" ht="15.75" customHeight="1">
      <c r="G52" s="39"/>
      <c r="T52" s="39"/>
      <c r="W52" s="4"/>
    </row>
    <row r="53" spans="7:23" ht="15.75" customHeight="1">
      <c r="G53" s="39"/>
      <c r="T53" s="39"/>
      <c r="W53" s="4"/>
    </row>
    <row r="54" spans="7:23" ht="15.75" customHeight="1">
      <c r="G54" s="39"/>
      <c r="T54" s="39"/>
      <c r="W54" s="4"/>
    </row>
    <row r="55" spans="7:23" ht="15.75" customHeight="1">
      <c r="G55" s="39"/>
      <c r="T55" s="39"/>
      <c r="W55" s="4"/>
    </row>
    <row r="56" spans="7:23" ht="15.75" customHeight="1">
      <c r="G56" s="39"/>
      <c r="T56" s="39"/>
      <c r="W56" s="4"/>
    </row>
    <row r="57" spans="7:23" ht="15.75" customHeight="1">
      <c r="G57" s="39"/>
      <c r="T57" s="39"/>
      <c r="W57" s="4"/>
    </row>
    <row r="58" spans="7:23" ht="15.75" customHeight="1">
      <c r="G58" s="39"/>
      <c r="T58" s="39"/>
      <c r="W58" s="4"/>
    </row>
    <row r="59" spans="7:23" ht="15.75" customHeight="1">
      <c r="G59" s="39"/>
      <c r="T59" s="39"/>
      <c r="W59" s="4"/>
    </row>
    <row r="60" spans="7:23" ht="15.75" customHeight="1">
      <c r="G60" s="39"/>
      <c r="T60" s="39"/>
      <c r="W60" s="4"/>
    </row>
    <row r="61" spans="7:23" ht="15.75" customHeight="1">
      <c r="G61" s="39"/>
      <c r="T61" s="39"/>
      <c r="W61" s="4"/>
    </row>
    <row r="62" spans="7:23" ht="15.75" customHeight="1">
      <c r="G62" s="39"/>
      <c r="T62" s="39"/>
      <c r="W62" s="4"/>
    </row>
    <row r="63" spans="7:23" ht="15.75" customHeight="1">
      <c r="G63" s="39"/>
      <c r="T63" s="39"/>
      <c r="W63" s="4"/>
    </row>
    <row r="64" spans="7:23" ht="15.75" customHeight="1">
      <c r="G64" s="39"/>
      <c r="T64" s="39"/>
      <c r="W64" s="4"/>
    </row>
    <row r="65" spans="7:23" ht="15.75" customHeight="1">
      <c r="G65" s="39"/>
      <c r="T65" s="39"/>
      <c r="W65" s="4"/>
    </row>
    <row r="66" spans="7:23" ht="15.75" customHeight="1">
      <c r="G66" s="39"/>
      <c r="T66" s="39"/>
      <c r="W66" s="4"/>
    </row>
    <row r="67" spans="7:23" ht="15.75" customHeight="1">
      <c r="G67" s="39"/>
      <c r="T67" s="39"/>
      <c r="W67" s="4"/>
    </row>
    <row r="68" spans="7:23" ht="15.75" customHeight="1">
      <c r="G68" s="39"/>
      <c r="T68" s="39"/>
      <c r="W68" s="4"/>
    </row>
    <row r="69" spans="7:23" ht="15.75" customHeight="1">
      <c r="G69" s="39"/>
      <c r="T69" s="39"/>
      <c r="W69" s="4"/>
    </row>
    <row r="70" spans="7:23" ht="15.75" customHeight="1">
      <c r="G70" s="39"/>
      <c r="T70" s="39"/>
      <c r="W70" s="4"/>
    </row>
    <row r="71" spans="7:23" ht="15.75" customHeight="1">
      <c r="G71" s="39"/>
      <c r="T71" s="39"/>
      <c r="W71" s="4"/>
    </row>
    <row r="72" spans="7:23" ht="15.75" customHeight="1">
      <c r="G72" s="39"/>
      <c r="T72" s="39"/>
      <c r="W72" s="4"/>
    </row>
    <row r="73" spans="7:23" ht="15.75" customHeight="1">
      <c r="G73" s="39"/>
      <c r="T73" s="39"/>
      <c r="W73" s="4"/>
    </row>
    <row r="74" spans="7:23" ht="15.75" customHeight="1">
      <c r="G74" s="39"/>
      <c r="T74" s="39"/>
      <c r="W74" s="4"/>
    </row>
    <row r="75" spans="7:23" ht="15.75" customHeight="1">
      <c r="G75" s="39"/>
      <c r="T75" s="39"/>
      <c r="W75" s="4"/>
    </row>
    <row r="76" spans="7:23" ht="15.75" customHeight="1">
      <c r="G76" s="39"/>
      <c r="T76" s="39"/>
      <c r="W76" s="4"/>
    </row>
    <row r="77" spans="7:23" ht="15.75" customHeight="1">
      <c r="G77" s="39"/>
      <c r="T77" s="39"/>
      <c r="W77" s="4"/>
    </row>
    <row r="78" spans="7:23" ht="15.75" customHeight="1">
      <c r="G78" s="39"/>
      <c r="T78" s="39"/>
      <c r="W78" s="4"/>
    </row>
    <row r="79" spans="7:23" ht="15.75" customHeight="1">
      <c r="G79" s="39"/>
      <c r="T79" s="39"/>
      <c r="W79" s="4"/>
    </row>
    <row r="80" spans="7:23" ht="15.75" customHeight="1">
      <c r="G80" s="39"/>
      <c r="T80" s="39"/>
      <c r="W80" s="4"/>
    </row>
    <row r="81" spans="7:23" ht="15.75" customHeight="1">
      <c r="G81" s="39"/>
      <c r="T81" s="39"/>
      <c r="W81" s="4"/>
    </row>
    <row r="82" spans="7:23" ht="15.75" customHeight="1">
      <c r="G82" s="39"/>
      <c r="T82" s="39"/>
      <c r="W82" s="4"/>
    </row>
    <row r="83" spans="7:23" ht="15.75" customHeight="1">
      <c r="G83" s="39"/>
      <c r="T83" s="39"/>
      <c r="W83" s="4"/>
    </row>
    <row r="84" spans="7:23" ht="15.75" customHeight="1">
      <c r="G84" s="39"/>
      <c r="T84" s="39"/>
      <c r="W84" s="4"/>
    </row>
    <row r="85" spans="7:23" ht="15.75" customHeight="1">
      <c r="G85" s="39"/>
      <c r="T85" s="39"/>
      <c r="W85" s="4"/>
    </row>
    <row r="86" spans="7:23" ht="15.75" customHeight="1">
      <c r="G86" s="39"/>
      <c r="T86" s="39"/>
      <c r="W86" s="4"/>
    </row>
    <row r="87" spans="7:23" ht="15.75" customHeight="1">
      <c r="G87" s="39"/>
      <c r="T87" s="39"/>
      <c r="W87" s="4"/>
    </row>
    <row r="88" spans="7:23" ht="15.75" customHeight="1">
      <c r="G88" s="39"/>
      <c r="T88" s="39"/>
      <c r="W88" s="4"/>
    </row>
    <row r="89" spans="7:23" ht="15.75" customHeight="1">
      <c r="G89" s="39"/>
      <c r="T89" s="39"/>
      <c r="W89" s="4"/>
    </row>
    <row r="90" spans="7:23" ht="15.75" customHeight="1">
      <c r="G90" s="39"/>
      <c r="T90" s="39"/>
      <c r="W90" s="4"/>
    </row>
    <row r="91" spans="7:23" ht="15.75" customHeight="1">
      <c r="G91" s="39"/>
      <c r="T91" s="39"/>
      <c r="W91" s="4"/>
    </row>
    <row r="92" spans="7:23" ht="15.75" customHeight="1">
      <c r="G92" s="39"/>
      <c r="T92" s="39"/>
      <c r="W92" s="4"/>
    </row>
    <row r="93" spans="7:23" ht="15.75" customHeight="1">
      <c r="G93" s="39"/>
      <c r="T93" s="39"/>
      <c r="W93" s="4"/>
    </row>
    <row r="94" spans="7:23" ht="15.75" customHeight="1">
      <c r="G94" s="39"/>
      <c r="T94" s="39"/>
      <c r="W94" s="4"/>
    </row>
    <row r="95" spans="7:23" ht="15.75" customHeight="1">
      <c r="G95" s="39"/>
      <c r="T95" s="39"/>
      <c r="W95" s="4"/>
    </row>
    <row r="96" spans="7:23" ht="15.75" customHeight="1">
      <c r="G96" s="39"/>
      <c r="T96" s="39"/>
      <c r="W96" s="4"/>
    </row>
    <row r="97" spans="7:23" ht="15.75" customHeight="1">
      <c r="G97" s="39"/>
      <c r="T97" s="39"/>
      <c r="W97" s="4"/>
    </row>
    <row r="98" spans="7:23" ht="15.75" customHeight="1">
      <c r="G98" s="39"/>
      <c r="T98" s="39"/>
      <c r="W98" s="4"/>
    </row>
    <row r="99" spans="7:23" ht="15.75" customHeight="1">
      <c r="G99" s="39"/>
      <c r="T99" s="39"/>
      <c r="W99" s="4"/>
    </row>
    <row r="100" spans="7:23" ht="15.75" customHeight="1">
      <c r="G100" s="39"/>
      <c r="T100" s="39"/>
      <c r="W100" s="4"/>
    </row>
    <row r="101" spans="7:23" ht="15.75" customHeight="1">
      <c r="G101" s="39"/>
      <c r="T101" s="39"/>
      <c r="W101" s="4"/>
    </row>
    <row r="102" spans="7:23" ht="15.75" customHeight="1">
      <c r="G102" s="39"/>
      <c r="T102" s="39"/>
      <c r="W102" s="4"/>
    </row>
    <row r="103" spans="7:23" ht="15.75" customHeight="1">
      <c r="G103" s="39"/>
      <c r="T103" s="39"/>
      <c r="W103" s="4"/>
    </row>
    <row r="104" spans="7:23" ht="15.75" customHeight="1">
      <c r="G104" s="39"/>
      <c r="T104" s="39"/>
      <c r="W104" s="4"/>
    </row>
    <row r="105" spans="7:23" ht="15.75" customHeight="1">
      <c r="G105" s="39"/>
      <c r="T105" s="39"/>
      <c r="W105" s="4"/>
    </row>
    <row r="106" spans="7:23" ht="15.75" customHeight="1">
      <c r="G106" s="39"/>
      <c r="T106" s="39"/>
      <c r="W106" s="4"/>
    </row>
    <row r="107" spans="7:23" ht="15.75" customHeight="1">
      <c r="G107" s="39"/>
      <c r="T107" s="39"/>
      <c r="W107" s="4"/>
    </row>
    <row r="108" spans="7:23" ht="15.75" customHeight="1">
      <c r="G108" s="39"/>
      <c r="T108" s="39"/>
      <c r="W108" s="4"/>
    </row>
    <row r="109" spans="7:23" ht="15.75" customHeight="1">
      <c r="G109" s="39"/>
      <c r="T109" s="39"/>
      <c r="W109" s="4"/>
    </row>
    <row r="110" spans="7:23" ht="15.75" customHeight="1">
      <c r="G110" s="39"/>
      <c r="T110" s="39"/>
      <c r="W110" s="4"/>
    </row>
    <row r="111" spans="7:23" ht="15.75" customHeight="1">
      <c r="G111" s="39"/>
      <c r="T111" s="39"/>
      <c r="W111" s="4"/>
    </row>
    <row r="112" spans="7:23" ht="15.75" customHeight="1">
      <c r="G112" s="39"/>
      <c r="T112" s="39"/>
      <c r="W112" s="4"/>
    </row>
    <row r="113" spans="7:23" ht="15.75" customHeight="1">
      <c r="G113" s="39"/>
      <c r="T113" s="39"/>
      <c r="W113" s="4"/>
    </row>
    <row r="114" spans="7:23" ht="15.75" customHeight="1">
      <c r="G114" s="39"/>
      <c r="T114" s="39"/>
      <c r="W114" s="4"/>
    </row>
    <row r="115" spans="7:23" ht="15.75" customHeight="1">
      <c r="G115" s="39"/>
      <c r="T115" s="39"/>
      <c r="W115" s="4"/>
    </row>
    <row r="116" spans="7:23" ht="15.75" customHeight="1">
      <c r="G116" s="39"/>
      <c r="T116" s="39"/>
      <c r="W116" s="4"/>
    </row>
    <row r="117" spans="7:23" ht="15.75" customHeight="1">
      <c r="G117" s="39"/>
      <c r="T117" s="39"/>
      <c r="W117" s="4"/>
    </row>
    <row r="118" spans="7:23" ht="15.75" customHeight="1">
      <c r="G118" s="39"/>
      <c r="T118" s="39"/>
      <c r="W118" s="4"/>
    </row>
    <row r="119" spans="7:23" ht="15.75" customHeight="1">
      <c r="G119" s="39"/>
      <c r="T119" s="39"/>
      <c r="W119" s="4"/>
    </row>
    <row r="120" spans="7:23" ht="15.75" customHeight="1">
      <c r="G120" s="39"/>
      <c r="T120" s="39"/>
      <c r="W120" s="4"/>
    </row>
    <row r="121" spans="7:23" ht="15.75" customHeight="1">
      <c r="G121" s="39"/>
      <c r="T121" s="39"/>
      <c r="W121" s="4"/>
    </row>
    <row r="122" spans="7:23" ht="15.75" customHeight="1">
      <c r="G122" s="39"/>
      <c r="T122" s="39"/>
      <c r="W122" s="4"/>
    </row>
    <row r="123" spans="7:23" ht="15.75" customHeight="1">
      <c r="G123" s="39"/>
      <c r="T123" s="39"/>
      <c r="W123" s="4"/>
    </row>
    <row r="124" spans="7:23" ht="15.75" customHeight="1">
      <c r="G124" s="39"/>
      <c r="T124" s="39"/>
      <c r="W124" s="4"/>
    </row>
    <row r="125" spans="7:23" ht="15.75" customHeight="1">
      <c r="G125" s="39"/>
      <c r="T125" s="39"/>
      <c r="W125" s="4"/>
    </row>
    <row r="126" spans="7:23" ht="15.75" customHeight="1">
      <c r="G126" s="39"/>
      <c r="T126" s="39"/>
      <c r="W126" s="4"/>
    </row>
    <row r="127" spans="7:23" ht="15.75" customHeight="1">
      <c r="G127" s="39"/>
      <c r="T127" s="39"/>
      <c r="W127" s="4"/>
    </row>
    <row r="128" spans="7:23" ht="15.75" customHeight="1">
      <c r="G128" s="39"/>
      <c r="T128" s="39"/>
      <c r="W128" s="4"/>
    </row>
    <row r="129" spans="7:23" ht="15.75" customHeight="1">
      <c r="G129" s="39"/>
      <c r="T129" s="39"/>
      <c r="W129" s="4"/>
    </row>
    <row r="130" spans="7:23" ht="15.75" customHeight="1">
      <c r="G130" s="39"/>
      <c r="T130" s="39"/>
      <c r="W130" s="4"/>
    </row>
    <row r="131" spans="7:23" ht="15.75" customHeight="1">
      <c r="G131" s="39"/>
      <c r="T131" s="39"/>
      <c r="W131" s="4"/>
    </row>
    <row r="132" spans="7:23" ht="15.75" customHeight="1">
      <c r="G132" s="39"/>
      <c r="T132" s="39"/>
      <c r="W132" s="4"/>
    </row>
    <row r="133" spans="7:23" ht="15.75" customHeight="1">
      <c r="G133" s="39"/>
      <c r="T133" s="39"/>
      <c r="W133" s="4"/>
    </row>
    <row r="134" spans="7:23" ht="15.75" customHeight="1">
      <c r="G134" s="39"/>
      <c r="T134" s="39"/>
      <c r="W134" s="4"/>
    </row>
    <row r="135" spans="7:23" ht="15.75" customHeight="1">
      <c r="G135" s="39"/>
      <c r="T135" s="39"/>
      <c r="W135" s="4"/>
    </row>
    <row r="136" spans="7:23" ht="15.75" customHeight="1">
      <c r="G136" s="39"/>
      <c r="T136" s="39"/>
      <c r="W136" s="4"/>
    </row>
    <row r="137" spans="7:23" ht="15.75" customHeight="1">
      <c r="G137" s="39"/>
      <c r="T137" s="39"/>
      <c r="W137" s="4"/>
    </row>
    <row r="138" spans="7:23" ht="15.75" customHeight="1">
      <c r="G138" s="39"/>
      <c r="T138" s="39"/>
      <c r="W138" s="4"/>
    </row>
    <row r="139" spans="7:23" ht="15.75" customHeight="1">
      <c r="G139" s="39"/>
      <c r="T139" s="39"/>
      <c r="W139" s="4"/>
    </row>
    <row r="140" spans="7:23" ht="15.75" customHeight="1">
      <c r="G140" s="39"/>
      <c r="T140" s="39"/>
      <c r="W140" s="4"/>
    </row>
    <row r="141" spans="7:23" ht="15.75" customHeight="1">
      <c r="G141" s="39"/>
      <c r="T141" s="39"/>
      <c r="W141" s="4"/>
    </row>
    <row r="142" spans="7:23" ht="15.75" customHeight="1">
      <c r="G142" s="39"/>
      <c r="T142" s="39"/>
      <c r="W142" s="4"/>
    </row>
    <row r="143" spans="7:23" ht="15.75" customHeight="1">
      <c r="G143" s="39"/>
      <c r="T143" s="39"/>
      <c r="W143" s="4"/>
    </row>
    <row r="144" spans="7:23" ht="15.75" customHeight="1">
      <c r="G144" s="39"/>
      <c r="T144" s="39"/>
      <c r="W144" s="4"/>
    </row>
    <row r="145" spans="7:23" ht="15.75" customHeight="1">
      <c r="G145" s="39"/>
      <c r="T145" s="39"/>
      <c r="W145" s="4"/>
    </row>
    <row r="146" spans="7:23" ht="15.75" customHeight="1">
      <c r="G146" s="39"/>
      <c r="T146" s="39"/>
      <c r="W146" s="4"/>
    </row>
    <row r="147" spans="7:23" ht="15.75" customHeight="1">
      <c r="G147" s="39"/>
      <c r="T147" s="39"/>
      <c r="W147" s="4"/>
    </row>
    <row r="148" spans="7:23" ht="15.75" customHeight="1">
      <c r="G148" s="39"/>
      <c r="T148" s="39"/>
      <c r="W148" s="4"/>
    </row>
    <row r="149" spans="7:23" ht="15.75" customHeight="1">
      <c r="G149" s="39"/>
      <c r="T149" s="39"/>
      <c r="W149" s="4"/>
    </row>
    <row r="150" spans="7:23" ht="15.75" customHeight="1">
      <c r="G150" s="39"/>
      <c r="T150" s="39"/>
      <c r="W150" s="4"/>
    </row>
    <row r="151" spans="7:23" ht="15.75" customHeight="1">
      <c r="G151" s="39"/>
      <c r="T151" s="39"/>
      <c r="W151" s="4"/>
    </row>
    <row r="152" spans="7:23" ht="15.75" customHeight="1">
      <c r="G152" s="39"/>
      <c r="T152" s="39"/>
      <c r="W152" s="4"/>
    </row>
    <row r="153" spans="7:23" ht="15.75" customHeight="1">
      <c r="G153" s="39"/>
      <c r="T153" s="39"/>
      <c r="W153" s="4"/>
    </row>
    <row r="154" spans="7:23" ht="15.75" customHeight="1">
      <c r="G154" s="39"/>
      <c r="T154" s="39"/>
      <c r="W154" s="4"/>
    </row>
    <row r="155" spans="7:23" ht="15.75" customHeight="1">
      <c r="G155" s="39"/>
      <c r="T155" s="39"/>
      <c r="W155" s="4"/>
    </row>
    <row r="156" spans="7:23" ht="15.75" customHeight="1">
      <c r="G156" s="39"/>
      <c r="T156" s="39"/>
      <c r="W156" s="4"/>
    </row>
    <row r="157" spans="7:23" ht="15.75" customHeight="1">
      <c r="G157" s="39"/>
      <c r="T157" s="39"/>
      <c r="W157" s="4"/>
    </row>
    <row r="158" spans="7:23" ht="15.75" customHeight="1">
      <c r="G158" s="39"/>
      <c r="T158" s="39"/>
      <c r="W158" s="4"/>
    </row>
    <row r="159" spans="7:23" ht="15.75" customHeight="1">
      <c r="G159" s="39"/>
      <c r="T159" s="39"/>
      <c r="W159" s="4"/>
    </row>
    <row r="160" spans="7:23" ht="15.75" customHeight="1">
      <c r="G160" s="39"/>
      <c r="T160" s="39"/>
      <c r="W160" s="4"/>
    </row>
    <row r="161" spans="7:23" ht="15.75" customHeight="1">
      <c r="G161" s="39"/>
      <c r="T161" s="39"/>
      <c r="W161" s="4"/>
    </row>
    <row r="162" spans="7:23" ht="15.75" customHeight="1">
      <c r="G162" s="39"/>
      <c r="T162" s="39"/>
      <c r="W162" s="4"/>
    </row>
    <row r="163" spans="7:23" ht="15.75" customHeight="1">
      <c r="G163" s="39"/>
      <c r="T163" s="39"/>
      <c r="W163" s="4"/>
    </row>
    <row r="164" spans="7:23" ht="15.75" customHeight="1">
      <c r="G164" s="39"/>
      <c r="T164" s="39"/>
      <c r="W164" s="4"/>
    </row>
    <row r="165" spans="7:23" ht="15.75" customHeight="1">
      <c r="G165" s="39"/>
      <c r="T165" s="39"/>
      <c r="W165" s="4"/>
    </row>
    <row r="166" spans="7:23" ht="15.75" customHeight="1">
      <c r="G166" s="39"/>
      <c r="T166" s="39"/>
      <c r="W166" s="4"/>
    </row>
    <row r="167" spans="7:23" ht="15.75" customHeight="1">
      <c r="G167" s="39"/>
      <c r="T167" s="39"/>
      <c r="W167" s="4"/>
    </row>
    <row r="168" spans="7:23" ht="15.75" customHeight="1">
      <c r="G168" s="39"/>
      <c r="T168" s="39"/>
      <c r="W168" s="4"/>
    </row>
    <row r="169" spans="7:23" ht="15.75" customHeight="1">
      <c r="G169" s="39"/>
      <c r="T169" s="39"/>
      <c r="W169" s="4"/>
    </row>
    <row r="170" spans="7:23" ht="15.75" customHeight="1">
      <c r="G170" s="39"/>
      <c r="T170" s="39"/>
      <c r="W170" s="4"/>
    </row>
    <row r="171" spans="7:23" ht="15.75" customHeight="1">
      <c r="G171" s="39"/>
      <c r="T171" s="39"/>
      <c r="W171" s="4"/>
    </row>
    <row r="172" spans="7:23" ht="15.75" customHeight="1">
      <c r="G172" s="39"/>
      <c r="T172" s="39"/>
      <c r="W172" s="4"/>
    </row>
    <row r="173" spans="7:23" ht="15.75" customHeight="1">
      <c r="G173" s="39"/>
      <c r="T173" s="39"/>
      <c r="W173" s="4"/>
    </row>
    <row r="174" spans="7:23" ht="15.75" customHeight="1">
      <c r="G174" s="39"/>
      <c r="T174" s="39"/>
      <c r="W174" s="4"/>
    </row>
    <row r="175" spans="7:23" ht="15.75" customHeight="1">
      <c r="G175" s="39"/>
      <c r="T175" s="39"/>
      <c r="W175" s="4"/>
    </row>
    <row r="176" spans="7:23" ht="15.75" customHeight="1">
      <c r="G176" s="39"/>
      <c r="T176" s="39"/>
      <c r="W176" s="4"/>
    </row>
    <row r="177" spans="7:23" ht="15.75" customHeight="1">
      <c r="G177" s="39"/>
      <c r="T177" s="39"/>
      <c r="W177" s="4"/>
    </row>
    <row r="178" spans="7:23" ht="15.75" customHeight="1">
      <c r="G178" s="39"/>
      <c r="T178" s="39"/>
      <c r="W178" s="4"/>
    </row>
    <row r="179" spans="7:23" ht="15.75" customHeight="1">
      <c r="G179" s="39"/>
      <c r="T179" s="39"/>
      <c r="W179" s="4"/>
    </row>
    <row r="180" spans="7:23" ht="15.75" customHeight="1">
      <c r="G180" s="39"/>
      <c r="T180" s="39"/>
      <c r="W180" s="4"/>
    </row>
    <row r="181" spans="7:23" ht="15.75" customHeight="1">
      <c r="G181" s="39"/>
      <c r="T181" s="39"/>
      <c r="W181" s="4"/>
    </row>
    <row r="182" spans="7:23" ht="15.75" customHeight="1">
      <c r="G182" s="39"/>
      <c r="T182" s="39"/>
      <c r="W182" s="4"/>
    </row>
    <row r="183" spans="7:23" ht="15.75" customHeight="1">
      <c r="G183" s="39"/>
      <c r="T183" s="39"/>
      <c r="W183" s="4"/>
    </row>
    <row r="184" spans="7:23" ht="15.75" customHeight="1">
      <c r="G184" s="39"/>
      <c r="T184" s="39"/>
      <c r="W184" s="4"/>
    </row>
    <row r="185" spans="7:23" ht="15.75" customHeight="1">
      <c r="G185" s="39"/>
      <c r="T185" s="39"/>
      <c r="W185" s="4"/>
    </row>
    <row r="186" spans="7:23" ht="15.75" customHeight="1">
      <c r="G186" s="39"/>
      <c r="T186" s="39"/>
      <c r="W186" s="4"/>
    </row>
    <row r="187" spans="7:23" ht="15.75" customHeight="1">
      <c r="G187" s="39"/>
      <c r="T187" s="39"/>
      <c r="W187" s="4"/>
    </row>
    <row r="188" spans="7:23" ht="15.75" customHeight="1">
      <c r="G188" s="39"/>
      <c r="T188" s="39"/>
      <c r="W188" s="4"/>
    </row>
    <row r="189" spans="7:23" ht="15.75" customHeight="1">
      <c r="G189" s="39"/>
      <c r="T189" s="39"/>
      <c r="W189" s="4"/>
    </row>
    <row r="190" spans="7:23" ht="15.75" customHeight="1">
      <c r="G190" s="39"/>
      <c r="T190" s="39"/>
      <c r="W190" s="4"/>
    </row>
    <row r="191" spans="7:23" ht="15.75" customHeight="1">
      <c r="G191" s="39"/>
      <c r="T191" s="39"/>
      <c r="W191" s="4"/>
    </row>
    <row r="192" spans="7:23" ht="15.75" customHeight="1">
      <c r="G192" s="39"/>
      <c r="T192" s="39"/>
      <c r="W192" s="4"/>
    </row>
    <row r="193" spans="7:23" ht="15.75" customHeight="1">
      <c r="G193" s="39"/>
      <c r="T193" s="39"/>
      <c r="W193" s="4"/>
    </row>
    <row r="194" spans="7:23" ht="15.75" customHeight="1">
      <c r="G194" s="39"/>
      <c r="T194" s="39"/>
      <c r="W194" s="4"/>
    </row>
    <row r="195" spans="7:23" ht="15.75" customHeight="1">
      <c r="G195" s="39"/>
      <c r="T195" s="39"/>
      <c r="W195" s="4"/>
    </row>
    <row r="196" spans="7:23" ht="15.75" customHeight="1">
      <c r="G196" s="39"/>
      <c r="T196" s="39"/>
      <c r="W196" s="4"/>
    </row>
    <row r="197" spans="7:23" ht="15.75" customHeight="1">
      <c r="G197" s="39"/>
      <c r="T197" s="39"/>
      <c r="W197" s="4"/>
    </row>
    <row r="198" spans="7:23" ht="15.75" customHeight="1">
      <c r="G198" s="39"/>
      <c r="T198" s="39"/>
      <c r="W198" s="4"/>
    </row>
    <row r="199" spans="7:23" ht="15.75" customHeight="1">
      <c r="G199" s="39"/>
      <c r="T199" s="39"/>
      <c r="W199" s="4"/>
    </row>
    <row r="200" spans="7:23" ht="15.75" customHeight="1">
      <c r="G200" s="39"/>
      <c r="T200" s="39"/>
      <c r="W200" s="4"/>
    </row>
    <row r="201" spans="7:23" ht="15.75" customHeight="1">
      <c r="G201" s="39"/>
      <c r="T201" s="39"/>
      <c r="W201" s="4"/>
    </row>
    <row r="202" spans="7:23" ht="15.75" customHeight="1">
      <c r="G202" s="39"/>
      <c r="T202" s="39"/>
      <c r="W202" s="4"/>
    </row>
    <row r="203" spans="7:23" ht="15.75" customHeight="1">
      <c r="G203" s="39"/>
      <c r="T203" s="39"/>
      <c r="W203" s="4"/>
    </row>
    <row r="204" spans="7:23" ht="15.75" customHeight="1">
      <c r="G204" s="39"/>
      <c r="T204" s="39"/>
      <c r="W204" s="4"/>
    </row>
    <row r="205" spans="7:23" ht="15.75" customHeight="1">
      <c r="G205" s="39"/>
      <c r="T205" s="39"/>
      <c r="W205" s="4"/>
    </row>
    <row r="206" spans="7:23" ht="15.75" customHeight="1">
      <c r="G206" s="39"/>
      <c r="T206" s="39"/>
      <c r="W206" s="4"/>
    </row>
    <row r="207" spans="7:23" ht="15.75" customHeight="1">
      <c r="G207" s="39"/>
      <c r="T207" s="39"/>
      <c r="W207" s="4"/>
    </row>
    <row r="208" spans="7:23" ht="15.75" customHeight="1">
      <c r="G208" s="39"/>
      <c r="T208" s="39"/>
      <c r="W208" s="4"/>
    </row>
    <row r="209" spans="7:23" ht="15.75" customHeight="1">
      <c r="G209" s="39"/>
      <c r="T209" s="39"/>
      <c r="W209" s="4"/>
    </row>
    <row r="210" spans="7:23" ht="15.75" customHeight="1">
      <c r="G210" s="39"/>
      <c r="T210" s="39"/>
      <c r="W210" s="4"/>
    </row>
    <row r="211" spans="7:23" ht="15.75" customHeight="1">
      <c r="G211" s="39"/>
      <c r="T211" s="39"/>
      <c r="W211" s="4"/>
    </row>
    <row r="212" spans="7:23" ht="15.75" customHeight="1">
      <c r="G212" s="39"/>
      <c r="T212" s="39"/>
      <c r="W212" s="4"/>
    </row>
    <row r="213" spans="7:23" ht="15.75" customHeight="1">
      <c r="G213" s="39"/>
      <c r="T213" s="39"/>
      <c r="W213" s="4"/>
    </row>
    <row r="214" spans="7:23" ht="15.75" customHeight="1">
      <c r="G214" s="39"/>
      <c r="T214" s="39"/>
      <c r="W214" s="4"/>
    </row>
    <row r="215" spans="7:23" ht="15.75" customHeight="1">
      <c r="G215" s="39"/>
      <c r="T215" s="39"/>
      <c r="W215" s="4"/>
    </row>
    <row r="216" spans="7:23" ht="15.75" customHeight="1">
      <c r="G216" s="39"/>
      <c r="T216" s="39"/>
      <c r="W216" s="4"/>
    </row>
    <row r="217" spans="7:23" ht="15.75" customHeight="1">
      <c r="G217" s="39"/>
      <c r="T217" s="39"/>
      <c r="W217" s="4"/>
    </row>
    <row r="218" spans="7:23" ht="15.75" customHeight="1">
      <c r="G218" s="39"/>
      <c r="T218" s="39"/>
      <c r="W218" s="4"/>
    </row>
    <row r="219" spans="7:23" ht="15.75" customHeight="1">
      <c r="G219" s="39"/>
      <c r="T219" s="39"/>
      <c r="W219" s="4"/>
    </row>
    <row r="220" spans="7:23" ht="15.75" customHeight="1">
      <c r="G220" s="39"/>
      <c r="T220" s="39"/>
      <c r="W220" s="4"/>
    </row>
    <row r="221" spans="7:23" ht="15.75" customHeight="1">
      <c r="G221" s="39"/>
      <c r="T221" s="39"/>
      <c r="W221" s="4"/>
    </row>
    <row r="222" spans="7:23" ht="15.75" customHeight="1">
      <c r="G222" s="39"/>
      <c r="T222" s="39"/>
      <c r="W222" s="4"/>
    </row>
    <row r="223" spans="7:23" ht="15.75" customHeight="1">
      <c r="G223" s="39"/>
      <c r="T223" s="39"/>
      <c r="W223" s="4"/>
    </row>
    <row r="224" spans="7:23" ht="15.75" customHeight="1">
      <c r="G224" s="39"/>
      <c r="T224" s="39"/>
      <c r="W224" s="4"/>
    </row>
    <row r="225" spans="7:23" ht="15.75" customHeight="1">
      <c r="G225" s="39"/>
      <c r="T225" s="39"/>
      <c r="W225" s="4"/>
    </row>
    <row r="226" spans="7:23" ht="15.75" customHeight="1">
      <c r="G226" s="39"/>
      <c r="T226" s="39"/>
      <c r="W226" s="4"/>
    </row>
    <row r="227" spans="7:23" ht="15.75" customHeight="1">
      <c r="G227" s="39"/>
      <c r="T227" s="39"/>
      <c r="W227" s="4"/>
    </row>
    <row r="228" spans="7:23" ht="15.75" customHeight="1">
      <c r="G228" s="39"/>
      <c r="T228" s="39"/>
      <c r="W228" s="4"/>
    </row>
    <row r="229" spans="7:23" ht="15.75" customHeight="1">
      <c r="G229" s="39"/>
      <c r="T229" s="39"/>
      <c r="W229" s="4"/>
    </row>
    <row r="230" spans="7:23" ht="15.75" customHeight="1">
      <c r="G230" s="39"/>
      <c r="T230" s="39"/>
      <c r="W230" s="4"/>
    </row>
    <row r="231" spans="7:23" ht="15.75" customHeight="1">
      <c r="G231" s="39"/>
      <c r="T231" s="39"/>
      <c r="W231" s="4"/>
    </row>
    <row r="232" spans="7:23" ht="15.75" customHeight="1">
      <c r="G232" s="39"/>
      <c r="T232" s="39"/>
      <c r="W232" s="4"/>
    </row>
    <row r="233" spans="7:23" ht="15.75" customHeight="1">
      <c r="G233" s="39"/>
      <c r="T233" s="39"/>
      <c r="W233" s="4"/>
    </row>
    <row r="234" spans="7:23" ht="15.75" customHeight="1">
      <c r="G234" s="39"/>
      <c r="T234" s="39"/>
      <c r="W234" s="4"/>
    </row>
    <row r="235" spans="7:23" ht="15.75" customHeight="1">
      <c r="G235" s="39"/>
      <c r="T235" s="39"/>
      <c r="W235" s="4"/>
    </row>
    <row r="236" spans="7:23" ht="15.75" customHeight="1">
      <c r="G236" s="39"/>
      <c r="T236" s="39"/>
      <c r="W236" s="4"/>
    </row>
    <row r="237" spans="7:23" ht="15.75" customHeight="1">
      <c r="G237" s="39"/>
      <c r="T237" s="39"/>
      <c r="W237" s="4"/>
    </row>
    <row r="238" spans="7:23" ht="15.75" customHeight="1">
      <c r="G238" s="39"/>
      <c r="T238" s="39"/>
      <c r="W238" s="4"/>
    </row>
    <row r="239" spans="7:23" ht="15.75" customHeight="1">
      <c r="G239" s="39"/>
      <c r="T239" s="39"/>
      <c r="W239" s="4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221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178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46205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'1'!E7</f>
        <v>256</v>
      </c>
      <c r="C7" s="370">
        <v>150</v>
      </c>
      <c r="D7" s="89"/>
      <c r="E7" s="371">
        <v>192</v>
      </c>
      <c r="F7" s="370">
        <f t="shared" ref="F7:F15" si="0">IFERROR(MAX(0,B7+C7-E7-D7),0)</f>
        <v>214</v>
      </c>
      <c r="G7" s="70">
        <v>50</v>
      </c>
      <c r="H7" s="70">
        <f t="shared" ref="H7:H15" si="1">IFERROR(F7*G7,0)</f>
        <v>10700</v>
      </c>
      <c r="J7" s="89" t="s">
        <v>194</v>
      </c>
      <c r="K7" s="89"/>
      <c r="L7" s="89"/>
      <c r="M7" s="89"/>
      <c r="N7" s="370">
        <f t="shared" ref="N7:N30" si="2">E7</f>
        <v>192</v>
      </c>
      <c r="O7" s="89"/>
      <c r="P7" s="70">
        <v>21</v>
      </c>
      <c r="Q7" s="70">
        <f t="shared" ref="Q7:Q29" si="3">IFERROR(N7*P7,0)</f>
        <v>4032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'1'!E8</f>
        <v>28</v>
      </c>
      <c r="C8" s="89"/>
      <c r="D8" s="89"/>
      <c r="E8" s="376">
        <v>16</v>
      </c>
      <c r="F8" s="89">
        <f t="shared" si="0"/>
        <v>12</v>
      </c>
      <c r="G8" s="70">
        <v>12</v>
      </c>
      <c r="H8" s="70">
        <f t="shared" si="1"/>
        <v>144</v>
      </c>
      <c r="J8" s="89" t="s">
        <v>198</v>
      </c>
      <c r="K8" s="89"/>
      <c r="L8" s="89"/>
      <c r="M8" s="89"/>
      <c r="N8" s="89">
        <f t="shared" si="2"/>
        <v>16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'1'!E9</f>
        <v>0</v>
      </c>
      <c r="C9" s="89">
        <v>100</v>
      </c>
      <c r="D9" s="89"/>
      <c r="E9" s="376">
        <v>38</v>
      </c>
      <c r="F9" s="89">
        <f t="shared" si="0"/>
        <v>62</v>
      </c>
      <c r="G9" s="70">
        <v>12</v>
      </c>
      <c r="H9" s="70">
        <f t="shared" si="1"/>
        <v>744</v>
      </c>
      <c r="J9" s="89" t="s">
        <v>200</v>
      </c>
      <c r="K9" s="89"/>
      <c r="L9" s="89"/>
      <c r="M9" s="89"/>
      <c r="N9" s="89">
        <f t="shared" si="2"/>
        <v>38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'1'!E11</f>
        <v>23</v>
      </c>
      <c r="C11" s="89">
        <v>190</v>
      </c>
      <c r="D11" s="89"/>
      <c r="E11" s="371">
        <v>37</v>
      </c>
      <c r="F11" s="370">
        <f t="shared" si="0"/>
        <v>176</v>
      </c>
      <c r="G11" s="70">
        <v>15</v>
      </c>
      <c r="H11" s="70">
        <f t="shared" si="1"/>
        <v>2640</v>
      </c>
      <c r="J11" s="89" t="s">
        <v>42</v>
      </c>
      <c r="K11" s="89"/>
      <c r="L11" s="89"/>
      <c r="M11" s="89"/>
      <c r="N11" s="370">
        <f t="shared" si="2"/>
        <v>37</v>
      </c>
      <c r="O11" s="89"/>
      <c r="P11" s="70">
        <v>5.5</v>
      </c>
      <c r="Q11" s="70">
        <f t="shared" si="3"/>
        <v>203.5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'1'!E12</f>
        <v>27</v>
      </c>
      <c r="C12" s="89">
        <v>60</v>
      </c>
      <c r="D12" s="89"/>
      <c r="E12" s="376">
        <v>13</v>
      </c>
      <c r="F12" s="89">
        <f t="shared" si="0"/>
        <v>74</v>
      </c>
      <c r="G12" s="70">
        <v>10</v>
      </c>
      <c r="H12" s="70">
        <f t="shared" si="1"/>
        <v>740</v>
      </c>
      <c r="J12" s="89" t="s">
        <v>37</v>
      </c>
      <c r="K12" s="89"/>
      <c r="L12" s="89"/>
      <c r="M12" s="89"/>
      <c r="N12" s="89">
        <f t="shared" si="2"/>
        <v>13</v>
      </c>
      <c r="O12" s="89"/>
      <c r="P12" s="70">
        <v>3.5</v>
      </c>
      <c r="Q12" s="70">
        <f t="shared" si="3"/>
        <v>45.5</v>
      </c>
      <c r="S12" s="381" t="s">
        <v>208</v>
      </c>
      <c r="T12" s="70">
        <v>878</v>
      </c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'1'!E13</f>
        <v>50</v>
      </c>
      <c r="C13" s="89">
        <v>40</v>
      </c>
      <c r="D13" s="89"/>
      <c r="E13" s="376">
        <v>57</v>
      </c>
      <c r="F13" s="89">
        <f t="shared" si="0"/>
        <v>33</v>
      </c>
      <c r="G13" s="70">
        <v>8</v>
      </c>
      <c r="H13" s="70">
        <f t="shared" si="1"/>
        <v>264</v>
      </c>
      <c r="J13" s="89" t="s">
        <v>211</v>
      </c>
      <c r="K13" s="89"/>
      <c r="L13" s="89"/>
      <c r="M13" s="89"/>
      <c r="N13" s="89">
        <f t="shared" si="2"/>
        <v>57</v>
      </c>
      <c r="O13" s="89"/>
      <c r="P13" s="70">
        <v>7.5</v>
      </c>
      <c r="Q13" s="70">
        <f t="shared" si="3"/>
        <v>427.5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'1'!E14</f>
        <v>16</v>
      </c>
      <c r="C14" s="89">
        <v>60</v>
      </c>
      <c r="D14" s="89"/>
      <c r="E14" s="376">
        <v>67</v>
      </c>
      <c r="F14" s="89">
        <f t="shared" si="0"/>
        <v>9</v>
      </c>
      <c r="G14" s="70">
        <v>10</v>
      </c>
      <c r="H14" s="70">
        <f t="shared" si="1"/>
        <v>90</v>
      </c>
      <c r="J14" s="89" t="s">
        <v>44</v>
      </c>
      <c r="K14" s="89"/>
      <c r="L14" s="89"/>
      <c r="M14" s="89"/>
      <c r="N14" s="89">
        <f t="shared" si="2"/>
        <v>67</v>
      </c>
      <c r="O14" s="89"/>
      <c r="P14" s="70">
        <v>3.5</v>
      </c>
      <c r="Q14" s="70">
        <f t="shared" si="3"/>
        <v>234.5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'1'!E15</f>
        <v>22</v>
      </c>
      <c r="C15" s="89"/>
      <c r="D15" s="89"/>
      <c r="E15" s="376">
        <v>4</v>
      </c>
      <c r="F15" s="89">
        <f t="shared" si="0"/>
        <v>18</v>
      </c>
      <c r="G15" s="70">
        <v>25</v>
      </c>
      <c r="H15" s="70">
        <f t="shared" si="1"/>
        <v>450</v>
      </c>
      <c r="J15" s="89" t="s">
        <v>41</v>
      </c>
      <c r="K15" s="89"/>
      <c r="L15" s="89"/>
      <c r="M15" s="89"/>
      <c r="N15" s="89">
        <f t="shared" si="2"/>
        <v>4</v>
      </c>
      <c r="O15" s="89"/>
      <c r="P15" s="70">
        <v>8</v>
      </c>
      <c r="Q15" s="70">
        <f t="shared" si="3"/>
        <v>32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15772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340</v>
      </c>
      <c r="V16" s="89" t="s">
        <v>37</v>
      </c>
      <c r="W16" s="53">
        <v>1615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'1'!E17</f>
        <v>54</v>
      </c>
      <c r="C17" s="89"/>
      <c r="D17" s="89"/>
      <c r="E17" s="376">
        <v>38</v>
      </c>
      <c r="F17" s="89">
        <f t="shared" ref="F17:F24" si="6">IFERROR(MAX(0,B17+C17-E17-D17),0)</f>
        <v>16</v>
      </c>
      <c r="G17" s="70">
        <v>20</v>
      </c>
      <c r="H17" s="70">
        <f t="shared" ref="H17:H29" si="7">IFERROR(F17*G17,0)</f>
        <v>320</v>
      </c>
      <c r="J17" s="89" t="s">
        <v>222</v>
      </c>
      <c r="K17" s="89"/>
      <c r="L17" s="89"/>
      <c r="M17" s="89"/>
      <c r="N17" s="89">
        <f t="shared" si="2"/>
        <v>38</v>
      </c>
      <c r="O17" s="89"/>
      <c r="P17" s="70">
        <f t="shared" si="5"/>
        <v>20</v>
      </c>
      <c r="Q17" s="70">
        <f t="shared" si="3"/>
        <v>760</v>
      </c>
      <c r="S17" s="381" t="s">
        <v>223</v>
      </c>
      <c r="T17" s="70"/>
      <c r="V17" s="89" t="s">
        <v>41</v>
      </c>
      <c r="W17" s="53">
        <v>480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'1'!E18</f>
        <v>184</v>
      </c>
      <c r="C18" s="89"/>
      <c r="D18" s="89"/>
      <c r="E18" s="376">
        <v>133</v>
      </c>
      <c r="F18" s="89">
        <f t="shared" si="6"/>
        <v>51</v>
      </c>
      <c r="G18" s="70">
        <v>25</v>
      </c>
      <c r="H18" s="70">
        <f t="shared" si="7"/>
        <v>1275</v>
      </c>
      <c r="J18" s="89" t="s">
        <v>36</v>
      </c>
      <c r="K18" s="89"/>
      <c r="L18" s="89"/>
      <c r="M18" s="89"/>
      <c r="N18" s="89">
        <f t="shared" si="2"/>
        <v>133</v>
      </c>
      <c r="O18" s="89"/>
      <c r="P18" s="70">
        <v>7</v>
      </c>
      <c r="Q18" s="70">
        <f t="shared" si="3"/>
        <v>931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6430</v>
      </c>
    </row>
    <row r="19" spans="1:28" ht="14.5">
      <c r="A19" s="89" t="s">
        <v>228</v>
      </c>
      <c r="B19" s="391">
        <f>'1'!E19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>
        <v>66</v>
      </c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'1'!E22</f>
        <v>78</v>
      </c>
      <c r="C22" s="89"/>
      <c r="D22" s="89"/>
      <c r="E22" s="376">
        <v>72</v>
      </c>
      <c r="F22" s="89">
        <f t="shared" si="6"/>
        <v>6</v>
      </c>
      <c r="G22" s="70">
        <v>20</v>
      </c>
      <c r="H22" s="70">
        <f t="shared" si="7"/>
        <v>120</v>
      </c>
      <c r="J22" s="89" t="s">
        <v>220</v>
      </c>
      <c r="K22" s="89"/>
      <c r="L22" s="89"/>
      <c r="M22" s="89"/>
      <c r="N22" s="89">
        <f t="shared" si="2"/>
        <v>72</v>
      </c>
      <c r="O22" s="89"/>
      <c r="P22" s="70">
        <v>7.42</v>
      </c>
      <c r="Q22" s="70">
        <f t="shared" si="3"/>
        <v>534.24</v>
      </c>
      <c r="S22" s="381" t="s">
        <v>241</v>
      </c>
      <c r="T22" s="70"/>
      <c r="V22" s="392" t="s">
        <v>17</v>
      </c>
      <c r="W22" s="393">
        <f>SUM(W16:W21)</f>
        <v>2095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'1'!E24</f>
        <v>24</v>
      </c>
      <c r="C24" s="89"/>
      <c r="D24" s="89"/>
      <c r="E24" s="376">
        <v>18</v>
      </c>
      <c r="F24" s="89">
        <f t="shared" si="6"/>
        <v>6</v>
      </c>
      <c r="G24" s="70">
        <v>25</v>
      </c>
      <c r="H24" s="70">
        <f t="shared" si="7"/>
        <v>150</v>
      </c>
      <c r="J24" s="89" t="s">
        <v>244</v>
      </c>
      <c r="K24" s="89"/>
      <c r="L24" s="89"/>
      <c r="M24" s="89"/>
      <c r="N24" s="89">
        <f t="shared" si="2"/>
        <v>18</v>
      </c>
      <c r="O24" s="89"/>
      <c r="P24" s="70">
        <f>G24</f>
        <v>25</v>
      </c>
      <c r="Q24" s="70">
        <f t="shared" si="3"/>
        <v>450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'1'!E25</f>
        <v>0</v>
      </c>
      <c r="C25" s="89"/>
      <c r="D25" s="89"/>
      <c r="E25" s="376"/>
      <c r="F25" s="89"/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'1'!E26</f>
        <v>0</v>
      </c>
      <c r="C26" s="89"/>
      <c r="D26" s="89"/>
      <c r="E26" s="376"/>
      <c r="F26" s="89">
        <f t="shared" ref="F26:F29" si="9">IFERROR(MAX(0,B26+C26-E26-D26),0)</f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'1'!E27</f>
        <v>100</v>
      </c>
      <c r="C27" s="89"/>
      <c r="D27" s="89"/>
      <c r="E27" s="376">
        <v>94</v>
      </c>
      <c r="F27" s="89">
        <f t="shared" si="9"/>
        <v>6</v>
      </c>
      <c r="G27" s="70">
        <v>17</v>
      </c>
      <c r="H27" s="70">
        <f t="shared" si="7"/>
        <v>102</v>
      </c>
      <c r="J27" s="89" t="s">
        <v>248</v>
      </c>
      <c r="K27" s="89"/>
      <c r="L27" s="89"/>
      <c r="M27" s="89"/>
      <c r="N27" s="89">
        <f t="shared" si="2"/>
        <v>94</v>
      </c>
      <c r="O27" s="89"/>
      <c r="P27" s="70">
        <v>12.8</v>
      </c>
      <c r="Q27" s="70">
        <f t="shared" si="3"/>
        <v>1203.2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'1'!E28</f>
        <v>85</v>
      </c>
      <c r="C28" s="89"/>
      <c r="D28" s="89"/>
      <c r="E28" s="376">
        <v>79</v>
      </c>
      <c r="F28" s="89">
        <f t="shared" si="9"/>
        <v>6</v>
      </c>
      <c r="G28" s="70">
        <v>25</v>
      </c>
      <c r="H28" s="70">
        <f t="shared" si="7"/>
        <v>150</v>
      </c>
      <c r="J28" s="89" t="s">
        <v>251</v>
      </c>
      <c r="K28" s="89"/>
      <c r="L28" s="89"/>
      <c r="M28" s="89"/>
      <c r="N28" s="89">
        <f t="shared" si="2"/>
        <v>79</v>
      </c>
      <c r="O28" s="89"/>
      <c r="P28" s="70">
        <v>10.42</v>
      </c>
      <c r="Q28" s="70">
        <f t="shared" si="3"/>
        <v>823.18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'1'!E29</f>
        <v>0</v>
      </c>
      <c r="C29" s="89"/>
      <c r="D29" s="89"/>
      <c r="E29" s="376"/>
      <c r="F29" s="89">
        <f t="shared" si="9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2117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1284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17889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9949.6200000000008</v>
      </c>
      <c r="R31" s="357"/>
      <c r="S31" s="506" t="s">
        <v>256</v>
      </c>
      <c r="T31" s="438"/>
      <c r="U31" s="438"/>
      <c r="V31" s="507"/>
      <c r="W31" s="407">
        <f>T30+W30+W22+W14</f>
        <v>3439</v>
      </c>
      <c r="X31" s="357"/>
      <c r="Y31" s="3"/>
      <c r="Z31" s="3"/>
      <c r="AA31" s="3"/>
      <c r="AB31" s="39"/>
    </row>
    <row r="32" spans="1:28" ht="15.75" customHeight="1">
      <c r="C32" s="3"/>
      <c r="G32" s="39"/>
      <c r="T32" s="39"/>
      <c r="W32" s="4"/>
      <c r="Y32" s="408" t="s">
        <v>171</v>
      </c>
      <c r="Z32" s="409">
        <f>IFERROR(W22+Z35,0)</f>
        <v>8525</v>
      </c>
    </row>
    <row r="33" spans="1:27" ht="15.75" customHeight="1">
      <c r="A33" s="3" t="s">
        <v>96</v>
      </c>
      <c r="B33" s="498">
        <f>H31</f>
        <v>17889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3439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1284</v>
      </c>
      <c r="AA34" s="39"/>
    </row>
    <row r="35" spans="1:27" ht="15.75" customHeight="1">
      <c r="A35" s="3" t="s">
        <v>258</v>
      </c>
      <c r="B35" s="499">
        <f>IFERROR(B33-B34,0)</f>
        <v>14450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6430</v>
      </c>
      <c r="AA35" s="39"/>
    </row>
    <row r="36" spans="1:27" ht="15.75" customHeight="1">
      <c r="A36" s="3" t="s">
        <v>259</v>
      </c>
      <c r="B36" s="500">
        <v>14450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7714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H48" s="37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178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46206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'2'!E7</f>
        <v>192</v>
      </c>
      <c r="C7" s="370">
        <v>200</v>
      </c>
      <c r="D7" s="89"/>
      <c r="E7" s="371">
        <v>207</v>
      </c>
      <c r="F7" s="370">
        <f t="shared" ref="F7:F15" si="0">IFERROR(MAX(0,B7+C7-E7-D7),0)</f>
        <v>185</v>
      </c>
      <c r="G7" s="70">
        <v>50</v>
      </c>
      <c r="H7" s="70">
        <f t="shared" ref="H7:H15" si="1">IFERROR(F7*G7,0)</f>
        <v>9250</v>
      </c>
      <c r="J7" s="89" t="s">
        <v>194</v>
      </c>
      <c r="K7" s="89"/>
      <c r="L7" s="89"/>
      <c r="M7" s="89"/>
      <c r="N7" s="370">
        <f t="shared" ref="N7:N30" si="2">E7</f>
        <v>207</v>
      </c>
      <c r="O7" s="89"/>
      <c r="P7" s="70">
        <v>21</v>
      </c>
      <c r="Q7" s="70">
        <f t="shared" ref="Q7:Q29" si="3">IFERROR(N7*P7,0)</f>
        <v>4347</v>
      </c>
      <c r="S7" s="89" t="s">
        <v>195</v>
      </c>
      <c r="T7" s="70">
        <v>700</v>
      </c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'2'!E8</f>
        <v>16</v>
      </c>
      <c r="C8" s="89">
        <v>20</v>
      </c>
      <c r="D8" s="89"/>
      <c r="E8" s="376">
        <v>25</v>
      </c>
      <c r="F8" s="89">
        <f t="shared" si="0"/>
        <v>11</v>
      </c>
      <c r="G8" s="70">
        <v>12</v>
      </c>
      <c r="H8" s="70">
        <f t="shared" si="1"/>
        <v>132</v>
      </c>
      <c r="J8" s="89" t="s">
        <v>198</v>
      </c>
      <c r="K8" s="89"/>
      <c r="L8" s="89"/>
      <c r="M8" s="89"/>
      <c r="N8" s="89">
        <f t="shared" si="2"/>
        <v>25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'2'!E9</f>
        <v>38</v>
      </c>
      <c r="C9" s="89">
        <v>100</v>
      </c>
      <c r="D9" s="89"/>
      <c r="E9" s="376">
        <v>20</v>
      </c>
      <c r="F9" s="89">
        <f t="shared" si="0"/>
        <v>118</v>
      </c>
      <c r="G9" s="70">
        <v>12</v>
      </c>
      <c r="H9" s="70">
        <f t="shared" si="1"/>
        <v>1416</v>
      </c>
      <c r="J9" s="89" t="s">
        <v>200</v>
      </c>
      <c r="K9" s="89"/>
      <c r="L9" s="89"/>
      <c r="M9" s="89"/>
      <c r="N9" s="89">
        <f t="shared" si="2"/>
        <v>20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80</v>
      </c>
      <c r="AA10" s="374">
        <v>6</v>
      </c>
      <c r="AB10" s="374">
        <f t="shared" si="4"/>
        <v>480</v>
      </c>
    </row>
    <row r="11" spans="1:28" ht="15.5">
      <c r="A11" s="89" t="s">
        <v>55</v>
      </c>
      <c r="B11" s="390">
        <f>'2'!E11</f>
        <v>37</v>
      </c>
      <c r="C11" s="89">
        <v>200</v>
      </c>
      <c r="D11" s="89"/>
      <c r="E11" s="371">
        <v>46</v>
      </c>
      <c r="F11" s="370">
        <f t="shared" si="0"/>
        <v>191</v>
      </c>
      <c r="G11" s="70">
        <v>15</v>
      </c>
      <c r="H11" s="70">
        <f t="shared" si="1"/>
        <v>2865</v>
      </c>
      <c r="J11" s="89" t="s">
        <v>42</v>
      </c>
      <c r="K11" s="89"/>
      <c r="L11" s="89"/>
      <c r="M11" s="89"/>
      <c r="N11" s="370">
        <f t="shared" si="2"/>
        <v>46</v>
      </c>
      <c r="O11" s="89"/>
      <c r="P11" s="70">
        <v>5.5</v>
      </c>
      <c r="Q11" s="70">
        <f t="shared" si="3"/>
        <v>253</v>
      </c>
      <c r="S11" s="89" t="s">
        <v>204</v>
      </c>
      <c r="T11" s="380">
        <v>391</v>
      </c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'2'!E12</f>
        <v>13</v>
      </c>
      <c r="C12" s="89">
        <v>60</v>
      </c>
      <c r="D12" s="89"/>
      <c r="E12" s="376">
        <v>40</v>
      </c>
      <c r="F12" s="89">
        <f t="shared" si="0"/>
        <v>33</v>
      </c>
      <c r="G12" s="70">
        <v>10</v>
      </c>
      <c r="H12" s="70">
        <f t="shared" si="1"/>
        <v>330</v>
      </c>
      <c r="J12" s="89" t="s">
        <v>37</v>
      </c>
      <c r="K12" s="89"/>
      <c r="L12" s="89"/>
      <c r="M12" s="89"/>
      <c r="N12" s="89">
        <f t="shared" si="2"/>
        <v>40</v>
      </c>
      <c r="O12" s="89"/>
      <c r="P12" s="70">
        <v>3.5</v>
      </c>
      <c r="Q12" s="70">
        <f t="shared" si="3"/>
        <v>140</v>
      </c>
      <c r="S12" s="381" t="s">
        <v>208</v>
      </c>
      <c r="T12" s="70"/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'2'!E13</f>
        <v>57</v>
      </c>
      <c r="C13" s="89">
        <v>40</v>
      </c>
      <c r="D13" s="89"/>
      <c r="E13" s="376">
        <v>53</v>
      </c>
      <c r="F13" s="89">
        <f t="shared" si="0"/>
        <v>44</v>
      </c>
      <c r="G13" s="70">
        <v>8</v>
      </c>
      <c r="H13" s="70">
        <f t="shared" si="1"/>
        <v>352</v>
      </c>
      <c r="J13" s="89" t="s">
        <v>211</v>
      </c>
      <c r="K13" s="89"/>
      <c r="L13" s="89"/>
      <c r="M13" s="89"/>
      <c r="N13" s="89">
        <f t="shared" si="2"/>
        <v>53</v>
      </c>
      <c r="O13" s="89"/>
      <c r="P13" s="70">
        <v>7.5</v>
      </c>
      <c r="Q13" s="70">
        <f t="shared" si="3"/>
        <v>397.5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'2'!E14</f>
        <v>67</v>
      </c>
      <c r="C14" s="89"/>
      <c r="D14" s="89"/>
      <c r="E14" s="376">
        <v>55</v>
      </c>
      <c r="F14" s="89">
        <f t="shared" si="0"/>
        <v>12</v>
      </c>
      <c r="G14" s="70">
        <v>10</v>
      </c>
      <c r="H14" s="70">
        <f t="shared" si="1"/>
        <v>120</v>
      </c>
      <c r="J14" s="89" t="s">
        <v>44</v>
      </c>
      <c r="K14" s="89"/>
      <c r="L14" s="89"/>
      <c r="M14" s="89"/>
      <c r="N14" s="89">
        <f t="shared" si="2"/>
        <v>55</v>
      </c>
      <c r="O14" s="89"/>
      <c r="P14" s="70">
        <v>3.5</v>
      </c>
      <c r="Q14" s="70">
        <f t="shared" si="3"/>
        <v>192.5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91">
        <f>'2'!E15</f>
        <v>4</v>
      </c>
      <c r="C15" s="89">
        <v>50</v>
      </c>
      <c r="D15" s="89"/>
      <c r="E15" s="376">
        <v>34</v>
      </c>
      <c r="F15" s="89">
        <f t="shared" si="0"/>
        <v>20</v>
      </c>
      <c r="G15" s="70">
        <v>25</v>
      </c>
      <c r="H15" s="70">
        <f t="shared" si="1"/>
        <v>500</v>
      </c>
      <c r="J15" s="89" t="s">
        <v>41</v>
      </c>
      <c r="K15" s="89"/>
      <c r="L15" s="89"/>
      <c r="M15" s="89"/>
      <c r="N15" s="89">
        <f t="shared" si="2"/>
        <v>34</v>
      </c>
      <c r="O15" s="89"/>
      <c r="P15" s="70">
        <v>8</v>
      </c>
      <c r="Q15" s="70">
        <f t="shared" si="3"/>
        <v>272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14965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'2'!E17</f>
        <v>38</v>
      </c>
      <c r="C17" s="89">
        <v>72</v>
      </c>
      <c r="D17" s="89"/>
      <c r="E17" s="376">
        <v>95</v>
      </c>
      <c r="F17" s="89">
        <f t="shared" ref="F17:F29" si="6">IFERROR(MAX(0,B17+C17-E17-D17),0)</f>
        <v>15</v>
      </c>
      <c r="G17" s="70">
        <v>20</v>
      </c>
      <c r="H17" s="70">
        <f t="shared" ref="H17:H29" si="7">IFERROR(F17*G17,0)</f>
        <v>300</v>
      </c>
      <c r="J17" s="89" t="s">
        <v>222</v>
      </c>
      <c r="K17" s="89"/>
      <c r="L17" s="89"/>
      <c r="M17" s="89"/>
      <c r="N17" s="89">
        <f t="shared" si="2"/>
        <v>95</v>
      </c>
      <c r="O17" s="89"/>
      <c r="P17" s="70">
        <f t="shared" si="5"/>
        <v>20</v>
      </c>
      <c r="Q17" s="70">
        <f t="shared" si="3"/>
        <v>1900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'2'!E18</f>
        <v>133</v>
      </c>
      <c r="C18" s="89">
        <v>144</v>
      </c>
      <c r="D18" s="89"/>
      <c r="E18" s="376">
        <v>239</v>
      </c>
      <c r="F18" s="89">
        <f t="shared" si="6"/>
        <v>38</v>
      </c>
      <c r="G18" s="70">
        <v>25</v>
      </c>
      <c r="H18" s="70">
        <f t="shared" si="7"/>
        <v>950</v>
      </c>
      <c r="J18" s="89" t="s">
        <v>36</v>
      </c>
      <c r="K18" s="89"/>
      <c r="L18" s="89"/>
      <c r="M18" s="89"/>
      <c r="N18" s="89">
        <f t="shared" si="2"/>
        <v>239</v>
      </c>
      <c r="O18" s="89"/>
      <c r="P18" s="70">
        <v>7</v>
      </c>
      <c r="Q18" s="70">
        <f t="shared" si="3"/>
        <v>1673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11134</v>
      </c>
    </row>
    <row r="19" spans="1:28" ht="14.5">
      <c r="A19" s="89" t="s">
        <v>228</v>
      </c>
      <c r="B19" s="391">
        <f>'2'!E19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2700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'2'!E21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'2'!E22</f>
        <v>72</v>
      </c>
      <c r="C22" s="89"/>
      <c r="D22" s="89"/>
      <c r="E22" s="376">
        <v>68</v>
      </c>
      <c r="F22" s="89">
        <f t="shared" si="6"/>
        <v>4</v>
      </c>
      <c r="G22" s="70">
        <v>20</v>
      </c>
      <c r="H22" s="70">
        <f t="shared" si="7"/>
        <v>80</v>
      </c>
      <c r="J22" s="89" t="s">
        <v>220</v>
      </c>
      <c r="K22" s="89"/>
      <c r="L22" s="89"/>
      <c r="M22" s="89"/>
      <c r="N22" s="89">
        <f t="shared" si="2"/>
        <v>68</v>
      </c>
      <c r="O22" s="89"/>
      <c r="P22" s="70">
        <v>7.42</v>
      </c>
      <c r="Q22" s="70">
        <f t="shared" si="3"/>
        <v>504.56</v>
      </c>
      <c r="S22" s="381" t="s">
        <v>241</v>
      </c>
      <c r="T22" s="70"/>
      <c r="V22" s="392" t="s">
        <v>17</v>
      </c>
      <c r="W22" s="393">
        <f>SUM(W16:W21)</f>
        <v>4400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'2'!E24</f>
        <v>18</v>
      </c>
      <c r="C24" s="89">
        <v>24</v>
      </c>
      <c r="D24" s="89"/>
      <c r="E24" s="376">
        <v>36</v>
      </c>
      <c r="F24" s="89">
        <f t="shared" si="6"/>
        <v>6</v>
      </c>
      <c r="G24" s="70">
        <v>25</v>
      </c>
      <c r="H24" s="70">
        <f t="shared" si="7"/>
        <v>150</v>
      </c>
      <c r="J24" s="89" t="s">
        <v>244</v>
      </c>
      <c r="K24" s="89"/>
      <c r="L24" s="89"/>
      <c r="M24" s="89"/>
      <c r="N24" s="89">
        <f t="shared" si="2"/>
        <v>36</v>
      </c>
      <c r="O24" s="89"/>
      <c r="P24" s="70">
        <f>G24</f>
        <v>25</v>
      </c>
      <c r="Q24" s="70">
        <f t="shared" si="3"/>
        <v>900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'2'!E27</f>
        <v>94</v>
      </c>
      <c r="C27" s="89"/>
      <c r="D27" s="89"/>
      <c r="E27" s="376">
        <v>87</v>
      </c>
      <c r="F27" s="89">
        <f t="shared" si="6"/>
        <v>7</v>
      </c>
      <c r="G27" s="70">
        <v>17</v>
      </c>
      <c r="H27" s="70">
        <f t="shared" si="7"/>
        <v>119</v>
      </c>
      <c r="J27" s="89" t="s">
        <v>248</v>
      </c>
      <c r="K27" s="89"/>
      <c r="L27" s="89"/>
      <c r="M27" s="89"/>
      <c r="N27" s="89">
        <f t="shared" si="2"/>
        <v>87</v>
      </c>
      <c r="O27" s="89"/>
      <c r="P27" s="70">
        <v>12.8</v>
      </c>
      <c r="Q27" s="70">
        <f t="shared" si="3"/>
        <v>1113.6000000000001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'2'!E28</f>
        <v>79</v>
      </c>
      <c r="C28" s="89"/>
      <c r="D28" s="89"/>
      <c r="E28" s="376">
        <v>75</v>
      </c>
      <c r="F28" s="89">
        <f t="shared" si="6"/>
        <v>4</v>
      </c>
      <c r="G28" s="70">
        <v>25</v>
      </c>
      <c r="H28" s="70">
        <f t="shared" si="7"/>
        <v>100</v>
      </c>
      <c r="J28" s="89" t="s">
        <v>251</v>
      </c>
      <c r="K28" s="89"/>
      <c r="L28" s="89"/>
      <c r="M28" s="89"/>
      <c r="N28" s="89">
        <f t="shared" si="2"/>
        <v>75</v>
      </c>
      <c r="O28" s="89"/>
      <c r="P28" s="70">
        <v>10.42</v>
      </c>
      <c r="Q28" s="70">
        <f t="shared" si="3"/>
        <v>781.5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'2'!E29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1699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1091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16664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12747.66</v>
      </c>
      <c r="R31" s="357"/>
      <c r="S31" s="506" t="s">
        <v>256</v>
      </c>
      <c r="T31" s="438"/>
      <c r="U31" s="438"/>
      <c r="V31" s="507"/>
      <c r="W31" s="407">
        <f>T30+W30+W22+W14</f>
        <v>5491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13890</v>
      </c>
    </row>
    <row r="33" spans="1:27" ht="15.75" customHeight="1">
      <c r="A33" s="3" t="s">
        <v>96</v>
      </c>
      <c r="B33" s="498">
        <f>H31</f>
        <v>16664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5491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2735</v>
      </c>
      <c r="AA34" s="39"/>
    </row>
    <row r="35" spans="1:27" ht="15.75" customHeight="1">
      <c r="A35" s="3" t="s">
        <v>258</v>
      </c>
      <c r="B35" s="499">
        <f>IFERROR(B33-B34,0)</f>
        <v>11173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9490</v>
      </c>
      <c r="AA35" s="39"/>
    </row>
    <row r="36" spans="1:27" ht="15.75" customHeight="1">
      <c r="A36" s="3" t="s">
        <v>259</v>
      </c>
      <c r="B36" s="500">
        <v>11181.5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12225</v>
      </c>
      <c r="AA36" s="39"/>
    </row>
    <row r="37" spans="1:27" ht="15.75" customHeight="1">
      <c r="A37" s="3" t="s">
        <v>260</v>
      </c>
      <c r="B37" s="498">
        <f>IFERROR(B36-B35,0)</f>
        <v>8.5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1644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178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46207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71">
        <f>'3'!E7</f>
        <v>207</v>
      </c>
      <c r="C7" s="370">
        <v>450</v>
      </c>
      <c r="D7" s="89"/>
      <c r="E7" s="371">
        <v>515</v>
      </c>
      <c r="F7" s="370">
        <f t="shared" ref="F7:F15" si="0">IFERROR(MAX(0,B7+C7-E7-D7),0)</f>
        <v>142</v>
      </c>
      <c r="G7" s="70">
        <v>50</v>
      </c>
      <c r="H7" s="70">
        <f t="shared" ref="H7:H15" si="1">IFERROR(F7*G7,0)</f>
        <v>7100</v>
      </c>
      <c r="J7" s="89" t="s">
        <v>194</v>
      </c>
      <c r="K7" s="89"/>
      <c r="L7" s="89"/>
      <c r="M7" s="89"/>
      <c r="N7" s="370">
        <f t="shared" ref="N7:N30" si="2">E7</f>
        <v>515</v>
      </c>
      <c r="O7" s="89"/>
      <c r="P7" s="70">
        <v>21</v>
      </c>
      <c r="Q7" s="70">
        <f t="shared" ref="Q7:Q29" si="3">IFERROR(N7*P7,0)</f>
        <v>10815</v>
      </c>
      <c r="S7" s="89" t="s">
        <v>195</v>
      </c>
      <c r="T7" s="364"/>
      <c r="V7" s="89" t="s">
        <v>196</v>
      </c>
      <c r="W7" s="372">
        <v>10500</v>
      </c>
      <c r="Y7" s="373" t="s">
        <v>197</v>
      </c>
      <c r="Z7" s="374">
        <v>450</v>
      </c>
      <c r="AA7" s="374">
        <v>35</v>
      </c>
      <c r="AB7" s="374">
        <f t="shared" ref="AB7:AB17" si="4">IFERROR(Z7*AA7,0)</f>
        <v>15750</v>
      </c>
    </row>
    <row r="8" spans="1:28" ht="15.5">
      <c r="A8" s="89" t="s">
        <v>102</v>
      </c>
      <c r="B8" s="376">
        <f>'3'!E8</f>
        <v>25</v>
      </c>
      <c r="C8" s="89">
        <v>40</v>
      </c>
      <c r="D8" s="89"/>
      <c r="E8" s="376">
        <v>53</v>
      </c>
      <c r="F8" s="89">
        <f t="shared" si="0"/>
        <v>12</v>
      </c>
      <c r="G8" s="70">
        <v>12</v>
      </c>
      <c r="H8" s="70">
        <f t="shared" si="1"/>
        <v>144</v>
      </c>
      <c r="J8" s="89" t="s">
        <v>198</v>
      </c>
      <c r="K8" s="89"/>
      <c r="L8" s="89"/>
      <c r="M8" s="89"/>
      <c r="N8" s="89">
        <f t="shared" si="2"/>
        <v>53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76">
        <f>'3'!E9</f>
        <v>20</v>
      </c>
      <c r="C9" s="89">
        <v>100</v>
      </c>
      <c r="D9" s="89"/>
      <c r="E9" s="376">
        <v>21</v>
      </c>
      <c r="F9" s="89">
        <f t="shared" si="0"/>
        <v>99</v>
      </c>
      <c r="G9" s="70">
        <v>12</v>
      </c>
      <c r="H9" s="70">
        <f t="shared" si="1"/>
        <v>1188</v>
      </c>
      <c r="J9" s="89" t="s">
        <v>200</v>
      </c>
      <c r="K9" s="89"/>
      <c r="L9" s="89"/>
      <c r="M9" s="89"/>
      <c r="N9" s="89">
        <f t="shared" si="2"/>
        <v>21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40</v>
      </c>
      <c r="AA9" s="374">
        <v>8.5</v>
      </c>
      <c r="AB9" s="374">
        <f t="shared" si="4"/>
        <v>340</v>
      </c>
    </row>
    <row r="10" spans="1:28" ht="15.5">
      <c r="A10" s="89" t="s">
        <v>54</v>
      </c>
      <c r="B10" s="376">
        <f>'3'!E10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>
        <v>300</v>
      </c>
      <c r="Y10" s="373" t="s">
        <v>203</v>
      </c>
      <c r="Z10" s="374">
        <v>100</v>
      </c>
      <c r="AA10" s="374">
        <v>6</v>
      </c>
      <c r="AB10" s="374">
        <f t="shared" si="4"/>
        <v>600</v>
      </c>
    </row>
    <row r="11" spans="1:28" ht="15.5">
      <c r="A11" s="89" t="s">
        <v>55</v>
      </c>
      <c r="B11" s="371">
        <f>'3'!E11</f>
        <v>46</v>
      </c>
      <c r="C11" s="89">
        <v>160</v>
      </c>
      <c r="D11" s="89"/>
      <c r="E11" s="371">
        <v>46</v>
      </c>
      <c r="F11" s="370">
        <f t="shared" si="0"/>
        <v>160</v>
      </c>
      <c r="G11" s="70">
        <v>15</v>
      </c>
      <c r="H11" s="70">
        <f t="shared" si="1"/>
        <v>2400</v>
      </c>
      <c r="J11" s="89" t="s">
        <v>42</v>
      </c>
      <c r="K11" s="89"/>
      <c r="L11" s="89"/>
      <c r="M11" s="89"/>
      <c r="N11" s="370">
        <f t="shared" si="2"/>
        <v>46</v>
      </c>
      <c r="O11" s="89"/>
      <c r="P11" s="70">
        <v>5.5</v>
      </c>
      <c r="Q11" s="70">
        <f t="shared" si="3"/>
        <v>253</v>
      </c>
      <c r="S11" s="89" t="s">
        <v>204</v>
      </c>
      <c r="T11" s="380"/>
      <c r="V11" s="89" t="s">
        <v>205</v>
      </c>
      <c r="W11" s="53">
        <v>237.5</v>
      </c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76">
        <f>'3'!E12</f>
        <v>40</v>
      </c>
      <c r="C12" s="89">
        <v>100</v>
      </c>
      <c r="D12" s="89"/>
      <c r="E12" s="376">
        <v>116</v>
      </c>
      <c r="F12" s="89">
        <f t="shared" si="0"/>
        <v>24</v>
      </c>
      <c r="G12" s="70">
        <v>10</v>
      </c>
      <c r="H12" s="70">
        <f t="shared" si="1"/>
        <v>240</v>
      </c>
      <c r="J12" s="89" t="s">
        <v>37</v>
      </c>
      <c r="K12" s="89"/>
      <c r="L12" s="89"/>
      <c r="M12" s="89"/>
      <c r="N12" s="89">
        <f t="shared" si="2"/>
        <v>116</v>
      </c>
      <c r="O12" s="89"/>
      <c r="P12" s="70">
        <v>3.5</v>
      </c>
      <c r="Q12" s="70">
        <f t="shared" si="3"/>
        <v>406</v>
      </c>
      <c r="S12" s="381" t="s">
        <v>208</v>
      </c>
      <c r="T12" s="70"/>
      <c r="V12" s="89" t="s">
        <v>209</v>
      </c>
      <c r="W12" s="53">
        <v>1500</v>
      </c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76">
        <f>'3'!E13</f>
        <v>53</v>
      </c>
      <c r="C13" s="89">
        <v>80</v>
      </c>
      <c r="D13" s="89"/>
      <c r="E13" s="376">
        <v>99</v>
      </c>
      <c r="F13" s="89">
        <f t="shared" si="0"/>
        <v>34</v>
      </c>
      <c r="G13" s="70">
        <v>8</v>
      </c>
      <c r="H13" s="70">
        <f t="shared" si="1"/>
        <v>272</v>
      </c>
      <c r="J13" s="89" t="s">
        <v>211</v>
      </c>
      <c r="K13" s="89"/>
      <c r="L13" s="89"/>
      <c r="M13" s="89"/>
      <c r="N13" s="89">
        <f t="shared" si="2"/>
        <v>99</v>
      </c>
      <c r="O13" s="89"/>
      <c r="P13" s="70">
        <v>7.5</v>
      </c>
      <c r="Q13" s="70">
        <f t="shared" si="3"/>
        <v>742.5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76">
        <f>'3'!E14</f>
        <v>55</v>
      </c>
      <c r="C14" s="89"/>
      <c r="D14" s="89"/>
      <c r="E14" s="376">
        <v>45</v>
      </c>
      <c r="F14" s="89">
        <f t="shared" si="0"/>
        <v>10</v>
      </c>
      <c r="G14" s="70">
        <v>10</v>
      </c>
      <c r="H14" s="70">
        <f t="shared" si="1"/>
        <v>100</v>
      </c>
      <c r="J14" s="89" t="s">
        <v>44</v>
      </c>
      <c r="K14" s="89"/>
      <c r="L14" s="89"/>
      <c r="M14" s="89"/>
      <c r="N14" s="89">
        <f t="shared" si="2"/>
        <v>45</v>
      </c>
      <c r="O14" s="89"/>
      <c r="P14" s="70">
        <v>3.5</v>
      </c>
      <c r="Q14" s="70">
        <f t="shared" si="3"/>
        <v>157.5</v>
      </c>
      <c r="S14" s="381" t="s">
        <v>214</v>
      </c>
      <c r="T14" s="70"/>
      <c r="V14" s="89" t="s">
        <v>215</v>
      </c>
      <c r="W14" s="53">
        <f>IFERROR(W7+W8+W10-W11-W12-W13,0)</f>
        <v>9062.5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76">
        <f>'3'!E15</f>
        <v>34</v>
      </c>
      <c r="C15" s="89">
        <v>50</v>
      </c>
      <c r="D15" s="89"/>
      <c r="E15" s="376">
        <v>77</v>
      </c>
      <c r="F15" s="89">
        <f t="shared" si="0"/>
        <v>7</v>
      </c>
      <c r="G15" s="70">
        <v>25</v>
      </c>
      <c r="H15" s="70">
        <f t="shared" si="1"/>
        <v>175</v>
      </c>
      <c r="J15" s="89" t="s">
        <v>41</v>
      </c>
      <c r="K15" s="89"/>
      <c r="L15" s="89"/>
      <c r="M15" s="89"/>
      <c r="N15" s="89">
        <f t="shared" si="2"/>
        <v>77</v>
      </c>
      <c r="O15" s="89"/>
      <c r="P15" s="70">
        <v>8</v>
      </c>
      <c r="Q15" s="70">
        <f t="shared" si="3"/>
        <v>616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76">
        <f>'3'!E16</f>
        <v>0</v>
      </c>
      <c r="C16" s="386"/>
      <c r="D16" s="386"/>
      <c r="E16" s="386"/>
      <c r="F16" s="386"/>
      <c r="G16" s="387"/>
      <c r="H16" s="345">
        <f>IFERROR(SUM(H7:H15),0)</f>
        <v>11619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1360</v>
      </c>
      <c r="Y16" s="89" t="s">
        <v>57</v>
      </c>
      <c r="Z16" s="89">
        <v>80</v>
      </c>
      <c r="AA16" s="89">
        <v>6</v>
      </c>
      <c r="AB16" s="374">
        <f t="shared" si="4"/>
        <v>480</v>
      </c>
    </row>
    <row r="17" spans="1:28" ht="15.5">
      <c r="A17" s="89" t="s">
        <v>220</v>
      </c>
      <c r="B17" s="376">
        <f>'3'!E17</f>
        <v>95</v>
      </c>
      <c r="C17" s="89"/>
      <c r="D17" s="89"/>
      <c r="E17" s="376">
        <v>91</v>
      </c>
      <c r="F17" s="89">
        <f t="shared" ref="F17:F29" si="6">IFERROR(MAX(0,B17+C17-E17-D17),0)</f>
        <v>4</v>
      </c>
      <c r="G17" s="70">
        <v>20</v>
      </c>
      <c r="H17" s="70">
        <f t="shared" ref="H17:H29" si="7">IFERROR(F17*G17,0)</f>
        <v>80</v>
      </c>
      <c r="J17" s="89" t="s">
        <v>222</v>
      </c>
      <c r="K17" s="89"/>
      <c r="L17" s="89"/>
      <c r="M17" s="89"/>
      <c r="N17" s="89">
        <f t="shared" si="2"/>
        <v>91</v>
      </c>
      <c r="O17" s="89"/>
      <c r="P17" s="70">
        <f t="shared" si="5"/>
        <v>20</v>
      </c>
      <c r="Q17" s="70">
        <f t="shared" si="3"/>
        <v>1820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76">
        <f>'3'!E18</f>
        <v>239</v>
      </c>
      <c r="C18" s="89"/>
      <c r="D18" s="89"/>
      <c r="E18" s="376">
        <v>212</v>
      </c>
      <c r="F18" s="89">
        <f t="shared" si="6"/>
        <v>27</v>
      </c>
      <c r="G18" s="70">
        <v>25</v>
      </c>
      <c r="H18" s="70">
        <f t="shared" si="7"/>
        <v>675</v>
      </c>
      <c r="J18" s="89" t="s">
        <v>36</v>
      </c>
      <c r="K18" s="89"/>
      <c r="L18" s="89"/>
      <c r="M18" s="89"/>
      <c r="N18" s="89">
        <f t="shared" si="2"/>
        <v>212</v>
      </c>
      <c r="O18" s="89"/>
      <c r="P18" s="70">
        <v>7</v>
      </c>
      <c r="Q18" s="70">
        <f t="shared" si="3"/>
        <v>1484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22005</v>
      </c>
    </row>
    <row r="19" spans="1:28" ht="14.5">
      <c r="A19" s="89" t="s">
        <v>228</v>
      </c>
      <c r="B19" s="376">
        <f>'3'!E19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76">
        <f>'3'!E20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76">
        <f>'3'!E21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76">
        <f>'3'!E22</f>
        <v>68</v>
      </c>
      <c r="C22" s="89"/>
      <c r="D22" s="89"/>
      <c r="E22" s="376">
        <v>65</v>
      </c>
      <c r="F22" s="89">
        <f t="shared" si="6"/>
        <v>3</v>
      </c>
      <c r="G22" s="70">
        <v>20</v>
      </c>
      <c r="H22" s="70">
        <f t="shared" si="7"/>
        <v>60</v>
      </c>
      <c r="J22" s="89" t="s">
        <v>220</v>
      </c>
      <c r="K22" s="89"/>
      <c r="L22" s="89"/>
      <c r="M22" s="89"/>
      <c r="N22" s="89">
        <f t="shared" si="2"/>
        <v>65</v>
      </c>
      <c r="O22" s="89"/>
      <c r="P22" s="70">
        <v>7.42</v>
      </c>
      <c r="Q22" s="70">
        <f t="shared" si="3"/>
        <v>482.3</v>
      </c>
      <c r="S22" s="381" t="s">
        <v>241</v>
      </c>
      <c r="T22" s="70"/>
      <c r="V22" s="392" t="s">
        <v>17</v>
      </c>
      <c r="W22" s="393">
        <f>SUM(W16:W21)</f>
        <v>1360</v>
      </c>
      <c r="Y22" s="394"/>
      <c r="Z22" s="394"/>
      <c r="AA22" s="3"/>
      <c r="AB22" s="3"/>
    </row>
    <row r="23" spans="1:28" ht="15.75" customHeight="1">
      <c r="A23" s="89" t="s">
        <v>242</v>
      </c>
      <c r="B23" s="376">
        <f>'3'!E23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76">
        <f>'3'!E24</f>
        <v>36</v>
      </c>
      <c r="C24" s="89"/>
      <c r="D24" s="89"/>
      <c r="E24" s="376">
        <v>30</v>
      </c>
      <c r="F24" s="89">
        <f t="shared" si="6"/>
        <v>6</v>
      </c>
      <c r="G24" s="70">
        <v>25</v>
      </c>
      <c r="H24" s="70">
        <f t="shared" si="7"/>
        <v>150</v>
      </c>
      <c r="J24" s="89" t="s">
        <v>244</v>
      </c>
      <c r="K24" s="89"/>
      <c r="L24" s="89"/>
      <c r="M24" s="89"/>
      <c r="N24" s="89">
        <f t="shared" si="2"/>
        <v>30</v>
      </c>
      <c r="O24" s="89"/>
      <c r="P24" s="70">
        <f>G24</f>
        <v>25</v>
      </c>
      <c r="Q24" s="70">
        <f t="shared" si="3"/>
        <v>750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76">
        <f>'3'!E25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76">
        <f>'3'!E26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76">
        <f>'3'!E27</f>
        <v>87</v>
      </c>
      <c r="C27" s="89"/>
      <c r="D27" s="89"/>
      <c r="E27" s="376">
        <v>81</v>
      </c>
      <c r="F27" s="89">
        <f t="shared" si="6"/>
        <v>6</v>
      </c>
      <c r="G27" s="70">
        <v>17</v>
      </c>
      <c r="H27" s="70">
        <f t="shared" si="7"/>
        <v>102</v>
      </c>
      <c r="J27" s="89" t="s">
        <v>248</v>
      </c>
      <c r="K27" s="89"/>
      <c r="L27" s="89"/>
      <c r="M27" s="89"/>
      <c r="N27" s="89">
        <f t="shared" si="2"/>
        <v>81</v>
      </c>
      <c r="O27" s="89"/>
      <c r="P27" s="70">
        <v>12.8</v>
      </c>
      <c r="Q27" s="70">
        <f t="shared" si="3"/>
        <v>1036.8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76">
        <f>'3'!E28</f>
        <v>75</v>
      </c>
      <c r="C28" s="89"/>
      <c r="D28" s="89"/>
      <c r="E28" s="376">
        <v>65</v>
      </c>
      <c r="F28" s="89">
        <f t="shared" si="6"/>
        <v>10</v>
      </c>
      <c r="G28" s="70">
        <v>25</v>
      </c>
      <c r="H28" s="70">
        <f t="shared" si="7"/>
        <v>250</v>
      </c>
      <c r="J28" s="89" t="s">
        <v>251</v>
      </c>
      <c r="K28" s="89"/>
      <c r="L28" s="89"/>
      <c r="M28" s="89"/>
      <c r="N28" s="89">
        <f t="shared" si="2"/>
        <v>65</v>
      </c>
      <c r="O28" s="89"/>
      <c r="P28" s="70">
        <v>10.42</v>
      </c>
      <c r="Q28" s="70">
        <f t="shared" si="3"/>
        <v>677.3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33</v>
      </c>
      <c r="B29" s="376">
        <f>'3'!E29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1317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0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12936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19513.399999999998</v>
      </c>
      <c r="R31" s="357"/>
      <c r="S31" s="506" t="s">
        <v>256</v>
      </c>
      <c r="T31" s="438"/>
      <c r="U31" s="438"/>
      <c r="V31" s="507"/>
      <c r="W31" s="407">
        <f>T30+W30+W22+W14</f>
        <v>10512.5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20130</v>
      </c>
    </row>
    <row r="33" spans="1:27" ht="15.75" customHeight="1">
      <c r="A33" s="3" t="s">
        <v>96</v>
      </c>
      <c r="B33" s="498">
        <f>H31</f>
        <v>12936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10512.5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13797.5</v>
      </c>
      <c r="AA34" s="39"/>
    </row>
    <row r="35" spans="1:27" ht="15.75" customHeight="1">
      <c r="A35" s="3" t="s">
        <v>258</v>
      </c>
      <c r="B35" s="499">
        <f>IFERROR(B33-B34,0)</f>
        <v>2423.5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18770</v>
      </c>
      <c r="AA35" s="39"/>
    </row>
    <row r="36" spans="1:27" ht="15.75" customHeight="1">
      <c r="A36" s="3" t="s">
        <v>259</v>
      </c>
      <c r="B36" s="500">
        <v>2424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32567.5</v>
      </c>
      <c r="AA36" s="39"/>
    </row>
    <row r="37" spans="1:27" ht="15.75" customHeight="1">
      <c r="A37" s="3" t="s">
        <v>260</v>
      </c>
      <c r="B37" s="498">
        <f>IFERROR(B36-B35,0)</f>
        <v>0.5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3235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1737.5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10262.5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266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46208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'4'!E7</f>
        <v>515</v>
      </c>
      <c r="C7" s="370"/>
      <c r="D7" s="89"/>
      <c r="E7" s="371">
        <v>308</v>
      </c>
      <c r="F7" s="370">
        <f t="shared" ref="F7:F15" si="0">IFERROR(MAX(0,B7+C7-E7-D7),0)</f>
        <v>207</v>
      </c>
      <c r="G7" s="70">
        <v>50</v>
      </c>
      <c r="H7" s="70">
        <f t="shared" ref="H7:H15" si="1">IFERROR(F7*G7,0)</f>
        <v>10350</v>
      </c>
      <c r="J7" s="89" t="s">
        <v>194</v>
      </c>
      <c r="K7" s="89"/>
      <c r="L7" s="89"/>
      <c r="M7" s="89"/>
      <c r="N7" s="370">
        <f t="shared" ref="N7:N30" si="2">E7</f>
        <v>308</v>
      </c>
      <c r="O7" s="89"/>
      <c r="P7" s="70">
        <v>21</v>
      </c>
      <c r="Q7" s="70">
        <f t="shared" ref="Q7:Q29" si="3">IFERROR(N7*P7,0)</f>
        <v>6468</v>
      </c>
      <c r="S7" s="89" t="s">
        <v>195</v>
      </c>
      <c r="T7" s="364"/>
      <c r="V7" s="89" t="s">
        <v>196</v>
      </c>
      <c r="W7" s="372"/>
      <c r="Y7" s="373" t="s">
        <v>197</v>
      </c>
      <c r="Z7" s="374"/>
      <c r="AA7" s="374">
        <v>35</v>
      </c>
      <c r="AB7" s="374">
        <f t="shared" ref="AB7:AB17" si="4">IFERROR(Z7*AA7,0)</f>
        <v>0</v>
      </c>
    </row>
    <row r="8" spans="1:28" ht="15.5">
      <c r="A8" s="89" t="s">
        <v>102</v>
      </c>
      <c r="B8" s="391">
        <f>'4'!E8</f>
        <v>53</v>
      </c>
      <c r="C8" s="89"/>
      <c r="D8" s="89"/>
      <c r="E8" s="376">
        <v>34</v>
      </c>
      <c r="F8" s="89">
        <f t="shared" si="0"/>
        <v>19</v>
      </c>
      <c r="G8" s="70">
        <v>12</v>
      </c>
      <c r="H8" s="70">
        <f t="shared" si="1"/>
        <v>228</v>
      </c>
      <c r="J8" s="89" t="s">
        <v>198</v>
      </c>
      <c r="K8" s="89"/>
      <c r="L8" s="89"/>
      <c r="M8" s="89"/>
      <c r="N8" s="89">
        <f t="shared" si="2"/>
        <v>34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91">
        <f>'4'!E9</f>
        <v>21</v>
      </c>
      <c r="C9" s="89"/>
      <c r="D9" s="89"/>
      <c r="E9" s="376"/>
      <c r="F9" s="89">
        <f t="shared" si="0"/>
        <v>21</v>
      </c>
      <c r="G9" s="70">
        <v>12</v>
      </c>
      <c r="H9" s="70">
        <f t="shared" si="1"/>
        <v>252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'4'!E10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90">
        <f>'4'!E11</f>
        <v>46</v>
      </c>
      <c r="C11" s="89">
        <v>235</v>
      </c>
      <c r="D11" s="89"/>
      <c r="E11" s="371">
        <v>8</v>
      </c>
      <c r="F11" s="370">
        <f t="shared" si="0"/>
        <v>273</v>
      </c>
      <c r="G11" s="70">
        <v>15</v>
      </c>
      <c r="H11" s="70">
        <f t="shared" si="1"/>
        <v>4095</v>
      </c>
      <c r="J11" s="89" t="s">
        <v>42</v>
      </c>
      <c r="K11" s="89"/>
      <c r="L11" s="89"/>
      <c r="M11" s="89"/>
      <c r="N11" s="370">
        <f t="shared" si="2"/>
        <v>8</v>
      </c>
      <c r="O11" s="89"/>
      <c r="P11" s="70">
        <v>5.5</v>
      </c>
      <c r="Q11" s="70">
        <f t="shared" si="3"/>
        <v>44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'4'!E12</f>
        <v>116</v>
      </c>
      <c r="C12" s="89"/>
      <c r="D12" s="89"/>
      <c r="E12" s="376">
        <v>57</v>
      </c>
      <c r="F12" s="89">
        <f t="shared" si="0"/>
        <v>59</v>
      </c>
      <c r="G12" s="70">
        <v>10</v>
      </c>
      <c r="H12" s="70">
        <f t="shared" si="1"/>
        <v>590</v>
      </c>
      <c r="J12" s="89" t="s">
        <v>37</v>
      </c>
      <c r="K12" s="89"/>
      <c r="L12" s="89"/>
      <c r="M12" s="89"/>
      <c r="N12" s="89">
        <f t="shared" si="2"/>
        <v>57</v>
      </c>
      <c r="O12" s="89"/>
      <c r="P12" s="70">
        <v>3.5</v>
      </c>
      <c r="Q12" s="70">
        <f t="shared" si="3"/>
        <v>199.5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'4'!E13</f>
        <v>99</v>
      </c>
      <c r="C13" s="89"/>
      <c r="D13" s="89"/>
      <c r="E13" s="376">
        <v>40</v>
      </c>
      <c r="F13" s="89">
        <f t="shared" si="0"/>
        <v>59</v>
      </c>
      <c r="G13" s="70">
        <v>8</v>
      </c>
      <c r="H13" s="70">
        <f t="shared" si="1"/>
        <v>472</v>
      </c>
      <c r="J13" s="89" t="s">
        <v>211</v>
      </c>
      <c r="K13" s="89"/>
      <c r="L13" s="89"/>
      <c r="M13" s="89"/>
      <c r="N13" s="89">
        <f t="shared" si="2"/>
        <v>40</v>
      </c>
      <c r="O13" s="89"/>
      <c r="P13" s="70">
        <v>7.5</v>
      </c>
      <c r="Q13" s="70">
        <f t="shared" si="3"/>
        <v>300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'4'!E14</f>
        <v>45</v>
      </c>
      <c r="C14" s="89"/>
      <c r="D14" s="89"/>
      <c r="E14" s="376">
        <v>30</v>
      </c>
      <c r="F14" s="89">
        <f t="shared" si="0"/>
        <v>15</v>
      </c>
      <c r="G14" s="70">
        <v>10</v>
      </c>
      <c r="H14" s="70">
        <f t="shared" si="1"/>
        <v>150</v>
      </c>
      <c r="J14" s="89" t="s">
        <v>44</v>
      </c>
      <c r="K14" s="89"/>
      <c r="L14" s="89"/>
      <c r="M14" s="89"/>
      <c r="N14" s="89">
        <f t="shared" si="2"/>
        <v>30</v>
      </c>
      <c r="O14" s="89"/>
      <c r="P14" s="70">
        <v>3.5</v>
      </c>
      <c r="Q14" s="70">
        <f t="shared" si="3"/>
        <v>105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'4'!E15</f>
        <v>77</v>
      </c>
      <c r="C15" s="89"/>
      <c r="D15" s="89"/>
      <c r="E15" s="376">
        <v>55</v>
      </c>
      <c r="F15" s="89">
        <f t="shared" si="0"/>
        <v>22</v>
      </c>
      <c r="G15" s="70">
        <v>25</v>
      </c>
      <c r="H15" s="70">
        <f t="shared" si="1"/>
        <v>550</v>
      </c>
      <c r="J15" s="89" t="s">
        <v>41</v>
      </c>
      <c r="K15" s="89"/>
      <c r="L15" s="89"/>
      <c r="M15" s="89"/>
      <c r="N15" s="89">
        <f t="shared" si="2"/>
        <v>55</v>
      </c>
      <c r="O15" s="89"/>
      <c r="P15" s="70">
        <v>8</v>
      </c>
      <c r="Q15" s="70">
        <f t="shared" si="3"/>
        <v>440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16687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1997.5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91">
        <f>'4'!E17</f>
        <v>91</v>
      </c>
      <c r="C17" s="89"/>
      <c r="D17" s="89"/>
      <c r="E17" s="376">
        <v>74</v>
      </c>
      <c r="F17" s="89">
        <f t="shared" ref="F17:F29" si="6">IFERROR(MAX(0,B17+C17-E17-D17),0)</f>
        <v>17</v>
      </c>
      <c r="G17" s="70">
        <v>20</v>
      </c>
      <c r="H17" s="70">
        <f t="shared" ref="H17:H29" si="7">IFERROR(F17*G17,0)</f>
        <v>340</v>
      </c>
      <c r="J17" s="89" t="s">
        <v>222</v>
      </c>
      <c r="K17" s="89"/>
      <c r="L17" s="89"/>
      <c r="M17" s="89"/>
      <c r="N17" s="89">
        <f t="shared" si="2"/>
        <v>74</v>
      </c>
      <c r="O17" s="89"/>
      <c r="P17" s="70">
        <f t="shared" si="5"/>
        <v>20</v>
      </c>
      <c r="Q17" s="70">
        <f t="shared" si="3"/>
        <v>1480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'4'!E18</f>
        <v>212</v>
      </c>
      <c r="C18" s="89"/>
      <c r="D18" s="89"/>
      <c r="E18" s="376">
        <v>162</v>
      </c>
      <c r="F18" s="89">
        <f t="shared" si="6"/>
        <v>50</v>
      </c>
      <c r="G18" s="70">
        <v>25</v>
      </c>
      <c r="H18" s="70">
        <f t="shared" si="7"/>
        <v>1250</v>
      </c>
      <c r="J18" s="89" t="s">
        <v>36</v>
      </c>
      <c r="K18" s="89"/>
      <c r="L18" s="89"/>
      <c r="M18" s="89"/>
      <c r="N18" s="89">
        <f t="shared" si="2"/>
        <v>162</v>
      </c>
      <c r="O18" s="89"/>
      <c r="P18" s="70">
        <v>7</v>
      </c>
      <c r="Q18" s="70">
        <f t="shared" si="3"/>
        <v>1134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0</v>
      </c>
    </row>
    <row r="19" spans="1:28" ht="14.5">
      <c r="A19" s="89" t="s">
        <v>228</v>
      </c>
      <c r="B19" s="391">
        <f>'4'!E19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'4'!E20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'4'!E21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'4'!E22</f>
        <v>65</v>
      </c>
      <c r="C22" s="89"/>
      <c r="D22" s="89"/>
      <c r="E22" s="376">
        <v>55</v>
      </c>
      <c r="F22" s="89">
        <f t="shared" si="6"/>
        <v>10</v>
      </c>
      <c r="G22" s="70">
        <v>20</v>
      </c>
      <c r="H22" s="70">
        <f t="shared" si="7"/>
        <v>200</v>
      </c>
      <c r="J22" s="89" t="s">
        <v>220</v>
      </c>
      <c r="K22" s="89"/>
      <c r="L22" s="89"/>
      <c r="M22" s="89"/>
      <c r="N22" s="89">
        <f t="shared" si="2"/>
        <v>55</v>
      </c>
      <c r="O22" s="89"/>
      <c r="P22" s="70">
        <v>7.42</v>
      </c>
      <c r="Q22" s="70">
        <f t="shared" si="3"/>
        <v>408.1</v>
      </c>
      <c r="S22" s="381" t="s">
        <v>241</v>
      </c>
      <c r="T22" s="70"/>
      <c r="V22" s="392" t="s">
        <v>17</v>
      </c>
      <c r="W22" s="393">
        <f>SUM(W16:W21)</f>
        <v>1997.5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'4'!E23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'4'!E24</f>
        <v>30</v>
      </c>
      <c r="C24" s="89"/>
      <c r="D24" s="89"/>
      <c r="E24" s="376">
        <v>27</v>
      </c>
      <c r="F24" s="89">
        <f t="shared" si="6"/>
        <v>3</v>
      </c>
      <c r="G24" s="70">
        <v>25</v>
      </c>
      <c r="H24" s="70">
        <f t="shared" si="7"/>
        <v>75</v>
      </c>
      <c r="J24" s="89" t="s">
        <v>244</v>
      </c>
      <c r="K24" s="89"/>
      <c r="L24" s="89"/>
      <c r="M24" s="89"/>
      <c r="N24" s="89">
        <f t="shared" si="2"/>
        <v>27</v>
      </c>
      <c r="O24" s="89"/>
      <c r="P24" s="70">
        <f>G24</f>
        <v>25</v>
      </c>
      <c r="Q24" s="70">
        <f t="shared" si="3"/>
        <v>675</v>
      </c>
      <c r="S24" s="381" t="s">
        <v>245</v>
      </c>
      <c r="T24" s="70"/>
      <c r="V24" s="396" t="s">
        <v>268</v>
      </c>
      <c r="W24" s="397">
        <v>500</v>
      </c>
      <c r="Y24" s="3"/>
      <c r="Z24" s="39"/>
      <c r="AA24" s="3"/>
      <c r="AB24" s="3"/>
    </row>
    <row r="25" spans="1:28" ht="15.75" customHeight="1">
      <c r="A25" s="89" t="s">
        <v>66</v>
      </c>
      <c r="B25" s="391">
        <f>'4'!E25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>
        <v>4270</v>
      </c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'4'!E26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'4'!E27</f>
        <v>81</v>
      </c>
      <c r="C27" s="89"/>
      <c r="D27" s="89"/>
      <c r="E27" s="376">
        <v>64</v>
      </c>
      <c r="F27" s="89">
        <f t="shared" si="6"/>
        <v>17</v>
      </c>
      <c r="G27" s="70">
        <v>17</v>
      </c>
      <c r="H27" s="70">
        <f t="shared" si="7"/>
        <v>289</v>
      </c>
      <c r="J27" s="89" t="s">
        <v>248</v>
      </c>
      <c r="K27" s="89"/>
      <c r="L27" s="89"/>
      <c r="M27" s="89"/>
      <c r="N27" s="89">
        <f t="shared" si="2"/>
        <v>64</v>
      </c>
      <c r="O27" s="89"/>
      <c r="P27" s="70">
        <v>12.8</v>
      </c>
      <c r="Q27" s="70">
        <f t="shared" si="3"/>
        <v>819.2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'4'!E28</f>
        <v>65</v>
      </c>
      <c r="C28" s="89"/>
      <c r="D28" s="89"/>
      <c r="E28" s="376">
        <v>57</v>
      </c>
      <c r="F28" s="89">
        <f t="shared" si="6"/>
        <v>8</v>
      </c>
      <c r="G28" s="70">
        <v>25</v>
      </c>
      <c r="H28" s="70">
        <f t="shared" si="7"/>
        <v>200</v>
      </c>
      <c r="J28" s="89" t="s">
        <v>251</v>
      </c>
      <c r="K28" s="89"/>
      <c r="L28" s="89"/>
      <c r="M28" s="89"/>
      <c r="N28" s="89">
        <f t="shared" si="2"/>
        <v>57</v>
      </c>
      <c r="O28" s="89"/>
      <c r="P28" s="70">
        <v>10.42</v>
      </c>
      <c r="Q28" s="70">
        <f t="shared" si="3"/>
        <v>593.93999999999994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'4'!E29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2354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4270</v>
      </c>
      <c r="U30" s="3"/>
      <c r="V30" s="402" t="s">
        <v>16</v>
      </c>
      <c r="W30" s="403">
        <f>SUM(W24:W29)</f>
        <v>500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19041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12939.740000000002</v>
      </c>
      <c r="R31" s="357"/>
      <c r="S31" s="506" t="s">
        <v>256</v>
      </c>
      <c r="T31" s="438"/>
      <c r="U31" s="438"/>
      <c r="V31" s="507"/>
      <c r="W31" s="407">
        <f>T30+W30+W22+W14</f>
        <v>6767.5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1997.5</v>
      </c>
    </row>
    <row r="33" spans="1:27" ht="15.75" customHeight="1">
      <c r="A33" s="3" t="s">
        <v>96</v>
      </c>
      <c r="B33" s="498">
        <f>H31</f>
        <v>19041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6767.5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4270</v>
      </c>
      <c r="AA34" s="39"/>
    </row>
    <row r="35" spans="1:27" ht="15.75" customHeight="1">
      <c r="A35" s="3" t="s">
        <v>258</v>
      </c>
      <c r="B35" s="499">
        <f>IFERROR(B33-B34,0)</f>
        <v>12273.5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0</v>
      </c>
      <c r="AA35" s="39"/>
    </row>
    <row r="36" spans="1:27" ht="15.75" customHeight="1">
      <c r="A36" s="3" t="s">
        <v>259</v>
      </c>
      <c r="B36" s="500">
        <v>12279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4270</v>
      </c>
      <c r="AA36" s="39"/>
    </row>
    <row r="37" spans="1:27" ht="15.75" customHeight="1">
      <c r="A37" s="3" t="s">
        <v>260</v>
      </c>
      <c r="B37" s="498">
        <f>IFERROR(B36-B35,0)</f>
        <v>5.5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46209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'5'!E7</f>
        <v>308</v>
      </c>
      <c r="C7" s="370">
        <v>100</v>
      </c>
      <c r="D7" s="89"/>
      <c r="E7" s="371">
        <v>205</v>
      </c>
      <c r="F7" s="370">
        <f t="shared" ref="F7:F15" si="0">IFERROR(MAX(0,B7+C7-E7-D7),0)</f>
        <v>203</v>
      </c>
      <c r="G7" s="70">
        <v>50</v>
      </c>
      <c r="H7" s="70">
        <f t="shared" ref="H7:H15" si="1">IFERROR(F7*G7,0)</f>
        <v>10150</v>
      </c>
      <c r="J7" s="89" t="s">
        <v>194</v>
      </c>
      <c r="K7" s="89"/>
      <c r="L7" s="89"/>
      <c r="M7" s="89"/>
      <c r="N7" s="370">
        <f t="shared" ref="N7:N30" si="2">E7</f>
        <v>205</v>
      </c>
      <c r="O7" s="89"/>
      <c r="P7" s="70">
        <v>21</v>
      </c>
      <c r="Q7" s="70">
        <f t="shared" ref="Q7:Q29" si="3">IFERROR(N7*P7,0)</f>
        <v>4305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100</v>
      </c>
      <c r="AA7" s="374">
        <v>35</v>
      </c>
      <c r="AB7" s="374">
        <f t="shared" ref="AB7:AB17" si="4">IFERROR(Z7*AA7,0)</f>
        <v>3500</v>
      </c>
    </row>
    <row r="8" spans="1:28" ht="15.5">
      <c r="A8" s="89" t="s">
        <v>102</v>
      </c>
      <c r="B8" s="391">
        <f>'5'!E8</f>
        <v>34</v>
      </c>
      <c r="C8" s="89"/>
      <c r="D8" s="89"/>
      <c r="E8" s="376">
        <v>28</v>
      </c>
      <c r="F8" s="89">
        <f t="shared" si="0"/>
        <v>6</v>
      </c>
      <c r="G8" s="70">
        <v>12</v>
      </c>
      <c r="H8" s="70">
        <f t="shared" si="1"/>
        <v>72</v>
      </c>
      <c r="J8" s="89" t="s">
        <v>198</v>
      </c>
      <c r="K8" s="89"/>
      <c r="L8" s="89"/>
      <c r="M8" s="89"/>
      <c r="N8" s="89">
        <f t="shared" si="2"/>
        <v>28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'5'!E9</f>
        <v>0</v>
      </c>
      <c r="C9" s="89">
        <v>150</v>
      </c>
      <c r="D9" s="89"/>
      <c r="E9" s="376">
        <v>100</v>
      </c>
      <c r="F9" s="89">
        <f t="shared" si="0"/>
        <v>50</v>
      </c>
      <c r="G9" s="70">
        <v>12</v>
      </c>
      <c r="H9" s="70">
        <f t="shared" si="1"/>
        <v>600</v>
      </c>
      <c r="J9" s="89" t="s">
        <v>200</v>
      </c>
      <c r="K9" s="89"/>
      <c r="L9" s="89"/>
      <c r="M9" s="89"/>
      <c r="N9" s="89">
        <f t="shared" si="2"/>
        <v>100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'5'!E10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'5'!E11</f>
        <v>8</v>
      </c>
      <c r="C11" s="89">
        <v>230</v>
      </c>
      <c r="D11" s="89"/>
      <c r="E11" s="371">
        <v>18</v>
      </c>
      <c r="F11" s="370">
        <f t="shared" si="0"/>
        <v>220</v>
      </c>
      <c r="G11" s="70">
        <v>15</v>
      </c>
      <c r="H11" s="70">
        <f t="shared" si="1"/>
        <v>3300</v>
      </c>
      <c r="J11" s="89" t="s">
        <v>42</v>
      </c>
      <c r="K11" s="89"/>
      <c r="L11" s="89"/>
      <c r="M11" s="89"/>
      <c r="N11" s="370">
        <f t="shared" si="2"/>
        <v>18</v>
      </c>
      <c r="O11" s="89"/>
      <c r="P11" s="70">
        <v>5.5</v>
      </c>
      <c r="Q11" s="70">
        <f t="shared" si="3"/>
        <v>99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'5'!E12</f>
        <v>57</v>
      </c>
      <c r="C12" s="89">
        <v>40</v>
      </c>
      <c r="D12" s="89"/>
      <c r="E12" s="376">
        <v>62</v>
      </c>
      <c r="F12" s="89">
        <f t="shared" si="0"/>
        <v>35</v>
      </c>
      <c r="G12" s="70">
        <v>10</v>
      </c>
      <c r="H12" s="70">
        <f t="shared" si="1"/>
        <v>350</v>
      </c>
      <c r="J12" s="89" t="s">
        <v>37</v>
      </c>
      <c r="K12" s="89"/>
      <c r="L12" s="89"/>
      <c r="M12" s="89"/>
      <c r="N12" s="89">
        <f t="shared" si="2"/>
        <v>62</v>
      </c>
      <c r="O12" s="89"/>
      <c r="P12" s="70">
        <v>3.5</v>
      </c>
      <c r="Q12" s="70">
        <f t="shared" si="3"/>
        <v>217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'5'!E13</f>
        <v>40</v>
      </c>
      <c r="C13" s="89">
        <v>40</v>
      </c>
      <c r="D13" s="89"/>
      <c r="E13" s="376">
        <v>44</v>
      </c>
      <c r="F13" s="89">
        <f t="shared" si="0"/>
        <v>36</v>
      </c>
      <c r="G13" s="70">
        <v>8</v>
      </c>
      <c r="H13" s="70">
        <f t="shared" si="1"/>
        <v>288</v>
      </c>
      <c r="J13" s="89" t="s">
        <v>211</v>
      </c>
      <c r="K13" s="89"/>
      <c r="L13" s="89"/>
      <c r="M13" s="89"/>
      <c r="N13" s="89">
        <f t="shared" si="2"/>
        <v>44</v>
      </c>
      <c r="O13" s="89"/>
      <c r="P13" s="70">
        <v>7.5</v>
      </c>
      <c r="Q13" s="70">
        <f t="shared" si="3"/>
        <v>330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'5'!E14</f>
        <v>30</v>
      </c>
      <c r="C14" s="89">
        <v>20</v>
      </c>
      <c r="D14" s="89"/>
      <c r="E14" s="376">
        <v>44</v>
      </c>
      <c r="F14" s="89">
        <f t="shared" si="0"/>
        <v>6</v>
      </c>
      <c r="G14" s="70">
        <v>10</v>
      </c>
      <c r="H14" s="70">
        <f t="shared" si="1"/>
        <v>60</v>
      </c>
      <c r="J14" s="89" t="s">
        <v>44</v>
      </c>
      <c r="K14" s="89"/>
      <c r="L14" s="89"/>
      <c r="M14" s="89"/>
      <c r="N14" s="89">
        <f t="shared" si="2"/>
        <v>44</v>
      </c>
      <c r="O14" s="89"/>
      <c r="P14" s="70">
        <v>3.5</v>
      </c>
      <c r="Q14" s="70">
        <f t="shared" si="3"/>
        <v>154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'5'!E15</f>
        <v>55</v>
      </c>
      <c r="C15" s="89"/>
      <c r="D15" s="89"/>
      <c r="E15" s="376">
        <v>48</v>
      </c>
      <c r="F15" s="89">
        <f t="shared" si="0"/>
        <v>7</v>
      </c>
      <c r="G15" s="70">
        <v>25</v>
      </c>
      <c r="H15" s="70">
        <f t="shared" si="1"/>
        <v>175</v>
      </c>
      <c r="J15" s="89" t="s">
        <v>41</v>
      </c>
      <c r="K15" s="89"/>
      <c r="L15" s="89"/>
      <c r="M15" s="89"/>
      <c r="N15" s="89">
        <f t="shared" si="2"/>
        <v>48</v>
      </c>
      <c r="O15" s="89"/>
      <c r="P15" s="70">
        <v>8</v>
      </c>
      <c r="Q15" s="70">
        <f t="shared" si="3"/>
        <v>384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'5'!E16</f>
        <v>0</v>
      </c>
      <c r="C16" s="386"/>
      <c r="D16" s="386"/>
      <c r="E16" s="386"/>
      <c r="F16" s="386"/>
      <c r="G16" s="387"/>
      <c r="H16" s="345">
        <f>IFERROR(SUM(H7:H15),0)</f>
        <v>14995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1955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'5'!E17</f>
        <v>74</v>
      </c>
      <c r="C17" s="89"/>
      <c r="D17" s="89"/>
      <c r="E17" s="376">
        <v>67</v>
      </c>
      <c r="F17" s="89">
        <f t="shared" ref="F17:F29" si="6">IFERROR(MAX(0,B17+C17-E17-D17),0)</f>
        <v>7</v>
      </c>
      <c r="G17" s="70">
        <v>20</v>
      </c>
      <c r="H17" s="70">
        <f t="shared" ref="H17:H29" si="7">IFERROR(F17*G17,0)</f>
        <v>140</v>
      </c>
      <c r="J17" s="89" t="s">
        <v>222</v>
      </c>
      <c r="K17" s="89"/>
      <c r="L17" s="89"/>
      <c r="M17" s="89"/>
      <c r="N17" s="89">
        <f t="shared" si="2"/>
        <v>67</v>
      </c>
      <c r="O17" s="89"/>
      <c r="P17" s="70">
        <f t="shared" si="5"/>
        <v>20</v>
      </c>
      <c r="Q17" s="70">
        <f t="shared" si="3"/>
        <v>1340</v>
      </c>
      <c r="S17" s="381" t="s">
        <v>223</v>
      </c>
      <c r="T17" s="70"/>
      <c r="V17" s="89" t="s">
        <v>41</v>
      </c>
      <c r="W17" s="53">
        <v>160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'5'!E18</f>
        <v>162</v>
      </c>
      <c r="C18" s="89"/>
      <c r="D18" s="89"/>
      <c r="E18" s="376">
        <v>121</v>
      </c>
      <c r="F18" s="89">
        <f t="shared" si="6"/>
        <v>41</v>
      </c>
      <c r="G18" s="70">
        <v>25</v>
      </c>
      <c r="H18" s="70">
        <f t="shared" si="7"/>
        <v>1025</v>
      </c>
      <c r="J18" s="89" t="s">
        <v>36</v>
      </c>
      <c r="K18" s="89"/>
      <c r="L18" s="89"/>
      <c r="M18" s="89"/>
      <c r="N18" s="89">
        <f t="shared" si="2"/>
        <v>121</v>
      </c>
      <c r="O18" s="89"/>
      <c r="P18" s="70">
        <v>7</v>
      </c>
      <c r="Q18" s="70">
        <f t="shared" si="3"/>
        <v>847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5030</v>
      </c>
    </row>
    <row r="19" spans="1:28" ht="14.5">
      <c r="A19" s="89" t="s">
        <v>228</v>
      </c>
      <c r="B19" s="391">
        <f>'5'!E19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>
        <v>5000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'5'!E20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'5'!E21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>
        <v>185</v>
      </c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'5'!E22</f>
        <v>55</v>
      </c>
      <c r="C22" s="89"/>
      <c r="D22" s="89"/>
      <c r="E22" s="376">
        <v>48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48</v>
      </c>
      <c r="O22" s="89"/>
      <c r="P22" s="70">
        <v>7.42</v>
      </c>
      <c r="Q22" s="70">
        <f t="shared" si="3"/>
        <v>356.15999999999997</v>
      </c>
      <c r="S22" s="381" t="s">
        <v>241</v>
      </c>
      <c r="T22" s="70"/>
      <c r="V22" s="392" t="s">
        <v>17</v>
      </c>
      <c r="W22" s="393">
        <f>SUM(W16:W21)</f>
        <v>2115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'5'!E23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'5'!E24</f>
        <v>27</v>
      </c>
      <c r="C24" s="89"/>
      <c r="D24" s="89"/>
      <c r="E24" s="376">
        <v>25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25</v>
      </c>
      <c r="O24" s="89"/>
      <c r="P24" s="70">
        <f>G24</f>
        <v>25</v>
      </c>
      <c r="Q24" s="70">
        <f t="shared" si="3"/>
        <v>625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'5'!E25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'5'!E26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'5'!E27</f>
        <v>64</v>
      </c>
      <c r="C27" s="89"/>
      <c r="D27" s="89"/>
      <c r="E27" s="376">
        <v>56</v>
      </c>
      <c r="F27" s="89">
        <f t="shared" si="6"/>
        <v>8</v>
      </c>
      <c r="G27" s="70">
        <v>17</v>
      </c>
      <c r="H27" s="70">
        <f t="shared" si="7"/>
        <v>136</v>
      </c>
      <c r="J27" s="89" t="s">
        <v>248</v>
      </c>
      <c r="K27" s="89"/>
      <c r="L27" s="89"/>
      <c r="M27" s="89"/>
      <c r="N27" s="89">
        <f t="shared" si="2"/>
        <v>56</v>
      </c>
      <c r="O27" s="89"/>
      <c r="P27" s="70">
        <v>12.8</v>
      </c>
      <c r="Q27" s="70">
        <f t="shared" si="3"/>
        <v>716.80000000000007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'5'!E28</f>
        <v>57</v>
      </c>
      <c r="C28" s="89"/>
      <c r="D28" s="89"/>
      <c r="E28" s="376">
        <v>54</v>
      </c>
      <c r="F28" s="89">
        <f t="shared" si="6"/>
        <v>3</v>
      </c>
      <c r="G28" s="70">
        <v>25</v>
      </c>
      <c r="H28" s="70">
        <f t="shared" si="7"/>
        <v>75</v>
      </c>
      <c r="J28" s="89" t="s">
        <v>251</v>
      </c>
      <c r="K28" s="89"/>
      <c r="L28" s="89"/>
      <c r="M28" s="89"/>
      <c r="N28" s="89">
        <f t="shared" si="2"/>
        <v>54</v>
      </c>
      <c r="O28" s="89"/>
      <c r="P28" s="70">
        <v>10.42</v>
      </c>
      <c r="Q28" s="70">
        <f t="shared" si="3"/>
        <v>562.67999999999995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'5'!E29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1566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5185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16561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10209.64</v>
      </c>
      <c r="R31" s="357"/>
      <c r="S31" s="506" t="s">
        <v>256</v>
      </c>
      <c r="T31" s="438"/>
      <c r="U31" s="438"/>
      <c r="V31" s="507"/>
      <c r="W31" s="407">
        <f>T30+W30+W22+W14</f>
        <v>7360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7145</v>
      </c>
    </row>
    <row r="33" spans="1:27" ht="15.75" customHeight="1">
      <c r="A33" s="3" t="s">
        <v>96</v>
      </c>
      <c r="B33" s="498">
        <f>H31</f>
        <v>16561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7360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5185</v>
      </c>
      <c r="AA34" s="39"/>
    </row>
    <row r="35" spans="1:27" ht="15.75" customHeight="1">
      <c r="A35" s="3" t="s">
        <v>258</v>
      </c>
      <c r="B35" s="499">
        <f>IFERROR(B33-B34,0)</f>
        <v>9201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5030</v>
      </c>
      <c r="AA35" s="39"/>
    </row>
    <row r="36" spans="1:27" ht="15.75" customHeight="1">
      <c r="A36" s="3" t="s">
        <v>259</v>
      </c>
      <c r="B36" s="500">
        <v>9207.5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10215</v>
      </c>
      <c r="AA36" s="39"/>
    </row>
    <row r="37" spans="1:27" ht="15.75" customHeight="1">
      <c r="A37" s="3" t="s">
        <v>260</v>
      </c>
      <c r="B37" s="498">
        <f>IFERROR(B36-B35,0)</f>
        <v>6.5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46210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'6'!E7</f>
        <v>205</v>
      </c>
      <c r="C7" s="370">
        <v>200</v>
      </c>
      <c r="D7" s="89"/>
      <c r="E7" s="371">
        <v>247</v>
      </c>
      <c r="F7" s="370">
        <f t="shared" ref="F7:F15" si="0">IFERROR(MAX(0,B7+C7-E7-D7),0)</f>
        <v>158</v>
      </c>
      <c r="G7" s="70">
        <v>50</v>
      </c>
      <c r="H7" s="70">
        <f t="shared" ref="H7:H15" si="1">IFERROR(F7*G7,0)</f>
        <v>7900</v>
      </c>
      <c r="J7" s="89" t="s">
        <v>194</v>
      </c>
      <c r="K7" s="89"/>
      <c r="L7" s="89"/>
      <c r="M7" s="89"/>
      <c r="N7" s="370">
        <f t="shared" ref="N7:N30" si="2">E7</f>
        <v>247</v>
      </c>
      <c r="O7" s="89"/>
      <c r="P7" s="70">
        <v>21</v>
      </c>
      <c r="Q7" s="70">
        <f t="shared" ref="Q7:Q29" si="3">IFERROR(N7*P7,0)</f>
        <v>5187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'6'!E8</f>
        <v>28</v>
      </c>
      <c r="C8" s="89"/>
      <c r="D8" s="89"/>
      <c r="E8" s="376">
        <v>11</v>
      </c>
      <c r="F8" s="89">
        <f t="shared" si="0"/>
        <v>17</v>
      </c>
      <c r="G8" s="70">
        <v>12</v>
      </c>
      <c r="H8" s="70">
        <f t="shared" si="1"/>
        <v>204</v>
      </c>
      <c r="J8" s="89" t="s">
        <v>198</v>
      </c>
      <c r="K8" s="89"/>
      <c r="L8" s="89"/>
      <c r="M8" s="89"/>
      <c r="N8" s="89">
        <f t="shared" si="2"/>
        <v>11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'6'!E9</f>
        <v>100</v>
      </c>
      <c r="C9" s="89">
        <v>50</v>
      </c>
      <c r="D9" s="89"/>
      <c r="E9" s="376">
        <v>64</v>
      </c>
      <c r="F9" s="89">
        <f t="shared" si="0"/>
        <v>86</v>
      </c>
      <c r="G9" s="70">
        <v>12</v>
      </c>
      <c r="H9" s="70">
        <f t="shared" si="1"/>
        <v>1032</v>
      </c>
      <c r="J9" s="89" t="s">
        <v>200</v>
      </c>
      <c r="K9" s="89"/>
      <c r="L9" s="89"/>
      <c r="M9" s="89"/>
      <c r="N9" s="89">
        <f t="shared" si="2"/>
        <v>64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'6'!E10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'6'!E11</f>
        <v>18</v>
      </c>
      <c r="C11" s="89">
        <v>180</v>
      </c>
      <c r="D11" s="89"/>
      <c r="E11" s="371">
        <v>29</v>
      </c>
      <c r="F11" s="370">
        <f t="shared" si="0"/>
        <v>169</v>
      </c>
      <c r="G11" s="70">
        <v>15</v>
      </c>
      <c r="H11" s="70">
        <f t="shared" si="1"/>
        <v>2535</v>
      </c>
      <c r="J11" s="89" t="s">
        <v>42</v>
      </c>
      <c r="K11" s="89"/>
      <c r="L11" s="89"/>
      <c r="M11" s="89"/>
      <c r="N11" s="370">
        <f t="shared" si="2"/>
        <v>29</v>
      </c>
      <c r="O11" s="89"/>
      <c r="P11" s="70">
        <v>5.5</v>
      </c>
      <c r="Q11" s="70">
        <f t="shared" si="3"/>
        <v>159.5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'6'!E12</f>
        <v>62</v>
      </c>
      <c r="C12" s="89">
        <v>40</v>
      </c>
      <c r="D12" s="89"/>
      <c r="E12" s="376">
        <v>68</v>
      </c>
      <c r="F12" s="89">
        <f t="shared" si="0"/>
        <v>34</v>
      </c>
      <c r="G12" s="70">
        <v>10</v>
      </c>
      <c r="H12" s="70">
        <f t="shared" si="1"/>
        <v>340</v>
      </c>
      <c r="J12" s="89" t="s">
        <v>37</v>
      </c>
      <c r="K12" s="89"/>
      <c r="L12" s="89"/>
      <c r="M12" s="89"/>
      <c r="N12" s="89">
        <f t="shared" si="2"/>
        <v>68</v>
      </c>
      <c r="O12" s="89"/>
      <c r="P12" s="70">
        <v>3.5</v>
      </c>
      <c r="Q12" s="70">
        <f t="shared" si="3"/>
        <v>238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'6'!E13</f>
        <v>44</v>
      </c>
      <c r="C13" s="89">
        <v>50</v>
      </c>
      <c r="D13" s="89"/>
      <c r="E13" s="376">
        <v>61</v>
      </c>
      <c r="F13" s="89">
        <f t="shared" si="0"/>
        <v>33</v>
      </c>
      <c r="G13" s="70">
        <v>8</v>
      </c>
      <c r="H13" s="70">
        <f t="shared" si="1"/>
        <v>264</v>
      </c>
      <c r="J13" s="89" t="s">
        <v>211</v>
      </c>
      <c r="K13" s="89"/>
      <c r="L13" s="89"/>
      <c r="M13" s="89"/>
      <c r="N13" s="89">
        <f t="shared" si="2"/>
        <v>61</v>
      </c>
      <c r="O13" s="89"/>
      <c r="P13" s="70">
        <v>7.5</v>
      </c>
      <c r="Q13" s="70">
        <f t="shared" si="3"/>
        <v>457.5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'6'!E14</f>
        <v>44</v>
      </c>
      <c r="C14" s="89"/>
      <c r="D14" s="89"/>
      <c r="E14" s="376">
        <v>33</v>
      </c>
      <c r="F14" s="89">
        <f t="shared" si="0"/>
        <v>11</v>
      </c>
      <c r="G14" s="70">
        <v>10</v>
      </c>
      <c r="H14" s="70">
        <f t="shared" si="1"/>
        <v>110</v>
      </c>
      <c r="J14" s="89" t="s">
        <v>44</v>
      </c>
      <c r="K14" s="89"/>
      <c r="L14" s="89"/>
      <c r="M14" s="89"/>
      <c r="N14" s="89">
        <f t="shared" si="2"/>
        <v>33</v>
      </c>
      <c r="O14" s="89"/>
      <c r="P14" s="70">
        <v>3.5</v>
      </c>
      <c r="Q14" s="70">
        <f t="shared" si="3"/>
        <v>115.5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91">
        <f>'6'!E15</f>
        <v>48</v>
      </c>
      <c r="C15" s="89"/>
      <c r="D15" s="89"/>
      <c r="E15" s="376">
        <v>37</v>
      </c>
      <c r="F15" s="89">
        <f t="shared" si="0"/>
        <v>11</v>
      </c>
      <c r="G15" s="70">
        <v>25</v>
      </c>
      <c r="H15" s="70">
        <f t="shared" si="1"/>
        <v>275</v>
      </c>
      <c r="J15" s="89" t="s">
        <v>41</v>
      </c>
      <c r="K15" s="89"/>
      <c r="L15" s="89"/>
      <c r="M15" s="89"/>
      <c r="N15" s="89">
        <f t="shared" si="2"/>
        <v>37</v>
      </c>
      <c r="O15" s="89"/>
      <c r="P15" s="70">
        <v>8</v>
      </c>
      <c r="Q15" s="70">
        <f t="shared" si="3"/>
        <v>296</v>
      </c>
      <c r="S15" s="381" t="s">
        <v>217</v>
      </c>
      <c r="T15" s="70">
        <v>1500</v>
      </c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'6'!E16</f>
        <v>0</v>
      </c>
      <c r="C16" s="386"/>
      <c r="D16" s="386"/>
      <c r="E16" s="386"/>
      <c r="F16" s="386"/>
      <c r="G16" s="387"/>
      <c r="H16" s="345">
        <f>IFERROR(SUM(H7:H15),0)</f>
        <v>12660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1530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'6'!E17</f>
        <v>67</v>
      </c>
      <c r="C17" s="89">
        <v>24</v>
      </c>
      <c r="D17" s="89"/>
      <c r="E17" s="376">
        <v>83</v>
      </c>
      <c r="F17" s="89">
        <f t="shared" ref="F17:F29" si="6">IFERROR(MAX(0,B17+C17-E17-D17),0)</f>
        <v>8</v>
      </c>
      <c r="G17" s="70">
        <v>20</v>
      </c>
      <c r="H17" s="70">
        <f t="shared" ref="H17:H29" si="7">IFERROR(F17*G17,0)</f>
        <v>160</v>
      </c>
      <c r="J17" s="89" t="s">
        <v>222</v>
      </c>
      <c r="K17" s="89"/>
      <c r="L17" s="89"/>
      <c r="M17" s="89"/>
      <c r="N17" s="89">
        <f t="shared" si="2"/>
        <v>83</v>
      </c>
      <c r="O17" s="89"/>
      <c r="P17" s="70">
        <f t="shared" si="5"/>
        <v>20</v>
      </c>
      <c r="Q17" s="70">
        <f t="shared" si="3"/>
        <v>1660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'6'!E18</f>
        <v>121</v>
      </c>
      <c r="C18" s="89">
        <v>144</v>
      </c>
      <c r="D18" s="89"/>
      <c r="E18" s="376">
        <v>234</v>
      </c>
      <c r="F18" s="89">
        <f t="shared" si="6"/>
        <v>31</v>
      </c>
      <c r="G18" s="70">
        <v>25</v>
      </c>
      <c r="H18" s="70">
        <f t="shared" si="7"/>
        <v>775</v>
      </c>
      <c r="J18" s="89" t="s">
        <v>36</v>
      </c>
      <c r="K18" s="89"/>
      <c r="L18" s="89"/>
      <c r="M18" s="89"/>
      <c r="N18" s="89">
        <f t="shared" si="2"/>
        <v>234</v>
      </c>
      <c r="O18" s="89"/>
      <c r="P18" s="70">
        <v>7</v>
      </c>
      <c r="Q18" s="70">
        <f t="shared" si="3"/>
        <v>1638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8160</v>
      </c>
    </row>
    <row r="19" spans="1:28" ht="14.5">
      <c r="A19" s="89" t="s">
        <v>228</v>
      </c>
      <c r="B19" s="391">
        <f>'6'!E19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'6'!E20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1974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'6'!E21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'6'!E22</f>
        <v>48</v>
      </c>
      <c r="C22" s="89"/>
      <c r="D22" s="89"/>
      <c r="E22" s="376">
        <v>39</v>
      </c>
      <c r="F22" s="89">
        <f t="shared" si="6"/>
        <v>9</v>
      </c>
      <c r="G22" s="70">
        <v>20</v>
      </c>
      <c r="H22" s="70">
        <f t="shared" si="7"/>
        <v>180</v>
      </c>
      <c r="J22" s="89" t="s">
        <v>220</v>
      </c>
      <c r="K22" s="89"/>
      <c r="L22" s="89"/>
      <c r="M22" s="89"/>
      <c r="N22" s="89">
        <f t="shared" si="2"/>
        <v>39</v>
      </c>
      <c r="O22" s="89"/>
      <c r="P22" s="70">
        <v>7.42</v>
      </c>
      <c r="Q22" s="70">
        <f t="shared" si="3"/>
        <v>289.38</v>
      </c>
      <c r="S22" s="381" t="s">
        <v>241</v>
      </c>
      <c r="T22" s="70"/>
      <c r="V22" s="392" t="s">
        <v>17</v>
      </c>
      <c r="W22" s="393">
        <f>SUM(W16:W21)</f>
        <v>3504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'6'!E23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'6'!E24</f>
        <v>25</v>
      </c>
      <c r="C24" s="89"/>
      <c r="D24" s="89"/>
      <c r="E24" s="376">
        <v>18</v>
      </c>
      <c r="F24" s="89">
        <f t="shared" si="6"/>
        <v>7</v>
      </c>
      <c r="G24" s="70">
        <v>25</v>
      </c>
      <c r="H24" s="70">
        <f t="shared" si="7"/>
        <v>175</v>
      </c>
      <c r="J24" s="89" t="s">
        <v>244</v>
      </c>
      <c r="K24" s="89"/>
      <c r="L24" s="89"/>
      <c r="M24" s="89"/>
      <c r="N24" s="89">
        <f t="shared" si="2"/>
        <v>18</v>
      </c>
      <c r="O24" s="89"/>
      <c r="P24" s="70">
        <f>G24</f>
        <v>25</v>
      </c>
      <c r="Q24" s="70">
        <f t="shared" si="3"/>
        <v>450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'6'!E25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'6'!E26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>
        <v>500</v>
      </c>
      <c r="Y26" s="3"/>
      <c r="Z26" s="3"/>
      <c r="AA26" s="3"/>
      <c r="AB26" s="3"/>
    </row>
    <row r="27" spans="1:28" ht="15.75" customHeight="1">
      <c r="A27" s="89" t="s">
        <v>247</v>
      </c>
      <c r="B27" s="391">
        <f>'6'!E27</f>
        <v>56</v>
      </c>
      <c r="C27" s="89"/>
      <c r="D27" s="89"/>
      <c r="E27" s="376">
        <v>50</v>
      </c>
      <c r="F27" s="89">
        <f t="shared" si="6"/>
        <v>6</v>
      </c>
      <c r="G27" s="70">
        <v>17</v>
      </c>
      <c r="H27" s="70">
        <f t="shared" si="7"/>
        <v>102</v>
      </c>
      <c r="J27" s="89" t="s">
        <v>248</v>
      </c>
      <c r="K27" s="89"/>
      <c r="L27" s="89"/>
      <c r="M27" s="89"/>
      <c r="N27" s="89">
        <f t="shared" si="2"/>
        <v>50</v>
      </c>
      <c r="O27" s="89"/>
      <c r="P27" s="70">
        <v>12.8</v>
      </c>
      <c r="Q27" s="70">
        <f t="shared" si="3"/>
        <v>640</v>
      </c>
      <c r="S27" s="89" t="s">
        <v>249</v>
      </c>
      <c r="T27" s="70">
        <v>2160</v>
      </c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'6'!E28</f>
        <v>54</v>
      </c>
      <c r="C28" s="89"/>
      <c r="D28" s="89"/>
      <c r="E28" s="376">
        <v>52</v>
      </c>
      <c r="F28" s="89">
        <f t="shared" si="6"/>
        <v>2</v>
      </c>
      <c r="G28" s="70">
        <v>25</v>
      </c>
      <c r="H28" s="70">
        <f t="shared" si="7"/>
        <v>50</v>
      </c>
      <c r="J28" s="89" t="s">
        <v>251</v>
      </c>
      <c r="K28" s="89"/>
      <c r="L28" s="89"/>
      <c r="M28" s="89"/>
      <c r="N28" s="89">
        <f t="shared" si="2"/>
        <v>52</v>
      </c>
      <c r="O28" s="89"/>
      <c r="P28" s="70">
        <v>10.42</v>
      </c>
      <c r="Q28" s="70">
        <f t="shared" si="3"/>
        <v>541.84</v>
      </c>
      <c r="S28" s="89" t="s">
        <v>252</v>
      </c>
      <c r="T28" s="70"/>
      <c r="U28" s="3"/>
      <c r="V28" s="381" t="s">
        <v>253</v>
      </c>
      <c r="W28" s="53">
        <v>30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'6'!E29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1442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3660</v>
      </c>
      <c r="U30" s="3"/>
      <c r="V30" s="402" t="s">
        <v>16</v>
      </c>
      <c r="W30" s="403">
        <f>SUM(W24:W29)</f>
        <v>530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14102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11945.72</v>
      </c>
      <c r="R31" s="357"/>
      <c r="S31" s="506" t="s">
        <v>256</v>
      </c>
      <c r="T31" s="438"/>
      <c r="U31" s="438"/>
      <c r="V31" s="507"/>
      <c r="W31" s="407">
        <f>T30+W30+W22+W14</f>
        <v>7694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11394</v>
      </c>
    </row>
    <row r="33" spans="1:27" ht="15.75" customHeight="1">
      <c r="A33" s="3" t="s">
        <v>96</v>
      </c>
      <c r="B33" s="498">
        <f>H31</f>
        <v>14102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7694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2430</v>
      </c>
      <c r="AA34" s="39"/>
    </row>
    <row r="35" spans="1:27" ht="15.75" customHeight="1">
      <c r="A35" s="3" t="s">
        <v>258</v>
      </c>
      <c r="B35" s="499">
        <f>IFERROR(B33-B34,0)</f>
        <v>6408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7890</v>
      </c>
      <c r="AA35" s="39"/>
    </row>
    <row r="36" spans="1:27" ht="15.75" customHeight="1">
      <c r="A36" s="3" t="s">
        <v>259</v>
      </c>
      <c r="B36" s="500">
        <v>6410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10320</v>
      </c>
      <c r="AA36" s="39"/>
    </row>
    <row r="37" spans="1:27" ht="15.75" customHeight="1">
      <c r="A37" s="3" t="s">
        <v>260</v>
      </c>
      <c r="B37" s="498">
        <f>IFERROR(B36-B35,0)</f>
        <v>2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270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46211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'7'!E7</f>
        <v>247</v>
      </c>
      <c r="C7" s="370">
        <v>150</v>
      </c>
      <c r="D7" s="89"/>
      <c r="E7" s="371">
        <v>154</v>
      </c>
      <c r="F7" s="370">
        <f t="shared" ref="F7:F15" si="0">IFERROR(MAX(0,B7+C7-E7-D7),0)</f>
        <v>243</v>
      </c>
      <c r="G7" s="70">
        <v>50</v>
      </c>
      <c r="H7" s="70">
        <f t="shared" ref="H7:H15" si="1">IFERROR(F7*G7,0)</f>
        <v>12150</v>
      </c>
      <c r="J7" s="89" t="s">
        <v>194</v>
      </c>
      <c r="K7" s="89"/>
      <c r="L7" s="89"/>
      <c r="M7" s="89"/>
      <c r="N7" s="370">
        <f t="shared" ref="N7:N30" si="2">E7</f>
        <v>154</v>
      </c>
      <c r="O7" s="89"/>
      <c r="P7" s="70">
        <v>21</v>
      </c>
      <c r="Q7" s="70">
        <f t="shared" ref="Q7:Q29" si="3">IFERROR(N7*P7,0)</f>
        <v>3234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'7'!E8</f>
        <v>11</v>
      </c>
      <c r="C8" s="89"/>
      <c r="D8" s="89"/>
      <c r="E8" s="376">
        <v>3</v>
      </c>
      <c r="F8" s="89">
        <f t="shared" si="0"/>
        <v>8</v>
      </c>
      <c r="G8" s="70">
        <v>12</v>
      </c>
      <c r="H8" s="70">
        <f t="shared" si="1"/>
        <v>96</v>
      </c>
      <c r="J8" s="89" t="s">
        <v>198</v>
      </c>
      <c r="K8" s="89"/>
      <c r="L8" s="89"/>
      <c r="M8" s="89"/>
      <c r="N8" s="89">
        <f t="shared" si="2"/>
        <v>3</v>
      </c>
      <c r="O8" s="89"/>
      <c r="P8" s="70"/>
      <c r="Q8" s="70">
        <f t="shared" si="3"/>
        <v>0</v>
      </c>
      <c r="S8" s="89" t="s">
        <v>199</v>
      </c>
      <c r="T8" s="70">
        <v>346.43</v>
      </c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'7'!E9</f>
        <v>64</v>
      </c>
      <c r="C9" s="89">
        <v>50</v>
      </c>
      <c r="D9" s="89"/>
      <c r="E9" s="376">
        <v>50</v>
      </c>
      <c r="F9" s="89">
        <f t="shared" si="0"/>
        <v>64</v>
      </c>
      <c r="G9" s="70">
        <v>12</v>
      </c>
      <c r="H9" s="70">
        <f t="shared" si="1"/>
        <v>768</v>
      </c>
      <c r="J9" s="89" t="s">
        <v>200</v>
      </c>
      <c r="K9" s="89"/>
      <c r="L9" s="89"/>
      <c r="M9" s="89"/>
      <c r="N9" s="89">
        <f t="shared" si="2"/>
        <v>50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'7'!E10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>
        <v>1428.86</v>
      </c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'7'!E11</f>
        <v>29</v>
      </c>
      <c r="C11" s="89">
        <v>180</v>
      </c>
      <c r="D11" s="89"/>
      <c r="E11" s="371">
        <v>29</v>
      </c>
      <c r="F11" s="370">
        <f t="shared" si="0"/>
        <v>180</v>
      </c>
      <c r="G11" s="70">
        <v>15</v>
      </c>
      <c r="H11" s="70">
        <f t="shared" si="1"/>
        <v>2700</v>
      </c>
      <c r="J11" s="89" t="s">
        <v>42</v>
      </c>
      <c r="K11" s="89"/>
      <c r="L11" s="89"/>
      <c r="M11" s="89"/>
      <c r="N11" s="370">
        <f t="shared" si="2"/>
        <v>29</v>
      </c>
      <c r="O11" s="89"/>
      <c r="P11" s="70">
        <v>5.5</v>
      </c>
      <c r="Q11" s="70">
        <f t="shared" si="3"/>
        <v>159.5</v>
      </c>
      <c r="S11" s="89" t="s">
        <v>204</v>
      </c>
      <c r="T11" s="380"/>
      <c r="V11" s="89" t="s">
        <v>205</v>
      </c>
      <c r="W11" s="53"/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91">
        <f>'7'!E12</f>
        <v>68</v>
      </c>
      <c r="C12" s="89">
        <v>40</v>
      </c>
      <c r="D12" s="89"/>
      <c r="E12" s="376">
        <v>64</v>
      </c>
      <c r="F12" s="89">
        <f t="shared" si="0"/>
        <v>44</v>
      </c>
      <c r="G12" s="70">
        <v>10</v>
      </c>
      <c r="H12" s="70">
        <f t="shared" si="1"/>
        <v>440</v>
      </c>
      <c r="J12" s="89" t="s">
        <v>37</v>
      </c>
      <c r="K12" s="89"/>
      <c r="L12" s="89"/>
      <c r="M12" s="89"/>
      <c r="N12" s="89">
        <f t="shared" si="2"/>
        <v>64</v>
      </c>
      <c r="O12" s="89"/>
      <c r="P12" s="70">
        <v>3.5</v>
      </c>
      <c r="Q12" s="70">
        <f t="shared" si="3"/>
        <v>224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'7'!E13</f>
        <v>61</v>
      </c>
      <c r="C13" s="89">
        <v>30</v>
      </c>
      <c r="D13" s="89"/>
      <c r="E13" s="376">
        <v>50</v>
      </c>
      <c r="F13" s="89">
        <f t="shared" si="0"/>
        <v>41</v>
      </c>
      <c r="G13" s="70">
        <v>8</v>
      </c>
      <c r="H13" s="70">
        <f t="shared" si="1"/>
        <v>328</v>
      </c>
      <c r="J13" s="89" t="s">
        <v>211</v>
      </c>
      <c r="K13" s="89"/>
      <c r="L13" s="89"/>
      <c r="M13" s="89"/>
      <c r="N13" s="89">
        <f t="shared" si="2"/>
        <v>50</v>
      </c>
      <c r="O13" s="89"/>
      <c r="P13" s="70">
        <v>7.5</v>
      </c>
      <c r="Q13" s="70">
        <f t="shared" si="3"/>
        <v>375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'7'!E14</f>
        <v>33</v>
      </c>
      <c r="C14" s="89"/>
      <c r="D14" s="89"/>
      <c r="E14" s="376">
        <v>29</v>
      </c>
      <c r="F14" s="89">
        <f t="shared" si="0"/>
        <v>4</v>
      </c>
      <c r="G14" s="70">
        <v>10</v>
      </c>
      <c r="H14" s="70">
        <f t="shared" si="1"/>
        <v>40</v>
      </c>
      <c r="J14" s="89" t="s">
        <v>44</v>
      </c>
      <c r="K14" s="89"/>
      <c r="L14" s="89"/>
      <c r="M14" s="89"/>
      <c r="N14" s="89">
        <f t="shared" si="2"/>
        <v>29</v>
      </c>
      <c r="O14" s="89"/>
      <c r="P14" s="70">
        <v>3.5</v>
      </c>
      <c r="Q14" s="70">
        <f t="shared" si="3"/>
        <v>101.5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'7'!E15</f>
        <v>37</v>
      </c>
      <c r="C15" s="89"/>
      <c r="D15" s="89"/>
      <c r="E15" s="376">
        <v>25</v>
      </c>
      <c r="F15" s="89">
        <f t="shared" si="0"/>
        <v>12</v>
      </c>
      <c r="G15" s="70">
        <v>25</v>
      </c>
      <c r="H15" s="70">
        <f t="shared" si="1"/>
        <v>300</v>
      </c>
      <c r="J15" s="89" t="s">
        <v>41</v>
      </c>
      <c r="K15" s="89"/>
      <c r="L15" s="89"/>
      <c r="M15" s="89"/>
      <c r="N15" s="89">
        <f t="shared" si="2"/>
        <v>25</v>
      </c>
      <c r="O15" s="89"/>
      <c r="P15" s="70">
        <v>8</v>
      </c>
      <c r="Q15" s="70">
        <f t="shared" si="3"/>
        <v>200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/>
      <c r="C16" s="386"/>
      <c r="D16" s="386"/>
      <c r="E16" s="386"/>
      <c r="F16" s="386"/>
      <c r="G16" s="387"/>
      <c r="H16" s="345">
        <f>IFERROR(SUM(H7:H15),0)</f>
        <v>16822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1530</v>
      </c>
      <c r="Y16" s="89" t="s">
        <v>57</v>
      </c>
      <c r="Z16" s="89">
        <v>30</v>
      </c>
      <c r="AA16" s="89">
        <v>6</v>
      </c>
      <c r="AB16" s="374">
        <f t="shared" si="4"/>
        <v>180</v>
      </c>
    </row>
    <row r="17" spans="1:28" ht="15.5">
      <c r="A17" s="89" t="s">
        <v>220</v>
      </c>
      <c r="B17" s="391">
        <f>'7'!E17</f>
        <v>83</v>
      </c>
      <c r="C17" s="89"/>
      <c r="D17" s="89"/>
      <c r="E17" s="376">
        <v>70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70</v>
      </c>
      <c r="O17" s="89"/>
      <c r="P17" s="70">
        <f t="shared" si="5"/>
        <v>20</v>
      </c>
      <c r="Q17" s="70">
        <f t="shared" si="3"/>
        <v>1400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'7'!E18</f>
        <v>234</v>
      </c>
      <c r="C18" s="89"/>
      <c r="D18" s="89"/>
      <c r="E18" s="376">
        <v>202</v>
      </c>
      <c r="F18" s="89">
        <f t="shared" si="6"/>
        <v>32</v>
      </c>
      <c r="G18" s="70">
        <v>25</v>
      </c>
      <c r="H18" s="70">
        <f t="shared" si="7"/>
        <v>800</v>
      </c>
      <c r="J18" s="89" t="s">
        <v>36</v>
      </c>
      <c r="K18" s="89"/>
      <c r="L18" s="89"/>
      <c r="M18" s="89"/>
      <c r="N18" s="89">
        <f t="shared" si="2"/>
        <v>202</v>
      </c>
      <c r="O18" s="89"/>
      <c r="P18" s="70">
        <v>7</v>
      </c>
      <c r="Q18" s="70">
        <f t="shared" si="3"/>
        <v>1414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7611</v>
      </c>
    </row>
    <row r="19" spans="1:28" ht="14.5">
      <c r="A19" s="89" t="s">
        <v>228</v>
      </c>
      <c r="B19" s="391">
        <f>'7'!E19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>
        <v>5000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'7'!E20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'7'!E21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'7'!E22</f>
        <v>39</v>
      </c>
      <c r="C22" s="89"/>
      <c r="D22" s="89"/>
      <c r="E22" s="376">
        <v>29</v>
      </c>
      <c r="F22" s="89">
        <f t="shared" si="6"/>
        <v>10</v>
      </c>
      <c r="G22" s="70">
        <v>20</v>
      </c>
      <c r="H22" s="70">
        <f t="shared" si="7"/>
        <v>200</v>
      </c>
      <c r="J22" s="89" t="s">
        <v>220</v>
      </c>
      <c r="K22" s="89"/>
      <c r="L22" s="89"/>
      <c r="M22" s="89"/>
      <c r="N22" s="89">
        <f t="shared" si="2"/>
        <v>29</v>
      </c>
      <c r="O22" s="89"/>
      <c r="P22" s="70">
        <v>7.42</v>
      </c>
      <c r="Q22" s="70">
        <f t="shared" si="3"/>
        <v>215.18</v>
      </c>
      <c r="S22" s="381" t="s">
        <v>241</v>
      </c>
      <c r="T22" s="70"/>
      <c r="V22" s="392" t="s">
        <v>17</v>
      </c>
      <c r="W22" s="393">
        <f>SUM(W16:W21)</f>
        <v>1530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'7'!E23</f>
        <v>0</v>
      </c>
      <c r="C23" s="89"/>
      <c r="D23" s="89"/>
      <c r="E23" s="376"/>
      <c r="F23" s="89">
        <f t="shared" si="6"/>
        <v>0</v>
      </c>
      <c r="G23" s="70">
        <v>25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'7'!E24</f>
        <v>18</v>
      </c>
      <c r="C24" s="89"/>
      <c r="D24" s="89"/>
      <c r="E24" s="376">
        <v>14</v>
      </c>
      <c r="F24" s="89">
        <f t="shared" si="6"/>
        <v>4</v>
      </c>
      <c r="G24" s="70">
        <v>25</v>
      </c>
      <c r="H24" s="70">
        <f t="shared" si="7"/>
        <v>100</v>
      </c>
      <c r="J24" s="89" t="s">
        <v>244</v>
      </c>
      <c r="K24" s="89"/>
      <c r="L24" s="89"/>
      <c r="M24" s="89"/>
      <c r="N24" s="89">
        <f t="shared" si="2"/>
        <v>14</v>
      </c>
      <c r="O24" s="89"/>
      <c r="P24" s="70">
        <f>G24</f>
        <v>25</v>
      </c>
      <c r="Q24" s="70">
        <f t="shared" si="3"/>
        <v>350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'7'!E25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'7'!E26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'7'!E27</f>
        <v>50</v>
      </c>
      <c r="C27" s="89"/>
      <c r="D27" s="89"/>
      <c r="E27" s="376">
        <v>39</v>
      </c>
      <c r="F27" s="89">
        <f t="shared" si="6"/>
        <v>11</v>
      </c>
      <c r="G27" s="70">
        <v>17</v>
      </c>
      <c r="H27" s="70">
        <f t="shared" si="7"/>
        <v>187</v>
      </c>
      <c r="J27" s="89" t="s">
        <v>248</v>
      </c>
      <c r="K27" s="89"/>
      <c r="L27" s="89"/>
      <c r="M27" s="89"/>
      <c r="N27" s="89">
        <f t="shared" si="2"/>
        <v>39</v>
      </c>
      <c r="O27" s="89"/>
      <c r="P27" s="70">
        <v>12.8</v>
      </c>
      <c r="Q27" s="70">
        <f t="shared" si="3"/>
        <v>499.20000000000005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'7'!E28</f>
        <v>52</v>
      </c>
      <c r="C28" s="89"/>
      <c r="D28" s="89"/>
      <c r="E28" s="376">
        <v>49</v>
      </c>
      <c r="F28" s="89">
        <f t="shared" si="6"/>
        <v>3</v>
      </c>
      <c r="G28" s="70">
        <v>25</v>
      </c>
      <c r="H28" s="70">
        <f t="shared" si="7"/>
        <v>75</v>
      </c>
      <c r="J28" s="89" t="s">
        <v>251</v>
      </c>
      <c r="K28" s="89"/>
      <c r="L28" s="89"/>
      <c r="M28" s="89"/>
      <c r="N28" s="89">
        <f t="shared" si="2"/>
        <v>49</v>
      </c>
      <c r="O28" s="89"/>
      <c r="P28" s="70">
        <v>10.42</v>
      </c>
      <c r="Q28" s="70">
        <f t="shared" si="3"/>
        <v>510.58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'7'!E29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1622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6775.29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18444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8955.9600000000009</v>
      </c>
      <c r="R31" s="357"/>
      <c r="S31" s="506" t="s">
        <v>256</v>
      </c>
      <c r="T31" s="438"/>
      <c r="U31" s="438"/>
      <c r="V31" s="507"/>
      <c r="W31" s="407">
        <f>T30+W30+W22+W14</f>
        <v>8305.2900000000009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7550</v>
      </c>
    </row>
    <row r="33" spans="1:27" ht="15.75" customHeight="1">
      <c r="A33" s="3" t="s">
        <v>96</v>
      </c>
      <c r="B33" s="498">
        <f>H31</f>
        <v>18444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8305.2900000000009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8366.2900000000009</v>
      </c>
      <c r="AA34" s="39"/>
    </row>
    <row r="35" spans="1:27" ht="15.75" customHeight="1">
      <c r="A35" s="3" t="s">
        <v>258</v>
      </c>
      <c r="B35" s="499">
        <f>IFERROR(B33-B34,0)</f>
        <v>10138.709999999999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6020</v>
      </c>
      <c r="AA35" s="39"/>
    </row>
    <row r="36" spans="1:27" ht="15.75" customHeight="1">
      <c r="A36" s="3" t="s">
        <v>259</v>
      </c>
      <c r="B36" s="500">
        <v>10141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14386.29</v>
      </c>
      <c r="AA36" s="39"/>
    </row>
    <row r="37" spans="1:27" ht="15.75" customHeight="1">
      <c r="A37" s="3" t="s">
        <v>260</v>
      </c>
      <c r="B37" s="498">
        <f>IFERROR(B36-B35,0)</f>
        <v>2.2900000000008731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1591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46212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'8'!E7</f>
        <v>154</v>
      </c>
      <c r="C7" s="370">
        <v>200</v>
      </c>
      <c r="D7" s="89"/>
      <c r="E7" s="371">
        <v>128</v>
      </c>
      <c r="F7" s="370">
        <f t="shared" ref="F7:F15" si="0">IFERROR(MAX(0,B7+C7-E7-D7),0)</f>
        <v>226</v>
      </c>
      <c r="G7" s="70">
        <v>50</v>
      </c>
      <c r="H7" s="70">
        <f t="shared" ref="H7:H15" si="1">IFERROR(F7*G7,0)</f>
        <v>11300</v>
      </c>
      <c r="J7" s="89" t="s">
        <v>194</v>
      </c>
      <c r="K7" s="89"/>
      <c r="L7" s="89"/>
      <c r="M7" s="89"/>
      <c r="N7" s="370">
        <f t="shared" ref="N7:N30" si="2">E7</f>
        <v>128</v>
      </c>
      <c r="O7" s="89"/>
      <c r="P7" s="70">
        <v>21</v>
      </c>
      <c r="Q7" s="70">
        <f t="shared" ref="Q7:Q29" si="3">IFERROR(N7*P7,0)</f>
        <v>2688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'8'!E8</f>
        <v>3</v>
      </c>
      <c r="C8" s="89">
        <v>20</v>
      </c>
      <c r="D8" s="89"/>
      <c r="E8" s="376">
        <v>15</v>
      </c>
      <c r="F8" s="89">
        <f t="shared" si="0"/>
        <v>8</v>
      </c>
      <c r="G8" s="70">
        <v>12</v>
      </c>
      <c r="H8" s="70">
        <f t="shared" si="1"/>
        <v>96</v>
      </c>
      <c r="J8" s="89" t="s">
        <v>198</v>
      </c>
      <c r="K8" s="89"/>
      <c r="L8" s="89"/>
      <c r="M8" s="89"/>
      <c r="N8" s="89">
        <f t="shared" si="2"/>
        <v>15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'8'!E9</f>
        <v>50</v>
      </c>
      <c r="C9" s="89">
        <v>50</v>
      </c>
      <c r="D9" s="89"/>
      <c r="E9" s="376"/>
      <c r="F9" s="89">
        <f t="shared" si="0"/>
        <v>100</v>
      </c>
      <c r="G9" s="70">
        <v>12</v>
      </c>
      <c r="H9" s="70">
        <f t="shared" si="1"/>
        <v>1200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'8'!E10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'8'!E11</f>
        <v>29</v>
      </c>
      <c r="C11" s="89">
        <v>180</v>
      </c>
      <c r="D11" s="89"/>
      <c r="E11" s="371">
        <v>6</v>
      </c>
      <c r="F11" s="370">
        <f t="shared" si="0"/>
        <v>203</v>
      </c>
      <c r="G11" s="70">
        <v>15</v>
      </c>
      <c r="H11" s="70">
        <f t="shared" si="1"/>
        <v>3045</v>
      </c>
      <c r="J11" s="89" t="s">
        <v>42</v>
      </c>
      <c r="K11" s="89"/>
      <c r="L11" s="89"/>
      <c r="M11" s="89"/>
      <c r="N11" s="370">
        <f t="shared" si="2"/>
        <v>6</v>
      </c>
      <c r="O11" s="89"/>
      <c r="P11" s="70">
        <v>5.5</v>
      </c>
      <c r="Q11" s="70">
        <f t="shared" si="3"/>
        <v>33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'8'!E12</f>
        <v>64</v>
      </c>
      <c r="C12" s="89">
        <v>40</v>
      </c>
      <c r="D12" s="89"/>
      <c r="E12" s="376">
        <v>65</v>
      </c>
      <c r="F12" s="89">
        <f t="shared" si="0"/>
        <v>39</v>
      </c>
      <c r="G12" s="70">
        <v>10</v>
      </c>
      <c r="H12" s="70">
        <f t="shared" si="1"/>
        <v>390</v>
      </c>
      <c r="J12" s="89" t="s">
        <v>37</v>
      </c>
      <c r="K12" s="89"/>
      <c r="L12" s="89"/>
      <c r="M12" s="89"/>
      <c r="N12" s="89">
        <f t="shared" si="2"/>
        <v>65</v>
      </c>
      <c r="O12" s="89"/>
      <c r="P12" s="70">
        <v>3.5</v>
      </c>
      <c r="Q12" s="70">
        <f t="shared" si="3"/>
        <v>227.5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'8'!E13</f>
        <v>50</v>
      </c>
      <c r="C13" s="89">
        <v>20</v>
      </c>
      <c r="D13" s="89"/>
      <c r="E13" s="376">
        <v>35</v>
      </c>
      <c r="F13" s="89">
        <f t="shared" si="0"/>
        <v>35</v>
      </c>
      <c r="G13" s="70">
        <v>8</v>
      </c>
      <c r="H13" s="70">
        <f t="shared" si="1"/>
        <v>280</v>
      </c>
      <c r="J13" s="89" t="s">
        <v>211</v>
      </c>
      <c r="K13" s="89"/>
      <c r="L13" s="89"/>
      <c r="M13" s="89"/>
      <c r="N13" s="89">
        <f t="shared" si="2"/>
        <v>35</v>
      </c>
      <c r="O13" s="89"/>
      <c r="P13" s="70">
        <v>7.5</v>
      </c>
      <c r="Q13" s="70">
        <f t="shared" si="3"/>
        <v>262.5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'8'!E14</f>
        <v>29</v>
      </c>
      <c r="C14" s="89"/>
      <c r="D14" s="89"/>
      <c r="E14" s="376">
        <v>22</v>
      </c>
      <c r="F14" s="89">
        <f t="shared" si="0"/>
        <v>7</v>
      </c>
      <c r="G14" s="70">
        <v>10</v>
      </c>
      <c r="H14" s="70">
        <f t="shared" si="1"/>
        <v>70</v>
      </c>
      <c r="J14" s="89" t="s">
        <v>44</v>
      </c>
      <c r="K14" s="89"/>
      <c r="L14" s="89"/>
      <c r="M14" s="89"/>
      <c r="N14" s="89">
        <f t="shared" si="2"/>
        <v>22</v>
      </c>
      <c r="O14" s="89"/>
      <c r="P14" s="70">
        <v>3.5</v>
      </c>
      <c r="Q14" s="70">
        <f t="shared" si="3"/>
        <v>77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'8'!E15</f>
        <v>25</v>
      </c>
      <c r="C15" s="89"/>
      <c r="D15" s="89"/>
      <c r="E15" s="376">
        <v>9</v>
      </c>
      <c r="F15" s="89">
        <f t="shared" si="0"/>
        <v>16</v>
      </c>
      <c r="G15" s="70">
        <v>25</v>
      </c>
      <c r="H15" s="70">
        <f t="shared" si="1"/>
        <v>400</v>
      </c>
      <c r="J15" s="89" t="s">
        <v>41</v>
      </c>
      <c r="K15" s="89"/>
      <c r="L15" s="89"/>
      <c r="M15" s="89"/>
      <c r="N15" s="89">
        <f t="shared" si="2"/>
        <v>9</v>
      </c>
      <c r="O15" s="89"/>
      <c r="P15" s="70">
        <v>8</v>
      </c>
      <c r="Q15" s="70">
        <f t="shared" si="3"/>
        <v>72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16781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139.75</v>
      </c>
      <c r="V16" s="89" t="s">
        <v>37</v>
      </c>
      <c r="W16" s="53">
        <v>1530</v>
      </c>
      <c r="Y16" s="89" t="s">
        <v>57</v>
      </c>
      <c r="Z16" s="89">
        <v>20</v>
      </c>
      <c r="AA16" s="89">
        <v>6</v>
      </c>
      <c r="AB16" s="374">
        <f t="shared" si="4"/>
        <v>120</v>
      </c>
    </row>
    <row r="17" spans="1:28" ht="15.5">
      <c r="A17" s="89" t="s">
        <v>220</v>
      </c>
      <c r="B17" s="391">
        <f>'8'!E17</f>
        <v>70</v>
      </c>
      <c r="C17" s="89"/>
      <c r="D17" s="89"/>
      <c r="E17" s="376">
        <v>60</v>
      </c>
      <c r="F17" s="89">
        <f t="shared" ref="F17:F29" si="6">IFERROR(MAX(0,B17+C17-E17-D17),0)</f>
        <v>10</v>
      </c>
      <c r="G17" s="70">
        <v>20</v>
      </c>
      <c r="H17" s="70">
        <f t="shared" ref="H17:H29" si="7">IFERROR(F17*G17,0)</f>
        <v>200</v>
      </c>
      <c r="J17" s="89" t="s">
        <v>222</v>
      </c>
      <c r="K17" s="89"/>
      <c r="L17" s="89"/>
      <c r="M17" s="89"/>
      <c r="N17" s="89">
        <f t="shared" si="2"/>
        <v>60</v>
      </c>
      <c r="O17" s="89"/>
      <c r="P17" s="70">
        <f t="shared" si="5"/>
        <v>20</v>
      </c>
      <c r="Q17" s="70">
        <f t="shared" si="3"/>
        <v>1200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'8'!E18</f>
        <v>202</v>
      </c>
      <c r="C18" s="89"/>
      <c r="D18" s="89"/>
      <c r="E18" s="376">
        <v>164</v>
      </c>
      <c r="F18" s="89">
        <f t="shared" si="6"/>
        <v>38</v>
      </c>
      <c r="G18" s="70">
        <v>25</v>
      </c>
      <c r="H18" s="70">
        <f t="shared" si="7"/>
        <v>950</v>
      </c>
      <c r="J18" s="89" t="s">
        <v>36</v>
      </c>
      <c r="K18" s="89"/>
      <c r="L18" s="89"/>
      <c r="M18" s="89"/>
      <c r="N18" s="89">
        <f t="shared" si="2"/>
        <v>164</v>
      </c>
      <c r="O18" s="89"/>
      <c r="P18" s="70">
        <v>7</v>
      </c>
      <c r="Q18" s="70">
        <f t="shared" si="3"/>
        <v>1148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9254</v>
      </c>
    </row>
    <row r="19" spans="1:28" ht="14.5">
      <c r="A19" s="89" t="s">
        <v>228</v>
      </c>
      <c r="B19" s="391">
        <f>'8'!E19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>
        <v>8000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'8'!E20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'8'!E21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>
        <v>238.5</v>
      </c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'8'!E22</f>
        <v>29</v>
      </c>
      <c r="C22" s="89"/>
      <c r="D22" s="89"/>
      <c r="E22" s="376">
        <v>28</v>
      </c>
      <c r="F22" s="89">
        <f t="shared" si="6"/>
        <v>1</v>
      </c>
      <c r="G22" s="70">
        <v>20</v>
      </c>
      <c r="H22" s="70">
        <f t="shared" si="7"/>
        <v>20</v>
      </c>
      <c r="J22" s="89" t="s">
        <v>220</v>
      </c>
      <c r="K22" s="89"/>
      <c r="L22" s="89"/>
      <c r="M22" s="89"/>
      <c r="N22" s="89">
        <f t="shared" si="2"/>
        <v>28</v>
      </c>
      <c r="O22" s="89"/>
      <c r="P22" s="70">
        <v>7.42</v>
      </c>
      <c r="Q22" s="70">
        <f t="shared" si="3"/>
        <v>207.76</v>
      </c>
      <c r="S22" s="381" t="s">
        <v>241</v>
      </c>
      <c r="T22" s="70"/>
      <c r="V22" s="392" t="s">
        <v>17</v>
      </c>
      <c r="W22" s="393">
        <f>SUM(W16:W21)</f>
        <v>1530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'8'!E23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'8'!E24</f>
        <v>14</v>
      </c>
      <c r="C24" s="89"/>
      <c r="D24" s="89"/>
      <c r="E24" s="376">
        <v>13</v>
      </c>
      <c r="F24" s="89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13</v>
      </c>
      <c r="O24" s="89"/>
      <c r="P24" s="70">
        <f>G24</f>
        <v>25</v>
      </c>
      <c r="Q24" s="70">
        <f t="shared" si="3"/>
        <v>325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'8'!E25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'8'!E26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'8'!E27</f>
        <v>39</v>
      </c>
      <c r="C27" s="89"/>
      <c r="D27" s="89"/>
      <c r="E27" s="376">
        <v>25</v>
      </c>
      <c r="F27" s="89">
        <f t="shared" si="6"/>
        <v>14</v>
      </c>
      <c r="G27" s="70">
        <v>17</v>
      </c>
      <c r="H27" s="70">
        <f t="shared" si="7"/>
        <v>238</v>
      </c>
      <c r="J27" s="89" t="s">
        <v>248</v>
      </c>
      <c r="K27" s="89"/>
      <c r="L27" s="89"/>
      <c r="M27" s="89"/>
      <c r="N27" s="89">
        <f t="shared" si="2"/>
        <v>25</v>
      </c>
      <c r="O27" s="89"/>
      <c r="P27" s="70">
        <v>12.8</v>
      </c>
      <c r="Q27" s="70">
        <f t="shared" si="3"/>
        <v>320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v>49</v>
      </c>
      <c r="C28" s="89"/>
      <c r="D28" s="89"/>
      <c r="E28" s="376">
        <v>49</v>
      </c>
      <c r="F28" s="89">
        <f t="shared" si="6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49</v>
      </c>
      <c r="O28" s="89"/>
      <c r="P28" s="70">
        <v>10.42</v>
      </c>
      <c r="Q28" s="70">
        <f t="shared" si="3"/>
        <v>510.58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'8'!E29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1433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8378.25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18214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7344.34</v>
      </c>
      <c r="R31" s="357"/>
      <c r="S31" s="506" t="s">
        <v>256</v>
      </c>
      <c r="T31" s="438"/>
      <c r="U31" s="438"/>
      <c r="V31" s="507"/>
      <c r="W31" s="407">
        <f>T30+W30+W22+W14</f>
        <v>9968.25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9410</v>
      </c>
    </row>
    <row r="33" spans="1:27" ht="15.75" customHeight="1">
      <c r="A33" s="3" t="s">
        <v>96</v>
      </c>
      <c r="B33" s="498">
        <f>H31</f>
        <v>18214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9968.25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9752.25</v>
      </c>
      <c r="AA34" s="39"/>
    </row>
    <row r="35" spans="1:27" ht="15.75" customHeight="1">
      <c r="A35" s="3" t="s">
        <v>258</v>
      </c>
      <c r="B35" s="499">
        <f>IFERROR(B33-B34,0)</f>
        <v>8245.75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7880</v>
      </c>
      <c r="AA35" s="39"/>
    </row>
    <row r="36" spans="1:27" ht="15.75" customHeight="1">
      <c r="A36" s="3" t="s">
        <v>259</v>
      </c>
      <c r="B36" s="500">
        <v>8250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17632.25</v>
      </c>
      <c r="AA36" s="39"/>
    </row>
    <row r="37" spans="1:27" ht="15.75" customHeight="1">
      <c r="A37" s="3" t="s">
        <v>260</v>
      </c>
      <c r="B37" s="498">
        <f>IFERROR(B36-B35,0)</f>
        <v>4.25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1374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B40" s="3" t="s">
        <v>0</v>
      </c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A42" s="3"/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46213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'9'!E7</f>
        <v>128</v>
      </c>
      <c r="C7" s="370">
        <v>200</v>
      </c>
      <c r="D7" s="89"/>
      <c r="E7" s="371">
        <v>138</v>
      </c>
      <c r="F7" s="370">
        <f t="shared" ref="F7:F15" si="0">IFERROR(MAX(0,B7+C7-E7-D7),0)</f>
        <v>190</v>
      </c>
      <c r="G7" s="70">
        <v>50</v>
      </c>
      <c r="H7" s="70">
        <f t="shared" ref="H7:H15" si="1">IFERROR(F7*G7,0)</f>
        <v>9500</v>
      </c>
      <c r="J7" s="89" t="s">
        <v>194</v>
      </c>
      <c r="K7" s="89"/>
      <c r="L7" s="89"/>
      <c r="M7" s="89"/>
      <c r="N7" s="370">
        <f t="shared" ref="N7:N30" si="2">E7</f>
        <v>138</v>
      </c>
      <c r="O7" s="89"/>
      <c r="P7" s="70">
        <v>21</v>
      </c>
      <c r="Q7" s="70">
        <f t="shared" ref="Q7:Q29" si="3">IFERROR(N7*P7,0)</f>
        <v>2898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'9'!E8</f>
        <v>15</v>
      </c>
      <c r="C8" s="89">
        <v>20</v>
      </c>
      <c r="D8" s="89"/>
      <c r="E8" s="376">
        <v>31</v>
      </c>
      <c r="F8" s="89">
        <f t="shared" si="0"/>
        <v>4</v>
      </c>
      <c r="G8" s="70">
        <v>12</v>
      </c>
      <c r="H8" s="70">
        <f t="shared" si="1"/>
        <v>48</v>
      </c>
      <c r="J8" s="89" t="s">
        <v>198</v>
      </c>
      <c r="K8" s="89"/>
      <c r="L8" s="89"/>
      <c r="M8" s="89"/>
      <c r="N8" s="89">
        <f t="shared" si="2"/>
        <v>31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'9'!E9</f>
        <v>0</v>
      </c>
      <c r="C9" s="89">
        <v>100</v>
      </c>
      <c r="D9" s="89"/>
      <c r="E9" s="376"/>
      <c r="F9" s="89">
        <f t="shared" si="0"/>
        <v>100</v>
      </c>
      <c r="G9" s="70">
        <v>12</v>
      </c>
      <c r="H9" s="70">
        <f t="shared" si="1"/>
        <v>1200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'9'!E10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'9'!E11</f>
        <v>6</v>
      </c>
      <c r="C11" s="89">
        <v>190</v>
      </c>
      <c r="D11" s="89"/>
      <c r="E11" s="371">
        <v>29</v>
      </c>
      <c r="F11" s="370">
        <f t="shared" si="0"/>
        <v>167</v>
      </c>
      <c r="G11" s="70">
        <v>15</v>
      </c>
      <c r="H11" s="70">
        <f t="shared" si="1"/>
        <v>2505</v>
      </c>
      <c r="J11" s="89" t="s">
        <v>42</v>
      </c>
      <c r="K11" s="89"/>
      <c r="L11" s="89"/>
      <c r="M11" s="89"/>
      <c r="N11" s="370">
        <f t="shared" si="2"/>
        <v>29</v>
      </c>
      <c r="O11" s="89"/>
      <c r="P11" s="70">
        <v>5.5</v>
      </c>
      <c r="Q11" s="70">
        <f t="shared" si="3"/>
        <v>159.5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'9'!E12</f>
        <v>65</v>
      </c>
      <c r="C12" s="89">
        <v>40</v>
      </c>
      <c r="D12" s="89"/>
      <c r="E12" s="376">
        <v>69</v>
      </c>
      <c r="F12" s="89">
        <f t="shared" si="0"/>
        <v>36</v>
      </c>
      <c r="G12" s="70">
        <v>10</v>
      </c>
      <c r="H12" s="70">
        <f t="shared" si="1"/>
        <v>360</v>
      </c>
      <c r="J12" s="89" t="s">
        <v>37</v>
      </c>
      <c r="K12" s="89"/>
      <c r="L12" s="89"/>
      <c r="M12" s="89"/>
      <c r="N12" s="89">
        <f t="shared" si="2"/>
        <v>69</v>
      </c>
      <c r="O12" s="89"/>
      <c r="P12" s="70">
        <v>3.5</v>
      </c>
      <c r="Q12" s="70">
        <f t="shared" si="3"/>
        <v>241.5</v>
      </c>
      <c r="S12" s="381" t="s">
        <v>208</v>
      </c>
      <c r="T12" s="70"/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'9'!E13</f>
        <v>35</v>
      </c>
      <c r="C13" s="89">
        <v>40</v>
      </c>
      <c r="D13" s="89"/>
      <c r="E13" s="376">
        <v>40</v>
      </c>
      <c r="F13" s="89">
        <f t="shared" si="0"/>
        <v>35</v>
      </c>
      <c r="G13" s="70">
        <v>8</v>
      </c>
      <c r="H13" s="70">
        <f t="shared" si="1"/>
        <v>280</v>
      </c>
      <c r="J13" s="89" t="s">
        <v>211</v>
      </c>
      <c r="K13" s="89"/>
      <c r="L13" s="89"/>
      <c r="M13" s="89"/>
      <c r="N13" s="89">
        <f t="shared" si="2"/>
        <v>40</v>
      </c>
      <c r="O13" s="89"/>
      <c r="P13" s="70">
        <v>7.5</v>
      </c>
      <c r="Q13" s="70">
        <f t="shared" si="3"/>
        <v>300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'9'!E14</f>
        <v>22</v>
      </c>
      <c r="C14" s="89"/>
      <c r="D14" s="89"/>
      <c r="E14" s="376">
        <v>17</v>
      </c>
      <c r="F14" s="89">
        <f t="shared" si="0"/>
        <v>5</v>
      </c>
      <c r="G14" s="70">
        <v>10</v>
      </c>
      <c r="H14" s="70">
        <f t="shared" si="1"/>
        <v>50</v>
      </c>
      <c r="J14" s="89" t="s">
        <v>44</v>
      </c>
      <c r="K14" s="89"/>
      <c r="L14" s="89"/>
      <c r="M14" s="89"/>
      <c r="N14" s="89">
        <f t="shared" si="2"/>
        <v>17</v>
      </c>
      <c r="O14" s="89"/>
      <c r="P14" s="70">
        <v>3.5</v>
      </c>
      <c r="Q14" s="70">
        <f t="shared" si="3"/>
        <v>59.5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91">
        <f>'9'!E15</f>
        <v>9</v>
      </c>
      <c r="C15" s="89">
        <v>50</v>
      </c>
      <c r="D15" s="89"/>
      <c r="E15" s="376">
        <v>52</v>
      </c>
      <c r="F15" s="89">
        <f t="shared" si="0"/>
        <v>7</v>
      </c>
      <c r="G15" s="70">
        <v>25</v>
      </c>
      <c r="H15" s="70">
        <f t="shared" si="1"/>
        <v>175</v>
      </c>
      <c r="J15" s="89" t="s">
        <v>41</v>
      </c>
      <c r="K15" s="89"/>
      <c r="L15" s="89"/>
      <c r="M15" s="89"/>
      <c r="N15" s="89">
        <f t="shared" si="2"/>
        <v>52</v>
      </c>
      <c r="O15" s="89"/>
      <c r="P15" s="70">
        <v>8</v>
      </c>
      <c r="Q15" s="70">
        <f t="shared" si="3"/>
        <v>416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14118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1615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'9'!E17</f>
        <v>60</v>
      </c>
      <c r="C17" s="89">
        <v>48</v>
      </c>
      <c r="D17" s="89"/>
      <c r="E17" s="376">
        <v>100</v>
      </c>
      <c r="F17" s="89">
        <f t="shared" ref="F17:F29" si="6">IFERROR(MAX(0,B17+C17-E17-D17),0)</f>
        <v>8</v>
      </c>
      <c r="G17" s="70">
        <v>20</v>
      </c>
      <c r="H17" s="70">
        <f t="shared" ref="H17:H29" si="7">IFERROR(F17*G17,0)</f>
        <v>160</v>
      </c>
      <c r="J17" s="89" t="s">
        <v>222</v>
      </c>
      <c r="K17" s="89"/>
      <c r="L17" s="89"/>
      <c r="M17" s="89"/>
      <c r="N17" s="89">
        <f t="shared" si="2"/>
        <v>100</v>
      </c>
      <c r="O17" s="89"/>
      <c r="P17" s="70">
        <f t="shared" si="5"/>
        <v>20</v>
      </c>
      <c r="Q17" s="70">
        <f t="shared" si="3"/>
        <v>2000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'9'!E18</f>
        <v>164</v>
      </c>
      <c r="C18" s="89">
        <v>120</v>
      </c>
      <c r="D18" s="89"/>
      <c r="E18" s="376">
        <v>254</v>
      </c>
      <c r="F18" s="89">
        <f t="shared" si="6"/>
        <v>30</v>
      </c>
      <c r="G18" s="70">
        <v>25</v>
      </c>
      <c r="H18" s="70">
        <f t="shared" si="7"/>
        <v>750</v>
      </c>
      <c r="J18" s="89" t="s">
        <v>36</v>
      </c>
      <c r="K18" s="89"/>
      <c r="L18" s="89"/>
      <c r="M18" s="89"/>
      <c r="N18" s="89">
        <f t="shared" si="2"/>
        <v>254</v>
      </c>
      <c r="O18" s="89"/>
      <c r="P18" s="70">
        <v>7</v>
      </c>
      <c r="Q18" s="70">
        <f t="shared" si="3"/>
        <v>1778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9520</v>
      </c>
    </row>
    <row r="19" spans="1:28" ht="14.5">
      <c r="A19" s="89" t="s">
        <v>228</v>
      </c>
      <c r="B19" s="391">
        <f>'9'!E19</f>
        <v>0</v>
      </c>
      <c r="C19" s="89"/>
      <c r="D19" s="89"/>
      <c r="E19" s="376"/>
      <c r="F19" s="89">
        <f t="shared" si="6"/>
        <v>0</v>
      </c>
      <c r="G19" s="70">
        <v>50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50</v>
      </c>
      <c r="Q19" s="70">
        <f t="shared" si="3"/>
        <v>0</v>
      </c>
      <c r="S19" s="381" t="s">
        <v>230</v>
      </c>
      <c r="T19" s="70">
        <v>5000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'9'!E20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1890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'9'!E21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'9'!E22</f>
        <v>28</v>
      </c>
      <c r="C22" s="89"/>
      <c r="D22" s="89"/>
      <c r="E22" s="376">
        <v>26</v>
      </c>
      <c r="F22" s="89">
        <f t="shared" si="6"/>
        <v>2</v>
      </c>
      <c r="G22" s="70">
        <v>20</v>
      </c>
      <c r="H22" s="70">
        <f t="shared" si="7"/>
        <v>40</v>
      </c>
      <c r="J22" s="89" t="s">
        <v>220</v>
      </c>
      <c r="K22" s="89"/>
      <c r="L22" s="89"/>
      <c r="M22" s="89"/>
      <c r="N22" s="89">
        <f t="shared" si="2"/>
        <v>26</v>
      </c>
      <c r="O22" s="89"/>
      <c r="P22" s="70">
        <v>7.42</v>
      </c>
      <c r="Q22" s="70">
        <f t="shared" si="3"/>
        <v>192.92</v>
      </c>
      <c r="S22" s="381" t="s">
        <v>241</v>
      </c>
      <c r="T22" s="70"/>
      <c r="V22" s="392" t="s">
        <v>17</v>
      </c>
      <c r="W22" s="393">
        <f>SUM(W16:W21)</f>
        <v>3505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'9'!E23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'9'!E24</f>
        <v>13</v>
      </c>
      <c r="C24" s="89"/>
      <c r="D24" s="89"/>
      <c r="E24" s="376">
        <v>12</v>
      </c>
      <c r="F24" s="89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12</v>
      </c>
      <c r="O24" s="89"/>
      <c r="P24" s="70">
        <f>G24</f>
        <v>25</v>
      </c>
      <c r="Q24" s="70">
        <f t="shared" si="3"/>
        <v>300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'9'!E25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'9'!E26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'9'!E27</f>
        <v>25</v>
      </c>
      <c r="C27" s="89"/>
      <c r="D27" s="89"/>
      <c r="E27" s="376">
        <v>21</v>
      </c>
      <c r="F27" s="89">
        <f t="shared" si="6"/>
        <v>4</v>
      </c>
      <c r="G27" s="70">
        <v>17</v>
      </c>
      <c r="H27" s="70">
        <f t="shared" si="7"/>
        <v>68</v>
      </c>
      <c r="J27" s="89" t="s">
        <v>248</v>
      </c>
      <c r="K27" s="89"/>
      <c r="L27" s="89"/>
      <c r="M27" s="89"/>
      <c r="N27" s="89">
        <f t="shared" si="2"/>
        <v>21</v>
      </c>
      <c r="O27" s="89"/>
      <c r="P27" s="70">
        <v>12.8</v>
      </c>
      <c r="Q27" s="70">
        <f t="shared" si="3"/>
        <v>268.8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'9'!E28</f>
        <v>49</v>
      </c>
      <c r="C28" s="89"/>
      <c r="D28" s="89"/>
      <c r="E28" s="376">
        <v>44</v>
      </c>
      <c r="F28" s="89">
        <f t="shared" si="6"/>
        <v>5</v>
      </c>
      <c r="G28" s="70">
        <v>25</v>
      </c>
      <c r="H28" s="70">
        <f t="shared" si="7"/>
        <v>125</v>
      </c>
      <c r="J28" s="89" t="s">
        <v>251</v>
      </c>
      <c r="K28" s="89"/>
      <c r="L28" s="89"/>
      <c r="M28" s="89"/>
      <c r="N28" s="89">
        <f t="shared" si="2"/>
        <v>44</v>
      </c>
      <c r="O28" s="89"/>
      <c r="P28" s="70">
        <v>10.42</v>
      </c>
      <c r="Q28" s="70">
        <f t="shared" si="3"/>
        <v>458.48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'9'!E29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1168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5000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15286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9345.6999999999989</v>
      </c>
      <c r="R31" s="357"/>
      <c r="S31" s="506" t="s">
        <v>256</v>
      </c>
      <c r="T31" s="438"/>
      <c r="U31" s="438"/>
      <c r="V31" s="507"/>
      <c r="W31" s="407">
        <f>T30+W30+W22+W14</f>
        <v>8505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12755</v>
      </c>
    </row>
    <row r="33" spans="1:27" ht="15.75" customHeight="1">
      <c r="A33" s="3" t="s">
        <v>96</v>
      </c>
      <c r="B33" s="498">
        <f>H31</f>
        <v>15286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8505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5270</v>
      </c>
      <c r="AA34" s="39"/>
    </row>
    <row r="35" spans="1:27" ht="15.75" customHeight="1">
      <c r="A35" s="3" t="s">
        <v>258</v>
      </c>
      <c r="B35" s="499">
        <f>IFERROR(B33-B34,0)</f>
        <v>6781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9250</v>
      </c>
      <c r="AA35" s="39"/>
    </row>
    <row r="36" spans="1:27" ht="15.75" customHeight="1">
      <c r="A36" s="3" t="s">
        <v>259</v>
      </c>
      <c r="B36" s="500">
        <v>6781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14520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270</v>
      </c>
      <c r="AA38" s="39"/>
    </row>
    <row r="39" spans="1:27" ht="15.75" customHeight="1">
      <c r="A39" s="3" t="s">
        <v>262</v>
      </c>
      <c r="B39" s="501" t="s">
        <v>269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46214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'10'!E7</f>
        <v>138</v>
      </c>
      <c r="C7" s="370">
        <v>500</v>
      </c>
      <c r="D7" s="89"/>
      <c r="E7" s="371">
        <v>425</v>
      </c>
      <c r="F7" s="370">
        <f t="shared" ref="F7:F15" si="0">IFERROR(MAX(0,B7+C7-E7-D7),0)</f>
        <v>213</v>
      </c>
      <c r="G7" s="70">
        <v>50</v>
      </c>
      <c r="H7" s="70">
        <f t="shared" ref="H7:H15" si="1">IFERROR(F7*G7,0)</f>
        <v>10650</v>
      </c>
      <c r="J7" s="89" t="s">
        <v>194</v>
      </c>
      <c r="K7" s="89"/>
      <c r="L7" s="89"/>
      <c r="M7" s="89"/>
      <c r="N7" s="370">
        <f t="shared" ref="N7:N30" si="2">E7</f>
        <v>425</v>
      </c>
      <c r="O7" s="89"/>
      <c r="P7" s="70">
        <v>21</v>
      </c>
      <c r="Q7" s="70">
        <f t="shared" ref="Q7:Q29" si="3">IFERROR(N7*P7,0)</f>
        <v>8925</v>
      </c>
      <c r="S7" s="89" t="s">
        <v>195</v>
      </c>
      <c r="T7" s="364"/>
      <c r="V7" s="89" t="s">
        <v>196</v>
      </c>
      <c r="W7" s="372">
        <v>10500</v>
      </c>
      <c r="Y7" s="373" t="s">
        <v>197</v>
      </c>
      <c r="Z7" s="374">
        <v>500</v>
      </c>
      <c r="AA7" s="374">
        <v>35</v>
      </c>
      <c r="AB7" s="374">
        <f t="shared" ref="AB7:AB17" si="4">IFERROR(Z7*AA7,0)</f>
        <v>17500</v>
      </c>
    </row>
    <row r="8" spans="1:28" ht="15.5">
      <c r="A8" s="89" t="s">
        <v>102</v>
      </c>
      <c r="B8" s="391">
        <f>'10'!E8</f>
        <v>31</v>
      </c>
      <c r="C8" s="89">
        <v>40</v>
      </c>
      <c r="D8" s="89"/>
      <c r="E8" s="376">
        <v>64</v>
      </c>
      <c r="F8" s="89">
        <f t="shared" si="0"/>
        <v>7</v>
      </c>
      <c r="G8" s="70">
        <v>12</v>
      </c>
      <c r="H8" s="70">
        <f t="shared" si="1"/>
        <v>84</v>
      </c>
      <c r="J8" s="89" t="s">
        <v>198</v>
      </c>
      <c r="K8" s="89"/>
      <c r="L8" s="89"/>
      <c r="M8" s="89"/>
      <c r="N8" s="89">
        <f t="shared" si="2"/>
        <v>64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'10'!E9</f>
        <v>0</v>
      </c>
      <c r="C9" s="89">
        <v>150</v>
      </c>
      <c r="D9" s="89"/>
      <c r="E9" s="376">
        <v>40</v>
      </c>
      <c r="F9" s="89">
        <f t="shared" si="0"/>
        <v>110</v>
      </c>
      <c r="G9" s="70">
        <v>12</v>
      </c>
      <c r="H9" s="70">
        <f t="shared" si="1"/>
        <v>1320</v>
      </c>
      <c r="J9" s="89" t="s">
        <v>200</v>
      </c>
      <c r="K9" s="89"/>
      <c r="L9" s="89"/>
      <c r="M9" s="89"/>
      <c r="N9" s="89">
        <f t="shared" si="2"/>
        <v>40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40</v>
      </c>
      <c r="AA9" s="374">
        <v>8.5</v>
      </c>
      <c r="AB9" s="374">
        <f t="shared" si="4"/>
        <v>340</v>
      </c>
    </row>
    <row r="10" spans="1:28" ht="15.5">
      <c r="A10" s="89" t="s">
        <v>54</v>
      </c>
      <c r="B10" s="391">
        <f>'10'!E10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>
        <v>300</v>
      </c>
      <c r="Y10" s="373" t="s">
        <v>203</v>
      </c>
      <c r="Z10" s="374">
        <v>80</v>
      </c>
      <c r="AA10" s="374">
        <v>6</v>
      </c>
      <c r="AB10" s="374">
        <f t="shared" si="4"/>
        <v>480</v>
      </c>
    </row>
    <row r="11" spans="1:28" ht="15.5">
      <c r="A11" s="89" t="s">
        <v>55</v>
      </c>
      <c r="B11" s="390">
        <f>'10'!E11</f>
        <v>29</v>
      </c>
      <c r="C11" s="89">
        <v>190</v>
      </c>
      <c r="D11" s="89"/>
      <c r="E11" s="371">
        <v>29</v>
      </c>
      <c r="F11" s="370">
        <f t="shared" si="0"/>
        <v>190</v>
      </c>
      <c r="G11" s="70">
        <v>15</v>
      </c>
      <c r="H11" s="70">
        <f t="shared" si="1"/>
        <v>2850</v>
      </c>
      <c r="J11" s="89" t="s">
        <v>42</v>
      </c>
      <c r="K11" s="89"/>
      <c r="L11" s="89"/>
      <c r="M11" s="89"/>
      <c r="N11" s="370">
        <f t="shared" si="2"/>
        <v>29</v>
      </c>
      <c r="O11" s="89"/>
      <c r="P11" s="70">
        <v>5.5</v>
      </c>
      <c r="Q11" s="70">
        <f t="shared" si="3"/>
        <v>159.5</v>
      </c>
      <c r="S11" s="89" t="s">
        <v>204</v>
      </c>
      <c r="T11" s="380"/>
      <c r="V11" s="89" t="s">
        <v>205</v>
      </c>
      <c r="W11" s="53">
        <v>237.5</v>
      </c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'10'!E12</f>
        <v>69</v>
      </c>
      <c r="C12" s="89">
        <v>80</v>
      </c>
      <c r="D12" s="89"/>
      <c r="E12" s="376">
        <v>108</v>
      </c>
      <c r="F12" s="89">
        <f t="shared" si="0"/>
        <v>41</v>
      </c>
      <c r="G12" s="70">
        <v>10</v>
      </c>
      <c r="H12" s="70">
        <f t="shared" si="1"/>
        <v>410</v>
      </c>
      <c r="J12" s="89" t="s">
        <v>37</v>
      </c>
      <c r="K12" s="89"/>
      <c r="L12" s="89"/>
      <c r="M12" s="89"/>
      <c r="N12" s="89">
        <f t="shared" si="2"/>
        <v>108</v>
      </c>
      <c r="O12" s="89"/>
      <c r="P12" s="70">
        <v>3.5</v>
      </c>
      <c r="Q12" s="70">
        <f t="shared" si="3"/>
        <v>378</v>
      </c>
      <c r="S12" s="381" t="s">
        <v>208</v>
      </c>
      <c r="T12" s="70"/>
      <c r="V12" s="89" t="s">
        <v>209</v>
      </c>
      <c r="W12" s="53">
        <v>1500</v>
      </c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'10'!E13</f>
        <v>40</v>
      </c>
      <c r="C13" s="89">
        <v>80</v>
      </c>
      <c r="D13" s="89"/>
      <c r="E13" s="376">
        <v>83</v>
      </c>
      <c r="F13" s="89">
        <f t="shared" si="0"/>
        <v>37</v>
      </c>
      <c r="G13" s="70">
        <v>8</v>
      </c>
      <c r="H13" s="70">
        <f t="shared" si="1"/>
        <v>296</v>
      </c>
      <c r="J13" s="89" t="s">
        <v>211</v>
      </c>
      <c r="K13" s="89"/>
      <c r="L13" s="89"/>
      <c r="M13" s="89"/>
      <c r="N13" s="89">
        <f t="shared" si="2"/>
        <v>83</v>
      </c>
      <c r="O13" s="89"/>
      <c r="P13" s="70">
        <v>7.5</v>
      </c>
      <c r="Q13" s="70">
        <f t="shared" si="3"/>
        <v>622.5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'10'!E14</f>
        <v>17</v>
      </c>
      <c r="C14" s="89">
        <v>26</v>
      </c>
      <c r="D14" s="89"/>
      <c r="E14" s="376">
        <v>31</v>
      </c>
      <c r="F14" s="89">
        <f t="shared" si="0"/>
        <v>12</v>
      </c>
      <c r="G14" s="70">
        <v>10</v>
      </c>
      <c r="H14" s="70">
        <f t="shared" si="1"/>
        <v>120</v>
      </c>
      <c r="J14" s="89" t="s">
        <v>44</v>
      </c>
      <c r="K14" s="89"/>
      <c r="L14" s="89"/>
      <c r="M14" s="89"/>
      <c r="N14" s="89">
        <f t="shared" si="2"/>
        <v>31</v>
      </c>
      <c r="O14" s="89"/>
      <c r="P14" s="70">
        <v>3.5</v>
      </c>
      <c r="Q14" s="70">
        <f t="shared" si="3"/>
        <v>108.5</v>
      </c>
      <c r="S14" s="381" t="s">
        <v>214</v>
      </c>
      <c r="T14" s="70">
        <v>200</v>
      </c>
      <c r="V14" s="89" t="s">
        <v>215</v>
      </c>
      <c r="W14" s="53">
        <f>IFERROR(W7+W8+W10-W11-W12-W13,0)</f>
        <v>9062.5</v>
      </c>
      <c r="Y14" s="89" t="s">
        <v>127</v>
      </c>
      <c r="Z14" s="70">
        <v>20</v>
      </c>
      <c r="AA14" s="70">
        <v>27</v>
      </c>
      <c r="AB14" s="374">
        <f t="shared" si="4"/>
        <v>540</v>
      </c>
    </row>
    <row r="15" spans="1:28" ht="15.5">
      <c r="A15" s="89" t="s">
        <v>216</v>
      </c>
      <c r="B15" s="391">
        <f>'10'!E15</f>
        <v>52</v>
      </c>
      <c r="C15" s="89"/>
      <c r="D15" s="89"/>
      <c r="E15" s="376">
        <v>36</v>
      </c>
      <c r="F15" s="89">
        <f t="shared" si="0"/>
        <v>16</v>
      </c>
      <c r="G15" s="70">
        <v>25</v>
      </c>
      <c r="H15" s="70">
        <f t="shared" si="1"/>
        <v>400</v>
      </c>
      <c r="J15" s="89" t="s">
        <v>41</v>
      </c>
      <c r="K15" s="89"/>
      <c r="L15" s="89"/>
      <c r="M15" s="89"/>
      <c r="N15" s="89">
        <f t="shared" si="2"/>
        <v>36</v>
      </c>
      <c r="O15" s="89"/>
      <c r="P15" s="70">
        <v>8</v>
      </c>
      <c r="Q15" s="70">
        <f t="shared" si="3"/>
        <v>288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16130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1615</v>
      </c>
      <c r="Y16" s="89" t="s">
        <v>57</v>
      </c>
      <c r="Z16" s="89">
        <v>80</v>
      </c>
      <c r="AA16" s="89">
        <v>6</v>
      </c>
      <c r="AB16" s="374">
        <f t="shared" si="4"/>
        <v>480</v>
      </c>
    </row>
    <row r="17" spans="1:28" ht="15.5">
      <c r="A17" s="89" t="s">
        <v>220</v>
      </c>
      <c r="B17" s="391">
        <f>'10'!E17</f>
        <v>100</v>
      </c>
      <c r="C17" s="89"/>
      <c r="D17" s="89"/>
      <c r="E17" s="376">
        <v>84</v>
      </c>
      <c r="F17" s="89">
        <f t="shared" ref="F17:F29" si="6">IFERROR(MAX(0,B17+C17-E17-D17),0)</f>
        <v>16</v>
      </c>
      <c r="G17" s="70">
        <v>20</v>
      </c>
      <c r="H17" s="70">
        <f t="shared" ref="H17:H29" si="7">IFERROR(F17*G17,0)</f>
        <v>320</v>
      </c>
      <c r="J17" s="89" t="s">
        <v>222</v>
      </c>
      <c r="K17" s="89"/>
      <c r="L17" s="89"/>
      <c r="M17" s="89"/>
      <c r="N17" s="89">
        <f t="shared" si="2"/>
        <v>84</v>
      </c>
      <c r="O17" s="89"/>
      <c r="P17" s="70">
        <f t="shared" si="5"/>
        <v>20</v>
      </c>
      <c r="Q17" s="70">
        <f t="shared" si="3"/>
        <v>1680</v>
      </c>
      <c r="S17" s="381" t="s">
        <v>223</v>
      </c>
      <c r="T17" s="70"/>
      <c r="V17" s="89" t="s">
        <v>41</v>
      </c>
      <c r="W17" s="53">
        <v>208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'10'!E18</f>
        <v>254</v>
      </c>
      <c r="C18" s="89"/>
      <c r="D18" s="89"/>
      <c r="E18" s="376">
        <v>227</v>
      </c>
      <c r="F18" s="89">
        <f t="shared" si="6"/>
        <v>27</v>
      </c>
      <c r="G18" s="70">
        <v>25</v>
      </c>
      <c r="H18" s="70">
        <f t="shared" si="7"/>
        <v>675</v>
      </c>
      <c r="J18" s="89" t="s">
        <v>36</v>
      </c>
      <c r="K18" s="89"/>
      <c r="L18" s="89"/>
      <c r="M18" s="89"/>
      <c r="N18" s="89">
        <f t="shared" si="2"/>
        <v>227</v>
      </c>
      <c r="O18" s="89"/>
      <c r="P18" s="70">
        <v>7</v>
      </c>
      <c r="Q18" s="70">
        <f t="shared" si="3"/>
        <v>1589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21764</v>
      </c>
    </row>
    <row r="19" spans="1:28" ht="14.5">
      <c r="A19" s="89" t="s">
        <v>228</v>
      </c>
      <c r="B19" s="391">
        <f>'10'!E19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>
        <v>4000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'10'!E20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'10'!E21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'10'!E22</f>
        <v>26</v>
      </c>
      <c r="C22" s="89"/>
      <c r="D22" s="89"/>
      <c r="E22" s="376">
        <v>25</v>
      </c>
      <c r="F22" s="89">
        <f t="shared" si="6"/>
        <v>1</v>
      </c>
      <c r="G22" s="70">
        <v>20</v>
      </c>
      <c r="H22" s="70">
        <f t="shared" si="7"/>
        <v>20</v>
      </c>
      <c r="J22" s="89" t="s">
        <v>220</v>
      </c>
      <c r="K22" s="89"/>
      <c r="L22" s="89"/>
      <c r="M22" s="89"/>
      <c r="N22" s="89">
        <f t="shared" si="2"/>
        <v>25</v>
      </c>
      <c r="O22" s="89"/>
      <c r="P22" s="70">
        <v>7.42</v>
      </c>
      <c r="Q22" s="70">
        <f t="shared" si="3"/>
        <v>185.5</v>
      </c>
      <c r="S22" s="381" t="s">
        <v>241</v>
      </c>
      <c r="T22" s="70"/>
      <c r="V22" s="392" t="s">
        <v>17</v>
      </c>
      <c r="W22" s="393">
        <f>SUM(W16:W21)</f>
        <v>1823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'10'!E23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'10'!E24</f>
        <v>12</v>
      </c>
      <c r="C24" s="89"/>
      <c r="D24" s="89"/>
      <c r="E24" s="376">
        <v>7</v>
      </c>
      <c r="F24" s="89">
        <f t="shared" si="6"/>
        <v>5</v>
      </c>
      <c r="G24" s="70">
        <v>25</v>
      </c>
      <c r="H24" s="70">
        <f t="shared" si="7"/>
        <v>125</v>
      </c>
      <c r="J24" s="89" t="s">
        <v>244</v>
      </c>
      <c r="K24" s="89"/>
      <c r="L24" s="89"/>
      <c r="M24" s="89"/>
      <c r="N24" s="89">
        <f t="shared" si="2"/>
        <v>7</v>
      </c>
      <c r="O24" s="89"/>
      <c r="P24" s="70">
        <f>G24</f>
        <v>25</v>
      </c>
      <c r="Q24" s="70">
        <f t="shared" si="3"/>
        <v>175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'10'!E25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'10'!E26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'10'!E27</f>
        <v>21</v>
      </c>
      <c r="C27" s="89"/>
      <c r="D27" s="89"/>
      <c r="E27" s="376">
        <v>11</v>
      </c>
      <c r="F27" s="89">
        <f t="shared" si="6"/>
        <v>10</v>
      </c>
      <c r="G27" s="70">
        <v>17</v>
      </c>
      <c r="H27" s="70">
        <f t="shared" si="7"/>
        <v>170</v>
      </c>
      <c r="J27" s="89" t="s">
        <v>248</v>
      </c>
      <c r="K27" s="89"/>
      <c r="L27" s="89"/>
      <c r="M27" s="89"/>
      <c r="N27" s="89">
        <f t="shared" si="2"/>
        <v>11</v>
      </c>
      <c r="O27" s="89"/>
      <c r="P27" s="70">
        <v>12.8</v>
      </c>
      <c r="Q27" s="70">
        <f t="shared" si="3"/>
        <v>140.80000000000001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'10'!E28</f>
        <v>44</v>
      </c>
      <c r="C28" s="89"/>
      <c r="D28" s="89"/>
      <c r="E28" s="376">
        <v>44</v>
      </c>
      <c r="F28" s="89">
        <f t="shared" si="6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44</v>
      </c>
      <c r="O28" s="89"/>
      <c r="P28" s="70">
        <v>10.42</v>
      </c>
      <c r="Q28" s="70">
        <f t="shared" si="3"/>
        <v>458.48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'10'!E29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1310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4200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17440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14983.279999999999</v>
      </c>
      <c r="R31" s="357"/>
      <c r="S31" s="506" t="s">
        <v>256</v>
      </c>
      <c r="T31" s="438"/>
      <c r="U31" s="438"/>
      <c r="V31" s="507"/>
      <c r="W31" s="407">
        <f>T30+W30+W22+W14</f>
        <v>15145.5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21673</v>
      </c>
    </row>
    <row r="33" spans="1:27" ht="15.75" customHeight="1">
      <c r="A33" s="3" t="s">
        <v>96</v>
      </c>
      <c r="B33" s="498">
        <f>H31</f>
        <v>17440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15145.5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16676.5</v>
      </c>
      <c r="AA34" s="39"/>
    </row>
    <row r="35" spans="1:27" ht="15.75" customHeight="1">
      <c r="A35" s="3" t="s">
        <v>258</v>
      </c>
      <c r="B35" s="499">
        <f>IFERROR(B33-B34,0)</f>
        <v>2294.5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19850</v>
      </c>
      <c r="AA35" s="39"/>
    </row>
    <row r="36" spans="1:27" ht="15.75" customHeight="1">
      <c r="A36" s="3" t="s">
        <v>259</v>
      </c>
      <c r="B36" s="500">
        <v>2295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36526.5</v>
      </c>
      <c r="AA36" s="39"/>
    </row>
    <row r="37" spans="1:27" ht="15.75" customHeight="1">
      <c r="A37" s="3" t="s">
        <v>260</v>
      </c>
      <c r="B37" s="498">
        <f>IFERROR(B36-B35,0)</f>
        <v>0.5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1914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1737.5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10262.5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46215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71">
        <f>'11'!E7</f>
        <v>425</v>
      </c>
      <c r="C7" s="370"/>
      <c r="D7" s="89"/>
      <c r="E7" s="371">
        <v>167</v>
      </c>
      <c r="F7" s="370">
        <f t="shared" ref="F7:F15" si="0">IFERROR(MAX(0,B7+C7-E7-D7),0)</f>
        <v>258</v>
      </c>
      <c r="G7" s="70">
        <v>50</v>
      </c>
      <c r="H7" s="70">
        <f t="shared" ref="H7:H15" si="1">IFERROR(F7*G7,0)</f>
        <v>12900</v>
      </c>
      <c r="J7" s="89" t="s">
        <v>194</v>
      </c>
      <c r="K7" s="89"/>
      <c r="L7" s="89"/>
      <c r="M7" s="89"/>
      <c r="N7" s="370">
        <f t="shared" ref="N7:N30" si="2">E7</f>
        <v>167</v>
      </c>
      <c r="O7" s="89"/>
      <c r="P7" s="70">
        <v>21</v>
      </c>
      <c r="Q7" s="70">
        <f t="shared" ref="Q7:Q29" si="3">IFERROR(N7*P7,0)</f>
        <v>3507</v>
      </c>
      <c r="S7" s="89" t="s">
        <v>195</v>
      </c>
      <c r="T7" s="364"/>
      <c r="V7" s="89" t="s">
        <v>196</v>
      </c>
      <c r="W7" s="372"/>
      <c r="Y7" s="373" t="s">
        <v>197</v>
      </c>
      <c r="Z7" s="374"/>
      <c r="AA7" s="374">
        <v>35</v>
      </c>
      <c r="AB7" s="374">
        <f t="shared" ref="AB7:AB17" si="4">IFERROR(Z7*AA7,0)</f>
        <v>0</v>
      </c>
    </row>
    <row r="8" spans="1:28" ht="15.5">
      <c r="A8" s="89" t="s">
        <v>102</v>
      </c>
      <c r="B8" s="376">
        <f>'11'!E8</f>
        <v>64</v>
      </c>
      <c r="C8" s="89"/>
      <c r="D8" s="89"/>
      <c r="E8" s="376">
        <v>52</v>
      </c>
      <c r="F8" s="89">
        <f t="shared" si="0"/>
        <v>12</v>
      </c>
      <c r="G8" s="70">
        <v>12</v>
      </c>
      <c r="H8" s="70">
        <f t="shared" si="1"/>
        <v>144</v>
      </c>
      <c r="J8" s="89" t="s">
        <v>198</v>
      </c>
      <c r="K8" s="89"/>
      <c r="L8" s="89"/>
      <c r="M8" s="89"/>
      <c r="N8" s="89">
        <f t="shared" si="2"/>
        <v>52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76">
        <f>'11'!E9</f>
        <v>40</v>
      </c>
      <c r="C9" s="89"/>
      <c r="D9" s="89"/>
      <c r="E9" s="376"/>
      <c r="F9" s="89">
        <f t="shared" si="0"/>
        <v>40</v>
      </c>
      <c r="G9" s="70">
        <v>12</v>
      </c>
      <c r="H9" s="70">
        <f t="shared" si="1"/>
        <v>480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76">
        <f>'11'!E10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71">
        <f>'11'!E11</f>
        <v>29</v>
      </c>
      <c r="C11" s="89">
        <v>180</v>
      </c>
      <c r="D11" s="89"/>
      <c r="E11" s="371">
        <v>26</v>
      </c>
      <c r="F11" s="370">
        <f t="shared" si="0"/>
        <v>183</v>
      </c>
      <c r="G11" s="70">
        <v>15</v>
      </c>
      <c r="H11" s="70">
        <f t="shared" si="1"/>
        <v>2745</v>
      </c>
      <c r="J11" s="89" t="s">
        <v>42</v>
      </c>
      <c r="K11" s="89"/>
      <c r="L11" s="89"/>
      <c r="M11" s="89"/>
      <c r="N11" s="370">
        <f t="shared" si="2"/>
        <v>26</v>
      </c>
      <c r="O11" s="89"/>
      <c r="P11" s="70">
        <v>5.5</v>
      </c>
      <c r="Q11" s="70">
        <f t="shared" si="3"/>
        <v>143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76">
        <f>'11'!E12</f>
        <v>108</v>
      </c>
      <c r="C12" s="89"/>
      <c r="D12" s="89"/>
      <c r="E12" s="376">
        <v>43</v>
      </c>
      <c r="F12" s="89">
        <f t="shared" si="0"/>
        <v>65</v>
      </c>
      <c r="G12" s="70">
        <v>10</v>
      </c>
      <c r="H12" s="70">
        <f t="shared" si="1"/>
        <v>650</v>
      </c>
      <c r="J12" s="89" t="s">
        <v>37</v>
      </c>
      <c r="K12" s="89"/>
      <c r="L12" s="89"/>
      <c r="M12" s="89"/>
      <c r="N12" s="89">
        <f t="shared" si="2"/>
        <v>43</v>
      </c>
      <c r="O12" s="89"/>
      <c r="P12" s="70">
        <v>3.5</v>
      </c>
      <c r="Q12" s="70">
        <f t="shared" si="3"/>
        <v>150.5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76">
        <f>'11'!E13</f>
        <v>83</v>
      </c>
      <c r="C13" s="89"/>
      <c r="D13" s="89"/>
      <c r="E13" s="376">
        <v>35</v>
      </c>
      <c r="F13" s="89">
        <f t="shared" si="0"/>
        <v>48</v>
      </c>
      <c r="G13" s="70">
        <v>8</v>
      </c>
      <c r="H13" s="70">
        <f t="shared" si="1"/>
        <v>384</v>
      </c>
      <c r="J13" s="89" t="s">
        <v>211</v>
      </c>
      <c r="K13" s="89"/>
      <c r="L13" s="89"/>
      <c r="M13" s="89"/>
      <c r="N13" s="89">
        <f t="shared" si="2"/>
        <v>35</v>
      </c>
      <c r="O13" s="89"/>
      <c r="P13" s="70">
        <v>7.5</v>
      </c>
      <c r="Q13" s="70">
        <f t="shared" si="3"/>
        <v>262.5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76">
        <f>'11'!E14</f>
        <v>31</v>
      </c>
      <c r="C14" s="89"/>
      <c r="D14" s="89"/>
      <c r="E14" s="376">
        <v>10</v>
      </c>
      <c r="F14" s="89">
        <f t="shared" si="0"/>
        <v>21</v>
      </c>
      <c r="G14" s="70">
        <v>10</v>
      </c>
      <c r="H14" s="70">
        <f t="shared" si="1"/>
        <v>210</v>
      </c>
      <c r="J14" s="89" t="s">
        <v>44</v>
      </c>
      <c r="K14" s="89"/>
      <c r="L14" s="89"/>
      <c r="M14" s="89"/>
      <c r="N14" s="89">
        <f t="shared" si="2"/>
        <v>10</v>
      </c>
      <c r="O14" s="89"/>
      <c r="P14" s="70">
        <v>3.5</v>
      </c>
      <c r="Q14" s="70">
        <f t="shared" si="3"/>
        <v>35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76">
        <f>'11'!E15</f>
        <v>36</v>
      </c>
      <c r="C15" s="89"/>
      <c r="D15" s="89"/>
      <c r="E15" s="376">
        <v>11</v>
      </c>
      <c r="F15" s="89">
        <f t="shared" si="0"/>
        <v>25</v>
      </c>
      <c r="G15" s="70">
        <v>25</v>
      </c>
      <c r="H15" s="70">
        <f t="shared" si="1"/>
        <v>625</v>
      </c>
      <c r="J15" s="89" t="s">
        <v>41</v>
      </c>
      <c r="K15" s="89"/>
      <c r="L15" s="89"/>
      <c r="M15" s="89"/>
      <c r="N15" s="89">
        <f t="shared" si="2"/>
        <v>11</v>
      </c>
      <c r="O15" s="89"/>
      <c r="P15" s="70">
        <v>8</v>
      </c>
      <c r="Q15" s="70">
        <f t="shared" si="3"/>
        <v>88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76">
        <f>'11'!E16</f>
        <v>0</v>
      </c>
      <c r="C16" s="386"/>
      <c r="D16" s="386"/>
      <c r="E16" s="386"/>
      <c r="F16" s="386"/>
      <c r="G16" s="387"/>
      <c r="H16" s="345">
        <f>IFERROR(SUM(H7:H15),0)</f>
        <v>18138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1530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76">
        <f>'11'!E17</f>
        <v>84</v>
      </c>
      <c r="C17" s="89"/>
      <c r="D17" s="89"/>
      <c r="E17" s="376">
        <v>68</v>
      </c>
      <c r="F17" s="89">
        <f t="shared" ref="F17:F29" si="6">IFERROR(MAX(0,B17+C17-E17-D17),0)</f>
        <v>16</v>
      </c>
      <c r="G17" s="70">
        <v>20</v>
      </c>
      <c r="H17" s="70">
        <f t="shared" ref="H17:H29" si="7">IFERROR(F17*G17,0)</f>
        <v>320</v>
      </c>
      <c r="J17" s="89" t="s">
        <v>222</v>
      </c>
      <c r="K17" s="89"/>
      <c r="L17" s="89"/>
      <c r="M17" s="89"/>
      <c r="N17" s="89">
        <f t="shared" si="2"/>
        <v>68</v>
      </c>
      <c r="O17" s="89"/>
      <c r="P17" s="70">
        <f t="shared" si="5"/>
        <v>20</v>
      </c>
      <c r="Q17" s="70">
        <f t="shared" si="3"/>
        <v>1360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76">
        <f>'11'!E18</f>
        <v>227</v>
      </c>
      <c r="C18" s="89"/>
      <c r="D18" s="89"/>
      <c r="E18" s="376">
        <v>183</v>
      </c>
      <c r="F18" s="89">
        <f t="shared" si="6"/>
        <v>44</v>
      </c>
      <c r="G18" s="70">
        <v>25</v>
      </c>
      <c r="H18" s="70">
        <f t="shared" si="7"/>
        <v>1100</v>
      </c>
      <c r="J18" s="89" t="s">
        <v>36</v>
      </c>
      <c r="K18" s="89"/>
      <c r="L18" s="89"/>
      <c r="M18" s="89"/>
      <c r="N18" s="89">
        <f t="shared" si="2"/>
        <v>183</v>
      </c>
      <c r="O18" s="89"/>
      <c r="P18" s="70">
        <v>7</v>
      </c>
      <c r="Q18" s="70">
        <f t="shared" si="3"/>
        <v>1281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0</v>
      </c>
    </row>
    <row r="19" spans="1:28" ht="14.5">
      <c r="A19" s="89" t="s">
        <v>228</v>
      </c>
      <c r="B19" s="376">
        <f>'11'!E19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>
        <v>1000</v>
      </c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76">
        <f>'10'!B20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>
        <v>22.14</v>
      </c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76">
        <f>'11'!E21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76">
        <f>'11'!E22</f>
        <v>25</v>
      </c>
      <c r="C22" s="89"/>
      <c r="D22" s="89"/>
      <c r="E22" s="376">
        <v>16</v>
      </c>
      <c r="F22" s="89">
        <f t="shared" si="6"/>
        <v>9</v>
      </c>
      <c r="G22" s="70">
        <v>20</v>
      </c>
      <c r="H22" s="70">
        <f t="shared" si="7"/>
        <v>180</v>
      </c>
      <c r="J22" s="89" t="s">
        <v>220</v>
      </c>
      <c r="K22" s="89"/>
      <c r="L22" s="89"/>
      <c r="M22" s="89"/>
      <c r="N22" s="89">
        <f t="shared" si="2"/>
        <v>16</v>
      </c>
      <c r="O22" s="89"/>
      <c r="P22" s="70">
        <v>7.42</v>
      </c>
      <c r="Q22" s="70">
        <f t="shared" si="3"/>
        <v>118.72</v>
      </c>
      <c r="S22" s="381" t="s">
        <v>241</v>
      </c>
      <c r="T22" s="70"/>
      <c r="V22" s="392" t="s">
        <v>17</v>
      </c>
      <c r="W22" s="393">
        <f>SUM(W16:W21)</f>
        <v>1530</v>
      </c>
      <c r="Y22" s="394"/>
      <c r="Z22" s="394"/>
      <c r="AA22" s="3"/>
      <c r="AB22" s="3"/>
    </row>
    <row r="23" spans="1:28" ht="15.75" customHeight="1">
      <c r="A23" s="89" t="s">
        <v>242</v>
      </c>
      <c r="B23" s="376">
        <f>'11'!E23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76">
        <f>'11'!E24</f>
        <v>7</v>
      </c>
      <c r="C24" s="89"/>
      <c r="D24" s="89"/>
      <c r="E24" s="376">
        <v>5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5</v>
      </c>
      <c r="O24" s="89"/>
      <c r="P24" s="70">
        <f>G24</f>
        <v>25</v>
      </c>
      <c r="Q24" s="70">
        <f t="shared" si="3"/>
        <v>125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76">
        <f>'11'!E25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76">
        <f>'11'!E26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76">
        <f>'11'!E27</f>
        <v>11</v>
      </c>
      <c r="C27" s="89"/>
      <c r="D27" s="89"/>
      <c r="E27" s="376"/>
      <c r="F27" s="89">
        <f t="shared" si="6"/>
        <v>11</v>
      </c>
      <c r="G27" s="70">
        <v>17</v>
      </c>
      <c r="H27" s="70">
        <f t="shared" si="7"/>
        <v>187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76">
        <f>'11'!E28</f>
        <v>44</v>
      </c>
      <c r="C28" s="89"/>
      <c r="D28" s="89"/>
      <c r="E28" s="376">
        <v>37</v>
      </c>
      <c r="F28" s="89">
        <f t="shared" si="6"/>
        <v>7</v>
      </c>
      <c r="G28" s="70">
        <v>25</v>
      </c>
      <c r="H28" s="70">
        <f t="shared" si="7"/>
        <v>175</v>
      </c>
      <c r="J28" s="89" t="s">
        <v>251</v>
      </c>
      <c r="K28" s="89"/>
      <c r="L28" s="89"/>
      <c r="M28" s="89"/>
      <c r="N28" s="89">
        <f t="shared" si="2"/>
        <v>37</v>
      </c>
      <c r="O28" s="89"/>
      <c r="P28" s="70">
        <v>10.42</v>
      </c>
      <c r="Q28" s="70">
        <f t="shared" si="3"/>
        <v>385.54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76">
        <f>'11'!E29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2012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1022.14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20150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7729.26</v>
      </c>
      <c r="R31" s="357"/>
      <c r="S31" s="506" t="s">
        <v>256</v>
      </c>
      <c r="T31" s="438"/>
      <c r="U31" s="438"/>
      <c r="V31" s="507"/>
      <c r="W31" s="407">
        <f>T30+W30+W22+W14</f>
        <v>2552.14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1530</v>
      </c>
    </row>
    <row r="33" spans="1:27" ht="15.75" customHeight="1">
      <c r="A33" s="3" t="s">
        <v>96</v>
      </c>
      <c r="B33" s="498">
        <f>H31</f>
        <v>20150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2552.14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1022.14</v>
      </c>
      <c r="AA34" s="39"/>
    </row>
    <row r="35" spans="1:27" ht="15.75" customHeight="1">
      <c r="A35" s="3" t="s">
        <v>258</v>
      </c>
      <c r="B35" s="499">
        <f>IFERROR(B33-B34,0)</f>
        <v>17597.86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0</v>
      </c>
      <c r="AA35" s="39"/>
    </row>
    <row r="36" spans="1:27" ht="15.75" customHeight="1">
      <c r="A36" s="3" t="s">
        <v>259</v>
      </c>
      <c r="B36" s="500">
        <v>17603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1022.14</v>
      </c>
      <c r="AA36" s="39"/>
    </row>
    <row r="37" spans="1:27" ht="15.75" customHeight="1">
      <c r="A37" s="3" t="s">
        <v>260</v>
      </c>
      <c r="B37" s="498">
        <f>IFERROR(B36-B35,0)</f>
        <v>5.1399999999994179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46216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'12'!E7</f>
        <v>167</v>
      </c>
      <c r="C7" s="370">
        <v>200</v>
      </c>
      <c r="D7" s="89"/>
      <c r="E7" s="371">
        <v>184</v>
      </c>
      <c r="F7" s="370">
        <f t="shared" ref="F7:F15" si="0">IFERROR(MAX(0,B7+C7-E7-D7),0)</f>
        <v>183</v>
      </c>
      <c r="G7" s="70">
        <v>50</v>
      </c>
      <c r="H7" s="70">
        <f t="shared" ref="H7:H15" si="1">IFERROR(F7*G7,0)</f>
        <v>9150</v>
      </c>
      <c r="J7" s="89" t="s">
        <v>194</v>
      </c>
      <c r="K7" s="89"/>
      <c r="L7" s="89"/>
      <c r="M7" s="89"/>
      <c r="N7" s="370">
        <f t="shared" ref="N7:N30" si="2">E7</f>
        <v>184</v>
      </c>
      <c r="O7" s="89"/>
      <c r="P7" s="70">
        <v>21</v>
      </c>
      <c r="Q7" s="70">
        <f t="shared" ref="Q7:Q29" si="3">IFERROR(N7*P7,0)</f>
        <v>3864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'12'!E8</f>
        <v>52</v>
      </c>
      <c r="C8" s="89"/>
      <c r="D8" s="89"/>
      <c r="E8" s="376">
        <v>46</v>
      </c>
      <c r="F8" s="370">
        <f t="shared" si="0"/>
        <v>6</v>
      </c>
      <c r="G8" s="70">
        <v>12</v>
      </c>
      <c r="H8" s="70">
        <f t="shared" si="1"/>
        <v>72</v>
      </c>
      <c r="J8" s="89" t="s">
        <v>198</v>
      </c>
      <c r="K8" s="89"/>
      <c r="L8" s="89"/>
      <c r="M8" s="89"/>
      <c r="N8" s="89">
        <f t="shared" si="2"/>
        <v>46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200</v>
      </c>
      <c r="AA8" s="374">
        <v>7</v>
      </c>
      <c r="AB8" s="374">
        <f t="shared" si="4"/>
        <v>1400</v>
      </c>
    </row>
    <row r="9" spans="1:28" ht="15.5">
      <c r="A9" s="89" t="s">
        <v>53</v>
      </c>
      <c r="B9" s="391">
        <f>'12'!E9</f>
        <v>0</v>
      </c>
      <c r="C9" s="89">
        <v>200</v>
      </c>
      <c r="D9" s="89"/>
      <c r="E9" s="376">
        <v>111</v>
      </c>
      <c r="F9" s="89">
        <f t="shared" si="0"/>
        <v>89</v>
      </c>
      <c r="G9" s="70">
        <v>12</v>
      </c>
      <c r="H9" s="70">
        <f t="shared" si="1"/>
        <v>1068</v>
      </c>
      <c r="J9" s="89" t="s">
        <v>200</v>
      </c>
      <c r="K9" s="89"/>
      <c r="L9" s="89"/>
      <c r="M9" s="89"/>
      <c r="N9" s="89">
        <f t="shared" si="2"/>
        <v>111</v>
      </c>
      <c r="O9" s="89"/>
      <c r="P9" s="70"/>
      <c r="Q9" s="70">
        <f t="shared" si="3"/>
        <v>0</v>
      </c>
      <c r="S9" s="89" t="s">
        <v>201</v>
      </c>
      <c r="T9" s="70">
        <v>275</v>
      </c>
      <c r="V9" s="89" t="s">
        <v>130</v>
      </c>
      <c r="W9" s="372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'12'!E10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'12'!E11</f>
        <v>26</v>
      </c>
      <c r="C11" s="89">
        <v>200</v>
      </c>
      <c r="D11" s="89"/>
      <c r="E11" s="371">
        <v>57</v>
      </c>
      <c r="F11" s="370">
        <f t="shared" si="0"/>
        <v>169</v>
      </c>
      <c r="G11" s="70">
        <v>15</v>
      </c>
      <c r="H11" s="70">
        <f t="shared" si="1"/>
        <v>2535</v>
      </c>
      <c r="J11" s="89" t="s">
        <v>42</v>
      </c>
      <c r="K11" s="89"/>
      <c r="L11" s="89"/>
      <c r="M11" s="89"/>
      <c r="N11" s="370">
        <f t="shared" si="2"/>
        <v>57</v>
      </c>
      <c r="O11" s="89"/>
      <c r="P11" s="70">
        <v>5.5</v>
      </c>
      <c r="Q11" s="70">
        <f t="shared" si="3"/>
        <v>313.5</v>
      </c>
      <c r="S11" s="89" t="s">
        <v>204</v>
      </c>
      <c r="T11" s="380"/>
      <c r="V11" s="89" t="s">
        <v>205</v>
      </c>
      <c r="W11" s="53"/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91">
        <f>'12'!E12</f>
        <v>43</v>
      </c>
      <c r="C12" s="89">
        <v>60</v>
      </c>
      <c r="D12" s="89"/>
      <c r="E12" s="376">
        <v>64</v>
      </c>
      <c r="F12" s="89">
        <f t="shared" si="0"/>
        <v>39</v>
      </c>
      <c r="G12" s="70">
        <v>10</v>
      </c>
      <c r="H12" s="70">
        <f t="shared" si="1"/>
        <v>390</v>
      </c>
      <c r="J12" s="89" t="s">
        <v>37</v>
      </c>
      <c r="K12" s="89"/>
      <c r="L12" s="89"/>
      <c r="M12" s="89"/>
      <c r="N12" s="89">
        <f t="shared" si="2"/>
        <v>64</v>
      </c>
      <c r="O12" s="89"/>
      <c r="P12" s="70">
        <v>3.5</v>
      </c>
      <c r="Q12" s="70">
        <f t="shared" si="3"/>
        <v>224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'12'!E13</f>
        <v>35</v>
      </c>
      <c r="C13" s="89">
        <v>30</v>
      </c>
      <c r="D13" s="89"/>
      <c r="E13" s="376">
        <v>29</v>
      </c>
      <c r="F13" s="89">
        <f t="shared" si="0"/>
        <v>36</v>
      </c>
      <c r="G13" s="70">
        <v>8</v>
      </c>
      <c r="H13" s="70">
        <f t="shared" si="1"/>
        <v>288</v>
      </c>
      <c r="J13" s="89" t="s">
        <v>211</v>
      </c>
      <c r="K13" s="89"/>
      <c r="L13" s="89"/>
      <c r="M13" s="89"/>
      <c r="N13" s="89">
        <f t="shared" si="2"/>
        <v>29</v>
      </c>
      <c r="O13" s="89"/>
      <c r="P13" s="70">
        <v>7.5</v>
      </c>
      <c r="Q13" s="70">
        <f t="shared" si="3"/>
        <v>217.5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'12'!E14</f>
        <v>10</v>
      </c>
      <c r="C14" s="89">
        <v>40</v>
      </c>
      <c r="D14" s="89"/>
      <c r="E14" s="376">
        <v>39</v>
      </c>
      <c r="F14" s="89">
        <f t="shared" si="0"/>
        <v>11</v>
      </c>
      <c r="G14" s="70">
        <v>10</v>
      </c>
      <c r="H14" s="70">
        <f t="shared" si="1"/>
        <v>110</v>
      </c>
      <c r="J14" s="89" t="s">
        <v>44</v>
      </c>
      <c r="K14" s="89"/>
      <c r="L14" s="89"/>
      <c r="M14" s="89"/>
      <c r="N14" s="89">
        <f t="shared" si="2"/>
        <v>39</v>
      </c>
      <c r="O14" s="89"/>
      <c r="P14" s="70">
        <v>3.5</v>
      </c>
      <c r="Q14" s="70">
        <f t="shared" si="3"/>
        <v>136.5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'12'!E15</f>
        <v>11</v>
      </c>
      <c r="C15" s="89"/>
      <c r="D15" s="89"/>
      <c r="E15" s="376"/>
      <c r="F15" s="89">
        <f t="shared" si="0"/>
        <v>11</v>
      </c>
      <c r="G15" s="70">
        <v>25</v>
      </c>
      <c r="H15" s="70">
        <f t="shared" si="1"/>
        <v>275</v>
      </c>
      <c r="J15" s="89" t="s">
        <v>41</v>
      </c>
      <c r="K15" s="89"/>
      <c r="L15" s="89"/>
      <c r="M15" s="89"/>
      <c r="N15" s="89">
        <f t="shared" si="2"/>
        <v>0</v>
      </c>
      <c r="O15" s="89"/>
      <c r="P15" s="70">
        <v>8</v>
      </c>
      <c r="Q15" s="70">
        <f t="shared" si="3"/>
        <v>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13888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30</v>
      </c>
      <c r="AA16" s="89">
        <v>6</v>
      </c>
      <c r="AB16" s="374">
        <f t="shared" si="4"/>
        <v>180</v>
      </c>
    </row>
    <row r="17" spans="1:28" ht="15.5">
      <c r="A17" s="89" t="s">
        <v>220</v>
      </c>
      <c r="B17" s="391">
        <f>'12'!E17</f>
        <v>68</v>
      </c>
      <c r="C17" s="89"/>
      <c r="D17" s="89"/>
      <c r="E17" s="376">
        <v>51</v>
      </c>
      <c r="F17" s="89">
        <f t="shared" ref="F17:F29" si="6">IFERROR(MAX(0,B17+C17-E17-D17),0)</f>
        <v>17</v>
      </c>
      <c r="G17" s="70">
        <v>20</v>
      </c>
      <c r="H17" s="70">
        <f t="shared" ref="H17:H29" si="7">IFERROR(F17*G17,0)</f>
        <v>340</v>
      </c>
      <c r="J17" s="89" t="s">
        <v>222</v>
      </c>
      <c r="K17" s="89"/>
      <c r="L17" s="89"/>
      <c r="M17" s="89"/>
      <c r="N17" s="89">
        <f t="shared" si="2"/>
        <v>51</v>
      </c>
      <c r="O17" s="89"/>
      <c r="P17" s="70">
        <f t="shared" si="5"/>
        <v>20</v>
      </c>
      <c r="Q17" s="70">
        <f t="shared" si="3"/>
        <v>1020</v>
      </c>
      <c r="S17" s="381" t="s">
        <v>223</v>
      </c>
      <c r="T17" s="70"/>
      <c r="V17" s="89" t="s">
        <v>41</v>
      </c>
      <c r="W17" s="53">
        <v>320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'12'!E18</f>
        <v>183</v>
      </c>
      <c r="C18" s="89"/>
      <c r="D18" s="89"/>
      <c r="E18" s="376">
        <v>151</v>
      </c>
      <c r="F18" s="89">
        <f t="shared" si="6"/>
        <v>32</v>
      </c>
      <c r="G18" s="70">
        <v>25</v>
      </c>
      <c r="H18" s="70">
        <f t="shared" si="7"/>
        <v>800</v>
      </c>
      <c r="J18" s="89" t="s">
        <v>36</v>
      </c>
      <c r="K18" s="89"/>
      <c r="L18" s="89"/>
      <c r="M18" s="89"/>
      <c r="N18" s="89">
        <f t="shared" si="2"/>
        <v>151</v>
      </c>
      <c r="O18" s="89"/>
      <c r="P18" s="70">
        <v>7</v>
      </c>
      <c r="Q18" s="70">
        <f t="shared" si="3"/>
        <v>1057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10531</v>
      </c>
    </row>
    <row r="19" spans="1:28" ht="14.5">
      <c r="A19" s="89" t="s">
        <v>228</v>
      </c>
      <c r="B19" s="391">
        <f>'12'!E19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'12'!E20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'12'!E21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>
        <v>705</v>
      </c>
      <c r="Y21" s="3"/>
      <c r="Z21" s="3"/>
      <c r="AA21" s="3"/>
      <c r="AB21" s="3"/>
    </row>
    <row r="22" spans="1:28" ht="15.75" customHeight="1">
      <c r="A22" s="89" t="s">
        <v>240</v>
      </c>
      <c r="B22" s="391">
        <f>'12'!E22</f>
        <v>16</v>
      </c>
      <c r="C22" s="89">
        <v>72</v>
      </c>
      <c r="D22" s="89"/>
      <c r="E22" s="376">
        <v>82</v>
      </c>
      <c r="F22" s="89">
        <f t="shared" si="6"/>
        <v>6</v>
      </c>
      <c r="G22" s="70">
        <v>20</v>
      </c>
      <c r="H22" s="70">
        <f t="shared" si="7"/>
        <v>120</v>
      </c>
      <c r="J22" s="89" t="s">
        <v>220</v>
      </c>
      <c r="K22" s="89"/>
      <c r="L22" s="89"/>
      <c r="M22" s="89"/>
      <c r="N22" s="89">
        <f t="shared" si="2"/>
        <v>82</v>
      </c>
      <c r="O22" s="89"/>
      <c r="P22" s="70">
        <v>7.42</v>
      </c>
      <c r="Q22" s="70">
        <f t="shared" si="3"/>
        <v>608.43999999999994</v>
      </c>
      <c r="S22" s="381" t="s">
        <v>241</v>
      </c>
      <c r="T22" s="70"/>
      <c r="V22" s="392" t="s">
        <v>17</v>
      </c>
      <c r="W22" s="393">
        <f>SUM(W16:W21)</f>
        <v>2725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'12'!E23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'12'!E24</f>
        <v>5</v>
      </c>
      <c r="C24" s="89"/>
      <c r="D24" s="89"/>
      <c r="E24" s="376">
        <v>3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3</v>
      </c>
      <c r="O24" s="89"/>
      <c r="P24" s="70">
        <f>G24</f>
        <v>25</v>
      </c>
      <c r="Q24" s="70">
        <f t="shared" si="3"/>
        <v>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'12'!E25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'12'!E26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'12'!E27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'12'!E28</f>
        <v>37</v>
      </c>
      <c r="C28" s="89"/>
      <c r="D28" s="89"/>
      <c r="E28" s="376">
        <v>35</v>
      </c>
      <c r="F28" s="89">
        <f t="shared" si="6"/>
        <v>2</v>
      </c>
      <c r="G28" s="70">
        <v>25</v>
      </c>
      <c r="H28" s="70">
        <f t="shared" si="7"/>
        <v>50</v>
      </c>
      <c r="J28" s="89" t="s">
        <v>251</v>
      </c>
      <c r="K28" s="89"/>
      <c r="L28" s="89"/>
      <c r="M28" s="89"/>
      <c r="N28" s="89">
        <f t="shared" si="2"/>
        <v>35</v>
      </c>
      <c r="O28" s="89"/>
      <c r="P28" s="70">
        <v>10.42</v>
      </c>
      <c r="Q28" s="70">
        <f t="shared" si="3"/>
        <v>364.7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'12'!E29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1360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275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15248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8153.6399999999994</v>
      </c>
      <c r="R31" s="357"/>
      <c r="S31" s="506" t="s">
        <v>256</v>
      </c>
      <c r="T31" s="438"/>
      <c r="U31" s="438"/>
      <c r="V31" s="507"/>
      <c r="W31" s="407">
        <f>T30+W30+W22+W14</f>
        <v>3090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11665</v>
      </c>
    </row>
    <row r="33" spans="1:27" ht="15.75" customHeight="1">
      <c r="A33" s="3" t="s">
        <v>96</v>
      </c>
      <c r="B33" s="498">
        <f>H31</f>
        <v>15248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3090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1866</v>
      </c>
      <c r="AA34" s="39"/>
    </row>
    <row r="35" spans="1:27" ht="15.75" customHeight="1">
      <c r="A35" s="3" t="s">
        <v>258</v>
      </c>
      <c r="B35" s="499">
        <f>IFERROR(B33-B34,0)</f>
        <v>12158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8940</v>
      </c>
      <c r="AA35" s="39"/>
    </row>
    <row r="36" spans="1:27" ht="15.75" customHeight="1">
      <c r="A36" s="3" t="s">
        <v>259</v>
      </c>
      <c r="B36" s="500">
        <v>12159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10806</v>
      </c>
      <c r="AA36" s="39"/>
    </row>
    <row r="37" spans="1:27" ht="15.75" customHeight="1">
      <c r="A37" s="3" t="s">
        <v>260</v>
      </c>
      <c r="B37" s="498">
        <f>IFERROR(B36-B35,0)</f>
        <v>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1591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46217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'13'!E7</f>
        <v>184</v>
      </c>
      <c r="C7" s="370">
        <v>150</v>
      </c>
      <c r="D7" s="89"/>
      <c r="E7" s="371">
        <v>151</v>
      </c>
      <c r="F7" s="370">
        <f t="shared" ref="F7:F15" si="0">IFERROR(MAX(0,B7+C7-E7-D7),0)</f>
        <v>183</v>
      </c>
      <c r="G7" s="70">
        <v>50</v>
      </c>
      <c r="H7" s="70">
        <f t="shared" ref="H7:H15" si="1">IFERROR(F7*G7,0)</f>
        <v>9150</v>
      </c>
      <c r="J7" s="89" t="s">
        <v>194</v>
      </c>
      <c r="K7" s="89"/>
      <c r="L7" s="89"/>
      <c r="M7" s="89"/>
      <c r="N7" s="370">
        <f t="shared" ref="N7:N30" si="2">E7</f>
        <v>151</v>
      </c>
      <c r="O7" s="89"/>
      <c r="P7" s="70">
        <v>21</v>
      </c>
      <c r="Q7" s="70">
        <f t="shared" ref="Q7:Q29" si="3">IFERROR(N7*P7,0)</f>
        <v>3171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'13'!E8</f>
        <v>46</v>
      </c>
      <c r="C8" s="89"/>
      <c r="D8" s="89"/>
      <c r="E8" s="376">
        <v>43</v>
      </c>
      <c r="F8" s="89">
        <f t="shared" si="0"/>
        <v>3</v>
      </c>
      <c r="G8" s="70">
        <v>12</v>
      </c>
      <c r="H8" s="70">
        <f t="shared" si="1"/>
        <v>36</v>
      </c>
      <c r="J8" s="89" t="s">
        <v>198</v>
      </c>
      <c r="K8" s="89"/>
      <c r="L8" s="89"/>
      <c r="M8" s="89"/>
      <c r="N8" s="89">
        <f t="shared" si="2"/>
        <v>43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'13'!E9</f>
        <v>111</v>
      </c>
      <c r="C9" s="89">
        <v>50</v>
      </c>
      <c r="D9" s="89"/>
      <c r="E9" s="376">
        <v>50</v>
      </c>
      <c r="F9" s="89">
        <f t="shared" si="0"/>
        <v>111</v>
      </c>
      <c r="G9" s="70">
        <v>12</v>
      </c>
      <c r="H9" s="70">
        <f t="shared" si="1"/>
        <v>1332</v>
      </c>
      <c r="J9" s="89" t="s">
        <v>200</v>
      </c>
      <c r="K9" s="89"/>
      <c r="L9" s="89"/>
      <c r="M9" s="89"/>
      <c r="N9" s="89">
        <f t="shared" si="2"/>
        <v>50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'13'!E10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'13'!E11</f>
        <v>57</v>
      </c>
      <c r="C11" s="89">
        <v>150</v>
      </c>
      <c r="D11" s="89"/>
      <c r="E11" s="371">
        <v>40</v>
      </c>
      <c r="F11" s="370">
        <f t="shared" si="0"/>
        <v>167</v>
      </c>
      <c r="G11" s="70">
        <v>15</v>
      </c>
      <c r="H11" s="70">
        <f t="shared" si="1"/>
        <v>2505</v>
      </c>
      <c r="J11" s="89" t="s">
        <v>42</v>
      </c>
      <c r="K11" s="89"/>
      <c r="L11" s="89"/>
      <c r="M11" s="89"/>
      <c r="N11" s="370">
        <f t="shared" si="2"/>
        <v>40</v>
      </c>
      <c r="O11" s="89"/>
      <c r="P11" s="70">
        <v>5.5</v>
      </c>
      <c r="Q11" s="70">
        <f t="shared" si="3"/>
        <v>220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419">
        <f>'13'!E12</f>
        <v>64</v>
      </c>
      <c r="C12" s="89">
        <v>60</v>
      </c>
      <c r="D12" s="89"/>
      <c r="E12" s="376">
        <v>98</v>
      </c>
      <c r="F12" s="370">
        <f t="shared" si="0"/>
        <v>26</v>
      </c>
      <c r="G12" s="70">
        <v>10</v>
      </c>
      <c r="H12" s="70">
        <f t="shared" si="1"/>
        <v>260</v>
      </c>
      <c r="J12" s="89" t="s">
        <v>37</v>
      </c>
      <c r="K12" s="89"/>
      <c r="L12" s="89"/>
      <c r="M12" s="89"/>
      <c r="N12" s="89">
        <f t="shared" si="2"/>
        <v>98</v>
      </c>
      <c r="O12" s="89"/>
      <c r="P12" s="70">
        <v>3.5</v>
      </c>
      <c r="Q12" s="70">
        <f t="shared" si="3"/>
        <v>343</v>
      </c>
      <c r="S12" s="381" t="s">
        <v>208</v>
      </c>
      <c r="T12" s="70">
        <v>260</v>
      </c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'13'!E13</f>
        <v>29</v>
      </c>
      <c r="C13" s="89">
        <v>50</v>
      </c>
      <c r="D13" s="89"/>
      <c r="E13" s="376">
        <v>45</v>
      </c>
      <c r="F13" s="89">
        <f t="shared" si="0"/>
        <v>34</v>
      </c>
      <c r="G13" s="70">
        <v>8</v>
      </c>
      <c r="H13" s="70">
        <f t="shared" si="1"/>
        <v>272</v>
      </c>
      <c r="J13" s="89" t="s">
        <v>211</v>
      </c>
      <c r="K13" s="89"/>
      <c r="L13" s="89"/>
      <c r="M13" s="89"/>
      <c r="N13" s="89">
        <f t="shared" si="2"/>
        <v>45</v>
      </c>
      <c r="O13" s="89"/>
      <c r="P13" s="70">
        <v>7.5</v>
      </c>
      <c r="Q13" s="70">
        <f t="shared" si="3"/>
        <v>337.5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'13'!E14</f>
        <v>39</v>
      </c>
      <c r="C14" s="89"/>
      <c r="D14" s="89"/>
      <c r="E14" s="376">
        <v>19</v>
      </c>
      <c r="F14" s="89">
        <f t="shared" si="0"/>
        <v>20</v>
      </c>
      <c r="G14" s="70">
        <v>10</v>
      </c>
      <c r="H14" s="70">
        <f t="shared" si="1"/>
        <v>200</v>
      </c>
      <c r="J14" s="89" t="s">
        <v>44</v>
      </c>
      <c r="K14" s="89"/>
      <c r="L14" s="89"/>
      <c r="M14" s="89"/>
      <c r="N14" s="89">
        <f t="shared" si="2"/>
        <v>19</v>
      </c>
      <c r="O14" s="89"/>
      <c r="P14" s="70">
        <v>3.5</v>
      </c>
      <c r="Q14" s="70">
        <f t="shared" si="3"/>
        <v>66.5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'13'!E15</f>
        <v>0</v>
      </c>
      <c r="C15" s="89">
        <v>50</v>
      </c>
      <c r="D15" s="89"/>
      <c r="E15" s="376">
        <v>40</v>
      </c>
      <c r="F15" s="89">
        <f t="shared" si="0"/>
        <v>10</v>
      </c>
      <c r="G15" s="70">
        <v>25</v>
      </c>
      <c r="H15" s="70">
        <f t="shared" si="1"/>
        <v>250</v>
      </c>
      <c r="J15" s="89" t="s">
        <v>41</v>
      </c>
      <c r="K15" s="89"/>
      <c r="L15" s="89"/>
      <c r="M15" s="89"/>
      <c r="N15" s="89">
        <f t="shared" si="2"/>
        <v>40</v>
      </c>
      <c r="O15" s="89"/>
      <c r="P15" s="70">
        <v>8</v>
      </c>
      <c r="Q15" s="70">
        <f t="shared" si="3"/>
        <v>320</v>
      </c>
      <c r="S15" s="381" t="s">
        <v>217</v>
      </c>
      <c r="T15" s="70">
        <v>500</v>
      </c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'13'!E16</f>
        <v>0</v>
      </c>
      <c r="C16" s="386"/>
      <c r="D16" s="386"/>
      <c r="E16" s="386"/>
      <c r="F16" s="386"/>
      <c r="G16" s="387"/>
      <c r="H16" s="345">
        <f>IFERROR(SUM(H7:H15),0)</f>
        <v>14005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149.5</v>
      </c>
      <c r="V16" s="89" t="s">
        <v>37</v>
      </c>
      <c r="W16" s="53">
        <v>1275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'13'!E17</f>
        <v>51</v>
      </c>
      <c r="C17" s="89">
        <v>48</v>
      </c>
      <c r="D17" s="89"/>
      <c r="E17" s="376">
        <v>86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86</v>
      </c>
      <c r="O17" s="89"/>
      <c r="P17" s="70">
        <f t="shared" si="5"/>
        <v>20</v>
      </c>
      <c r="Q17" s="70">
        <f t="shared" si="3"/>
        <v>1720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'13'!E18</f>
        <v>151</v>
      </c>
      <c r="C18" s="89">
        <v>120</v>
      </c>
      <c r="D18" s="89"/>
      <c r="E18" s="376">
        <v>232</v>
      </c>
      <c r="F18" s="89">
        <f t="shared" si="6"/>
        <v>39</v>
      </c>
      <c r="G18" s="70">
        <v>25</v>
      </c>
      <c r="H18" s="70">
        <f t="shared" si="7"/>
        <v>975</v>
      </c>
      <c r="J18" s="89" t="s">
        <v>36</v>
      </c>
      <c r="K18" s="89"/>
      <c r="L18" s="89"/>
      <c r="M18" s="89"/>
      <c r="N18" s="89">
        <f t="shared" si="2"/>
        <v>232</v>
      </c>
      <c r="O18" s="89"/>
      <c r="P18" s="70">
        <v>7</v>
      </c>
      <c r="Q18" s="70">
        <f t="shared" si="3"/>
        <v>1624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7160</v>
      </c>
    </row>
    <row r="19" spans="1:28" ht="14.5">
      <c r="A19" s="89" t="s">
        <v>228</v>
      </c>
      <c r="B19" s="391">
        <f>'13'!E19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'13'!E20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2196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'13'!E21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'13'!E22</f>
        <v>82</v>
      </c>
      <c r="C22" s="89"/>
      <c r="D22" s="89"/>
      <c r="E22" s="376">
        <v>72</v>
      </c>
      <c r="F22" s="89">
        <f t="shared" si="6"/>
        <v>10</v>
      </c>
      <c r="G22" s="70">
        <v>20</v>
      </c>
      <c r="H22" s="70">
        <f t="shared" si="7"/>
        <v>200</v>
      </c>
      <c r="J22" s="89" t="s">
        <v>220</v>
      </c>
      <c r="K22" s="89"/>
      <c r="L22" s="89"/>
      <c r="M22" s="89"/>
      <c r="N22" s="89">
        <f t="shared" si="2"/>
        <v>72</v>
      </c>
      <c r="O22" s="89"/>
      <c r="P22" s="70">
        <v>7.42</v>
      </c>
      <c r="Q22" s="70">
        <f t="shared" si="3"/>
        <v>534.24</v>
      </c>
      <c r="S22" s="381" t="s">
        <v>241</v>
      </c>
      <c r="T22" s="70"/>
      <c r="V22" s="392" t="s">
        <v>17</v>
      </c>
      <c r="W22" s="393">
        <f>SUM(W16:W21)</f>
        <v>3471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'13'!E23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'13'!E24</f>
        <v>3</v>
      </c>
      <c r="C24" s="89">
        <v>24</v>
      </c>
      <c r="D24" s="89"/>
      <c r="E24" s="376">
        <v>23</v>
      </c>
      <c r="F24" s="89">
        <f t="shared" si="6"/>
        <v>4</v>
      </c>
      <c r="G24" s="70">
        <v>25</v>
      </c>
      <c r="H24" s="70">
        <f t="shared" si="7"/>
        <v>100</v>
      </c>
      <c r="J24" s="89" t="s">
        <v>244</v>
      </c>
      <c r="K24" s="89"/>
      <c r="L24" s="89"/>
      <c r="M24" s="89"/>
      <c r="N24" s="89">
        <f t="shared" si="2"/>
        <v>23</v>
      </c>
      <c r="O24" s="89"/>
      <c r="P24" s="70">
        <f>G24</f>
        <v>25</v>
      </c>
      <c r="Q24" s="70">
        <f t="shared" si="3"/>
        <v>575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'13'!E25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'13'!E26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>
        <v>6000</v>
      </c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'13'!E27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'13'!E28</f>
        <v>35</v>
      </c>
      <c r="C28" s="89"/>
      <c r="D28" s="89"/>
      <c r="E28" s="376">
        <v>27</v>
      </c>
      <c r="F28" s="89">
        <f t="shared" si="6"/>
        <v>8</v>
      </c>
      <c r="G28" s="70">
        <v>25</v>
      </c>
      <c r="H28" s="70">
        <f t="shared" si="7"/>
        <v>200</v>
      </c>
      <c r="J28" s="89" t="s">
        <v>251</v>
      </c>
      <c r="K28" s="89"/>
      <c r="L28" s="89"/>
      <c r="M28" s="89"/>
      <c r="N28" s="89">
        <f t="shared" si="2"/>
        <v>27</v>
      </c>
      <c r="O28" s="89"/>
      <c r="P28" s="70">
        <v>10.42</v>
      </c>
      <c r="Q28" s="70">
        <f t="shared" si="3"/>
        <v>281.33999999999997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'13'!E29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1735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6909.5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15740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9465.58</v>
      </c>
      <c r="R31" s="357"/>
      <c r="S31" s="506" t="s">
        <v>256</v>
      </c>
      <c r="T31" s="438"/>
      <c r="U31" s="438"/>
      <c r="V31" s="507"/>
      <c r="W31" s="407">
        <f>T30+W30+W22+W14</f>
        <v>10380.5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10631</v>
      </c>
    </row>
    <row r="33" spans="1:27" ht="15.75" customHeight="1">
      <c r="A33" s="3" t="s">
        <v>96</v>
      </c>
      <c r="B33" s="498">
        <f>H31</f>
        <v>15740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508">
        <f>W31</f>
        <v>10380.5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6409.5</v>
      </c>
      <c r="AA34" s="39"/>
    </row>
    <row r="35" spans="1:27" ht="15.75" customHeight="1">
      <c r="A35" s="3" t="s">
        <v>258</v>
      </c>
      <c r="B35" s="499">
        <f>IFERROR(B33-B34,0)</f>
        <v>5359.5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7160</v>
      </c>
      <c r="AA35" s="39"/>
    </row>
    <row r="36" spans="1:27" ht="15.75" customHeight="1">
      <c r="A36" s="3" t="s">
        <v>259</v>
      </c>
      <c r="B36" s="500">
        <v>5359.5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13569.5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</row>
    <row r="52" spans="7:23" ht="15.75" customHeight="1">
      <c r="G52" s="39"/>
    </row>
    <row r="53" spans="7:23" ht="15.75" customHeight="1">
      <c r="G53" s="39"/>
    </row>
    <row r="54" spans="7:23" ht="15.75" customHeight="1">
      <c r="G54" s="39"/>
    </row>
    <row r="55" spans="7:23" ht="15.75" customHeight="1">
      <c r="G55" s="39"/>
    </row>
    <row r="56" spans="7:23" ht="15.75" customHeight="1">
      <c r="G56" s="39"/>
    </row>
    <row r="57" spans="7:23" ht="15.75" customHeight="1">
      <c r="G57" s="39"/>
    </row>
    <row r="58" spans="7:23" ht="15.75" customHeight="1">
      <c r="G58" s="39"/>
    </row>
    <row r="59" spans="7:23" ht="15.75" customHeight="1">
      <c r="G59" s="39"/>
    </row>
    <row r="60" spans="7:23" ht="15.75" customHeight="1">
      <c r="G60" s="39"/>
    </row>
    <row r="61" spans="7:23" ht="15.75" customHeight="1">
      <c r="G61" s="39"/>
    </row>
    <row r="62" spans="7:23" ht="15.75" customHeight="1">
      <c r="G62" s="39"/>
    </row>
    <row r="63" spans="7:23" ht="15.75" customHeight="1">
      <c r="G63" s="39"/>
    </row>
    <row r="64" spans="7:23" ht="15.75" customHeight="1">
      <c r="G64" s="39"/>
    </row>
    <row r="65" spans="7:7" ht="15.75" customHeight="1">
      <c r="G65" s="39"/>
    </row>
    <row r="66" spans="7:7" ht="15.75" customHeight="1">
      <c r="G66" s="39"/>
    </row>
    <row r="67" spans="7:7" ht="15.75" customHeight="1">
      <c r="G67" s="39"/>
    </row>
    <row r="68" spans="7:7" ht="15.75" customHeight="1">
      <c r="G68" s="39"/>
    </row>
    <row r="69" spans="7:7" ht="15.75" customHeight="1">
      <c r="G69" s="39"/>
    </row>
    <row r="70" spans="7:7" ht="15.75" customHeight="1">
      <c r="G70" s="39"/>
    </row>
    <row r="71" spans="7:7" ht="15.75" customHeight="1">
      <c r="G71" s="39"/>
    </row>
    <row r="72" spans="7:7" ht="15.75" customHeight="1">
      <c r="G72" s="39"/>
    </row>
    <row r="73" spans="7:7" ht="15.75" customHeight="1">
      <c r="G73" s="39"/>
    </row>
    <row r="74" spans="7:7" ht="15.75" customHeight="1">
      <c r="G74" s="39"/>
    </row>
    <row r="75" spans="7:7" ht="15.75" customHeight="1">
      <c r="G75" s="39"/>
    </row>
    <row r="76" spans="7:7" ht="15.75" customHeight="1">
      <c r="G76" s="39"/>
    </row>
    <row r="77" spans="7:7" ht="15.75" customHeight="1">
      <c r="G77" s="39"/>
    </row>
    <row r="78" spans="7:7" ht="15.75" customHeight="1">
      <c r="G78" s="39"/>
    </row>
    <row r="79" spans="7:7" ht="15.75" customHeight="1">
      <c r="G79" s="39"/>
    </row>
    <row r="80" spans="7:7" ht="15.75" customHeight="1">
      <c r="G80" s="39"/>
    </row>
    <row r="81" spans="7:23" ht="15.75" customHeight="1">
      <c r="G81" s="39"/>
    </row>
    <row r="82" spans="7:23" ht="15.75" customHeight="1">
      <c r="G82" s="39"/>
    </row>
    <row r="83" spans="7:23" ht="15.75" customHeight="1">
      <c r="G83" s="39"/>
    </row>
    <row r="84" spans="7:23" ht="15.75" customHeight="1">
      <c r="G84" s="39"/>
    </row>
    <row r="85" spans="7:23" ht="15.75" customHeight="1">
      <c r="G85" s="39"/>
    </row>
    <row r="86" spans="7:23" ht="15.75" customHeight="1">
      <c r="G86" s="39"/>
    </row>
    <row r="87" spans="7:23" ht="15.75" customHeight="1">
      <c r="G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46218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'14'!E7</f>
        <v>151</v>
      </c>
      <c r="C7" s="370">
        <v>200</v>
      </c>
      <c r="D7" s="89"/>
      <c r="E7" s="371">
        <v>113</v>
      </c>
      <c r="F7" s="370">
        <f t="shared" ref="F7:F15" si="0">IFERROR(MAX(0,B7+C7-E7-D7),0)</f>
        <v>238</v>
      </c>
      <c r="G7" s="70">
        <v>50</v>
      </c>
      <c r="H7" s="70">
        <f t="shared" ref="H7:H15" si="1">IFERROR(F7*G7,0)</f>
        <v>11900</v>
      </c>
      <c r="J7" s="89" t="s">
        <v>194</v>
      </c>
      <c r="K7" s="89"/>
      <c r="L7" s="89"/>
      <c r="M7" s="89"/>
      <c r="N7" s="370">
        <f t="shared" ref="N7:N30" si="2">E7</f>
        <v>113</v>
      </c>
      <c r="O7" s="89"/>
      <c r="P7" s="70">
        <v>21</v>
      </c>
      <c r="Q7" s="70">
        <f t="shared" ref="Q7:Q29" si="3">IFERROR(N7*P7,0)</f>
        <v>2373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'14'!E8</f>
        <v>43</v>
      </c>
      <c r="C8" s="89"/>
      <c r="D8" s="89"/>
      <c r="E8" s="376">
        <v>29</v>
      </c>
      <c r="F8" s="89">
        <f t="shared" si="0"/>
        <v>14</v>
      </c>
      <c r="G8" s="70">
        <v>12</v>
      </c>
      <c r="H8" s="70">
        <f t="shared" si="1"/>
        <v>168</v>
      </c>
      <c r="J8" s="89" t="s">
        <v>198</v>
      </c>
      <c r="K8" s="89"/>
      <c r="L8" s="89"/>
      <c r="M8" s="89"/>
      <c r="N8" s="89">
        <f t="shared" si="2"/>
        <v>29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91">
        <f>'14'!E9</f>
        <v>50</v>
      </c>
      <c r="C9" s="89"/>
      <c r="D9" s="89"/>
      <c r="E9" s="376"/>
      <c r="F9" s="89">
        <f t="shared" si="0"/>
        <v>50</v>
      </c>
      <c r="G9" s="70">
        <v>12</v>
      </c>
      <c r="H9" s="70">
        <f t="shared" si="1"/>
        <v>600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'14'!E10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20</v>
      </c>
      <c r="AA10" s="374">
        <v>6</v>
      </c>
      <c r="AB10" s="374">
        <f t="shared" si="4"/>
        <v>120</v>
      </c>
    </row>
    <row r="11" spans="1:28" ht="15.5">
      <c r="A11" s="89" t="s">
        <v>55</v>
      </c>
      <c r="B11" s="390">
        <f>'14'!E11</f>
        <v>40</v>
      </c>
      <c r="C11" s="89">
        <v>180</v>
      </c>
      <c r="D11" s="89"/>
      <c r="E11" s="371">
        <v>25</v>
      </c>
      <c r="F11" s="370">
        <f t="shared" si="0"/>
        <v>195</v>
      </c>
      <c r="G11" s="70">
        <v>15</v>
      </c>
      <c r="H11" s="70">
        <f t="shared" si="1"/>
        <v>2925</v>
      </c>
      <c r="J11" s="89" t="s">
        <v>42</v>
      </c>
      <c r="K11" s="89"/>
      <c r="L11" s="89"/>
      <c r="M11" s="89"/>
      <c r="N11" s="370">
        <f t="shared" si="2"/>
        <v>25</v>
      </c>
      <c r="O11" s="89"/>
      <c r="P11" s="70">
        <v>5.5</v>
      </c>
      <c r="Q11" s="70">
        <f t="shared" si="3"/>
        <v>137.5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'14'!E12</f>
        <v>98</v>
      </c>
      <c r="C12" s="89">
        <v>20</v>
      </c>
      <c r="D12" s="89"/>
      <c r="E12" s="376">
        <v>82</v>
      </c>
      <c r="F12" s="89">
        <f t="shared" si="0"/>
        <v>36</v>
      </c>
      <c r="G12" s="70">
        <v>10</v>
      </c>
      <c r="H12" s="70">
        <f t="shared" si="1"/>
        <v>360</v>
      </c>
      <c r="J12" s="89" t="s">
        <v>37</v>
      </c>
      <c r="K12" s="89"/>
      <c r="L12" s="89"/>
      <c r="M12" s="89"/>
      <c r="N12" s="89">
        <f t="shared" si="2"/>
        <v>82</v>
      </c>
      <c r="O12" s="89"/>
      <c r="P12" s="70">
        <v>3.5</v>
      </c>
      <c r="Q12" s="70">
        <f t="shared" si="3"/>
        <v>287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'14'!E13</f>
        <v>45</v>
      </c>
      <c r="C13" s="89">
        <v>20</v>
      </c>
      <c r="D13" s="89"/>
      <c r="E13" s="376">
        <v>23</v>
      </c>
      <c r="F13" s="89">
        <f t="shared" si="0"/>
        <v>42</v>
      </c>
      <c r="G13" s="70">
        <v>8</v>
      </c>
      <c r="H13" s="70">
        <f t="shared" si="1"/>
        <v>336</v>
      </c>
      <c r="J13" s="89" t="s">
        <v>211</v>
      </c>
      <c r="K13" s="89"/>
      <c r="L13" s="89"/>
      <c r="M13" s="89"/>
      <c r="N13" s="89">
        <f t="shared" si="2"/>
        <v>23</v>
      </c>
      <c r="O13" s="89"/>
      <c r="P13" s="70">
        <v>7.5</v>
      </c>
      <c r="Q13" s="70">
        <f t="shared" si="3"/>
        <v>172.5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'14'!E14</f>
        <v>19</v>
      </c>
      <c r="C14" s="89"/>
      <c r="D14" s="89"/>
      <c r="E14" s="376">
        <v>7</v>
      </c>
      <c r="F14" s="89">
        <f t="shared" si="0"/>
        <v>12</v>
      </c>
      <c r="G14" s="70">
        <v>10</v>
      </c>
      <c r="H14" s="70">
        <f t="shared" si="1"/>
        <v>120</v>
      </c>
      <c r="J14" s="89" t="s">
        <v>44</v>
      </c>
      <c r="K14" s="89"/>
      <c r="L14" s="89"/>
      <c r="M14" s="89"/>
      <c r="N14" s="89">
        <f t="shared" si="2"/>
        <v>7</v>
      </c>
      <c r="O14" s="89"/>
      <c r="P14" s="70">
        <v>3.5</v>
      </c>
      <c r="Q14" s="70">
        <f t="shared" si="3"/>
        <v>24.5</v>
      </c>
      <c r="S14" s="381" t="s">
        <v>214</v>
      </c>
      <c r="T14" s="70"/>
      <c r="V14" s="89" t="s">
        <v>215</v>
      </c>
      <c r="W14" s="53">
        <f>IFERROR(W7+W8+W9+W10-W11-W12-W13,0)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'14'!E15</f>
        <v>40</v>
      </c>
      <c r="C15" s="89"/>
      <c r="D15" s="89"/>
      <c r="E15" s="376">
        <v>30</v>
      </c>
      <c r="F15" s="89">
        <f t="shared" si="0"/>
        <v>10</v>
      </c>
      <c r="G15" s="70">
        <v>25</v>
      </c>
      <c r="H15" s="70">
        <f t="shared" si="1"/>
        <v>250</v>
      </c>
      <c r="J15" s="89" t="s">
        <v>41</v>
      </c>
      <c r="K15" s="89"/>
      <c r="L15" s="89"/>
      <c r="M15" s="89"/>
      <c r="N15" s="89">
        <f t="shared" si="2"/>
        <v>30</v>
      </c>
      <c r="O15" s="89"/>
      <c r="P15" s="70">
        <v>8</v>
      </c>
      <c r="Q15" s="70">
        <f t="shared" si="3"/>
        <v>240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91">
        <f>'14'!E16</f>
        <v>0</v>
      </c>
      <c r="C16" s="386"/>
      <c r="D16" s="386"/>
      <c r="E16" s="386"/>
      <c r="F16" s="386"/>
      <c r="G16" s="387"/>
      <c r="H16" s="345">
        <f>IFERROR(SUM(H7:H15),0)</f>
        <v>16659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1530</v>
      </c>
      <c r="Y16" s="89" t="s">
        <v>57</v>
      </c>
      <c r="Z16" s="89">
        <v>20</v>
      </c>
      <c r="AA16" s="89">
        <v>6</v>
      </c>
      <c r="AB16" s="374">
        <f t="shared" si="4"/>
        <v>120</v>
      </c>
    </row>
    <row r="17" spans="1:28" ht="15.5">
      <c r="A17" s="89" t="s">
        <v>220</v>
      </c>
      <c r="B17" s="391">
        <f>'14'!E17</f>
        <v>86</v>
      </c>
      <c r="C17" s="89"/>
      <c r="D17" s="89"/>
      <c r="E17" s="376">
        <v>66</v>
      </c>
      <c r="F17" s="89">
        <f t="shared" ref="F17:F29" si="6">IFERROR(MAX(0,B17+C17-E17-D17),0)</f>
        <v>20</v>
      </c>
      <c r="G17" s="70">
        <v>20</v>
      </c>
      <c r="H17" s="70">
        <f t="shared" ref="H17:H29" si="7">IFERROR(F17*G17,0)</f>
        <v>400</v>
      </c>
      <c r="J17" s="89" t="s">
        <v>222</v>
      </c>
      <c r="K17" s="89"/>
      <c r="L17" s="89"/>
      <c r="M17" s="89"/>
      <c r="N17" s="89">
        <f t="shared" si="2"/>
        <v>66</v>
      </c>
      <c r="O17" s="89"/>
      <c r="P17" s="70">
        <f t="shared" si="5"/>
        <v>20</v>
      </c>
      <c r="Q17" s="70">
        <f t="shared" si="3"/>
        <v>1320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'14'!E18</f>
        <v>232</v>
      </c>
      <c r="C18" s="89"/>
      <c r="D18" s="89"/>
      <c r="E18" s="376">
        <v>178</v>
      </c>
      <c r="F18" s="89">
        <f t="shared" si="6"/>
        <v>54</v>
      </c>
      <c r="G18" s="70">
        <v>25</v>
      </c>
      <c r="H18" s="70">
        <f t="shared" si="7"/>
        <v>1350</v>
      </c>
      <c r="J18" s="89" t="s">
        <v>36</v>
      </c>
      <c r="K18" s="89"/>
      <c r="L18" s="89"/>
      <c r="M18" s="89"/>
      <c r="N18" s="89">
        <f t="shared" si="2"/>
        <v>178</v>
      </c>
      <c r="O18" s="89"/>
      <c r="P18" s="70">
        <v>7</v>
      </c>
      <c r="Q18" s="70">
        <f t="shared" si="3"/>
        <v>1246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8614</v>
      </c>
    </row>
    <row r="19" spans="1:28" ht="14.5">
      <c r="A19" s="89" t="s">
        <v>228</v>
      </c>
      <c r="B19" s="391">
        <f>'14'!E19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'14'!E20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'14'!E21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'14'!E22</f>
        <v>72</v>
      </c>
      <c r="C22" s="89"/>
      <c r="D22" s="89"/>
      <c r="E22" s="376">
        <v>66</v>
      </c>
      <c r="F22" s="89">
        <f t="shared" si="6"/>
        <v>6</v>
      </c>
      <c r="G22" s="70">
        <v>20</v>
      </c>
      <c r="H22" s="70">
        <f t="shared" si="7"/>
        <v>120</v>
      </c>
      <c r="J22" s="89" t="s">
        <v>220</v>
      </c>
      <c r="K22" s="89"/>
      <c r="L22" s="89"/>
      <c r="M22" s="89"/>
      <c r="N22" s="89">
        <f t="shared" si="2"/>
        <v>66</v>
      </c>
      <c r="O22" s="89"/>
      <c r="P22" s="70">
        <v>7.42</v>
      </c>
      <c r="Q22" s="70">
        <f t="shared" si="3"/>
        <v>489.71999999999997</v>
      </c>
      <c r="S22" s="381" t="s">
        <v>241</v>
      </c>
      <c r="T22" s="70"/>
      <c r="V22" s="392" t="s">
        <v>17</v>
      </c>
      <c r="W22" s="393">
        <f>SUM(W16:W21)</f>
        <v>1530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'14'!E23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'14'!E24</f>
        <v>23</v>
      </c>
      <c r="C24" s="89"/>
      <c r="D24" s="89"/>
      <c r="E24" s="376">
        <v>20</v>
      </c>
      <c r="F24" s="89">
        <f t="shared" si="6"/>
        <v>3</v>
      </c>
      <c r="G24" s="70">
        <v>25</v>
      </c>
      <c r="H24" s="70">
        <f t="shared" si="7"/>
        <v>75</v>
      </c>
      <c r="J24" s="89" t="s">
        <v>244</v>
      </c>
      <c r="K24" s="89"/>
      <c r="L24" s="89"/>
      <c r="M24" s="89"/>
      <c r="N24" s="89">
        <f t="shared" si="2"/>
        <v>20</v>
      </c>
      <c r="O24" s="89"/>
      <c r="P24" s="70">
        <f>G24</f>
        <v>25</v>
      </c>
      <c r="Q24" s="70">
        <f t="shared" si="3"/>
        <v>500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'14'!E25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'14'!E26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>
        <v>3007.87</v>
      </c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'14'!E27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'14'!E28</f>
        <v>27</v>
      </c>
      <c r="C28" s="89"/>
      <c r="D28" s="89"/>
      <c r="E28" s="376">
        <v>25</v>
      </c>
      <c r="F28" s="89">
        <f t="shared" si="6"/>
        <v>2</v>
      </c>
      <c r="G28" s="70">
        <v>25</v>
      </c>
      <c r="H28" s="70">
        <f t="shared" si="7"/>
        <v>50</v>
      </c>
      <c r="J28" s="89" t="s">
        <v>251</v>
      </c>
      <c r="K28" s="89"/>
      <c r="L28" s="89"/>
      <c r="M28" s="89"/>
      <c r="N28" s="89">
        <f t="shared" si="2"/>
        <v>25</v>
      </c>
      <c r="O28" s="89"/>
      <c r="P28" s="70">
        <v>10.42</v>
      </c>
      <c r="Q28" s="70">
        <f t="shared" si="3"/>
        <v>260.5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'14'!E29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1995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3007.87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18654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7323.72</v>
      </c>
      <c r="R31" s="357"/>
      <c r="S31" s="506" t="s">
        <v>256</v>
      </c>
      <c r="T31" s="438"/>
      <c r="U31" s="438"/>
      <c r="V31" s="507"/>
      <c r="W31" s="407">
        <f>T30+W30+W22+W14</f>
        <v>4627.87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8770</v>
      </c>
    </row>
    <row r="33" spans="1:27" ht="15.75" customHeight="1">
      <c r="A33" s="3" t="s">
        <v>96</v>
      </c>
      <c r="B33" s="498">
        <f>H31</f>
        <v>18654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4627.87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4381.87</v>
      </c>
      <c r="AA34" s="39"/>
    </row>
    <row r="35" spans="1:27" ht="15.75" customHeight="1">
      <c r="A35" s="3" t="s">
        <v>258</v>
      </c>
      <c r="B35" s="499">
        <f>IFERROR(B33-B34,0)</f>
        <v>14026.130000000001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7240</v>
      </c>
      <c r="AA35" s="39"/>
    </row>
    <row r="36" spans="1:27" ht="15.75" customHeight="1">
      <c r="A36" s="3" t="s">
        <v>259</v>
      </c>
      <c r="B36" s="500">
        <v>14026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11621.869999999999</v>
      </c>
      <c r="AA36" s="39"/>
    </row>
    <row r="37" spans="1:27" ht="15.75" customHeight="1">
      <c r="A37" s="3" t="s">
        <v>260</v>
      </c>
      <c r="B37" s="498">
        <f>IFERROR(B36-B35,0)</f>
        <v>-0.13000000000101863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1374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46219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/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'15'!E7</f>
        <v>113</v>
      </c>
      <c r="C7" s="370">
        <v>200</v>
      </c>
      <c r="D7" s="89"/>
      <c r="E7" s="371">
        <v>99</v>
      </c>
      <c r="F7" s="370">
        <f t="shared" ref="F7:F15" si="0">IFERROR(MAX(0,B7+C7-E7-D7),0)</f>
        <v>214</v>
      </c>
      <c r="G7" s="70">
        <v>50</v>
      </c>
      <c r="H7" s="70">
        <f t="shared" ref="H7:H15" si="1">IFERROR(F7*G7,0)</f>
        <v>10700</v>
      </c>
      <c r="J7" s="89" t="s">
        <v>194</v>
      </c>
      <c r="K7" s="89"/>
      <c r="L7" s="89"/>
      <c r="M7" s="89"/>
      <c r="N7" s="370">
        <f t="shared" ref="N7:N30" si="2">E7</f>
        <v>99</v>
      </c>
      <c r="O7" s="89"/>
      <c r="P7" s="70">
        <v>21</v>
      </c>
      <c r="Q7" s="70">
        <f t="shared" ref="Q7:Q29" si="3">IFERROR(N7*P7,0)</f>
        <v>2079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'15'!E8</f>
        <v>29</v>
      </c>
      <c r="C8" s="89"/>
      <c r="D8" s="89"/>
      <c r="E8" s="376">
        <v>23</v>
      </c>
      <c r="F8" s="89">
        <f t="shared" si="0"/>
        <v>6</v>
      </c>
      <c r="G8" s="70">
        <v>12</v>
      </c>
      <c r="H8" s="70">
        <f t="shared" si="1"/>
        <v>72</v>
      </c>
      <c r="J8" s="89" t="s">
        <v>198</v>
      </c>
      <c r="K8" s="89"/>
      <c r="L8" s="89"/>
      <c r="M8" s="89"/>
      <c r="N8" s="89">
        <f t="shared" si="2"/>
        <v>23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'15'!E9</f>
        <v>0</v>
      </c>
      <c r="C9" s="89">
        <v>100</v>
      </c>
      <c r="D9" s="89"/>
      <c r="E9" s="376">
        <v>20</v>
      </c>
      <c r="F9" s="89">
        <f t="shared" si="0"/>
        <v>80</v>
      </c>
      <c r="G9" s="70">
        <v>12</v>
      </c>
      <c r="H9" s="70">
        <f t="shared" si="1"/>
        <v>960</v>
      </c>
      <c r="J9" s="89" t="s">
        <v>200</v>
      </c>
      <c r="K9" s="89"/>
      <c r="L9" s="89"/>
      <c r="M9" s="89"/>
      <c r="N9" s="89">
        <f t="shared" si="2"/>
        <v>20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'15'!E10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20</v>
      </c>
      <c r="AA10" s="374">
        <v>6</v>
      </c>
      <c r="AB10" s="374">
        <f t="shared" si="4"/>
        <v>120</v>
      </c>
    </row>
    <row r="11" spans="1:28" ht="15.5">
      <c r="A11" s="89" t="s">
        <v>55</v>
      </c>
      <c r="B11" s="390">
        <f>'15'!E11</f>
        <v>25</v>
      </c>
      <c r="C11" s="89">
        <v>190</v>
      </c>
      <c r="D11" s="89"/>
      <c r="E11" s="371">
        <v>11</v>
      </c>
      <c r="F11" s="370">
        <f t="shared" si="0"/>
        <v>204</v>
      </c>
      <c r="G11" s="70">
        <v>15</v>
      </c>
      <c r="H11" s="70">
        <f t="shared" si="1"/>
        <v>3060</v>
      </c>
      <c r="J11" s="89" t="s">
        <v>42</v>
      </c>
      <c r="K11" s="89"/>
      <c r="L11" s="89"/>
      <c r="M11" s="89"/>
      <c r="N11" s="370">
        <f t="shared" si="2"/>
        <v>11</v>
      </c>
      <c r="O11" s="89"/>
      <c r="P11" s="70">
        <v>5.5</v>
      </c>
      <c r="Q11" s="70">
        <f t="shared" si="3"/>
        <v>60.5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'15'!E12</f>
        <v>82</v>
      </c>
      <c r="C12" s="89">
        <v>20</v>
      </c>
      <c r="D12" s="89"/>
      <c r="E12" s="376">
        <v>78</v>
      </c>
      <c r="F12" s="89">
        <f t="shared" si="0"/>
        <v>24</v>
      </c>
      <c r="G12" s="70">
        <v>10</v>
      </c>
      <c r="H12" s="70">
        <f t="shared" si="1"/>
        <v>240</v>
      </c>
      <c r="J12" s="89" t="s">
        <v>37</v>
      </c>
      <c r="K12" s="89"/>
      <c r="L12" s="89"/>
      <c r="M12" s="89"/>
      <c r="N12" s="89">
        <f t="shared" si="2"/>
        <v>78</v>
      </c>
      <c r="O12" s="89"/>
      <c r="P12" s="70">
        <v>3.5</v>
      </c>
      <c r="Q12" s="70">
        <f t="shared" si="3"/>
        <v>273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'15'!E13</f>
        <v>23</v>
      </c>
      <c r="C13" s="89">
        <v>50</v>
      </c>
      <c r="D13" s="89"/>
      <c r="E13" s="376">
        <v>48</v>
      </c>
      <c r="F13" s="89">
        <f t="shared" si="0"/>
        <v>25</v>
      </c>
      <c r="G13" s="70">
        <v>8</v>
      </c>
      <c r="H13" s="70">
        <f t="shared" si="1"/>
        <v>200</v>
      </c>
      <c r="J13" s="89" t="s">
        <v>211</v>
      </c>
      <c r="K13" s="89"/>
      <c r="L13" s="89"/>
      <c r="M13" s="89"/>
      <c r="N13" s="89">
        <f t="shared" si="2"/>
        <v>48</v>
      </c>
      <c r="O13" s="89"/>
      <c r="P13" s="70">
        <v>7.5</v>
      </c>
      <c r="Q13" s="70">
        <f t="shared" si="3"/>
        <v>360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'15'!E14</f>
        <v>7</v>
      </c>
      <c r="C14" s="89"/>
      <c r="D14" s="89"/>
      <c r="E14" s="376"/>
      <c r="F14" s="89">
        <f t="shared" si="0"/>
        <v>7</v>
      </c>
      <c r="G14" s="70">
        <v>10</v>
      </c>
      <c r="H14" s="70">
        <f t="shared" si="1"/>
        <v>70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'15'!E15</f>
        <v>30</v>
      </c>
      <c r="C15" s="89"/>
      <c r="D15" s="89"/>
      <c r="E15" s="376">
        <v>10</v>
      </c>
      <c r="F15" s="89">
        <f t="shared" si="0"/>
        <v>20</v>
      </c>
      <c r="G15" s="70">
        <v>25</v>
      </c>
      <c r="H15" s="70">
        <f t="shared" si="1"/>
        <v>500</v>
      </c>
      <c r="J15" s="89" t="s">
        <v>41</v>
      </c>
      <c r="K15" s="89"/>
      <c r="L15" s="89"/>
      <c r="M15" s="89"/>
      <c r="N15" s="89">
        <f t="shared" si="2"/>
        <v>10</v>
      </c>
      <c r="O15" s="89"/>
      <c r="P15" s="70">
        <v>8</v>
      </c>
      <c r="Q15" s="70">
        <f t="shared" si="3"/>
        <v>80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15802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1615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'15'!E17</f>
        <v>66</v>
      </c>
      <c r="C17" s="89"/>
      <c r="D17" s="89"/>
      <c r="E17" s="376">
        <v>57</v>
      </c>
      <c r="F17" s="89">
        <f t="shared" ref="F17:F29" si="6">IFERROR(MAX(0,B17+C17-E17-D17),0)</f>
        <v>9</v>
      </c>
      <c r="G17" s="70">
        <v>20</v>
      </c>
      <c r="H17" s="70">
        <f t="shared" ref="H17:H29" si="7">IFERROR(F17*G17,0)</f>
        <v>180</v>
      </c>
      <c r="J17" s="89" t="s">
        <v>222</v>
      </c>
      <c r="K17" s="89"/>
      <c r="L17" s="89"/>
      <c r="M17" s="89"/>
      <c r="N17" s="89">
        <f t="shared" si="2"/>
        <v>57</v>
      </c>
      <c r="O17" s="89"/>
      <c r="P17" s="70">
        <f t="shared" si="5"/>
        <v>20</v>
      </c>
      <c r="Q17" s="70">
        <f t="shared" si="3"/>
        <v>1140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'15'!E18</f>
        <v>178</v>
      </c>
      <c r="C18" s="89"/>
      <c r="D18" s="89"/>
      <c r="E18" s="376">
        <v>131</v>
      </c>
      <c r="F18" s="89">
        <f t="shared" si="6"/>
        <v>47</v>
      </c>
      <c r="G18" s="70">
        <v>25</v>
      </c>
      <c r="H18" s="70">
        <f t="shared" si="7"/>
        <v>1175</v>
      </c>
      <c r="J18" s="89" t="s">
        <v>36</v>
      </c>
      <c r="K18" s="89"/>
      <c r="L18" s="89"/>
      <c r="M18" s="89"/>
      <c r="N18" s="89">
        <f t="shared" si="2"/>
        <v>131</v>
      </c>
      <c r="O18" s="89"/>
      <c r="P18" s="70">
        <v>7</v>
      </c>
      <c r="Q18" s="70">
        <f t="shared" si="3"/>
        <v>917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8120</v>
      </c>
    </row>
    <row r="19" spans="1:28" ht="14.5">
      <c r="A19" s="89" t="s">
        <v>228</v>
      </c>
      <c r="B19" s="391">
        <f>'15'!E19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'15'!E20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'15'!E21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'15'!E22</f>
        <v>66</v>
      </c>
      <c r="C22" s="89"/>
      <c r="D22" s="89"/>
      <c r="E22" s="376">
        <v>60</v>
      </c>
      <c r="F22" s="89">
        <f t="shared" si="6"/>
        <v>6</v>
      </c>
      <c r="G22" s="70">
        <v>20</v>
      </c>
      <c r="H22" s="70">
        <f t="shared" si="7"/>
        <v>120</v>
      </c>
      <c r="J22" s="89" t="s">
        <v>220</v>
      </c>
      <c r="K22" s="89"/>
      <c r="L22" s="89"/>
      <c r="M22" s="89"/>
      <c r="N22" s="89">
        <f t="shared" si="2"/>
        <v>60</v>
      </c>
      <c r="O22" s="89"/>
      <c r="P22" s="70">
        <v>7.42</v>
      </c>
      <c r="Q22" s="70">
        <f t="shared" si="3"/>
        <v>445.2</v>
      </c>
      <c r="S22" s="381" t="s">
        <v>241</v>
      </c>
      <c r="T22" s="70"/>
      <c r="V22" s="392" t="s">
        <v>17</v>
      </c>
      <c r="W22" s="393">
        <f>SUM(W16:W21)</f>
        <v>1615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'15'!E23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'15'!E24</f>
        <v>20</v>
      </c>
      <c r="C24" s="89"/>
      <c r="D24" s="89"/>
      <c r="E24" s="376">
        <v>16</v>
      </c>
      <c r="F24" s="89">
        <f t="shared" si="6"/>
        <v>4</v>
      </c>
      <c r="G24" s="70">
        <v>25</v>
      </c>
      <c r="H24" s="70">
        <f t="shared" si="7"/>
        <v>100</v>
      </c>
      <c r="J24" s="89" t="s">
        <v>244</v>
      </c>
      <c r="K24" s="89"/>
      <c r="L24" s="89"/>
      <c r="M24" s="89"/>
      <c r="N24" s="89">
        <f t="shared" si="2"/>
        <v>16</v>
      </c>
      <c r="O24" s="89"/>
      <c r="P24" s="70">
        <f>G24</f>
        <v>25</v>
      </c>
      <c r="Q24" s="70">
        <f t="shared" si="3"/>
        <v>400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'15'!E25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>
        <v>4060</v>
      </c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'15'!E26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'15'!E27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'15'!E28</f>
        <v>25</v>
      </c>
      <c r="C28" s="89"/>
      <c r="D28" s="89"/>
      <c r="E28" s="376">
        <v>19</v>
      </c>
      <c r="F28" s="89">
        <f t="shared" si="6"/>
        <v>6</v>
      </c>
      <c r="G28" s="70">
        <v>25</v>
      </c>
      <c r="H28" s="70">
        <f t="shared" si="7"/>
        <v>150</v>
      </c>
      <c r="J28" s="89" t="s">
        <v>251</v>
      </c>
      <c r="K28" s="89"/>
      <c r="L28" s="89"/>
      <c r="M28" s="89"/>
      <c r="N28" s="89">
        <f t="shared" si="2"/>
        <v>19</v>
      </c>
      <c r="O28" s="89"/>
      <c r="P28" s="70">
        <v>10.42</v>
      </c>
      <c r="Q28" s="70">
        <f t="shared" si="3"/>
        <v>197.98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'15'!E29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1725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4060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17527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6225.6799999999994</v>
      </c>
      <c r="R31" s="357"/>
      <c r="S31" s="506" t="s">
        <v>256</v>
      </c>
      <c r="T31" s="438"/>
      <c r="U31" s="438"/>
      <c r="V31" s="507"/>
      <c r="W31" s="407">
        <f>T30+W30+W22+W14</f>
        <v>5675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9735</v>
      </c>
    </row>
    <row r="33" spans="1:27" ht="15.75" customHeight="1">
      <c r="A33" s="3" t="s">
        <v>96</v>
      </c>
      <c r="B33" s="498">
        <f>H31</f>
        <v>17527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5675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4060</v>
      </c>
      <c r="AA34" s="39"/>
    </row>
    <row r="35" spans="1:27" ht="15.75" customHeight="1">
      <c r="A35" s="3" t="s">
        <v>258</v>
      </c>
      <c r="B35" s="499">
        <f>IFERROR(B33-B34,0)</f>
        <v>11852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8120</v>
      </c>
      <c r="AA35" s="39"/>
    </row>
    <row r="36" spans="1:27" ht="15.75" customHeight="1">
      <c r="A36" s="3" t="s">
        <v>259</v>
      </c>
      <c r="B36" s="500">
        <v>11853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12180</v>
      </c>
      <c r="AA36" s="39"/>
    </row>
    <row r="37" spans="1:27" ht="15.75" customHeight="1">
      <c r="A37" s="3" t="s">
        <v>260</v>
      </c>
      <c r="B37" s="498">
        <f>IFERROR(B36-B35,0)</f>
        <v>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46220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'16'!E7</f>
        <v>99</v>
      </c>
      <c r="C7" s="370">
        <v>300</v>
      </c>
      <c r="D7" s="89"/>
      <c r="E7" s="371">
        <v>182</v>
      </c>
      <c r="F7" s="370">
        <f t="shared" ref="F7:F15" si="0">IFERROR(MAX(0,B7+C7-E7-D7),0)</f>
        <v>217</v>
      </c>
      <c r="G7" s="70">
        <v>50</v>
      </c>
      <c r="H7" s="70">
        <f t="shared" ref="H7:H15" si="1">IFERROR(F7*G7,0)</f>
        <v>10850</v>
      </c>
      <c r="J7" s="89" t="s">
        <v>194</v>
      </c>
      <c r="K7" s="89"/>
      <c r="L7" s="89"/>
      <c r="M7" s="89"/>
      <c r="N7" s="370">
        <f t="shared" ref="N7:N30" si="2">E7</f>
        <v>182</v>
      </c>
      <c r="O7" s="89"/>
      <c r="P7" s="70">
        <v>21</v>
      </c>
      <c r="Q7" s="70">
        <f t="shared" ref="Q7:Q29" si="3">IFERROR(N7*P7,0)</f>
        <v>3822</v>
      </c>
      <c r="S7" s="89" t="s">
        <v>195</v>
      </c>
      <c r="T7" s="372">
        <v>4032.69</v>
      </c>
      <c r="V7" s="89" t="s">
        <v>196</v>
      </c>
      <c r="W7" s="372"/>
      <c r="Y7" s="373" t="s">
        <v>197</v>
      </c>
      <c r="Z7" s="374">
        <v>300</v>
      </c>
      <c r="AA7" s="374">
        <v>35</v>
      </c>
      <c r="AB7" s="374">
        <f t="shared" ref="AB7:AB17" si="4">IFERROR(Z7*AA7,0)</f>
        <v>10500</v>
      </c>
    </row>
    <row r="8" spans="1:28" ht="15.5">
      <c r="A8" s="89" t="s">
        <v>102</v>
      </c>
      <c r="B8" s="391">
        <f>'16'!E8</f>
        <v>23</v>
      </c>
      <c r="C8" s="89"/>
      <c r="D8" s="89"/>
      <c r="E8" s="376">
        <v>8</v>
      </c>
      <c r="F8" s="89">
        <f t="shared" si="0"/>
        <v>15</v>
      </c>
      <c r="G8" s="70">
        <v>12</v>
      </c>
      <c r="H8" s="70">
        <f t="shared" si="1"/>
        <v>180</v>
      </c>
      <c r="J8" s="89" t="s">
        <v>198</v>
      </c>
      <c r="K8" s="89"/>
      <c r="L8" s="89"/>
      <c r="M8" s="89"/>
      <c r="N8" s="89">
        <f t="shared" si="2"/>
        <v>8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'16'!E9</f>
        <v>20</v>
      </c>
      <c r="C9" s="89">
        <v>150</v>
      </c>
      <c r="D9" s="89"/>
      <c r="E9" s="376">
        <v>60</v>
      </c>
      <c r="F9" s="89">
        <f t="shared" si="0"/>
        <v>110</v>
      </c>
      <c r="G9" s="70">
        <v>12</v>
      </c>
      <c r="H9" s="70">
        <f t="shared" si="1"/>
        <v>1320</v>
      </c>
      <c r="J9" s="89" t="s">
        <v>200</v>
      </c>
      <c r="K9" s="89"/>
      <c r="L9" s="89"/>
      <c r="M9" s="89"/>
      <c r="N9" s="89">
        <f t="shared" si="2"/>
        <v>60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'16'!E10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'16'!E11</f>
        <v>11</v>
      </c>
      <c r="C11" s="89">
        <v>200</v>
      </c>
      <c r="D11" s="89"/>
      <c r="E11" s="371">
        <v>11</v>
      </c>
      <c r="F11" s="370">
        <f t="shared" si="0"/>
        <v>200</v>
      </c>
      <c r="G11" s="70">
        <v>15</v>
      </c>
      <c r="H11" s="70">
        <f t="shared" si="1"/>
        <v>3000</v>
      </c>
      <c r="J11" s="89" t="s">
        <v>42</v>
      </c>
      <c r="K11" s="89"/>
      <c r="L11" s="89"/>
      <c r="M11" s="89"/>
      <c r="N11" s="370">
        <f t="shared" si="2"/>
        <v>11</v>
      </c>
      <c r="O11" s="89"/>
      <c r="P11" s="70">
        <v>5.5</v>
      </c>
      <c r="Q11" s="70">
        <f t="shared" si="3"/>
        <v>60.5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'16'!E12</f>
        <v>78</v>
      </c>
      <c r="C12" s="89">
        <v>40</v>
      </c>
      <c r="D12" s="89"/>
      <c r="E12" s="376">
        <v>84</v>
      </c>
      <c r="F12" s="89">
        <f t="shared" si="0"/>
        <v>34</v>
      </c>
      <c r="G12" s="70">
        <v>10</v>
      </c>
      <c r="H12" s="70">
        <f t="shared" si="1"/>
        <v>340</v>
      </c>
      <c r="J12" s="89" t="s">
        <v>37</v>
      </c>
      <c r="K12" s="89"/>
      <c r="L12" s="89"/>
      <c r="M12" s="89"/>
      <c r="N12" s="89">
        <f t="shared" si="2"/>
        <v>84</v>
      </c>
      <c r="O12" s="89"/>
      <c r="P12" s="70">
        <v>3.5</v>
      </c>
      <c r="Q12" s="70">
        <f t="shared" si="3"/>
        <v>294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'16'!E13</f>
        <v>48</v>
      </c>
      <c r="C13" s="89">
        <v>80</v>
      </c>
      <c r="D13" s="89"/>
      <c r="E13" s="376">
        <v>97</v>
      </c>
      <c r="F13" s="89">
        <f t="shared" si="0"/>
        <v>31</v>
      </c>
      <c r="G13" s="70">
        <v>8</v>
      </c>
      <c r="H13" s="70">
        <f t="shared" si="1"/>
        <v>248</v>
      </c>
      <c r="J13" s="89" t="s">
        <v>211</v>
      </c>
      <c r="K13" s="89"/>
      <c r="L13" s="89"/>
      <c r="M13" s="89"/>
      <c r="N13" s="89">
        <f t="shared" si="2"/>
        <v>97</v>
      </c>
      <c r="O13" s="89"/>
      <c r="P13" s="70">
        <v>7.5</v>
      </c>
      <c r="Q13" s="70">
        <f t="shared" si="3"/>
        <v>727.5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'16'!E14</f>
        <v>0</v>
      </c>
      <c r="C14" s="89"/>
      <c r="D14" s="89"/>
      <c r="E14" s="376"/>
      <c r="F14" s="89">
        <f t="shared" si="0"/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'16'!E15</f>
        <v>10</v>
      </c>
      <c r="C15" s="89"/>
      <c r="D15" s="89"/>
      <c r="E15" s="376"/>
      <c r="F15" s="89">
        <f t="shared" si="0"/>
        <v>10</v>
      </c>
      <c r="G15" s="70">
        <v>25</v>
      </c>
      <c r="H15" s="70">
        <f t="shared" si="1"/>
        <v>250</v>
      </c>
      <c r="J15" s="89" t="s">
        <v>41</v>
      </c>
      <c r="K15" s="89"/>
      <c r="L15" s="89"/>
      <c r="M15" s="89"/>
      <c r="N15" s="89">
        <f t="shared" si="2"/>
        <v>0</v>
      </c>
      <c r="O15" s="89"/>
      <c r="P15" s="70">
        <v>8</v>
      </c>
      <c r="Q15" s="70">
        <f t="shared" si="3"/>
        <v>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16188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80</v>
      </c>
      <c r="AA16" s="89">
        <v>6</v>
      </c>
      <c r="AB16" s="374">
        <f t="shared" si="4"/>
        <v>480</v>
      </c>
    </row>
    <row r="17" spans="1:28" ht="15.5">
      <c r="A17" s="89" t="s">
        <v>220</v>
      </c>
      <c r="B17" s="391">
        <f>'16'!E17</f>
        <v>57</v>
      </c>
      <c r="C17" s="89"/>
      <c r="D17" s="89"/>
      <c r="E17" s="376">
        <v>43</v>
      </c>
      <c r="F17" s="89">
        <f t="shared" ref="F17:F29" si="6">IFERROR(MAX(0,B17+C17-E17-D17),0)</f>
        <v>14</v>
      </c>
      <c r="G17" s="70">
        <v>20</v>
      </c>
      <c r="H17" s="70">
        <f t="shared" ref="H17:H29" si="7">IFERROR(F17*G17,0)</f>
        <v>280</v>
      </c>
      <c r="J17" s="89" t="s">
        <v>222</v>
      </c>
      <c r="K17" s="89"/>
      <c r="L17" s="89"/>
      <c r="M17" s="89"/>
      <c r="N17" s="89">
        <f t="shared" si="2"/>
        <v>43</v>
      </c>
      <c r="O17" s="89"/>
      <c r="P17" s="70">
        <f t="shared" si="5"/>
        <v>20</v>
      </c>
      <c r="Q17" s="70">
        <f t="shared" si="3"/>
        <v>860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'16'!E18</f>
        <v>131</v>
      </c>
      <c r="C18" s="89">
        <v>120</v>
      </c>
      <c r="D18" s="89"/>
      <c r="E18" s="376">
        <v>206</v>
      </c>
      <c r="F18" s="89">
        <f t="shared" si="6"/>
        <v>45</v>
      </c>
      <c r="G18" s="70">
        <v>25</v>
      </c>
      <c r="H18" s="70">
        <f t="shared" si="7"/>
        <v>1125</v>
      </c>
      <c r="J18" s="89" t="s">
        <v>36</v>
      </c>
      <c r="K18" s="89"/>
      <c r="L18" s="89"/>
      <c r="M18" s="89"/>
      <c r="N18" s="89">
        <f t="shared" si="2"/>
        <v>206</v>
      </c>
      <c r="O18" s="89"/>
      <c r="P18" s="70">
        <v>7</v>
      </c>
      <c r="Q18" s="70">
        <f t="shared" si="3"/>
        <v>1442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12270</v>
      </c>
    </row>
    <row r="19" spans="1:28" ht="14.5">
      <c r="A19" s="89" t="s">
        <v>228</v>
      </c>
      <c r="B19" s="391">
        <f>'16'!E19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'16'!E20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1470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'16'!E21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'16'!E22</f>
        <v>60</v>
      </c>
      <c r="C22" s="89"/>
      <c r="D22" s="89"/>
      <c r="E22" s="376">
        <v>51</v>
      </c>
      <c r="F22" s="89">
        <f t="shared" si="6"/>
        <v>9</v>
      </c>
      <c r="G22" s="70">
        <v>20</v>
      </c>
      <c r="H22" s="70">
        <f t="shared" si="7"/>
        <v>180</v>
      </c>
      <c r="J22" s="89" t="s">
        <v>220</v>
      </c>
      <c r="K22" s="89"/>
      <c r="L22" s="89"/>
      <c r="M22" s="89"/>
      <c r="N22" s="89">
        <f t="shared" si="2"/>
        <v>51</v>
      </c>
      <c r="O22" s="89"/>
      <c r="P22" s="70">
        <v>7.42</v>
      </c>
      <c r="Q22" s="70">
        <f t="shared" si="3"/>
        <v>378.42</v>
      </c>
      <c r="S22" s="381" t="s">
        <v>241</v>
      </c>
      <c r="T22" s="70"/>
      <c r="V22" s="392" t="s">
        <v>17</v>
      </c>
      <c r="W22" s="393">
        <f>SUM(W16:W21)</f>
        <v>3170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'16'!E23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'16'!E24</f>
        <v>16</v>
      </c>
      <c r="C24" s="89"/>
      <c r="D24" s="89"/>
      <c r="E24" s="376">
        <v>15</v>
      </c>
      <c r="F24" s="89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15</v>
      </c>
      <c r="O24" s="89"/>
      <c r="P24" s="70">
        <f>G24</f>
        <v>25</v>
      </c>
      <c r="Q24" s="70">
        <f t="shared" si="3"/>
        <v>375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'16'!E25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>
        <v>168</v>
      </c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'16'!E26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'16'!E27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'16'!E28</f>
        <v>19</v>
      </c>
      <c r="C28" s="89"/>
      <c r="D28" s="89"/>
      <c r="E28" s="376">
        <v>15</v>
      </c>
      <c r="F28" s="89">
        <f t="shared" si="6"/>
        <v>4</v>
      </c>
      <c r="G28" s="70">
        <v>25</v>
      </c>
      <c r="H28" s="70">
        <f t="shared" si="7"/>
        <v>100</v>
      </c>
      <c r="J28" s="89" t="s">
        <v>251</v>
      </c>
      <c r="K28" s="89"/>
      <c r="L28" s="89"/>
      <c r="M28" s="89"/>
      <c r="N28" s="89">
        <f t="shared" si="2"/>
        <v>15</v>
      </c>
      <c r="O28" s="89"/>
      <c r="P28" s="70">
        <v>10.42</v>
      </c>
      <c r="Q28" s="70">
        <f t="shared" si="3"/>
        <v>156.30000000000001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'16'!E29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1710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4200.6900000000005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17898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8388.7199999999993</v>
      </c>
      <c r="R31" s="357"/>
      <c r="S31" s="506" t="s">
        <v>256</v>
      </c>
      <c r="T31" s="438"/>
      <c r="U31" s="438"/>
      <c r="V31" s="507"/>
      <c r="W31" s="407">
        <f>T30+W30+W22+W14</f>
        <v>7460.6900000000005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15440</v>
      </c>
    </row>
    <row r="33" spans="1:27" ht="15.75" customHeight="1">
      <c r="A33" s="3" t="s">
        <v>96</v>
      </c>
      <c r="B33" s="498">
        <f>H31</f>
        <v>17898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7460.6900000000005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4200.6900000000005</v>
      </c>
      <c r="AA34" s="39"/>
    </row>
    <row r="35" spans="1:27" ht="15.75" customHeight="1">
      <c r="A35" s="3" t="s">
        <v>258</v>
      </c>
      <c r="B35" s="499">
        <f>IFERROR(B33-B34,0)</f>
        <v>10437.31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12270</v>
      </c>
      <c r="AA35" s="39"/>
    </row>
    <row r="36" spans="1:27" ht="15.75" customHeight="1">
      <c r="A36" s="3" t="s">
        <v>259</v>
      </c>
      <c r="B36" s="500">
        <v>10438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16470.690000000002</v>
      </c>
      <c r="AA36" s="39"/>
    </row>
    <row r="37" spans="1:27" ht="15.75" customHeight="1">
      <c r="A37" s="3" t="s">
        <v>260</v>
      </c>
      <c r="B37" s="498">
        <f>IFERROR(B36-B35,0)</f>
        <v>0.69000000000050932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B40" s="37"/>
      <c r="E40" s="3"/>
      <c r="F40" s="3"/>
      <c r="G40" s="37"/>
      <c r="H40" s="3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A1" s="420"/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38916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'17'!E7</f>
        <v>182</v>
      </c>
      <c r="C7" s="370">
        <v>500</v>
      </c>
      <c r="D7" s="89"/>
      <c r="E7" s="371">
        <v>487</v>
      </c>
      <c r="F7" s="370">
        <f t="shared" ref="F7:F15" si="0">IFERROR(MAX(0,B7+C7-E7-D7),0)</f>
        <v>195</v>
      </c>
      <c r="G7" s="70">
        <v>50</v>
      </c>
      <c r="H7" s="70">
        <f t="shared" ref="H7:H15" si="1">IFERROR(F7*G7,0)</f>
        <v>9750</v>
      </c>
      <c r="J7" s="89" t="s">
        <v>194</v>
      </c>
      <c r="K7" s="89"/>
      <c r="L7" s="89"/>
      <c r="M7" s="89"/>
      <c r="N7" s="370">
        <f t="shared" ref="N7:N30" si="2">E7</f>
        <v>487</v>
      </c>
      <c r="O7" s="89"/>
      <c r="P7" s="70">
        <v>21</v>
      </c>
      <c r="Q7" s="70">
        <f t="shared" ref="Q7:Q29" si="3">IFERROR(N7*P7,0)</f>
        <v>10227</v>
      </c>
      <c r="S7" s="89" t="s">
        <v>195</v>
      </c>
      <c r="T7" s="364"/>
      <c r="V7" s="89" t="s">
        <v>196</v>
      </c>
      <c r="W7" s="372">
        <v>13000</v>
      </c>
      <c r="Y7" s="373" t="s">
        <v>197</v>
      </c>
      <c r="Z7" s="374">
        <v>500</v>
      </c>
      <c r="AA7" s="374">
        <v>35</v>
      </c>
      <c r="AB7" s="374">
        <f t="shared" ref="AB7:AB17" si="4">IFERROR(Z7*AA7,0)</f>
        <v>17500</v>
      </c>
    </row>
    <row r="8" spans="1:28" ht="15.5">
      <c r="A8" s="89" t="s">
        <v>102</v>
      </c>
      <c r="B8" s="391">
        <f>'17'!E8</f>
        <v>8</v>
      </c>
      <c r="C8" s="89">
        <v>20</v>
      </c>
      <c r="D8" s="89"/>
      <c r="E8" s="376">
        <v>5</v>
      </c>
      <c r="F8" s="89">
        <f t="shared" si="0"/>
        <v>23</v>
      </c>
      <c r="G8" s="70">
        <v>12</v>
      </c>
      <c r="H8" s="70">
        <f t="shared" si="1"/>
        <v>276</v>
      </c>
      <c r="J8" s="89" t="s">
        <v>198</v>
      </c>
      <c r="K8" s="89"/>
      <c r="L8" s="89"/>
      <c r="M8" s="89"/>
      <c r="N8" s="89">
        <f t="shared" si="2"/>
        <v>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200</v>
      </c>
      <c r="AA8" s="374">
        <v>7</v>
      </c>
      <c r="AB8" s="374">
        <f t="shared" si="4"/>
        <v>1400</v>
      </c>
    </row>
    <row r="9" spans="1:28" ht="15.5">
      <c r="A9" s="89" t="s">
        <v>53</v>
      </c>
      <c r="B9" s="391">
        <f>'17'!E9</f>
        <v>60</v>
      </c>
      <c r="C9" s="89">
        <v>200</v>
      </c>
      <c r="D9" s="89"/>
      <c r="E9" s="376">
        <v>160</v>
      </c>
      <c r="F9" s="89">
        <f t="shared" si="0"/>
        <v>100</v>
      </c>
      <c r="G9" s="70">
        <v>12</v>
      </c>
      <c r="H9" s="70">
        <f t="shared" si="1"/>
        <v>1200</v>
      </c>
      <c r="J9" s="89" t="s">
        <v>200</v>
      </c>
      <c r="K9" s="89"/>
      <c r="L9" s="89"/>
      <c r="M9" s="89"/>
      <c r="N9" s="89">
        <f t="shared" si="2"/>
        <v>160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'17'!E10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>
        <v>350</v>
      </c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'17'!E11</f>
        <v>11</v>
      </c>
      <c r="C11" s="89">
        <v>200</v>
      </c>
      <c r="D11" s="89"/>
      <c r="E11" s="371">
        <v>14</v>
      </c>
      <c r="F11" s="370">
        <f t="shared" si="0"/>
        <v>197</v>
      </c>
      <c r="G11" s="70">
        <v>15</v>
      </c>
      <c r="H11" s="70">
        <f t="shared" si="1"/>
        <v>2955</v>
      </c>
      <c r="J11" s="89" t="s">
        <v>42</v>
      </c>
      <c r="K11" s="89"/>
      <c r="L11" s="89"/>
      <c r="M11" s="89"/>
      <c r="N11" s="370">
        <f t="shared" si="2"/>
        <v>14</v>
      </c>
      <c r="O11" s="89"/>
      <c r="P11" s="70">
        <v>5.5</v>
      </c>
      <c r="Q11" s="70">
        <f t="shared" si="3"/>
        <v>77</v>
      </c>
      <c r="S11" s="89" t="s">
        <v>204</v>
      </c>
      <c r="T11" s="380"/>
      <c r="V11" s="89" t="s">
        <v>205</v>
      </c>
      <c r="W11" s="53">
        <v>237.5</v>
      </c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91">
        <f>'17'!E12</f>
        <v>84</v>
      </c>
      <c r="C12" s="89">
        <v>60</v>
      </c>
      <c r="D12" s="89"/>
      <c r="E12" s="376">
        <v>94</v>
      </c>
      <c r="F12" s="89">
        <f t="shared" si="0"/>
        <v>50</v>
      </c>
      <c r="G12" s="70">
        <v>10</v>
      </c>
      <c r="H12" s="70">
        <f t="shared" si="1"/>
        <v>500</v>
      </c>
      <c r="J12" s="89" t="s">
        <v>37</v>
      </c>
      <c r="K12" s="89"/>
      <c r="L12" s="89"/>
      <c r="M12" s="89"/>
      <c r="N12" s="89">
        <f t="shared" si="2"/>
        <v>94</v>
      </c>
      <c r="O12" s="89"/>
      <c r="P12" s="70">
        <v>3.5</v>
      </c>
      <c r="Q12" s="70">
        <f t="shared" si="3"/>
        <v>329</v>
      </c>
      <c r="S12" s="381" t="s">
        <v>208</v>
      </c>
      <c r="T12" s="70"/>
      <c r="V12" s="89" t="s">
        <v>209</v>
      </c>
      <c r="W12" s="53">
        <v>500</v>
      </c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'17'!E13</f>
        <v>97</v>
      </c>
      <c r="C13" s="89">
        <v>40</v>
      </c>
      <c r="D13" s="89"/>
      <c r="E13" s="376">
        <v>90</v>
      </c>
      <c r="F13" s="89">
        <f t="shared" si="0"/>
        <v>47</v>
      </c>
      <c r="G13" s="70">
        <v>8</v>
      </c>
      <c r="H13" s="70">
        <f t="shared" si="1"/>
        <v>376</v>
      </c>
      <c r="J13" s="89" t="s">
        <v>211</v>
      </c>
      <c r="K13" s="89"/>
      <c r="L13" s="89"/>
      <c r="M13" s="89"/>
      <c r="N13" s="89">
        <f t="shared" si="2"/>
        <v>90</v>
      </c>
      <c r="O13" s="89"/>
      <c r="P13" s="70">
        <v>7.5</v>
      </c>
      <c r="Q13" s="70">
        <f t="shared" si="3"/>
        <v>675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'17'!E14</f>
        <v>0</v>
      </c>
      <c r="C14" s="89"/>
      <c r="D14" s="89"/>
      <c r="E14" s="376"/>
      <c r="F14" s="89">
        <f t="shared" si="0"/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12612.5</v>
      </c>
      <c r="Y14" s="89" t="s">
        <v>127</v>
      </c>
      <c r="Z14" s="70">
        <v>20</v>
      </c>
      <c r="AA14" s="70">
        <v>27</v>
      </c>
      <c r="AB14" s="374">
        <f t="shared" si="4"/>
        <v>540</v>
      </c>
    </row>
    <row r="15" spans="1:28" ht="15.5">
      <c r="A15" s="89" t="s">
        <v>216</v>
      </c>
      <c r="B15" s="391">
        <f>'17'!E15</f>
        <v>0</v>
      </c>
      <c r="C15" s="89">
        <v>50</v>
      </c>
      <c r="D15" s="89"/>
      <c r="E15" s="376">
        <v>30</v>
      </c>
      <c r="F15" s="89">
        <f t="shared" si="0"/>
        <v>20</v>
      </c>
      <c r="G15" s="70">
        <v>25</v>
      </c>
      <c r="H15" s="70">
        <f t="shared" si="1"/>
        <v>500</v>
      </c>
      <c r="J15" s="89" t="s">
        <v>41</v>
      </c>
      <c r="K15" s="89"/>
      <c r="L15" s="89"/>
      <c r="M15" s="89"/>
      <c r="N15" s="89">
        <f t="shared" si="2"/>
        <v>30</v>
      </c>
      <c r="O15" s="89"/>
      <c r="P15" s="70">
        <v>8</v>
      </c>
      <c r="Q15" s="70">
        <f t="shared" si="3"/>
        <v>240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15557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'17'!E17</f>
        <v>43</v>
      </c>
      <c r="C17" s="89"/>
      <c r="D17" s="89"/>
      <c r="E17" s="376">
        <v>30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30</v>
      </c>
      <c r="O17" s="89"/>
      <c r="P17" s="70">
        <f t="shared" si="5"/>
        <v>20</v>
      </c>
      <c r="Q17" s="70">
        <f t="shared" si="3"/>
        <v>600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'17'!E18</f>
        <v>206</v>
      </c>
      <c r="C18" s="89"/>
      <c r="D18" s="89"/>
      <c r="E18" s="376">
        <v>178</v>
      </c>
      <c r="F18" s="89">
        <f t="shared" si="6"/>
        <v>28</v>
      </c>
      <c r="G18" s="70">
        <v>25</v>
      </c>
      <c r="H18" s="70">
        <f t="shared" si="7"/>
        <v>700</v>
      </c>
      <c r="J18" s="89" t="s">
        <v>36</v>
      </c>
      <c r="K18" s="89"/>
      <c r="L18" s="89"/>
      <c r="M18" s="89"/>
      <c r="N18" s="89">
        <f t="shared" si="2"/>
        <v>178</v>
      </c>
      <c r="O18" s="89"/>
      <c r="P18" s="70">
        <v>7</v>
      </c>
      <c r="Q18" s="70">
        <f t="shared" si="3"/>
        <v>1246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22701</v>
      </c>
    </row>
    <row r="19" spans="1:28" ht="14.5">
      <c r="A19" s="89" t="s">
        <v>228</v>
      </c>
      <c r="B19" s="391">
        <f>'17'!E19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'17'!E20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>
        <v>11.07</v>
      </c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'17'!E21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'17'!E22</f>
        <v>51</v>
      </c>
      <c r="C22" s="89"/>
      <c r="D22" s="89"/>
      <c r="E22" s="376">
        <v>44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44</v>
      </c>
      <c r="O22" s="89"/>
      <c r="P22" s="70">
        <v>7.42</v>
      </c>
      <c r="Q22" s="70">
        <f t="shared" si="3"/>
        <v>326.48</v>
      </c>
      <c r="S22" s="381" t="s">
        <v>241</v>
      </c>
      <c r="T22" s="70"/>
      <c r="V22" s="392" t="s">
        <v>17</v>
      </c>
      <c r="W22" s="393">
        <f>SUM(W16:W21)</f>
        <v>1700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'17'!E23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'17'!E24</f>
        <v>15</v>
      </c>
      <c r="C24" s="89"/>
      <c r="D24" s="89"/>
      <c r="E24" s="376">
        <v>14</v>
      </c>
      <c r="F24" s="89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14</v>
      </c>
      <c r="O24" s="89"/>
      <c r="P24" s="70">
        <f>G24</f>
        <v>25</v>
      </c>
      <c r="Q24" s="70">
        <f t="shared" si="3"/>
        <v>350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'17'!E25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'17'!E26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'17'!E27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'17'!E28</f>
        <v>15</v>
      </c>
      <c r="C28" s="89"/>
      <c r="D28" s="89"/>
      <c r="E28" s="376">
        <v>13</v>
      </c>
      <c r="F28" s="89">
        <f t="shared" si="6"/>
        <v>2</v>
      </c>
      <c r="G28" s="70">
        <v>25</v>
      </c>
      <c r="H28" s="70">
        <f t="shared" si="7"/>
        <v>50</v>
      </c>
      <c r="J28" s="89" t="s">
        <v>251</v>
      </c>
      <c r="K28" s="89"/>
      <c r="L28" s="89"/>
      <c r="M28" s="89"/>
      <c r="N28" s="89">
        <f t="shared" si="2"/>
        <v>13</v>
      </c>
      <c r="O28" s="89"/>
      <c r="P28" s="70">
        <v>10.42</v>
      </c>
      <c r="Q28" s="70">
        <f t="shared" si="3"/>
        <v>135.46</v>
      </c>
      <c r="S28" s="89" t="s">
        <v>252</v>
      </c>
      <c r="T28" s="70"/>
      <c r="U28" s="3"/>
      <c r="V28" s="381" t="s">
        <v>253</v>
      </c>
      <c r="W28" s="53">
        <v>30</v>
      </c>
      <c r="Y28" s="3"/>
      <c r="Z28" s="39"/>
      <c r="AA28" s="3"/>
      <c r="AB28" s="3"/>
    </row>
    <row r="29" spans="1:28" ht="15.75" customHeight="1">
      <c r="A29" s="89" t="s">
        <v>33</v>
      </c>
      <c r="B29" s="391">
        <f>'17'!E29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1175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11.07</v>
      </c>
      <c r="U30" s="3"/>
      <c r="V30" s="402" t="s">
        <v>16</v>
      </c>
      <c r="W30" s="403">
        <f>SUM(W24:W29)</f>
        <v>30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16732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14478.939999999999</v>
      </c>
      <c r="R31" s="357"/>
      <c r="S31" s="506" t="s">
        <v>256</v>
      </c>
      <c r="T31" s="438"/>
      <c r="U31" s="438"/>
      <c r="V31" s="507"/>
      <c r="W31" s="407">
        <f>T30+W30+W22+W14</f>
        <v>14353.57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22270</v>
      </c>
    </row>
    <row r="33" spans="1:27" ht="15.75" customHeight="1">
      <c r="A33" s="3" t="s">
        <v>96</v>
      </c>
      <c r="B33" s="498">
        <f>H31</f>
        <v>16732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14353.57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15254.57</v>
      </c>
      <c r="AA34" s="39"/>
    </row>
    <row r="35" spans="1:27" ht="15.75" customHeight="1">
      <c r="A35" s="3" t="s">
        <v>258</v>
      </c>
      <c r="B35" s="499">
        <f>IFERROR(B33-B34,0)</f>
        <v>2378.4300000000003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20570</v>
      </c>
      <c r="AA35" s="39"/>
    </row>
    <row r="36" spans="1:27" ht="15.75" customHeight="1">
      <c r="A36" s="3" t="s">
        <v>259</v>
      </c>
      <c r="B36" s="500">
        <v>2379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35824.57</v>
      </c>
      <c r="AA36" s="39"/>
    </row>
    <row r="37" spans="1:27" ht="15.75" customHeight="1">
      <c r="A37" s="3" t="s">
        <v>260</v>
      </c>
      <c r="B37" s="498">
        <f>IFERROR(B36-B35,0)</f>
        <v>0.56999999999970896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2131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737.5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12762.5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A1" s="37">
        <v>6</v>
      </c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46222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30</v>
      </c>
      <c r="B7" s="390">
        <f>'18'!E7</f>
        <v>487</v>
      </c>
      <c r="C7" s="370"/>
      <c r="D7" s="89"/>
      <c r="E7" s="371">
        <v>251</v>
      </c>
      <c r="F7" s="370">
        <f t="shared" ref="F7:F15" si="0">IFERROR(MAX(0,B7+C7-E7-D7),0)</f>
        <v>236</v>
      </c>
      <c r="G7" s="70">
        <v>50</v>
      </c>
      <c r="H7" s="70">
        <f t="shared" ref="H7:H15" si="1">IFERROR(F7*G7,0)</f>
        <v>11800</v>
      </c>
      <c r="J7" s="89" t="s">
        <v>194</v>
      </c>
      <c r="K7" s="89"/>
      <c r="L7" s="89"/>
      <c r="M7" s="89"/>
      <c r="N7" s="370">
        <f t="shared" ref="N7:N30" si="2">E7</f>
        <v>251</v>
      </c>
      <c r="O7" s="89"/>
      <c r="P7" s="70">
        <v>21</v>
      </c>
      <c r="Q7" s="70">
        <f t="shared" ref="Q7:Q29" si="3">IFERROR(N7*P7,0)</f>
        <v>5271</v>
      </c>
      <c r="S7" s="89" t="s">
        <v>195</v>
      </c>
      <c r="T7" s="364"/>
      <c r="V7" s="89" t="s">
        <v>196</v>
      </c>
      <c r="W7" s="372"/>
      <c r="Y7" s="373" t="s">
        <v>197</v>
      </c>
      <c r="Z7" s="374"/>
      <c r="AA7" s="374">
        <v>35</v>
      </c>
      <c r="AB7" s="374">
        <f t="shared" ref="AB7:AB17" si="4">IFERROR(Z7*AA7,0)</f>
        <v>0</v>
      </c>
    </row>
    <row r="8" spans="1:28" ht="15.5">
      <c r="A8" s="89" t="s">
        <v>102</v>
      </c>
      <c r="B8" s="391">
        <f>'18'!E8</f>
        <v>5</v>
      </c>
      <c r="C8" s="89"/>
      <c r="D8" s="89"/>
      <c r="E8" s="376"/>
      <c r="F8" s="89">
        <f t="shared" si="0"/>
        <v>5</v>
      </c>
      <c r="G8" s="70">
        <v>12</v>
      </c>
      <c r="H8" s="70">
        <f t="shared" si="1"/>
        <v>60</v>
      </c>
      <c r="J8" s="89" t="s">
        <v>198</v>
      </c>
      <c r="K8" s="89"/>
      <c r="L8" s="89"/>
      <c r="M8" s="89"/>
      <c r="N8" s="89">
        <f t="shared" si="2"/>
        <v>0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91">
        <f>'18'!E9</f>
        <v>160</v>
      </c>
      <c r="C9" s="89"/>
      <c r="D9" s="89"/>
      <c r="E9" s="376">
        <v>40</v>
      </c>
      <c r="F9" s="89">
        <f t="shared" si="0"/>
        <v>120</v>
      </c>
      <c r="G9" s="70">
        <v>12</v>
      </c>
      <c r="H9" s="70">
        <f t="shared" si="1"/>
        <v>1440</v>
      </c>
      <c r="J9" s="89" t="s">
        <v>200</v>
      </c>
      <c r="K9" s="89"/>
      <c r="L9" s="89"/>
      <c r="M9" s="89"/>
      <c r="N9" s="89">
        <f t="shared" si="2"/>
        <v>40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'18'!E10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90">
        <f>'18'!E11</f>
        <v>14</v>
      </c>
      <c r="C11" s="89">
        <v>250</v>
      </c>
      <c r="D11" s="89"/>
      <c r="E11" s="371">
        <v>35</v>
      </c>
      <c r="F11" s="370">
        <f t="shared" si="0"/>
        <v>229</v>
      </c>
      <c r="G11" s="70">
        <v>15</v>
      </c>
      <c r="H11" s="70">
        <f t="shared" si="1"/>
        <v>3435</v>
      </c>
      <c r="J11" s="89" t="s">
        <v>42</v>
      </c>
      <c r="K11" s="89"/>
      <c r="L11" s="89"/>
      <c r="M11" s="89"/>
      <c r="N11" s="370">
        <f t="shared" si="2"/>
        <v>35</v>
      </c>
      <c r="O11" s="89"/>
      <c r="P11" s="70">
        <v>5.5</v>
      </c>
      <c r="Q11" s="70">
        <f t="shared" si="3"/>
        <v>192.5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'18'!E12</f>
        <v>94</v>
      </c>
      <c r="C12" s="89"/>
      <c r="D12" s="89"/>
      <c r="E12" s="376">
        <v>60</v>
      </c>
      <c r="F12" s="89">
        <f t="shared" si="0"/>
        <v>34</v>
      </c>
      <c r="G12" s="70">
        <v>10</v>
      </c>
      <c r="H12" s="70">
        <f t="shared" si="1"/>
        <v>340</v>
      </c>
      <c r="J12" s="89" t="s">
        <v>37</v>
      </c>
      <c r="K12" s="89"/>
      <c r="L12" s="89"/>
      <c r="M12" s="89"/>
      <c r="N12" s="89">
        <f t="shared" si="2"/>
        <v>60</v>
      </c>
      <c r="O12" s="89"/>
      <c r="P12" s="70">
        <v>3.5</v>
      </c>
      <c r="Q12" s="70">
        <f t="shared" si="3"/>
        <v>210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'18'!E13</f>
        <v>90</v>
      </c>
      <c r="C13" s="89"/>
      <c r="D13" s="89"/>
      <c r="E13" s="376">
        <v>46</v>
      </c>
      <c r="F13" s="89">
        <f t="shared" si="0"/>
        <v>44</v>
      </c>
      <c r="G13" s="70">
        <v>8</v>
      </c>
      <c r="H13" s="70">
        <f t="shared" si="1"/>
        <v>352</v>
      </c>
      <c r="J13" s="89" t="s">
        <v>211</v>
      </c>
      <c r="K13" s="89"/>
      <c r="L13" s="89"/>
      <c r="M13" s="89"/>
      <c r="N13" s="89">
        <f t="shared" si="2"/>
        <v>46</v>
      </c>
      <c r="O13" s="89"/>
      <c r="P13" s="70">
        <v>7.5</v>
      </c>
      <c r="Q13" s="70">
        <f t="shared" si="3"/>
        <v>345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'18'!E14</f>
        <v>0</v>
      </c>
      <c r="C14" s="89"/>
      <c r="D14" s="89"/>
      <c r="E14" s="376"/>
      <c r="F14" s="89">
        <f t="shared" si="0"/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'18'!E15</f>
        <v>30</v>
      </c>
      <c r="C15" s="89"/>
      <c r="D15" s="89"/>
      <c r="E15" s="376">
        <v>5</v>
      </c>
      <c r="F15" s="89">
        <f t="shared" si="0"/>
        <v>25</v>
      </c>
      <c r="G15" s="70">
        <v>25</v>
      </c>
      <c r="H15" s="70">
        <f t="shared" si="1"/>
        <v>625</v>
      </c>
      <c r="J15" s="89" t="s">
        <v>41</v>
      </c>
      <c r="K15" s="89"/>
      <c r="L15" s="89"/>
      <c r="M15" s="89"/>
      <c r="N15" s="89">
        <f t="shared" si="2"/>
        <v>5</v>
      </c>
      <c r="O15" s="89"/>
      <c r="P15" s="70">
        <v>8</v>
      </c>
      <c r="Q15" s="70">
        <f t="shared" si="3"/>
        <v>40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'18'!E16</f>
        <v>0</v>
      </c>
      <c r="C16" s="386"/>
      <c r="D16" s="386"/>
      <c r="E16" s="386"/>
      <c r="F16" s="386"/>
      <c r="G16" s="387"/>
      <c r="H16" s="345">
        <f>IFERROR(SUM(H7:H15),0)</f>
        <v>18052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76.95</v>
      </c>
      <c r="V16" s="89" t="s">
        <v>37</v>
      </c>
      <c r="W16" s="53">
        <v>2125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91">
        <f>'18'!E17</f>
        <v>30</v>
      </c>
      <c r="C17" s="89"/>
      <c r="D17" s="89"/>
      <c r="E17" s="376">
        <v>9</v>
      </c>
      <c r="F17" s="89">
        <f t="shared" ref="F17:F29" si="6">IFERROR(MAX(0,B17+C17-E17-D17),0)</f>
        <v>21</v>
      </c>
      <c r="G17" s="70">
        <v>20</v>
      </c>
      <c r="H17" s="70">
        <f t="shared" ref="H17:H29" si="7">IFERROR(F17*G17,0)</f>
        <v>420</v>
      </c>
      <c r="J17" s="89" t="s">
        <v>222</v>
      </c>
      <c r="K17" s="89"/>
      <c r="L17" s="89"/>
      <c r="M17" s="89"/>
      <c r="N17" s="89">
        <f t="shared" si="2"/>
        <v>9</v>
      </c>
      <c r="O17" s="89"/>
      <c r="P17" s="70">
        <f t="shared" si="5"/>
        <v>20</v>
      </c>
      <c r="Q17" s="70">
        <f t="shared" si="3"/>
        <v>180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'18'!E18</f>
        <v>178</v>
      </c>
      <c r="C18" s="89"/>
      <c r="D18" s="89"/>
      <c r="E18" s="376">
        <v>117</v>
      </c>
      <c r="F18" s="89">
        <f t="shared" si="6"/>
        <v>61</v>
      </c>
      <c r="G18" s="70">
        <v>25</v>
      </c>
      <c r="H18" s="70">
        <f t="shared" si="7"/>
        <v>1525</v>
      </c>
      <c r="J18" s="89" t="s">
        <v>36</v>
      </c>
      <c r="K18" s="89"/>
      <c r="L18" s="89"/>
      <c r="M18" s="89"/>
      <c r="N18" s="89">
        <f t="shared" si="2"/>
        <v>117</v>
      </c>
      <c r="O18" s="89"/>
      <c r="P18" s="70">
        <v>7</v>
      </c>
      <c r="Q18" s="70">
        <f t="shared" si="3"/>
        <v>819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0</v>
      </c>
    </row>
    <row r="19" spans="1:28" ht="14.5">
      <c r="A19" s="89" t="s">
        <v>228</v>
      </c>
      <c r="B19" s="391">
        <f>'18'!E19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'18'!E20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>
        <v>8.92</v>
      </c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'18'!E21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'18'!E22</f>
        <v>44</v>
      </c>
      <c r="C22" s="89"/>
      <c r="D22" s="89"/>
      <c r="E22" s="376">
        <v>35</v>
      </c>
      <c r="F22" s="89">
        <f t="shared" si="6"/>
        <v>9</v>
      </c>
      <c r="G22" s="70">
        <v>20</v>
      </c>
      <c r="H22" s="70">
        <f t="shared" si="7"/>
        <v>180</v>
      </c>
      <c r="J22" s="89" t="s">
        <v>220</v>
      </c>
      <c r="K22" s="89"/>
      <c r="L22" s="89"/>
      <c r="M22" s="89"/>
      <c r="N22" s="89">
        <f t="shared" si="2"/>
        <v>35</v>
      </c>
      <c r="O22" s="89"/>
      <c r="P22" s="70">
        <v>7.42</v>
      </c>
      <c r="Q22" s="70">
        <f t="shared" si="3"/>
        <v>259.7</v>
      </c>
      <c r="S22" s="381" t="s">
        <v>241</v>
      </c>
      <c r="T22" s="70"/>
      <c r="V22" s="392" t="s">
        <v>17</v>
      </c>
      <c r="W22" s="393">
        <f>SUM(W16:W21)</f>
        <v>2125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'18'!E23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'18'!E24</f>
        <v>14</v>
      </c>
      <c r="C24" s="89"/>
      <c r="D24" s="89"/>
      <c r="E24" s="376">
        <v>10</v>
      </c>
      <c r="F24" s="89">
        <f t="shared" si="6"/>
        <v>4</v>
      </c>
      <c r="G24" s="70">
        <v>25</v>
      </c>
      <c r="H24" s="70">
        <f t="shared" si="7"/>
        <v>100</v>
      </c>
      <c r="J24" s="89" t="s">
        <v>244</v>
      </c>
      <c r="K24" s="89"/>
      <c r="L24" s="89"/>
      <c r="M24" s="89"/>
      <c r="N24" s="89">
        <f t="shared" si="2"/>
        <v>10</v>
      </c>
      <c r="O24" s="89"/>
      <c r="P24" s="70">
        <f>G24</f>
        <v>25</v>
      </c>
      <c r="Q24" s="70">
        <f t="shared" si="3"/>
        <v>250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'18'!E25</f>
        <v>0</v>
      </c>
      <c r="C25" s="89"/>
      <c r="D25" s="89"/>
      <c r="E25" s="376"/>
      <c r="F25" s="89">
        <f t="shared" si="6"/>
        <v>0</v>
      </c>
      <c r="G25" s="70">
        <v>22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'18'!E26</f>
        <v>0</v>
      </c>
      <c r="C26" s="89"/>
      <c r="D26" s="89"/>
      <c r="E26" s="376"/>
      <c r="F26" s="89">
        <f t="shared" si="6"/>
        <v>0</v>
      </c>
      <c r="G26" s="70">
        <v>20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'18'!E27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'18'!E28</f>
        <v>13</v>
      </c>
      <c r="C28" s="89"/>
      <c r="D28" s="89"/>
      <c r="E28" s="376">
        <v>12</v>
      </c>
      <c r="F28" s="89">
        <f t="shared" si="6"/>
        <v>1</v>
      </c>
      <c r="G28" s="70">
        <v>25</v>
      </c>
      <c r="H28" s="70">
        <f t="shared" si="7"/>
        <v>25</v>
      </c>
      <c r="J28" s="89" t="s">
        <v>251</v>
      </c>
      <c r="K28" s="89"/>
      <c r="L28" s="89"/>
      <c r="M28" s="89"/>
      <c r="N28" s="89">
        <f t="shared" si="2"/>
        <v>12</v>
      </c>
      <c r="O28" s="89"/>
      <c r="P28" s="70">
        <v>10.42</v>
      </c>
      <c r="Q28" s="70">
        <f t="shared" si="3"/>
        <v>125.03999999999999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33</v>
      </c>
      <c r="B29" s="391">
        <f>'18'!E29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2250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85.87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20302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7965.24</v>
      </c>
      <c r="R31" s="357"/>
      <c r="S31" s="506" t="s">
        <v>256</v>
      </c>
      <c r="T31" s="438"/>
      <c r="U31" s="438"/>
      <c r="V31" s="507"/>
      <c r="W31" s="407">
        <f>T30+W30+W22+W14</f>
        <v>2210.87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2125</v>
      </c>
    </row>
    <row r="33" spans="1:27" ht="15.75" customHeight="1">
      <c r="A33" s="3" t="s">
        <v>96</v>
      </c>
      <c r="B33" s="498">
        <f>H31</f>
        <v>20302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2210.87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85.87</v>
      </c>
      <c r="AA34" s="39"/>
    </row>
    <row r="35" spans="1:27" ht="15.75" customHeight="1">
      <c r="A35" s="3" t="s">
        <v>258</v>
      </c>
      <c r="B35" s="499">
        <f>IFERROR(B33-B34,0)</f>
        <v>18091.13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0</v>
      </c>
      <c r="AA35" s="39"/>
    </row>
    <row r="36" spans="1:27" ht="15.75" customHeight="1">
      <c r="A36" s="3" t="s">
        <v>259</v>
      </c>
      <c r="B36" s="500">
        <v>18092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85.87</v>
      </c>
      <c r="AA36" s="39"/>
    </row>
    <row r="37" spans="1:27" ht="15.75" customHeight="1">
      <c r="A37" s="3" t="s">
        <v>260</v>
      </c>
      <c r="B37" s="498">
        <f>IFERROR(B36-B35,0)</f>
        <v>0.86999999999898137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46223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'19'!E7</f>
        <v>251</v>
      </c>
      <c r="C7" s="370">
        <v>150</v>
      </c>
      <c r="D7" s="89"/>
      <c r="E7" s="371">
        <v>225</v>
      </c>
      <c r="F7" s="370">
        <f t="shared" ref="F7:F15" si="0">IFERROR(MAX(0,B7+C7-E7-D7),0)</f>
        <v>176</v>
      </c>
      <c r="G7" s="70">
        <v>50</v>
      </c>
      <c r="H7" s="70">
        <f t="shared" ref="H7:H15" si="1">IFERROR(F7*G7,0)</f>
        <v>8800</v>
      </c>
      <c r="J7" s="89" t="s">
        <v>194</v>
      </c>
      <c r="K7" s="89"/>
      <c r="L7" s="89"/>
      <c r="M7" s="89"/>
      <c r="N7" s="370">
        <f t="shared" ref="N7:N30" si="2">E7</f>
        <v>225</v>
      </c>
      <c r="O7" s="89"/>
      <c r="P7" s="70">
        <v>21</v>
      </c>
      <c r="Q7" s="70">
        <f t="shared" ref="Q7:Q29" si="3">IFERROR(N7*P7,0)</f>
        <v>4725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'19'!E8</f>
        <v>0</v>
      </c>
      <c r="C8" s="89">
        <v>20</v>
      </c>
      <c r="D8" s="89"/>
      <c r="E8" s="376">
        <v>15</v>
      </c>
      <c r="F8" s="89">
        <f t="shared" si="0"/>
        <v>5</v>
      </c>
      <c r="G8" s="70">
        <v>12</v>
      </c>
      <c r="H8" s="70">
        <f t="shared" si="1"/>
        <v>60</v>
      </c>
      <c r="J8" s="89" t="s">
        <v>198</v>
      </c>
      <c r="K8" s="89"/>
      <c r="L8" s="89"/>
      <c r="M8" s="89"/>
      <c r="N8" s="89">
        <f t="shared" si="2"/>
        <v>15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'19'!E9</f>
        <v>40</v>
      </c>
      <c r="C9" s="89">
        <v>50</v>
      </c>
      <c r="D9" s="89"/>
      <c r="E9" s="376"/>
      <c r="F9" s="89">
        <f t="shared" si="0"/>
        <v>90</v>
      </c>
      <c r="G9" s="70">
        <v>12</v>
      </c>
      <c r="H9" s="70">
        <f t="shared" si="1"/>
        <v>1080</v>
      </c>
      <c r="J9" s="89" t="s">
        <v>200</v>
      </c>
      <c r="K9" s="89"/>
      <c r="L9" s="89"/>
      <c r="M9" s="89"/>
      <c r="N9" s="89">
        <f t="shared" si="2"/>
        <v>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'19'!E10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'19'!E11</f>
        <v>35</v>
      </c>
      <c r="C11" s="89">
        <v>180</v>
      </c>
      <c r="D11" s="89"/>
      <c r="E11" s="371">
        <v>30</v>
      </c>
      <c r="F11" s="370">
        <f t="shared" si="0"/>
        <v>185</v>
      </c>
      <c r="G11" s="70">
        <v>15</v>
      </c>
      <c r="H11" s="70">
        <f t="shared" si="1"/>
        <v>2775</v>
      </c>
      <c r="J11" s="89" t="s">
        <v>42</v>
      </c>
      <c r="K11" s="89"/>
      <c r="L11" s="89"/>
      <c r="M11" s="89"/>
      <c r="N11" s="370">
        <f t="shared" si="2"/>
        <v>30</v>
      </c>
      <c r="O11" s="89"/>
      <c r="P11" s="70">
        <v>5.5</v>
      </c>
      <c r="Q11" s="70">
        <f t="shared" si="3"/>
        <v>165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'19'!E12</f>
        <v>60</v>
      </c>
      <c r="C12" s="89">
        <v>60</v>
      </c>
      <c r="D12" s="89"/>
      <c r="E12" s="376">
        <v>95</v>
      </c>
      <c r="F12" s="89">
        <f t="shared" si="0"/>
        <v>25</v>
      </c>
      <c r="G12" s="70">
        <v>10</v>
      </c>
      <c r="H12" s="70">
        <f t="shared" si="1"/>
        <v>250</v>
      </c>
      <c r="J12" s="89" t="s">
        <v>37</v>
      </c>
      <c r="K12" s="89"/>
      <c r="L12" s="89"/>
      <c r="M12" s="89"/>
      <c r="N12" s="89">
        <f t="shared" si="2"/>
        <v>95</v>
      </c>
      <c r="O12" s="89"/>
      <c r="P12" s="70">
        <v>3.5</v>
      </c>
      <c r="Q12" s="70">
        <f t="shared" si="3"/>
        <v>332.5</v>
      </c>
      <c r="S12" s="381" t="s">
        <v>208</v>
      </c>
      <c r="T12" s="70">
        <v>479</v>
      </c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'19'!E13</f>
        <v>46</v>
      </c>
      <c r="C13" s="89">
        <v>50</v>
      </c>
      <c r="D13" s="89"/>
      <c r="E13" s="376">
        <v>71</v>
      </c>
      <c r="F13" s="89">
        <f t="shared" si="0"/>
        <v>25</v>
      </c>
      <c r="G13" s="70">
        <v>8</v>
      </c>
      <c r="H13" s="70">
        <f t="shared" si="1"/>
        <v>200</v>
      </c>
      <c r="J13" s="89" t="s">
        <v>211</v>
      </c>
      <c r="K13" s="89"/>
      <c r="L13" s="89"/>
      <c r="M13" s="89"/>
      <c r="N13" s="89">
        <f t="shared" si="2"/>
        <v>71</v>
      </c>
      <c r="O13" s="89"/>
      <c r="P13" s="70">
        <v>7.5</v>
      </c>
      <c r="Q13" s="70">
        <f t="shared" si="3"/>
        <v>532.5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'19'!E14</f>
        <v>0</v>
      </c>
      <c r="C14" s="89"/>
      <c r="D14" s="89"/>
      <c r="E14" s="376"/>
      <c r="F14" s="89">
        <f t="shared" si="0"/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'19'!E15</f>
        <v>5</v>
      </c>
      <c r="C15" s="89">
        <v>50</v>
      </c>
      <c r="D15" s="89"/>
      <c r="E15" s="376">
        <v>42</v>
      </c>
      <c r="F15" s="89">
        <f t="shared" si="0"/>
        <v>13</v>
      </c>
      <c r="G15" s="70">
        <v>25</v>
      </c>
      <c r="H15" s="70">
        <f t="shared" si="1"/>
        <v>325</v>
      </c>
      <c r="J15" s="89" t="s">
        <v>41</v>
      </c>
      <c r="K15" s="89"/>
      <c r="L15" s="89"/>
      <c r="M15" s="89"/>
      <c r="N15" s="89">
        <f t="shared" si="2"/>
        <v>42</v>
      </c>
      <c r="O15" s="89"/>
      <c r="P15" s="70">
        <v>8</v>
      </c>
      <c r="Q15" s="70">
        <f t="shared" si="3"/>
        <v>336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91">
        <f>'19'!E16</f>
        <v>0</v>
      </c>
      <c r="C16" s="386"/>
      <c r="D16" s="386"/>
      <c r="E16" s="386"/>
      <c r="F16" s="386"/>
      <c r="G16" s="387"/>
      <c r="H16" s="345">
        <f>IFERROR(SUM(H7:H15),0)</f>
        <v>13490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76.95</v>
      </c>
      <c r="V16" s="89" t="s">
        <v>37</v>
      </c>
      <c r="W16" s="53">
        <v>1530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'19'!E17</f>
        <v>9</v>
      </c>
      <c r="C17" s="89"/>
      <c r="D17" s="89"/>
      <c r="E17" s="376"/>
      <c r="F17" s="89">
        <f t="shared" ref="F17:F29" si="6">IFERROR(MAX(0,B17+C17-E17-D17),0)</f>
        <v>9</v>
      </c>
      <c r="G17" s="70">
        <v>20</v>
      </c>
      <c r="H17" s="70">
        <f t="shared" ref="H17:H29" si="7">IFERROR(F17*G17,0)</f>
        <v>180</v>
      </c>
      <c r="J17" s="89" t="s">
        <v>222</v>
      </c>
      <c r="K17" s="89"/>
      <c r="L17" s="89"/>
      <c r="M17" s="89"/>
      <c r="N17" s="89">
        <f t="shared" si="2"/>
        <v>0</v>
      </c>
      <c r="O17" s="89"/>
      <c r="P17" s="70">
        <f t="shared" si="5"/>
        <v>20</v>
      </c>
      <c r="Q17" s="70">
        <f t="shared" si="3"/>
        <v>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'19'!E18</f>
        <v>117</v>
      </c>
      <c r="C18" s="89"/>
      <c r="D18" s="89"/>
      <c r="E18" s="376">
        <v>73</v>
      </c>
      <c r="F18" s="89">
        <f t="shared" si="6"/>
        <v>44</v>
      </c>
      <c r="G18" s="70">
        <v>25</v>
      </c>
      <c r="H18" s="70">
        <f t="shared" si="7"/>
        <v>1100</v>
      </c>
      <c r="J18" s="89" t="s">
        <v>36</v>
      </c>
      <c r="K18" s="89"/>
      <c r="L18" s="89"/>
      <c r="M18" s="89"/>
      <c r="N18" s="89">
        <f t="shared" si="2"/>
        <v>73</v>
      </c>
      <c r="O18" s="89"/>
      <c r="P18" s="70">
        <v>7</v>
      </c>
      <c r="Q18" s="70">
        <f t="shared" si="3"/>
        <v>511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8704</v>
      </c>
    </row>
    <row r="19" spans="1:28" ht="14.5">
      <c r="A19" s="89" t="s">
        <v>228</v>
      </c>
      <c r="B19" s="391">
        <f>'19'!E19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'19'!E20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'19'!E21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'19'!E22</f>
        <v>35</v>
      </c>
      <c r="C22" s="89"/>
      <c r="D22" s="89"/>
      <c r="E22" s="376">
        <v>23</v>
      </c>
      <c r="F22" s="89">
        <f t="shared" si="6"/>
        <v>12</v>
      </c>
      <c r="G22" s="70">
        <v>20</v>
      </c>
      <c r="H22" s="70">
        <f t="shared" si="7"/>
        <v>240</v>
      </c>
      <c r="J22" s="89" t="s">
        <v>220</v>
      </c>
      <c r="K22" s="89"/>
      <c r="L22" s="89"/>
      <c r="M22" s="89"/>
      <c r="N22" s="89">
        <f t="shared" si="2"/>
        <v>23</v>
      </c>
      <c r="O22" s="89"/>
      <c r="P22" s="70">
        <v>7.42</v>
      </c>
      <c r="Q22" s="70">
        <f t="shared" si="3"/>
        <v>170.66</v>
      </c>
      <c r="S22" s="381" t="s">
        <v>241</v>
      </c>
      <c r="T22" s="70"/>
      <c r="V22" s="392" t="s">
        <v>17</v>
      </c>
      <c r="W22" s="393">
        <f>SUM(W16:W21)</f>
        <v>1530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'19'!E23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'19'!E24</f>
        <v>10</v>
      </c>
      <c r="C24" s="89"/>
      <c r="D24" s="89"/>
      <c r="E24" s="376">
        <v>8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8</v>
      </c>
      <c r="O24" s="89"/>
      <c r="P24" s="70">
        <f>G24</f>
        <v>25</v>
      </c>
      <c r="Q24" s="70">
        <f t="shared" si="3"/>
        <v>200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'19'!E25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'19'!E26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'19'!E27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'19'!E28</f>
        <v>12</v>
      </c>
      <c r="C28" s="89"/>
      <c r="D28" s="89"/>
      <c r="E28" s="376">
        <v>10</v>
      </c>
      <c r="F28" s="89">
        <f t="shared" si="6"/>
        <v>2</v>
      </c>
      <c r="G28" s="70">
        <v>25</v>
      </c>
      <c r="H28" s="70">
        <f t="shared" si="7"/>
        <v>50</v>
      </c>
      <c r="J28" s="89" t="s">
        <v>251</v>
      </c>
      <c r="K28" s="89"/>
      <c r="L28" s="89"/>
      <c r="M28" s="89"/>
      <c r="N28" s="89">
        <f t="shared" si="2"/>
        <v>10</v>
      </c>
      <c r="O28" s="89"/>
      <c r="P28" s="70">
        <v>10.42</v>
      </c>
      <c r="Q28" s="70">
        <f t="shared" si="3"/>
        <v>104.2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'19'!E29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273</v>
      </c>
      <c r="B30" s="445"/>
      <c r="C30" s="445"/>
      <c r="D30" s="445"/>
      <c r="E30" s="445"/>
      <c r="F30" s="445"/>
      <c r="G30" s="423"/>
      <c r="H30" s="70">
        <f>IFERROR(SUM(H17:H29),0)</f>
        <v>1620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555.95000000000005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15110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7349.86</v>
      </c>
      <c r="R31" s="357"/>
      <c r="S31" s="506" t="s">
        <v>256</v>
      </c>
      <c r="T31" s="438"/>
      <c r="U31" s="438"/>
      <c r="V31" s="507"/>
      <c r="W31" s="407">
        <f>T30+W30+W22+W14</f>
        <v>2175.9499999999998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8860</v>
      </c>
    </row>
    <row r="33" spans="1:27" ht="15.75" customHeight="1">
      <c r="A33" s="3" t="s">
        <v>96</v>
      </c>
      <c r="B33" s="498">
        <f>H31</f>
        <v>15110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2175.9499999999998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1929.95</v>
      </c>
      <c r="AA34" s="39"/>
    </row>
    <row r="35" spans="1:27" ht="15.75" customHeight="1">
      <c r="A35" s="3" t="s">
        <v>258</v>
      </c>
      <c r="B35" s="499">
        <f>IFERROR(B33-B34,0)</f>
        <v>12934.05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7330</v>
      </c>
      <c r="AA35" s="39"/>
    </row>
    <row r="36" spans="1:27" ht="15.75" customHeight="1">
      <c r="A36" s="3" t="s">
        <v>259</v>
      </c>
      <c r="B36" s="500">
        <v>12936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9259.9500000000007</v>
      </c>
      <c r="AA36" s="39"/>
    </row>
    <row r="37" spans="1:27" ht="15.75" customHeight="1">
      <c r="A37" s="3" t="s">
        <v>260</v>
      </c>
      <c r="B37" s="498">
        <f>IFERROR(B36-B35,0)</f>
        <v>1.9500000000007276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1374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46224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'20'!E7</f>
        <v>225</v>
      </c>
      <c r="C7" s="370">
        <v>300</v>
      </c>
      <c r="D7" s="89"/>
      <c r="E7" s="371">
        <v>343</v>
      </c>
      <c r="F7" s="370">
        <f t="shared" ref="F7:F15" si="0">IFERROR(MAX(0,B7+C7-E7-D7),0)</f>
        <v>182</v>
      </c>
      <c r="G7" s="70">
        <v>50</v>
      </c>
      <c r="H7" s="70">
        <f t="shared" ref="H7:H15" si="1">IFERROR(F7*G7,0)</f>
        <v>9100</v>
      </c>
      <c r="J7" s="89" t="s">
        <v>194</v>
      </c>
      <c r="K7" s="89"/>
      <c r="L7" s="89"/>
      <c r="M7" s="89"/>
      <c r="N7" s="370">
        <f t="shared" ref="N7:N30" si="2">E7</f>
        <v>343</v>
      </c>
      <c r="O7" s="89"/>
      <c r="P7" s="70">
        <v>21</v>
      </c>
      <c r="Q7" s="70">
        <f t="shared" ref="Q7:Q29" si="3">IFERROR(N7*P7,0)</f>
        <v>7203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300</v>
      </c>
      <c r="AA7" s="374">
        <v>35</v>
      </c>
      <c r="AB7" s="374">
        <f t="shared" ref="AB7:AB17" si="4">IFERROR(Z7*AA7,0)</f>
        <v>10500</v>
      </c>
    </row>
    <row r="8" spans="1:28" ht="15.5">
      <c r="A8" s="89" t="s">
        <v>102</v>
      </c>
      <c r="B8" s="391">
        <f>'20'!E8</f>
        <v>15</v>
      </c>
      <c r="C8" s="89">
        <v>20</v>
      </c>
      <c r="D8" s="89"/>
      <c r="E8" s="376">
        <v>20</v>
      </c>
      <c r="F8" s="89">
        <f t="shared" si="0"/>
        <v>15</v>
      </c>
      <c r="G8" s="70">
        <v>12</v>
      </c>
      <c r="H8" s="70">
        <f t="shared" si="1"/>
        <v>180</v>
      </c>
      <c r="J8" s="89" t="s">
        <v>198</v>
      </c>
      <c r="K8" s="89"/>
      <c r="L8" s="89"/>
      <c r="M8" s="89"/>
      <c r="N8" s="89">
        <f t="shared" si="2"/>
        <v>20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'20'!E9</f>
        <v>0</v>
      </c>
      <c r="C9" s="89">
        <v>150</v>
      </c>
      <c r="D9" s="89"/>
      <c r="E9" s="376">
        <v>30</v>
      </c>
      <c r="F9" s="89">
        <f t="shared" si="0"/>
        <v>120</v>
      </c>
      <c r="G9" s="70">
        <v>12</v>
      </c>
      <c r="H9" s="70">
        <f t="shared" si="1"/>
        <v>1440</v>
      </c>
      <c r="J9" s="89" t="s">
        <v>200</v>
      </c>
      <c r="K9" s="89"/>
      <c r="L9" s="89"/>
      <c r="M9" s="89"/>
      <c r="N9" s="89">
        <f t="shared" si="2"/>
        <v>30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'20'!E10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'20'!E11</f>
        <v>30</v>
      </c>
      <c r="C11" s="89">
        <v>160</v>
      </c>
      <c r="D11" s="89"/>
      <c r="E11" s="371">
        <v>21</v>
      </c>
      <c r="F11" s="370">
        <f t="shared" si="0"/>
        <v>169</v>
      </c>
      <c r="G11" s="70">
        <v>15</v>
      </c>
      <c r="H11" s="70">
        <f t="shared" si="1"/>
        <v>2535</v>
      </c>
      <c r="J11" s="89" t="s">
        <v>42</v>
      </c>
      <c r="K11" s="89"/>
      <c r="L11" s="89"/>
      <c r="M11" s="89"/>
      <c r="N11" s="370">
        <f t="shared" si="2"/>
        <v>21</v>
      </c>
      <c r="O11" s="89"/>
      <c r="P11" s="70">
        <v>5.5</v>
      </c>
      <c r="Q11" s="70">
        <f t="shared" si="3"/>
        <v>115.5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'20'!E12</f>
        <v>95</v>
      </c>
      <c r="C12" s="89">
        <v>60</v>
      </c>
      <c r="D12" s="89"/>
      <c r="E12" s="376">
        <v>122</v>
      </c>
      <c r="F12" s="89">
        <f t="shared" si="0"/>
        <v>33</v>
      </c>
      <c r="G12" s="70">
        <v>10</v>
      </c>
      <c r="H12" s="70">
        <f t="shared" si="1"/>
        <v>330</v>
      </c>
      <c r="J12" s="89" t="s">
        <v>37</v>
      </c>
      <c r="K12" s="89"/>
      <c r="L12" s="89"/>
      <c r="M12" s="89"/>
      <c r="N12" s="89">
        <f t="shared" si="2"/>
        <v>122</v>
      </c>
      <c r="O12" s="89"/>
      <c r="P12" s="70">
        <v>3.5</v>
      </c>
      <c r="Q12" s="70">
        <f t="shared" si="3"/>
        <v>427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'20'!E13</f>
        <v>71</v>
      </c>
      <c r="C13" s="89">
        <v>50</v>
      </c>
      <c r="D13" s="89"/>
      <c r="E13" s="376">
        <v>79</v>
      </c>
      <c r="F13" s="89">
        <f t="shared" si="0"/>
        <v>42</v>
      </c>
      <c r="G13" s="70">
        <v>8</v>
      </c>
      <c r="H13" s="70">
        <f t="shared" si="1"/>
        <v>336</v>
      </c>
      <c r="J13" s="89" t="s">
        <v>211</v>
      </c>
      <c r="K13" s="89"/>
      <c r="L13" s="89"/>
      <c r="M13" s="89"/>
      <c r="N13" s="89">
        <f t="shared" si="2"/>
        <v>79</v>
      </c>
      <c r="O13" s="89"/>
      <c r="P13" s="70">
        <v>7.5</v>
      </c>
      <c r="Q13" s="70">
        <f t="shared" si="3"/>
        <v>592.5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'20'!E14</f>
        <v>0</v>
      </c>
      <c r="C14" s="89">
        <v>40</v>
      </c>
      <c r="D14" s="89"/>
      <c r="E14" s="376">
        <v>30</v>
      </c>
      <c r="F14" s="89">
        <f t="shared" si="0"/>
        <v>10</v>
      </c>
      <c r="G14" s="70">
        <v>10</v>
      </c>
      <c r="H14" s="70">
        <f t="shared" si="1"/>
        <v>100</v>
      </c>
      <c r="J14" s="89" t="s">
        <v>44</v>
      </c>
      <c r="K14" s="89"/>
      <c r="L14" s="89"/>
      <c r="M14" s="89"/>
      <c r="N14" s="89">
        <f t="shared" si="2"/>
        <v>30</v>
      </c>
      <c r="O14" s="89"/>
      <c r="P14" s="70">
        <v>3.5</v>
      </c>
      <c r="Q14" s="70">
        <f t="shared" si="3"/>
        <v>105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'20'!E15</f>
        <v>42</v>
      </c>
      <c r="C15" s="89"/>
      <c r="D15" s="89"/>
      <c r="E15" s="376">
        <v>20</v>
      </c>
      <c r="F15" s="89">
        <f t="shared" si="0"/>
        <v>22</v>
      </c>
      <c r="G15" s="70">
        <v>25</v>
      </c>
      <c r="H15" s="70">
        <f t="shared" si="1"/>
        <v>550</v>
      </c>
      <c r="J15" s="89" t="s">
        <v>41</v>
      </c>
      <c r="K15" s="89"/>
      <c r="L15" s="89"/>
      <c r="M15" s="89"/>
      <c r="N15" s="89">
        <f t="shared" si="2"/>
        <v>20</v>
      </c>
      <c r="O15" s="89"/>
      <c r="P15" s="70">
        <v>8</v>
      </c>
      <c r="Q15" s="70">
        <f t="shared" si="3"/>
        <v>160</v>
      </c>
      <c r="S15" s="381" t="s">
        <v>217</v>
      </c>
      <c r="T15" s="70">
        <v>1000</v>
      </c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14571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564.82000000000005</v>
      </c>
      <c r="V16" s="89" t="s">
        <v>37</v>
      </c>
      <c r="W16" s="53">
        <v>1360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'20'!E17</f>
        <v>0</v>
      </c>
      <c r="C17" s="89">
        <v>96</v>
      </c>
      <c r="D17" s="89"/>
      <c r="E17" s="376">
        <v>90</v>
      </c>
      <c r="F17" s="89">
        <f t="shared" ref="F17:F29" si="6">IFERROR(MAX(0,B17+C17-E17-D17),0)</f>
        <v>6</v>
      </c>
      <c r="G17" s="70">
        <v>20</v>
      </c>
      <c r="H17" s="70">
        <f t="shared" ref="H17:H29" si="7">IFERROR(F17*G17,0)</f>
        <v>120</v>
      </c>
      <c r="J17" s="89" t="s">
        <v>222</v>
      </c>
      <c r="K17" s="89"/>
      <c r="L17" s="89"/>
      <c r="M17" s="89"/>
      <c r="N17" s="89">
        <f t="shared" si="2"/>
        <v>90</v>
      </c>
      <c r="O17" s="89"/>
      <c r="P17" s="70">
        <f t="shared" si="5"/>
        <v>20</v>
      </c>
      <c r="Q17" s="70">
        <f t="shared" si="3"/>
        <v>1800</v>
      </c>
      <c r="S17" s="381" t="s">
        <v>223</v>
      </c>
      <c r="T17" s="70"/>
      <c r="V17" s="89" t="s">
        <v>41</v>
      </c>
      <c r="W17" s="53">
        <v>320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'20'!E18</f>
        <v>73</v>
      </c>
      <c r="C18" s="89">
        <v>192</v>
      </c>
      <c r="D18" s="89"/>
      <c r="E18" s="376">
        <v>227</v>
      </c>
      <c r="F18" s="89">
        <f t="shared" si="6"/>
        <v>38</v>
      </c>
      <c r="G18" s="70">
        <v>25</v>
      </c>
      <c r="H18" s="70">
        <f t="shared" si="7"/>
        <v>950</v>
      </c>
      <c r="J18" s="89" t="s">
        <v>36</v>
      </c>
      <c r="K18" s="89"/>
      <c r="L18" s="89"/>
      <c r="M18" s="89"/>
      <c r="N18" s="89">
        <f t="shared" si="2"/>
        <v>227</v>
      </c>
      <c r="O18" s="89"/>
      <c r="P18" s="70">
        <v>7</v>
      </c>
      <c r="Q18" s="70">
        <f t="shared" si="3"/>
        <v>1589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12380</v>
      </c>
    </row>
    <row r="19" spans="1:28" ht="14.5">
      <c r="A19" s="89" t="s">
        <v>228</v>
      </c>
      <c r="B19" s="391">
        <f>'20'!E19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>
        <v>1000</v>
      </c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'20'!E20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3498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'20'!E21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'20'!E22</f>
        <v>23</v>
      </c>
      <c r="C22" s="89"/>
      <c r="D22" s="89"/>
      <c r="E22" s="376">
        <v>15</v>
      </c>
      <c r="F22" s="89">
        <f t="shared" si="6"/>
        <v>8</v>
      </c>
      <c r="G22" s="70">
        <v>20</v>
      </c>
      <c r="H22" s="70">
        <f t="shared" si="7"/>
        <v>160</v>
      </c>
      <c r="J22" s="89" t="s">
        <v>220</v>
      </c>
      <c r="K22" s="89"/>
      <c r="L22" s="89"/>
      <c r="M22" s="89"/>
      <c r="N22" s="89">
        <f t="shared" si="2"/>
        <v>15</v>
      </c>
      <c r="O22" s="89"/>
      <c r="P22" s="70">
        <v>7.42</v>
      </c>
      <c r="Q22" s="70">
        <f t="shared" si="3"/>
        <v>111.3</v>
      </c>
      <c r="S22" s="381" t="s">
        <v>241</v>
      </c>
      <c r="T22" s="70"/>
      <c r="V22" s="392" t="s">
        <v>17</v>
      </c>
      <c r="W22" s="393">
        <f>SUM(W16:W21)</f>
        <v>6178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'20'!E23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'20'!E24</f>
        <v>8</v>
      </c>
      <c r="C24" s="89">
        <v>24</v>
      </c>
      <c r="D24" s="89"/>
      <c r="E24" s="376">
        <v>29</v>
      </c>
      <c r="F24" s="89">
        <f t="shared" si="6"/>
        <v>3</v>
      </c>
      <c r="G24" s="70">
        <v>25</v>
      </c>
      <c r="H24" s="70">
        <f t="shared" si="7"/>
        <v>75</v>
      </c>
      <c r="J24" s="89" t="s">
        <v>244</v>
      </c>
      <c r="K24" s="89"/>
      <c r="L24" s="89"/>
      <c r="M24" s="89"/>
      <c r="N24" s="89">
        <f t="shared" si="2"/>
        <v>29</v>
      </c>
      <c r="O24" s="89"/>
      <c r="P24" s="70">
        <f>G24</f>
        <v>25</v>
      </c>
      <c r="Q24" s="70">
        <f t="shared" si="3"/>
        <v>725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'20'!E25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'20'!E26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>
        <v>75</v>
      </c>
      <c r="Y26" s="3"/>
      <c r="Z26" s="3"/>
      <c r="AA26" s="3"/>
      <c r="AB26" s="3"/>
    </row>
    <row r="27" spans="1:28" ht="15.75" customHeight="1">
      <c r="A27" s="89" t="s">
        <v>247</v>
      </c>
      <c r="B27" s="391">
        <f>'20'!E27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'20'!E28</f>
        <v>10</v>
      </c>
      <c r="C28" s="89">
        <v>50</v>
      </c>
      <c r="D28" s="89"/>
      <c r="E28" s="376">
        <v>57</v>
      </c>
      <c r="F28" s="89">
        <f t="shared" si="6"/>
        <v>3</v>
      </c>
      <c r="G28" s="70">
        <v>25</v>
      </c>
      <c r="H28" s="70">
        <f t="shared" si="7"/>
        <v>75</v>
      </c>
      <c r="J28" s="89" t="s">
        <v>251</v>
      </c>
      <c r="K28" s="89"/>
      <c r="L28" s="89"/>
      <c r="M28" s="89"/>
      <c r="N28" s="89">
        <f t="shared" si="2"/>
        <v>57</v>
      </c>
      <c r="O28" s="89"/>
      <c r="P28" s="70">
        <v>10.42</v>
      </c>
      <c r="Q28" s="70">
        <f t="shared" si="3"/>
        <v>593.93999999999994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'20'!E29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1380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1564.8200000000002</v>
      </c>
      <c r="U30" s="3"/>
      <c r="V30" s="402" t="s">
        <v>16</v>
      </c>
      <c r="W30" s="403">
        <f>SUM(W24:W29)</f>
        <v>135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15951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13695.24</v>
      </c>
      <c r="R31" s="357"/>
      <c r="S31" s="506" t="s">
        <v>256</v>
      </c>
      <c r="T31" s="438"/>
      <c r="U31" s="438"/>
      <c r="V31" s="507"/>
      <c r="W31" s="407">
        <f>T30+W30+W22+W14</f>
        <v>7877.82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18558</v>
      </c>
    </row>
    <row r="33" spans="1:27" ht="15.75" customHeight="1">
      <c r="A33" s="3" t="s">
        <v>96</v>
      </c>
      <c r="B33" s="498">
        <f>H31</f>
        <v>15951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7877.82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564.82000000000016</v>
      </c>
      <c r="AA34" s="39"/>
    </row>
    <row r="35" spans="1:27" ht="15.75" customHeight="1">
      <c r="A35" s="3" t="s">
        <v>258</v>
      </c>
      <c r="B35" s="499">
        <f>IFERROR(B33-B34,0)</f>
        <v>8073.18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12380</v>
      </c>
      <c r="AA35" s="39"/>
    </row>
    <row r="36" spans="1:27" ht="15.75" customHeight="1">
      <c r="A36" s="3" t="s">
        <v>259</v>
      </c>
      <c r="B36" s="500">
        <v>8075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12944.82</v>
      </c>
      <c r="AA36" s="39"/>
    </row>
    <row r="37" spans="1:27" ht="15.75" customHeight="1">
      <c r="A37" s="3" t="s">
        <v>260</v>
      </c>
      <c r="B37" s="498">
        <f>IFERROR(B36-B35,0)</f>
        <v>1.819999999999709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358"/>
      <c r="D3" s="494" t="s">
        <v>267</v>
      </c>
      <c r="E3" s="495"/>
      <c r="F3" s="495"/>
      <c r="G3" s="495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46225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'21'!E7</f>
        <v>343</v>
      </c>
      <c r="C7" s="370">
        <v>150</v>
      </c>
      <c r="D7" s="89"/>
      <c r="E7" s="371">
        <v>321</v>
      </c>
      <c r="F7" s="370">
        <f t="shared" ref="F7:F15" si="0">IFERROR(MAX(0,B7+C7-E7-D7),0)</f>
        <v>172</v>
      </c>
      <c r="G7" s="70">
        <v>50</v>
      </c>
      <c r="H7" s="70">
        <f t="shared" ref="H7:H15" si="1">IFERROR(F7*G7,0)</f>
        <v>8600</v>
      </c>
      <c r="J7" s="89" t="s">
        <v>194</v>
      </c>
      <c r="K7" s="89"/>
      <c r="L7" s="89"/>
      <c r="M7" s="89"/>
      <c r="N7" s="370">
        <f t="shared" ref="N7:N30" si="2">E7</f>
        <v>321</v>
      </c>
      <c r="O7" s="89"/>
      <c r="P7" s="70">
        <v>21</v>
      </c>
      <c r="Q7" s="70">
        <f t="shared" ref="Q7:Q29" si="3">IFERROR(N7*P7,0)</f>
        <v>6741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'21'!E8</f>
        <v>20</v>
      </c>
      <c r="C8" s="89">
        <v>20</v>
      </c>
      <c r="D8" s="89"/>
      <c r="E8" s="376">
        <v>33</v>
      </c>
      <c r="F8" s="89">
        <f t="shared" si="0"/>
        <v>7</v>
      </c>
      <c r="G8" s="70">
        <v>12</v>
      </c>
      <c r="H8" s="70">
        <f t="shared" si="1"/>
        <v>84</v>
      </c>
      <c r="J8" s="89" t="s">
        <v>198</v>
      </c>
      <c r="K8" s="89"/>
      <c r="L8" s="89"/>
      <c r="M8" s="89"/>
      <c r="N8" s="89">
        <f t="shared" si="2"/>
        <v>33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'21'!E9</f>
        <v>30</v>
      </c>
      <c r="C9" s="89">
        <v>100</v>
      </c>
      <c r="D9" s="89"/>
      <c r="E9" s="376">
        <v>30</v>
      </c>
      <c r="F9" s="89">
        <f t="shared" si="0"/>
        <v>100</v>
      </c>
      <c r="G9" s="70">
        <v>12</v>
      </c>
      <c r="H9" s="70">
        <f t="shared" si="1"/>
        <v>1200</v>
      </c>
      <c r="J9" s="89" t="s">
        <v>200</v>
      </c>
      <c r="K9" s="89"/>
      <c r="L9" s="89"/>
      <c r="M9" s="89"/>
      <c r="N9" s="89">
        <f t="shared" si="2"/>
        <v>30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'21'!E10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90">
        <f>'21'!E11</f>
        <v>21</v>
      </c>
      <c r="C11" s="89">
        <v>180</v>
      </c>
      <c r="D11" s="89"/>
      <c r="E11" s="371">
        <v>9</v>
      </c>
      <c r="F11" s="370">
        <f t="shared" si="0"/>
        <v>192</v>
      </c>
      <c r="G11" s="70">
        <v>15</v>
      </c>
      <c r="H11" s="70">
        <f t="shared" si="1"/>
        <v>2880</v>
      </c>
      <c r="J11" s="89" t="s">
        <v>42</v>
      </c>
      <c r="K11" s="89"/>
      <c r="L11" s="89"/>
      <c r="M11" s="89"/>
      <c r="N11" s="370">
        <f t="shared" si="2"/>
        <v>9</v>
      </c>
      <c r="O11" s="89"/>
      <c r="P11" s="70">
        <v>5.5</v>
      </c>
      <c r="Q11" s="70">
        <f t="shared" si="3"/>
        <v>49.5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'21'!E12</f>
        <v>122</v>
      </c>
      <c r="C12" s="89"/>
      <c r="D12" s="89"/>
      <c r="E12" s="376">
        <v>88</v>
      </c>
      <c r="F12" s="89">
        <f t="shared" si="0"/>
        <v>34</v>
      </c>
      <c r="G12" s="70">
        <v>10</v>
      </c>
      <c r="H12" s="70">
        <f t="shared" si="1"/>
        <v>340</v>
      </c>
      <c r="J12" s="89" t="s">
        <v>37</v>
      </c>
      <c r="K12" s="89"/>
      <c r="L12" s="89"/>
      <c r="M12" s="89"/>
      <c r="N12" s="89">
        <f t="shared" si="2"/>
        <v>88</v>
      </c>
      <c r="O12" s="89"/>
      <c r="P12" s="70">
        <v>3.5</v>
      </c>
      <c r="Q12" s="70">
        <f t="shared" si="3"/>
        <v>308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'21'!E13</f>
        <v>79</v>
      </c>
      <c r="C13" s="89">
        <v>40</v>
      </c>
      <c r="D13" s="89"/>
      <c r="E13" s="376">
        <v>72</v>
      </c>
      <c r="F13" s="89">
        <f t="shared" si="0"/>
        <v>47</v>
      </c>
      <c r="G13" s="70">
        <v>8</v>
      </c>
      <c r="H13" s="70">
        <f t="shared" si="1"/>
        <v>376</v>
      </c>
      <c r="J13" s="89" t="s">
        <v>211</v>
      </c>
      <c r="K13" s="89"/>
      <c r="L13" s="89"/>
      <c r="M13" s="89"/>
      <c r="N13" s="89">
        <f t="shared" si="2"/>
        <v>72</v>
      </c>
      <c r="O13" s="89"/>
      <c r="P13" s="70">
        <v>7.5</v>
      </c>
      <c r="Q13" s="70">
        <f t="shared" si="3"/>
        <v>540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'21'!E14</f>
        <v>30</v>
      </c>
      <c r="C14" s="89"/>
      <c r="D14" s="89"/>
      <c r="E14" s="376">
        <v>17</v>
      </c>
      <c r="F14" s="89">
        <f t="shared" si="0"/>
        <v>13</v>
      </c>
      <c r="G14" s="70">
        <v>10</v>
      </c>
      <c r="H14" s="70">
        <f t="shared" si="1"/>
        <v>130</v>
      </c>
      <c r="J14" s="89" t="s">
        <v>44</v>
      </c>
      <c r="K14" s="89"/>
      <c r="L14" s="89"/>
      <c r="M14" s="89"/>
      <c r="N14" s="89">
        <f t="shared" si="2"/>
        <v>17</v>
      </c>
      <c r="O14" s="89"/>
      <c r="P14" s="70">
        <v>3.5</v>
      </c>
      <c r="Q14" s="70">
        <f t="shared" si="3"/>
        <v>59.5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91">
        <f>'21'!E15</f>
        <v>20</v>
      </c>
      <c r="C15" s="89"/>
      <c r="D15" s="89"/>
      <c r="E15" s="376">
        <v>5</v>
      </c>
      <c r="F15" s="89">
        <f t="shared" si="0"/>
        <v>15</v>
      </c>
      <c r="G15" s="70">
        <v>25</v>
      </c>
      <c r="H15" s="70">
        <f t="shared" si="1"/>
        <v>375</v>
      </c>
      <c r="J15" s="89" t="s">
        <v>41</v>
      </c>
      <c r="K15" s="89"/>
      <c r="L15" s="89"/>
      <c r="M15" s="89"/>
      <c r="N15" s="89">
        <f t="shared" si="2"/>
        <v>5</v>
      </c>
      <c r="O15" s="89"/>
      <c r="P15" s="70">
        <v>8</v>
      </c>
      <c r="Q15" s="70">
        <f t="shared" si="3"/>
        <v>40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91"/>
      <c r="C16" s="386"/>
      <c r="D16" s="386"/>
      <c r="E16" s="386"/>
      <c r="F16" s="386"/>
      <c r="G16" s="387"/>
      <c r="H16" s="345">
        <f>IFERROR(SUM(H7:H15),0)</f>
        <v>13985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144</v>
      </c>
      <c r="V16" s="89" t="s">
        <v>37</v>
      </c>
      <c r="W16" s="53">
        <v>1530</v>
      </c>
      <c r="Y16" s="89" t="s">
        <v>57</v>
      </c>
      <c r="Z16" s="89">
        <v>40</v>
      </c>
      <c r="AA16" s="89">
        <v>6</v>
      </c>
      <c r="AB16" s="374">
        <f t="shared" si="4"/>
        <v>240</v>
      </c>
    </row>
    <row r="17" spans="1:28" ht="15.5">
      <c r="A17" s="89" t="s">
        <v>220</v>
      </c>
      <c r="B17" s="391">
        <f>'21'!E17</f>
        <v>90</v>
      </c>
      <c r="C17" s="89"/>
      <c r="D17" s="89"/>
      <c r="E17" s="376">
        <v>80</v>
      </c>
      <c r="F17" s="89">
        <f t="shared" ref="F17:F29" si="6">IFERROR(MAX(0,B17+C17-E17-D17),0)</f>
        <v>10</v>
      </c>
      <c r="G17" s="70">
        <v>20</v>
      </c>
      <c r="H17" s="70">
        <f t="shared" ref="H17:H29" si="7">IFERROR(F17*G17,0)</f>
        <v>200</v>
      </c>
      <c r="J17" s="89" t="s">
        <v>222</v>
      </c>
      <c r="K17" s="89"/>
      <c r="L17" s="89"/>
      <c r="M17" s="89"/>
      <c r="N17" s="89">
        <f t="shared" si="2"/>
        <v>80</v>
      </c>
      <c r="O17" s="89"/>
      <c r="P17" s="70">
        <f t="shared" si="5"/>
        <v>20</v>
      </c>
      <c r="Q17" s="70">
        <f t="shared" si="3"/>
        <v>1600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'21'!E18</f>
        <v>227</v>
      </c>
      <c r="C18" s="89"/>
      <c r="D18" s="89"/>
      <c r="E18" s="376">
        <v>183</v>
      </c>
      <c r="F18" s="89">
        <f t="shared" si="6"/>
        <v>44</v>
      </c>
      <c r="G18" s="70">
        <v>25</v>
      </c>
      <c r="H18" s="70">
        <f t="shared" si="7"/>
        <v>1100</v>
      </c>
      <c r="J18" s="89" t="s">
        <v>36</v>
      </c>
      <c r="K18" s="89"/>
      <c r="L18" s="89"/>
      <c r="M18" s="89"/>
      <c r="N18" s="89">
        <f t="shared" si="2"/>
        <v>183</v>
      </c>
      <c r="O18" s="89"/>
      <c r="P18" s="70">
        <v>7</v>
      </c>
      <c r="Q18" s="70">
        <f t="shared" si="3"/>
        <v>1281</v>
      </c>
      <c r="S18" s="381" t="s">
        <v>226</v>
      </c>
      <c r="T18" s="70">
        <v>1300</v>
      </c>
      <c r="V18" s="89" t="s">
        <v>227</v>
      </c>
      <c r="W18" s="53"/>
      <c r="Y18" s="388"/>
      <c r="Z18" s="388"/>
      <c r="AA18" s="388"/>
      <c r="AB18" s="389">
        <f>IFERROR(SUM(AB7:AB17)+AB19,0)</f>
        <v>8004</v>
      </c>
    </row>
    <row r="19" spans="1:28" ht="14.5">
      <c r="A19" s="89" t="s">
        <v>228</v>
      </c>
      <c r="B19" s="391">
        <f>'21'!E19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'21'!E20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'21'!E21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>
        <v>705</v>
      </c>
      <c r="Y21" s="3"/>
      <c r="Z21" s="3"/>
      <c r="AA21" s="3"/>
      <c r="AB21" s="3"/>
    </row>
    <row r="22" spans="1:28" ht="15.75" customHeight="1">
      <c r="A22" s="89" t="s">
        <v>240</v>
      </c>
      <c r="B22" s="391">
        <f>'21'!E22</f>
        <v>15</v>
      </c>
      <c r="C22" s="89">
        <v>72</v>
      </c>
      <c r="D22" s="89"/>
      <c r="E22" s="376">
        <v>80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80</v>
      </c>
      <c r="O22" s="89"/>
      <c r="P22" s="70">
        <v>7.42</v>
      </c>
      <c r="Q22" s="70">
        <f t="shared" si="3"/>
        <v>593.6</v>
      </c>
      <c r="S22" s="381" t="s">
        <v>241</v>
      </c>
      <c r="T22" s="70"/>
      <c r="V22" s="392" t="s">
        <v>17</v>
      </c>
      <c r="W22" s="393">
        <f>SUM(W16:W21)</f>
        <v>2235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'21'!E23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'21'!E24</f>
        <v>29</v>
      </c>
      <c r="C24" s="89"/>
      <c r="D24" s="89"/>
      <c r="E24" s="376">
        <v>25</v>
      </c>
      <c r="F24" s="89">
        <f t="shared" si="6"/>
        <v>4</v>
      </c>
      <c r="G24" s="70">
        <v>25</v>
      </c>
      <c r="H24" s="70">
        <f t="shared" si="7"/>
        <v>100</v>
      </c>
      <c r="J24" s="89" t="s">
        <v>244</v>
      </c>
      <c r="K24" s="89"/>
      <c r="L24" s="89"/>
      <c r="M24" s="89"/>
      <c r="N24" s="89">
        <f t="shared" si="2"/>
        <v>25</v>
      </c>
      <c r="O24" s="89"/>
      <c r="P24" s="70">
        <f>G24</f>
        <v>25</v>
      </c>
      <c r="Q24" s="70">
        <f t="shared" si="3"/>
        <v>625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'21'!E25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'21'!E26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'21'!E27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'21'!E28</f>
        <v>57</v>
      </c>
      <c r="C28" s="89"/>
      <c r="D28" s="89"/>
      <c r="E28" s="376">
        <v>53</v>
      </c>
      <c r="F28" s="89">
        <f t="shared" si="6"/>
        <v>4</v>
      </c>
      <c r="G28" s="70">
        <v>25</v>
      </c>
      <c r="H28" s="70">
        <f t="shared" si="7"/>
        <v>100</v>
      </c>
      <c r="J28" s="89" t="s">
        <v>251</v>
      </c>
      <c r="K28" s="89"/>
      <c r="L28" s="89"/>
      <c r="M28" s="89"/>
      <c r="N28" s="89">
        <f t="shared" si="2"/>
        <v>53</v>
      </c>
      <c r="O28" s="89"/>
      <c r="P28" s="70">
        <v>10.42</v>
      </c>
      <c r="Q28" s="70">
        <f t="shared" si="3"/>
        <v>552.26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1">
        <f>'21'!E29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1640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1444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15625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12662.86</v>
      </c>
      <c r="R31" s="357"/>
      <c r="S31" s="506" t="s">
        <v>256</v>
      </c>
      <c r="T31" s="438"/>
      <c r="U31" s="438"/>
      <c r="V31" s="507"/>
      <c r="W31" s="407">
        <f>T30+W30+W22+W14</f>
        <v>3679</v>
      </c>
      <c r="X31" s="357"/>
      <c r="Y31" s="3"/>
      <c r="Z31" s="3"/>
      <c r="AA31" s="3"/>
      <c r="AB31" s="39"/>
    </row>
    <row r="32" spans="1:28" ht="15.75" customHeight="1">
      <c r="E32" s="37" t="s">
        <v>272</v>
      </c>
      <c r="G32" s="39"/>
      <c r="T32" s="39"/>
      <c r="W32" s="4"/>
      <c r="Y32" s="408" t="s">
        <v>171</v>
      </c>
      <c r="Z32" s="409">
        <f>IFERROR(W22+Z35,0)</f>
        <v>8595</v>
      </c>
    </row>
    <row r="33" spans="1:27" ht="15.75" customHeight="1">
      <c r="A33" s="3" t="s">
        <v>96</v>
      </c>
      <c r="B33" s="498">
        <f>H31</f>
        <v>15625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3679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3088</v>
      </c>
      <c r="AA34" s="39"/>
    </row>
    <row r="35" spans="1:27" ht="15.75" customHeight="1">
      <c r="A35" s="3" t="s">
        <v>258</v>
      </c>
      <c r="B35" s="499">
        <f>IFERROR(B33-B34,0)</f>
        <v>11946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6360</v>
      </c>
      <c r="AA35" s="39"/>
    </row>
    <row r="36" spans="1:27" ht="15.75" customHeight="1">
      <c r="A36" s="3" t="s">
        <v>259</v>
      </c>
      <c r="B36" s="500">
        <v>11947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9448</v>
      </c>
      <c r="AA36" s="39"/>
    </row>
    <row r="37" spans="1:27" ht="15.75" customHeight="1">
      <c r="A37" s="3" t="s">
        <v>260</v>
      </c>
      <c r="B37" s="498">
        <f>IFERROR(B36-B35,0)</f>
        <v>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1644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D3:G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46226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'22'!E7</f>
        <v>321</v>
      </c>
      <c r="C7" s="370">
        <v>150</v>
      </c>
      <c r="D7" s="89"/>
      <c r="E7" s="371">
        <v>277</v>
      </c>
      <c r="F7" s="370">
        <f t="shared" ref="F7:F15" si="0">IFERROR(MAX(0,B7+C7-E7-D7),0)</f>
        <v>194</v>
      </c>
      <c r="G7" s="70">
        <v>50</v>
      </c>
      <c r="H7" s="70">
        <f t="shared" ref="H7:H15" si="1">IFERROR(F7*G7,0)</f>
        <v>9700</v>
      </c>
      <c r="J7" s="89" t="s">
        <v>194</v>
      </c>
      <c r="K7" s="89"/>
      <c r="L7" s="89"/>
      <c r="M7" s="89"/>
      <c r="N7" s="370">
        <f t="shared" ref="N7:N30" si="2">E7</f>
        <v>277</v>
      </c>
      <c r="O7" s="89"/>
      <c r="P7" s="70">
        <v>21</v>
      </c>
      <c r="Q7" s="70">
        <f t="shared" ref="Q7:Q29" si="3">IFERROR(N7*P7,0)</f>
        <v>5817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'22'!E8</f>
        <v>33</v>
      </c>
      <c r="C8" s="89"/>
      <c r="D8" s="89"/>
      <c r="E8" s="376">
        <v>19</v>
      </c>
      <c r="F8" s="89">
        <f t="shared" si="0"/>
        <v>14</v>
      </c>
      <c r="G8" s="70">
        <v>12</v>
      </c>
      <c r="H8" s="70">
        <f t="shared" si="1"/>
        <v>168</v>
      </c>
      <c r="J8" s="89" t="s">
        <v>198</v>
      </c>
      <c r="K8" s="89"/>
      <c r="L8" s="89"/>
      <c r="M8" s="89"/>
      <c r="N8" s="89">
        <f t="shared" si="2"/>
        <v>19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'22'!E9</f>
        <v>30</v>
      </c>
      <c r="C9" s="89">
        <v>150</v>
      </c>
      <c r="D9" s="89"/>
      <c r="E9" s="376">
        <v>71</v>
      </c>
      <c r="F9" s="89">
        <f t="shared" si="0"/>
        <v>109</v>
      </c>
      <c r="G9" s="70">
        <v>12</v>
      </c>
      <c r="H9" s="70">
        <f t="shared" si="1"/>
        <v>1308</v>
      </c>
      <c r="J9" s="89" t="s">
        <v>200</v>
      </c>
      <c r="K9" s="89"/>
      <c r="L9" s="89"/>
      <c r="M9" s="89"/>
      <c r="N9" s="89">
        <f t="shared" si="2"/>
        <v>71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'22'!E10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'22'!E11</f>
        <v>9</v>
      </c>
      <c r="C11" s="89">
        <v>200</v>
      </c>
      <c r="D11" s="89"/>
      <c r="E11" s="371">
        <v>19</v>
      </c>
      <c r="F11" s="370">
        <f t="shared" si="0"/>
        <v>190</v>
      </c>
      <c r="G11" s="70">
        <v>15</v>
      </c>
      <c r="H11" s="70">
        <f t="shared" si="1"/>
        <v>2850</v>
      </c>
      <c r="J11" s="89" t="s">
        <v>42</v>
      </c>
      <c r="K11" s="89"/>
      <c r="L11" s="89"/>
      <c r="M11" s="89"/>
      <c r="N11" s="370">
        <f t="shared" si="2"/>
        <v>19</v>
      </c>
      <c r="O11" s="89"/>
      <c r="P11" s="70">
        <v>5.5</v>
      </c>
      <c r="Q11" s="70">
        <f t="shared" si="3"/>
        <v>104.5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'22'!E12</f>
        <v>88</v>
      </c>
      <c r="C12" s="89">
        <v>40</v>
      </c>
      <c r="D12" s="89"/>
      <c r="E12" s="376">
        <v>104</v>
      </c>
      <c r="F12" s="89">
        <f t="shared" si="0"/>
        <v>24</v>
      </c>
      <c r="G12" s="70">
        <v>10</v>
      </c>
      <c r="H12" s="70">
        <f t="shared" si="1"/>
        <v>240</v>
      </c>
      <c r="J12" s="89" t="s">
        <v>37</v>
      </c>
      <c r="K12" s="89"/>
      <c r="L12" s="89"/>
      <c r="M12" s="89"/>
      <c r="N12" s="89">
        <f t="shared" si="2"/>
        <v>104</v>
      </c>
      <c r="O12" s="89"/>
      <c r="P12" s="70">
        <v>3.5</v>
      </c>
      <c r="Q12" s="70">
        <f t="shared" si="3"/>
        <v>364</v>
      </c>
      <c r="S12" s="381" t="s">
        <v>208</v>
      </c>
      <c r="T12" s="70"/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'22'!E13</f>
        <v>72</v>
      </c>
      <c r="C13" s="89">
        <v>50</v>
      </c>
      <c r="D13" s="89"/>
      <c r="E13" s="376">
        <v>68</v>
      </c>
      <c r="F13" s="89">
        <f t="shared" si="0"/>
        <v>54</v>
      </c>
      <c r="G13" s="70">
        <v>8</v>
      </c>
      <c r="H13" s="70">
        <f t="shared" si="1"/>
        <v>432</v>
      </c>
      <c r="J13" s="89" t="s">
        <v>211</v>
      </c>
      <c r="K13" s="89"/>
      <c r="L13" s="89"/>
      <c r="M13" s="89"/>
      <c r="N13" s="89">
        <f t="shared" si="2"/>
        <v>68</v>
      </c>
      <c r="O13" s="89"/>
      <c r="P13" s="70">
        <v>7.5</v>
      </c>
      <c r="Q13" s="70">
        <f t="shared" si="3"/>
        <v>510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'22'!E14</f>
        <v>17</v>
      </c>
      <c r="C14" s="89"/>
      <c r="D14" s="89"/>
      <c r="E14" s="376">
        <v>7</v>
      </c>
      <c r="F14" s="89">
        <f t="shared" si="0"/>
        <v>10</v>
      </c>
      <c r="G14" s="70">
        <v>10</v>
      </c>
      <c r="H14" s="70">
        <f t="shared" si="1"/>
        <v>100</v>
      </c>
      <c r="J14" s="89" t="s">
        <v>44</v>
      </c>
      <c r="K14" s="89"/>
      <c r="L14" s="89"/>
      <c r="M14" s="89"/>
      <c r="N14" s="89">
        <f t="shared" si="2"/>
        <v>7</v>
      </c>
      <c r="O14" s="89"/>
      <c r="P14" s="70">
        <v>3.5</v>
      </c>
      <c r="Q14" s="70">
        <f t="shared" si="3"/>
        <v>24.5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'22'!E15</f>
        <v>5</v>
      </c>
      <c r="C15" s="89">
        <v>50</v>
      </c>
      <c r="D15" s="89"/>
      <c r="E15" s="376">
        <v>44</v>
      </c>
      <c r="F15" s="89">
        <f t="shared" si="0"/>
        <v>11</v>
      </c>
      <c r="G15" s="70">
        <v>25</v>
      </c>
      <c r="H15" s="70">
        <f t="shared" si="1"/>
        <v>275</v>
      </c>
      <c r="J15" s="89" t="s">
        <v>41</v>
      </c>
      <c r="K15" s="89"/>
      <c r="L15" s="89"/>
      <c r="M15" s="89"/>
      <c r="N15" s="89">
        <f t="shared" si="2"/>
        <v>44</v>
      </c>
      <c r="O15" s="89"/>
      <c r="P15" s="70">
        <v>8</v>
      </c>
      <c r="Q15" s="70">
        <f t="shared" si="3"/>
        <v>352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15073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0">
        <f>'22'!E17</f>
        <v>80</v>
      </c>
      <c r="C17" s="89"/>
      <c r="D17" s="89"/>
      <c r="E17" s="376">
        <v>68</v>
      </c>
      <c r="F17" s="370">
        <f t="shared" ref="F17:F29" si="6">IFERROR(MAX(0,B17+C17-E17-D17),0)</f>
        <v>12</v>
      </c>
      <c r="G17" s="70">
        <v>20</v>
      </c>
      <c r="H17" s="70">
        <f t="shared" ref="H17:H29" si="7">IFERROR(F17*G17,0)</f>
        <v>240</v>
      </c>
      <c r="J17" s="89" t="s">
        <v>222</v>
      </c>
      <c r="K17" s="89"/>
      <c r="L17" s="89"/>
      <c r="M17" s="89"/>
      <c r="N17" s="89">
        <f t="shared" si="2"/>
        <v>68</v>
      </c>
      <c r="O17" s="89"/>
      <c r="P17" s="70">
        <f t="shared" si="5"/>
        <v>20</v>
      </c>
      <c r="Q17" s="70">
        <f t="shared" si="3"/>
        <v>1360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'22'!E18</f>
        <v>183</v>
      </c>
      <c r="C18" s="89"/>
      <c r="D18" s="89"/>
      <c r="E18" s="376">
        <v>146</v>
      </c>
      <c r="F18" s="89">
        <f t="shared" si="6"/>
        <v>37</v>
      </c>
      <c r="G18" s="70">
        <v>25</v>
      </c>
      <c r="H18" s="70">
        <f t="shared" si="7"/>
        <v>925</v>
      </c>
      <c r="J18" s="89" t="s">
        <v>36</v>
      </c>
      <c r="K18" s="89"/>
      <c r="L18" s="89"/>
      <c r="M18" s="89"/>
      <c r="N18" s="89">
        <f t="shared" si="2"/>
        <v>146</v>
      </c>
      <c r="O18" s="89"/>
      <c r="P18" s="70">
        <v>7</v>
      </c>
      <c r="Q18" s="70">
        <f t="shared" si="3"/>
        <v>1022</v>
      </c>
      <c r="S18" s="381" t="s">
        <v>226</v>
      </c>
      <c r="T18" s="70">
        <v>3000</v>
      </c>
      <c r="V18" s="89" t="s">
        <v>227</v>
      </c>
      <c r="W18" s="53"/>
      <c r="Y18" s="388"/>
      <c r="Z18" s="388"/>
      <c r="AA18" s="388"/>
      <c r="AB18" s="389">
        <f>IFERROR(SUM(AB7:AB17)+AB19,0)</f>
        <v>7740</v>
      </c>
    </row>
    <row r="19" spans="1:28" ht="14.5">
      <c r="A19" s="89" t="s">
        <v>228</v>
      </c>
      <c r="B19" s="391">
        <f>'22'!E19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'22'!E20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>
        <v>11.07</v>
      </c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'22'!E21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'22'!E22</f>
        <v>80</v>
      </c>
      <c r="C22" s="89"/>
      <c r="D22" s="89"/>
      <c r="E22" s="376">
        <v>73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73</v>
      </c>
      <c r="O22" s="89"/>
      <c r="P22" s="70">
        <v>7.42</v>
      </c>
      <c r="Q22" s="70">
        <f t="shared" si="3"/>
        <v>541.66</v>
      </c>
      <c r="S22" s="381" t="s">
        <v>241</v>
      </c>
      <c r="T22" s="70"/>
      <c r="V22" s="392" t="s">
        <v>17</v>
      </c>
      <c r="W22" s="393">
        <f>SUM(W16:W21)</f>
        <v>1700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'22'!E23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'22'!E24</f>
        <v>25</v>
      </c>
      <c r="C24" s="89"/>
      <c r="D24" s="89"/>
      <c r="E24" s="376">
        <v>23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23</v>
      </c>
      <c r="O24" s="89"/>
      <c r="P24" s="70">
        <f>G24</f>
        <v>25</v>
      </c>
      <c r="Q24" s="70">
        <f t="shared" si="3"/>
        <v>575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'22'!E25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>
        <v>4228</v>
      </c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'22'!E26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'22'!E27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'22'!E28</f>
        <v>53</v>
      </c>
      <c r="C28" s="89"/>
      <c r="D28" s="89"/>
      <c r="E28" s="376">
        <v>50</v>
      </c>
      <c r="F28" s="89">
        <f t="shared" si="6"/>
        <v>3</v>
      </c>
      <c r="G28" s="70">
        <v>25</v>
      </c>
      <c r="H28" s="70">
        <f t="shared" si="7"/>
        <v>75</v>
      </c>
      <c r="J28" s="89" t="s">
        <v>251</v>
      </c>
      <c r="K28" s="89"/>
      <c r="L28" s="89"/>
      <c r="M28" s="89"/>
      <c r="N28" s="89">
        <f t="shared" si="2"/>
        <v>50</v>
      </c>
      <c r="O28" s="89"/>
      <c r="P28" s="70">
        <v>10.42</v>
      </c>
      <c r="Q28" s="70">
        <f t="shared" si="3"/>
        <v>521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'22'!E29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1430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7239.07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16503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11464.66</v>
      </c>
      <c r="R31" s="357"/>
      <c r="S31" s="506" t="s">
        <v>256</v>
      </c>
      <c r="T31" s="438"/>
      <c r="U31" s="438"/>
      <c r="V31" s="507"/>
      <c r="W31" s="407">
        <f>T30+W30+W22+W14</f>
        <v>8999.07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9440</v>
      </c>
    </row>
    <row r="33" spans="1:27" ht="15.75" customHeight="1">
      <c r="A33" s="3" t="s">
        <v>96</v>
      </c>
      <c r="B33" s="498">
        <f>H31</f>
        <v>16503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8999.07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7239.07</v>
      </c>
      <c r="AA34" s="39"/>
    </row>
    <row r="35" spans="1:27" ht="15.75" customHeight="1">
      <c r="A35" s="3" t="s">
        <v>258</v>
      </c>
      <c r="B35" s="499">
        <f>IFERROR(B33-B34,0)</f>
        <v>7503.93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7740</v>
      </c>
      <c r="AA35" s="39"/>
    </row>
    <row r="36" spans="1:27" ht="15.75" customHeight="1">
      <c r="A36" s="3" t="s">
        <v>259</v>
      </c>
      <c r="B36" s="500">
        <v>7505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14979.07</v>
      </c>
      <c r="AA36" s="39"/>
    </row>
    <row r="37" spans="1:27" ht="15.75" customHeight="1">
      <c r="A37" s="3" t="s">
        <v>260</v>
      </c>
      <c r="B37" s="498">
        <f>IFERROR(B36-B35,0)</f>
        <v>1.069999999999709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B42" s="3"/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45862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'23'!E7</f>
        <v>277</v>
      </c>
      <c r="C7" s="370">
        <v>150</v>
      </c>
      <c r="D7" s="89"/>
      <c r="E7" s="371">
        <v>224</v>
      </c>
      <c r="F7" s="370">
        <f t="shared" ref="F7:F15" si="0">IFERROR(MAX(0,B7+C7-E7-D7),0)</f>
        <v>203</v>
      </c>
      <c r="G7" s="70">
        <v>50</v>
      </c>
      <c r="H7" s="70">
        <f t="shared" ref="H7:H15" si="1">IFERROR(F7*G7,0)</f>
        <v>10150</v>
      </c>
      <c r="J7" s="89" t="s">
        <v>194</v>
      </c>
      <c r="K7" s="89"/>
      <c r="L7" s="89"/>
      <c r="M7" s="89"/>
      <c r="N7" s="370">
        <f t="shared" ref="N7:N30" si="2">E7</f>
        <v>224</v>
      </c>
      <c r="O7" s="89"/>
      <c r="P7" s="70">
        <v>21</v>
      </c>
      <c r="Q7" s="70">
        <f t="shared" ref="Q7:Q29" si="3">IFERROR(N7*P7,0)</f>
        <v>4704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0">
        <f>'23'!E8</f>
        <v>19</v>
      </c>
      <c r="C8" s="89"/>
      <c r="D8" s="89"/>
      <c r="E8" s="376">
        <v>13</v>
      </c>
      <c r="F8" s="370">
        <f t="shared" si="0"/>
        <v>6</v>
      </c>
      <c r="G8" s="70">
        <v>12</v>
      </c>
      <c r="H8" s="70">
        <f t="shared" si="1"/>
        <v>72</v>
      </c>
      <c r="J8" s="89" t="s">
        <v>198</v>
      </c>
      <c r="K8" s="89"/>
      <c r="L8" s="89"/>
      <c r="M8" s="89"/>
      <c r="N8" s="89">
        <f t="shared" si="2"/>
        <v>13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0">
        <f>'23'!E9</f>
        <v>71</v>
      </c>
      <c r="C9" s="89">
        <v>50</v>
      </c>
      <c r="D9" s="89"/>
      <c r="E9" s="376">
        <v>10</v>
      </c>
      <c r="F9" s="370">
        <f t="shared" si="0"/>
        <v>111</v>
      </c>
      <c r="G9" s="70">
        <v>12</v>
      </c>
      <c r="H9" s="70">
        <f t="shared" si="1"/>
        <v>1332</v>
      </c>
      <c r="J9" s="89" t="s">
        <v>200</v>
      </c>
      <c r="K9" s="89"/>
      <c r="L9" s="89"/>
      <c r="M9" s="89"/>
      <c r="N9" s="89">
        <f t="shared" si="2"/>
        <v>10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0">
        <f>'23'!E10</f>
        <v>39</v>
      </c>
      <c r="C10" s="89"/>
      <c r="D10" s="89"/>
      <c r="E10" s="376">
        <v>39</v>
      </c>
      <c r="F10" s="370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20</v>
      </c>
      <c r="AA10" s="374">
        <v>6</v>
      </c>
      <c r="AB10" s="374">
        <f t="shared" si="4"/>
        <v>120</v>
      </c>
    </row>
    <row r="11" spans="1:28" ht="15.5">
      <c r="A11" s="89" t="s">
        <v>55</v>
      </c>
      <c r="B11" s="390">
        <f>'23'!E11</f>
        <v>19</v>
      </c>
      <c r="C11" s="89">
        <v>200</v>
      </c>
      <c r="D11" s="89"/>
      <c r="E11" s="371">
        <v>17</v>
      </c>
      <c r="F11" s="370">
        <f t="shared" si="0"/>
        <v>202</v>
      </c>
      <c r="G11" s="70">
        <v>15</v>
      </c>
      <c r="H11" s="70">
        <f t="shared" si="1"/>
        <v>3030</v>
      </c>
      <c r="J11" s="89" t="s">
        <v>42</v>
      </c>
      <c r="K11" s="89"/>
      <c r="L11" s="89"/>
      <c r="M11" s="89"/>
      <c r="N11" s="370">
        <f t="shared" si="2"/>
        <v>17</v>
      </c>
      <c r="O11" s="89"/>
      <c r="P11" s="70">
        <v>5.5</v>
      </c>
      <c r="Q11" s="70">
        <f t="shared" si="3"/>
        <v>93.5</v>
      </c>
      <c r="S11" s="89" t="s">
        <v>204</v>
      </c>
      <c r="T11" s="380"/>
      <c r="V11" s="89" t="s">
        <v>205</v>
      </c>
      <c r="W11" s="53"/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90">
        <f>'23'!E12</f>
        <v>104</v>
      </c>
      <c r="C12" s="89">
        <v>20</v>
      </c>
      <c r="D12" s="89"/>
      <c r="E12" s="376">
        <v>91</v>
      </c>
      <c r="F12" s="370">
        <f t="shared" si="0"/>
        <v>33</v>
      </c>
      <c r="G12" s="70">
        <v>10</v>
      </c>
      <c r="H12" s="70">
        <f t="shared" si="1"/>
        <v>330</v>
      </c>
      <c r="J12" s="89" t="s">
        <v>37</v>
      </c>
      <c r="K12" s="89"/>
      <c r="L12" s="89"/>
      <c r="M12" s="89"/>
      <c r="N12" s="89">
        <f t="shared" si="2"/>
        <v>91</v>
      </c>
      <c r="O12" s="89"/>
      <c r="P12" s="70">
        <v>3.5</v>
      </c>
      <c r="Q12" s="70">
        <f t="shared" si="3"/>
        <v>318.5</v>
      </c>
      <c r="S12" s="381" t="s">
        <v>208</v>
      </c>
      <c r="T12" s="70">
        <v>611.75</v>
      </c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0">
        <f>'23'!E13</f>
        <v>68</v>
      </c>
      <c r="C13" s="89"/>
      <c r="D13" s="89"/>
      <c r="E13" s="376">
        <v>17</v>
      </c>
      <c r="F13" s="370">
        <f t="shared" si="0"/>
        <v>51</v>
      </c>
      <c r="G13" s="70">
        <v>8</v>
      </c>
      <c r="H13" s="70">
        <f t="shared" si="1"/>
        <v>408</v>
      </c>
      <c r="J13" s="89" t="s">
        <v>211</v>
      </c>
      <c r="K13" s="89"/>
      <c r="L13" s="89"/>
      <c r="M13" s="89"/>
      <c r="N13" s="89">
        <f t="shared" si="2"/>
        <v>17</v>
      </c>
      <c r="O13" s="89"/>
      <c r="P13" s="70">
        <v>7.5</v>
      </c>
      <c r="Q13" s="70">
        <f t="shared" si="3"/>
        <v>127.5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0">
        <f>'23'!E14</f>
        <v>7</v>
      </c>
      <c r="C14" s="89"/>
      <c r="D14" s="89"/>
      <c r="E14" s="376"/>
      <c r="F14" s="370">
        <f t="shared" si="0"/>
        <v>7</v>
      </c>
      <c r="G14" s="70">
        <v>10</v>
      </c>
      <c r="H14" s="70">
        <f t="shared" si="1"/>
        <v>70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0">
        <f>'23'!E15</f>
        <v>44</v>
      </c>
      <c r="C15" s="89"/>
      <c r="D15" s="89"/>
      <c r="E15" s="376">
        <v>14</v>
      </c>
      <c r="F15" s="370">
        <f t="shared" si="0"/>
        <v>30</v>
      </c>
      <c r="G15" s="70">
        <v>25</v>
      </c>
      <c r="H15" s="70">
        <f t="shared" si="1"/>
        <v>750</v>
      </c>
      <c r="J15" s="89" t="s">
        <v>41</v>
      </c>
      <c r="K15" s="89"/>
      <c r="L15" s="89"/>
      <c r="M15" s="89"/>
      <c r="N15" s="89">
        <f t="shared" si="2"/>
        <v>14</v>
      </c>
      <c r="O15" s="89"/>
      <c r="P15" s="70">
        <v>8</v>
      </c>
      <c r="Q15" s="70">
        <f t="shared" si="3"/>
        <v>112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0">
        <f>'23'!E16</f>
        <v>0</v>
      </c>
      <c r="C16" s="386"/>
      <c r="D16" s="386"/>
      <c r="E16" s="386"/>
      <c r="F16" s="386"/>
      <c r="G16" s="387"/>
      <c r="H16" s="345">
        <f>IFERROR(SUM(H7:H15),0)</f>
        <v>16142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90">
        <f>'23'!E17</f>
        <v>68</v>
      </c>
      <c r="C17" s="89">
        <v>48</v>
      </c>
      <c r="D17" s="89"/>
      <c r="E17" s="376">
        <v>100</v>
      </c>
      <c r="F17" s="370">
        <f t="shared" ref="F17:F29" si="6">IFERROR(MAX(0,B17+C17-E17-D17),0)</f>
        <v>16</v>
      </c>
      <c r="G17" s="70">
        <v>20</v>
      </c>
      <c r="H17" s="70">
        <f t="shared" ref="H17:H29" si="7">IFERROR(F17*G17,0)</f>
        <v>320</v>
      </c>
      <c r="J17" s="89" t="s">
        <v>222</v>
      </c>
      <c r="K17" s="89"/>
      <c r="L17" s="89"/>
      <c r="M17" s="89"/>
      <c r="N17" s="89">
        <f t="shared" si="2"/>
        <v>100</v>
      </c>
      <c r="O17" s="89"/>
      <c r="P17" s="70">
        <f t="shared" si="5"/>
        <v>20</v>
      </c>
      <c r="Q17" s="70">
        <f t="shared" si="3"/>
        <v>2000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0">
        <f>'23'!E18</f>
        <v>146</v>
      </c>
      <c r="C18" s="89">
        <v>120</v>
      </c>
      <c r="D18" s="89"/>
      <c r="E18" s="376">
        <v>241</v>
      </c>
      <c r="F18" s="370">
        <f t="shared" si="6"/>
        <v>25</v>
      </c>
      <c r="G18" s="70">
        <v>25</v>
      </c>
      <c r="H18" s="70">
        <f t="shared" si="7"/>
        <v>625</v>
      </c>
      <c r="J18" s="89" t="s">
        <v>36</v>
      </c>
      <c r="K18" s="89"/>
      <c r="L18" s="89"/>
      <c r="M18" s="89"/>
      <c r="N18" s="89">
        <f t="shared" si="2"/>
        <v>241</v>
      </c>
      <c r="O18" s="89"/>
      <c r="P18" s="70">
        <v>7</v>
      </c>
      <c r="Q18" s="70">
        <f t="shared" si="3"/>
        <v>1687</v>
      </c>
      <c r="S18" s="381" t="s">
        <v>226</v>
      </c>
      <c r="T18" s="70">
        <v>2350</v>
      </c>
      <c r="V18" s="89" t="s">
        <v>227</v>
      </c>
      <c r="W18" s="53"/>
      <c r="Y18" s="388"/>
      <c r="Z18" s="388"/>
      <c r="AA18" s="388"/>
      <c r="AB18" s="389">
        <f>IFERROR(SUM(AB7:AB17)+AB19,0)</f>
        <v>7311</v>
      </c>
    </row>
    <row r="19" spans="1:28" ht="14.5">
      <c r="A19" s="89" t="s">
        <v>228</v>
      </c>
      <c r="B19" s="390">
        <f>'23'!E19</f>
        <v>0</v>
      </c>
      <c r="C19" s="89"/>
      <c r="D19" s="89"/>
      <c r="E19" s="376"/>
      <c r="F19" s="370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0">
        <f>'23'!E20</f>
        <v>0</v>
      </c>
      <c r="C20" s="89"/>
      <c r="D20" s="89"/>
      <c r="E20" s="376"/>
      <c r="F20" s="370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1890</v>
      </c>
      <c r="Y20" s="3"/>
      <c r="Z20" s="3"/>
      <c r="AA20" s="3"/>
      <c r="AB20" s="3"/>
    </row>
    <row r="21" spans="1:28" ht="15.75" customHeight="1">
      <c r="A21" s="89" t="s">
        <v>236</v>
      </c>
      <c r="B21" s="390">
        <f>'23'!E21</f>
        <v>0</v>
      </c>
      <c r="C21" s="89"/>
      <c r="D21" s="89"/>
      <c r="E21" s="376"/>
      <c r="F21" s="370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0">
        <f>'23'!E22</f>
        <v>73</v>
      </c>
      <c r="C22" s="89"/>
      <c r="D22" s="89"/>
      <c r="E22" s="376">
        <v>68</v>
      </c>
      <c r="F22" s="370">
        <f t="shared" si="6"/>
        <v>5</v>
      </c>
      <c r="G22" s="70">
        <v>20</v>
      </c>
      <c r="H22" s="70">
        <f t="shared" si="7"/>
        <v>100</v>
      </c>
      <c r="J22" s="89" t="s">
        <v>220</v>
      </c>
      <c r="K22" s="89"/>
      <c r="L22" s="89"/>
      <c r="M22" s="89"/>
      <c r="N22" s="89">
        <f t="shared" si="2"/>
        <v>68</v>
      </c>
      <c r="O22" s="89"/>
      <c r="P22" s="70">
        <v>7.42</v>
      </c>
      <c r="Q22" s="70">
        <f t="shared" si="3"/>
        <v>504.56</v>
      </c>
      <c r="S22" s="381" t="s">
        <v>241</v>
      </c>
      <c r="T22" s="70"/>
      <c r="V22" s="392" t="s">
        <v>17</v>
      </c>
      <c r="W22" s="393">
        <f>SUM(W16:W21)</f>
        <v>3590</v>
      </c>
      <c r="Y22" s="394"/>
      <c r="Z22" s="394"/>
      <c r="AA22" s="3"/>
      <c r="AB22" s="3"/>
    </row>
    <row r="23" spans="1:28" ht="15.75" customHeight="1">
      <c r="A23" s="89" t="s">
        <v>242</v>
      </c>
      <c r="B23" s="390">
        <f>'23'!E23</f>
        <v>0</v>
      </c>
      <c r="C23" s="89"/>
      <c r="D23" s="89"/>
      <c r="E23" s="376"/>
      <c r="F23" s="370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0">
        <f>'23'!E24</f>
        <v>23</v>
      </c>
      <c r="C24" s="89"/>
      <c r="D24" s="89"/>
      <c r="E24" s="376">
        <v>22</v>
      </c>
      <c r="F24" s="370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22</v>
      </c>
      <c r="O24" s="89"/>
      <c r="P24" s="70">
        <f>G24</f>
        <v>25</v>
      </c>
      <c r="Q24" s="70">
        <f t="shared" si="3"/>
        <v>550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0">
        <f>'23'!E25</f>
        <v>0</v>
      </c>
      <c r="C25" s="89"/>
      <c r="D25" s="89"/>
      <c r="E25" s="376"/>
      <c r="F25" s="370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0">
        <f>'23'!E26</f>
        <v>0</v>
      </c>
      <c r="C26" s="89"/>
      <c r="D26" s="89"/>
      <c r="E26" s="376"/>
      <c r="F26" s="370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0">
        <f>'23'!E27</f>
        <v>0</v>
      </c>
      <c r="C27" s="89"/>
      <c r="D27" s="89"/>
      <c r="E27" s="376"/>
      <c r="F27" s="370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0">
        <f>'23'!E28</f>
        <v>50</v>
      </c>
      <c r="C28" s="89"/>
      <c r="D28" s="89"/>
      <c r="E28" s="376">
        <v>45</v>
      </c>
      <c r="F28" s="370">
        <f t="shared" si="6"/>
        <v>5</v>
      </c>
      <c r="G28" s="70">
        <v>25</v>
      </c>
      <c r="H28" s="70">
        <f t="shared" si="7"/>
        <v>125</v>
      </c>
      <c r="J28" s="89" t="s">
        <v>251</v>
      </c>
      <c r="K28" s="89"/>
      <c r="L28" s="89"/>
      <c r="M28" s="89"/>
      <c r="N28" s="89">
        <f t="shared" si="2"/>
        <v>45</v>
      </c>
      <c r="O28" s="89"/>
      <c r="P28" s="70">
        <v>10.42</v>
      </c>
      <c r="Q28" s="70">
        <f t="shared" si="3"/>
        <v>468.9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0">
        <f>'23'!E29</f>
        <v>0</v>
      </c>
      <c r="C29" s="89"/>
      <c r="D29" s="89"/>
      <c r="E29" s="376"/>
      <c r="F29" s="370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1195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2961.75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17337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10838.96</v>
      </c>
      <c r="R31" s="357"/>
      <c r="S31" s="506" t="s">
        <v>256</v>
      </c>
      <c r="T31" s="438"/>
      <c r="U31" s="438"/>
      <c r="V31" s="507"/>
      <c r="W31" s="407">
        <f>T30+W30+W22+W14</f>
        <v>6551.75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9310</v>
      </c>
    </row>
    <row r="33" spans="1:27" ht="15.75" customHeight="1">
      <c r="A33" s="3" t="s">
        <v>96</v>
      </c>
      <c r="B33" s="498">
        <f>H31</f>
        <v>17337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6551.75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4552.75</v>
      </c>
      <c r="AA34" s="39"/>
    </row>
    <row r="35" spans="1:27" ht="15.75" customHeight="1">
      <c r="A35" s="3" t="s">
        <v>258</v>
      </c>
      <c r="B35" s="499">
        <f>IFERROR(B33-B34,0)</f>
        <v>10785.25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5720</v>
      </c>
      <c r="AA35" s="39"/>
    </row>
    <row r="36" spans="1:27" ht="15.75" customHeight="1">
      <c r="A36" s="3" t="s">
        <v>259</v>
      </c>
      <c r="B36" s="500">
        <v>10785.25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10272.75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1591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46228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'24'!E7</f>
        <v>224</v>
      </c>
      <c r="C7" s="370">
        <v>450</v>
      </c>
      <c r="D7" s="89"/>
      <c r="E7" s="371">
        <v>505</v>
      </c>
      <c r="F7" s="370">
        <f t="shared" ref="F7:F12" si="0">IFERROR(MAX(0,B7+C7-E7-D7),0)</f>
        <v>169</v>
      </c>
      <c r="G7" s="70">
        <v>50</v>
      </c>
      <c r="H7" s="70">
        <f t="shared" ref="H7:H15" si="1">IFERROR(F7*G7,0)</f>
        <v>8450</v>
      </c>
      <c r="J7" s="89" t="s">
        <v>194</v>
      </c>
      <c r="K7" s="89"/>
      <c r="L7" s="89"/>
      <c r="M7" s="89"/>
      <c r="N7" s="370">
        <f t="shared" ref="N7:N30" si="2">E7</f>
        <v>505</v>
      </c>
      <c r="O7" s="89"/>
      <c r="P7" s="70">
        <v>21</v>
      </c>
      <c r="Q7" s="70">
        <f t="shared" ref="Q7:Q29" si="3">IFERROR(N7*P7,0)</f>
        <v>10605</v>
      </c>
      <c r="S7" s="89" t="s">
        <v>195</v>
      </c>
      <c r="T7" s="364"/>
      <c r="V7" s="89" t="s">
        <v>196</v>
      </c>
      <c r="W7" s="372">
        <v>10500</v>
      </c>
      <c r="Y7" s="373" t="s">
        <v>197</v>
      </c>
      <c r="Z7" s="374">
        <v>450</v>
      </c>
      <c r="AA7" s="374">
        <v>35</v>
      </c>
      <c r="AB7" s="374">
        <f t="shared" ref="AB7:AB17" si="4">IFERROR(Z7*AA7,0)</f>
        <v>15750</v>
      </c>
    </row>
    <row r="8" spans="1:28" ht="15.5">
      <c r="A8" s="89" t="s">
        <v>102</v>
      </c>
      <c r="B8" s="391">
        <f>'24'!E8</f>
        <v>13</v>
      </c>
      <c r="C8" s="89">
        <v>20</v>
      </c>
      <c r="D8" s="89"/>
      <c r="E8" s="376">
        <v>23</v>
      </c>
      <c r="F8" s="89">
        <f t="shared" si="0"/>
        <v>10</v>
      </c>
      <c r="G8" s="70">
        <v>12</v>
      </c>
      <c r="H8" s="70">
        <f t="shared" si="1"/>
        <v>120</v>
      </c>
      <c r="J8" s="89" t="s">
        <v>198</v>
      </c>
      <c r="K8" s="89"/>
      <c r="L8" s="89"/>
      <c r="M8" s="89"/>
      <c r="N8" s="89">
        <f t="shared" si="2"/>
        <v>23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200</v>
      </c>
      <c r="AA8" s="374">
        <v>7</v>
      </c>
      <c r="AB8" s="374">
        <f t="shared" si="4"/>
        <v>1400</v>
      </c>
    </row>
    <row r="9" spans="1:28" ht="15.5">
      <c r="A9" s="89" t="s">
        <v>53</v>
      </c>
      <c r="B9" s="391">
        <f>'24'!E9</f>
        <v>10</v>
      </c>
      <c r="C9" s="89">
        <v>200</v>
      </c>
      <c r="D9" s="89"/>
      <c r="E9" s="376">
        <v>100</v>
      </c>
      <c r="F9" s="89">
        <f t="shared" si="0"/>
        <v>110</v>
      </c>
      <c r="G9" s="70">
        <v>12</v>
      </c>
      <c r="H9" s="70">
        <f t="shared" si="1"/>
        <v>1320</v>
      </c>
      <c r="J9" s="89" t="s">
        <v>200</v>
      </c>
      <c r="K9" s="89"/>
      <c r="L9" s="89"/>
      <c r="M9" s="89"/>
      <c r="N9" s="89">
        <f t="shared" si="2"/>
        <v>100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'24'!E10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>
        <v>350</v>
      </c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'24'!E11</f>
        <v>17</v>
      </c>
      <c r="C11" s="89">
        <v>200</v>
      </c>
      <c r="D11" s="89"/>
      <c r="E11" s="371">
        <v>31</v>
      </c>
      <c r="F11" s="370">
        <f t="shared" si="0"/>
        <v>186</v>
      </c>
      <c r="G11" s="70">
        <v>15</v>
      </c>
      <c r="H11" s="70">
        <f t="shared" si="1"/>
        <v>2790</v>
      </c>
      <c r="J11" s="89" t="s">
        <v>42</v>
      </c>
      <c r="K11" s="89"/>
      <c r="L11" s="89"/>
      <c r="M11" s="89"/>
      <c r="N11" s="370">
        <f t="shared" si="2"/>
        <v>31</v>
      </c>
      <c r="O11" s="89"/>
      <c r="P11" s="70">
        <v>5.5</v>
      </c>
      <c r="Q11" s="70">
        <f t="shared" si="3"/>
        <v>170.5</v>
      </c>
      <c r="S11" s="89" t="s">
        <v>204</v>
      </c>
      <c r="T11" s="380"/>
      <c r="V11" s="89" t="s">
        <v>205</v>
      </c>
      <c r="W11" s="53">
        <v>237.5</v>
      </c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'24'!E12</f>
        <v>91</v>
      </c>
      <c r="C12" s="89">
        <v>60</v>
      </c>
      <c r="D12" s="89"/>
      <c r="E12" s="376">
        <v>121</v>
      </c>
      <c r="F12" s="89">
        <f t="shared" si="0"/>
        <v>30</v>
      </c>
      <c r="G12" s="70">
        <v>10</v>
      </c>
      <c r="H12" s="70">
        <f t="shared" si="1"/>
        <v>300</v>
      </c>
      <c r="J12" s="89" t="s">
        <v>37</v>
      </c>
      <c r="K12" s="89"/>
      <c r="L12" s="89"/>
      <c r="M12" s="89"/>
      <c r="N12" s="89">
        <f t="shared" si="2"/>
        <v>121</v>
      </c>
      <c r="O12" s="89"/>
      <c r="P12" s="70">
        <v>3.5</v>
      </c>
      <c r="Q12" s="70">
        <f t="shared" si="3"/>
        <v>423.5</v>
      </c>
      <c r="S12" s="381" t="s">
        <v>208</v>
      </c>
      <c r="T12" s="70"/>
      <c r="V12" s="89" t="s">
        <v>209</v>
      </c>
      <c r="W12" s="53">
        <v>1000</v>
      </c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'24'!E13</f>
        <v>17</v>
      </c>
      <c r="C13" s="89">
        <v>100</v>
      </c>
      <c r="D13" s="89"/>
      <c r="E13" s="376">
        <v>92</v>
      </c>
      <c r="F13" s="89">
        <f>IFERROR(MAX(0,B13+C13-E13-E16),0)</f>
        <v>25</v>
      </c>
      <c r="G13" s="70">
        <v>8</v>
      </c>
      <c r="H13" s="70">
        <f t="shared" si="1"/>
        <v>200</v>
      </c>
      <c r="J13" s="89" t="s">
        <v>211</v>
      </c>
      <c r="K13" s="89"/>
      <c r="L13" s="89"/>
      <c r="M13" s="89"/>
      <c r="N13" s="89">
        <f t="shared" si="2"/>
        <v>92</v>
      </c>
      <c r="O13" s="89"/>
      <c r="P13" s="70">
        <v>7.5</v>
      </c>
      <c r="Q13" s="70">
        <f t="shared" si="3"/>
        <v>690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'24'!E14</f>
        <v>0</v>
      </c>
      <c r="C14" s="89"/>
      <c r="D14" s="89"/>
      <c r="E14" s="376"/>
      <c r="F14" s="89">
        <f t="shared" ref="F14:F15" si="5">IFERROR(MAX(0,B14+C14-E14-D14),0)</f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9612.5</v>
      </c>
      <c r="Y14" s="89" t="s">
        <v>127</v>
      </c>
      <c r="Z14" s="70">
        <v>20</v>
      </c>
      <c r="AA14" s="70">
        <v>27</v>
      </c>
      <c r="AB14" s="374">
        <f t="shared" si="4"/>
        <v>540</v>
      </c>
    </row>
    <row r="15" spans="1:28" ht="15.5">
      <c r="A15" s="89" t="s">
        <v>216</v>
      </c>
      <c r="B15" s="391">
        <f>'24'!E15</f>
        <v>14</v>
      </c>
      <c r="C15" s="89">
        <v>50</v>
      </c>
      <c r="D15" s="89"/>
      <c r="E15" s="376">
        <v>51</v>
      </c>
      <c r="F15" s="89">
        <f t="shared" si="5"/>
        <v>13</v>
      </c>
      <c r="G15" s="70">
        <v>25</v>
      </c>
      <c r="H15" s="70">
        <f t="shared" si="1"/>
        <v>325</v>
      </c>
      <c r="J15" s="89" t="s">
        <v>41</v>
      </c>
      <c r="K15" s="89"/>
      <c r="L15" s="89"/>
      <c r="M15" s="89"/>
      <c r="N15" s="89">
        <f t="shared" si="2"/>
        <v>51</v>
      </c>
      <c r="O15" s="89"/>
      <c r="P15" s="70">
        <v>8</v>
      </c>
      <c r="Q15" s="70">
        <f t="shared" si="3"/>
        <v>408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13505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6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100</v>
      </c>
      <c r="AA16" s="89">
        <v>6</v>
      </c>
      <c r="AB16" s="374">
        <f t="shared" si="4"/>
        <v>600</v>
      </c>
    </row>
    <row r="17" spans="1:28" ht="15.5">
      <c r="A17" s="89" t="s">
        <v>220</v>
      </c>
      <c r="B17" s="391">
        <f>'24'!E17</f>
        <v>100</v>
      </c>
      <c r="C17" s="89"/>
      <c r="D17" s="89"/>
      <c r="E17" s="376">
        <v>83</v>
      </c>
      <c r="F17" s="89">
        <f t="shared" ref="F17:F29" si="7">IFERROR(MAX(0,B17+C17-E17-D17),0)</f>
        <v>17</v>
      </c>
      <c r="G17" s="70">
        <v>20</v>
      </c>
      <c r="H17" s="70">
        <f t="shared" ref="H17:H29" si="8">IFERROR(F17*G17,0)</f>
        <v>340</v>
      </c>
      <c r="J17" s="89" t="s">
        <v>222</v>
      </c>
      <c r="K17" s="89"/>
      <c r="L17" s="89"/>
      <c r="M17" s="89"/>
      <c r="N17" s="89">
        <f t="shared" si="2"/>
        <v>83</v>
      </c>
      <c r="O17" s="89"/>
      <c r="P17" s="70">
        <f t="shared" si="6"/>
        <v>20</v>
      </c>
      <c r="Q17" s="70">
        <f t="shared" si="3"/>
        <v>1660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'24'!E18</f>
        <v>241</v>
      </c>
      <c r="C18" s="89"/>
      <c r="D18" s="89"/>
      <c r="E18" s="376">
        <v>208</v>
      </c>
      <c r="F18" s="89">
        <f t="shared" si="7"/>
        <v>33</v>
      </c>
      <c r="G18" s="70">
        <v>25</v>
      </c>
      <c r="H18" s="70">
        <f t="shared" si="8"/>
        <v>825</v>
      </c>
      <c r="J18" s="89" t="s">
        <v>36</v>
      </c>
      <c r="K18" s="89"/>
      <c r="L18" s="89"/>
      <c r="M18" s="89"/>
      <c r="N18" s="89">
        <f t="shared" si="2"/>
        <v>208</v>
      </c>
      <c r="O18" s="89"/>
      <c r="P18" s="70">
        <v>7</v>
      </c>
      <c r="Q18" s="70">
        <f t="shared" si="3"/>
        <v>1456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21094</v>
      </c>
    </row>
    <row r="19" spans="1:28" ht="14.5">
      <c r="A19" s="89" t="s">
        <v>228</v>
      </c>
      <c r="B19" s="391">
        <f>'24'!E19</f>
        <v>0</v>
      </c>
      <c r="C19" s="89"/>
      <c r="D19" s="89"/>
      <c r="E19" s="376"/>
      <c r="F19" s="89">
        <f t="shared" si="7"/>
        <v>0</v>
      </c>
      <c r="G19" s="70">
        <v>40</v>
      </c>
      <c r="H19" s="70">
        <f t="shared" si="8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9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'24'!E20</f>
        <v>0</v>
      </c>
      <c r="C20" s="89"/>
      <c r="D20" s="89"/>
      <c r="E20" s="376"/>
      <c r="F20" s="89">
        <f t="shared" si="7"/>
        <v>0</v>
      </c>
      <c r="G20" s="70">
        <v>80</v>
      </c>
      <c r="H20" s="70">
        <f t="shared" si="8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9"/>
        <v>80</v>
      </c>
      <c r="Q20" s="70">
        <f t="shared" si="3"/>
        <v>0</v>
      </c>
      <c r="S20" s="381" t="s">
        <v>234</v>
      </c>
      <c r="T20" s="70">
        <v>11.07</v>
      </c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'24'!E21</f>
        <v>0</v>
      </c>
      <c r="C21" s="89"/>
      <c r="D21" s="89"/>
      <c r="E21" s="376"/>
      <c r="F21" s="89">
        <f t="shared" si="7"/>
        <v>0</v>
      </c>
      <c r="G21" s="70">
        <v>15</v>
      </c>
      <c r="H21" s="70">
        <f t="shared" si="8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9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'24'!E22</f>
        <v>68</v>
      </c>
      <c r="C22" s="89"/>
      <c r="D22" s="89"/>
      <c r="E22" s="376">
        <v>65</v>
      </c>
      <c r="F22" s="89">
        <f t="shared" si="7"/>
        <v>3</v>
      </c>
      <c r="G22" s="70">
        <v>20</v>
      </c>
      <c r="H22" s="70">
        <f t="shared" si="8"/>
        <v>60</v>
      </c>
      <c r="J22" s="89" t="s">
        <v>220</v>
      </c>
      <c r="K22" s="89"/>
      <c r="L22" s="89"/>
      <c r="M22" s="89"/>
      <c r="N22" s="89">
        <f t="shared" si="2"/>
        <v>65</v>
      </c>
      <c r="O22" s="89"/>
      <c r="P22" s="70">
        <v>7.42</v>
      </c>
      <c r="Q22" s="70">
        <f t="shared" si="3"/>
        <v>482.3</v>
      </c>
      <c r="S22" s="381" t="s">
        <v>241</v>
      </c>
      <c r="T22" s="70"/>
      <c r="V22" s="392" t="s">
        <v>17</v>
      </c>
      <c r="W22" s="393">
        <f>SUM(W16:W21)</f>
        <v>1700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'24'!E23</f>
        <v>0</v>
      </c>
      <c r="C23" s="89"/>
      <c r="D23" s="89"/>
      <c r="E23" s="376"/>
      <c r="F23" s="89">
        <f t="shared" si="7"/>
        <v>0</v>
      </c>
      <c r="G23" s="70">
        <v>35</v>
      </c>
      <c r="H23" s="70">
        <f t="shared" si="8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'24'!E24</f>
        <v>22</v>
      </c>
      <c r="C24" s="89"/>
      <c r="D24" s="89"/>
      <c r="E24" s="376">
        <v>19</v>
      </c>
      <c r="F24" s="89">
        <f t="shared" si="7"/>
        <v>3</v>
      </c>
      <c r="G24" s="70">
        <v>25</v>
      </c>
      <c r="H24" s="70">
        <f t="shared" si="8"/>
        <v>75</v>
      </c>
      <c r="J24" s="89" t="s">
        <v>244</v>
      </c>
      <c r="K24" s="89"/>
      <c r="L24" s="89"/>
      <c r="M24" s="89"/>
      <c r="N24" s="89">
        <f t="shared" si="2"/>
        <v>19</v>
      </c>
      <c r="O24" s="89"/>
      <c r="P24" s="70">
        <f>G24</f>
        <v>25</v>
      </c>
      <c r="Q24" s="70">
        <f t="shared" si="3"/>
        <v>475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'24'!E25</f>
        <v>0</v>
      </c>
      <c r="C25" s="89"/>
      <c r="D25" s="89"/>
      <c r="E25" s="376"/>
      <c r="F25" s="89">
        <f t="shared" si="7"/>
        <v>0</v>
      </c>
      <c r="G25" s="70">
        <v>25</v>
      </c>
      <c r="H25" s="70">
        <f t="shared" si="8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'24'!E26</f>
        <v>0</v>
      </c>
      <c r="C26" s="89"/>
      <c r="D26" s="89"/>
      <c r="E26" s="376"/>
      <c r="F26" s="89">
        <f t="shared" si="7"/>
        <v>0</v>
      </c>
      <c r="G26" s="70">
        <v>25</v>
      </c>
      <c r="H26" s="70">
        <f t="shared" si="8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'24'!E27</f>
        <v>0</v>
      </c>
      <c r="C27" s="89"/>
      <c r="D27" s="89"/>
      <c r="E27" s="376"/>
      <c r="F27" s="89">
        <f t="shared" si="7"/>
        <v>0</v>
      </c>
      <c r="G27" s="70">
        <v>17</v>
      </c>
      <c r="H27" s="70">
        <f t="shared" si="8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'24'!E28</f>
        <v>45</v>
      </c>
      <c r="C28" s="89"/>
      <c r="D28" s="89"/>
      <c r="E28" s="376">
        <v>42</v>
      </c>
      <c r="F28" s="89">
        <f t="shared" si="7"/>
        <v>3</v>
      </c>
      <c r="G28" s="70">
        <v>25</v>
      </c>
      <c r="H28" s="70">
        <f t="shared" si="8"/>
        <v>75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'24'!E29</f>
        <v>0</v>
      </c>
      <c r="C29" s="89"/>
      <c r="D29" s="89"/>
      <c r="E29" s="376"/>
      <c r="F29" s="89">
        <f t="shared" si="7"/>
        <v>0</v>
      </c>
      <c r="G29" s="70">
        <v>40</v>
      </c>
      <c r="H29" s="70">
        <f t="shared" si="8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1375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11.07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14880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17080.939999999999</v>
      </c>
      <c r="R31" s="357"/>
      <c r="S31" s="506" t="s">
        <v>256</v>
      </c>
      <c r="T31" s="438"/>
      <c r="U31" s="438"/>
      <c r="V31" s="507"/>
      <c r="W31" s="407">
        <f>T30+W30+W22+W14</f>
        <v>11383.57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20880</v>
      </c>
    </row>
    <row r="33" spans="1:27" ht="15.75" customHeight="1">
      <c r="A33" s="3" t="s">
        <v>96</v>
      </c>
      <c r="B33" s="498">
        <f>H31</f>
        <v>14880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11383.57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12537.57</v>
      </c>
      <c r="AA34" s="39"/>
    </row>
    <row r="35" spans="1:27" ht="15.75" customHeight="1">
      <c r="A35" s="3" t="s">
        <v>258</v>
      </c>
      <c r="B35" s="499">
        <f>IFERROR(B33-B34,0)</f>
        <v>3496.4300000000003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19180</v>
      </c>
      <c r="AA35" s="39"/>
    </row>
    <row r="36" spans="1:27" ht="15.75" customHeight="1">
      <c r="A36" s="3" t="s">
        <v>259</v>
      </c>
      <c r="B36" s="500">
        <v>3482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31717.57</v>
      </c>
      <c r="AA36" s="39"/>
    </row>
    <row r="37" spans="1:27" ht="15.75" customHeight="1">
      <c r="A37" s="3" t="s">
        <v>260</v>
      </c>
      <c r="B37" s="498">
        <f>IFERROR(B36-B35,0)</f>
        <v>-14.430000000000291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1914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1237.5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10262.5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46229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'25'!E7</f>
        <v>505</v>
      </c>
      <c r="C7" s="370"/>
      <c r="D7" s="89"/>
      <c r="E7" s="371">
        <v>294</v>
      </c>
      <c r="F7" s="370">
        <f t="shared" ref="F7:F15" si="0">IFERROR(MAX(0,B7+C7-E7-D7),0)</f>
        <v>211</v>
      </c>
      <c r="G7" s="70">
        <v>50</v>
      </c>
      <c r="H7" s="70">
        <f t="shared" ref="H7:H15" si="1">IFERROR(F7*G7,0)</f>
        <v>10550</v>
      </c>
      <c r="J7" s="89" t="s">
        <v>194</v>
      </c>
      <c r="K7" s="89"/>
      <c r="L7" s="89"/>
      <c r="M7" s="89"/>
      <c r="N7" s="370">
        <f t="shared" ref="N7:N30" si="2">E7</f>
        <v>294</v>
      </c>
      <c r="O7" s="89"/>
      <c r="P7" s="70">
        <v>21</v>
      </c>
      <c r="Q7" s="70">
        <f t="shared" ref="Q7:Q29" si="3">IFERROR(N7*P7,0)</f>
        <v>6174</v>
      </c>
      <c r="S7" s="89" t="s">
        <v>195</v>
      </c>
      <c r="T7" s="364"/>
      <c r="V7" s="89" t="s">
        <v>196</v>
      </c>
      <c r="W7" s="372"/>
      <c r="Y7" s="373" t="s">
        <v>197</v>
      </c>
      <c r="Z7" s="374"/>
      <c r="AA7" s="374">
        <v>35</v>
      </c>
      <c r="AB7" s="374">
        <f t="shared" ref="AB7:AB17" si="4">IFERROR(Z7*AA7,0)</f>
        <v>0</v>
      </c>
    </row>
    <row r="8" spans="1:28" ht="15.5">
      <c r="A8" s="89" t="s">
        <v>102</v>
      </c>
      <c r="B8" s="391">
        <f>'25'!E8</f>
        <v>23</v>
      </c>
      <c r="C8" s="89"/>
      <c r="D8" s="89"/>
      <c r="E8" s="376">
        <v>5</v>
      </c>
      <c r="F8" s="89">
        <f t="shared" si="0"/>
        <v>18</v>
      </c>
      <c r="G8" s="70">
        <v>12</v>
      </c>
      <c r="H8" s="70">
        <f t="shared" si="1"/>
        <v>216</v>
      </c>
      <c r="J8" s="89" t="s">
        <v>198</v>
      </c>
      <c r="K8" s="89"/>
      <c r="L8" s="89"/>
      <c r="M8" s="89"/>
      <c r="N8" s="89">
        <f t="shared" si="2"/>
        <v>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/>
      <c r="AA8" s="374">
        <v>7</v>
      </c>
      <c r="AB8" s="374">
        <f t="shared" si="4"/>
        <v>0</v>
      </c>
    </row>
    <row r="9" spans="1:28" ht="15.5">
      <c r="A9" s="89" t="s">
        <v>53</v>
      </c>
      <c r="B9" s="391">
        <f>'25'!E9</f>
        <v>100</v>
      </c>
      <c r="C9" s="89"/>
      <c r="D9" s="89"/>
      <c r="E9" s="376">
        <v>10</v>
      </c>
      <c r="F9" s="89">
        <f t="shared" si="0"/>
        <v>90</v>
      </c>
      <c r="G9" s="70">
        <v>12</v>
      </c>
      <c r="H9" s="70">
        <f t="shared" si="1"/>
        <v>1080</v>
      </c>
      <c r="J9" s="89" t="s">
        <v>200</v>
      </c>
      <c r="K9" s="89"/>
      <c r="L9" s="89"/>
      <c r="M9" s="89"/>
      <c r="N9" s="89">
        <f t="shared" si="2"/>
        <v>10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'25'!E10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90">
        <f>'25'!E11</f>
        <v>31</v>
      </c>
      <c r="C11" s="89">
        <v>200</v>
      </c>
      <c r="D11" s="89"/>
      <c r="E11" s="371">
        <v>11</v>
      </c>
      <c r="F11" s="370">
        <f t="shared" si="0"/>
        <v>220</v>
      </c>
      <c r="G11" s="70">
        <v>15</v>
      </c>
      <c r="H11" s="70">
        <f t="shared" si="1"/>
        <v>3300</v>
      </c>
      <c r="J11" s="89" t="s">
        <v>42</v>
      </c>
      <c r="K11" s="89"/>
      <c r="L11" s="89"/>
      <c r="M11" s="89"/>
      <c r="N11" s="370">
        <f t="shared" si="2"/>
        <v>11</v>
      </c>
      <c r="O11" s="89"/>
      <c r="P11" s="70">
        <v>5.5</v>
      </c>
      <c r="Q11" s="70">
        <f t="shared" si="3"/>
        <v>60.5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'25'!E12</f>
        <v>121</v>
      </c>
      <c r="C12" s="89"/>
      <c r="D12" s="89"/>
      <c r="E12" s="376">
        <v>63</v>
      </c>
      <c r="F12" s="89">
        <f t="shared" si="0"/>
        <v>58</v>
      </c>
      <c r="G12" s="70">
        <v>10</v>
      </c>
      <c r="H12" s="70">
        <f t="shared" si="1"/>
        <v>580</v>
      </c>
      <c r="J12" s="89" t="s">
        <v>37</v>
      </c>
      <c r="K12" s="89"/>
      <c r="L12" s="89"/>
      <c r="M12" s="89"/>
      <c r="N12" s="89">
        <f t="shared" si="2"/>
        <v>63</v>
      </c>
      <c r="O12" s="89"/>
      <c r="P12" s="70">
        <v>3.5</v>
      </c>
      <c r="Q12" s="70">
        <f t="shared" si="3"/>
        <v>220.5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'25'!E13</f>
        <v>92</v>
      </c>
      <c r="C13" s="89"/>
      <c r="D13" s="89"/>
      <c r="E13" s="376">
        <v>56</v>
      </c>
      <c r="F13" s="89">
        <f t="shared" si="0"/>
        <v>36</v>
      </c>
      <c r="G13" s="70">
        <v>8</v>
      </c>
      <c r="H13" s="70">
        <f t="shared" si="1"/>
        <v>288</v>
      </c>
      <c r="J13" s="89" t="s">
        <v>211</v>
      </c>
      <c r="K13" s="89"/>
      <c r="L13" s="89"/>
      <c r="M13" s="89"/>
      <c r="N13" s="89">
        <f t="shared" si="2"/>
        <v>56</v>
      </c>
      <c r="O13" s="89"/>
      <c r="P13" s="70">
        <v>7.5</v>
      </c>
      <c r="Q13" s="70">
        <f t="shared" si="3"/>
        <v>420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'25'!E14</f>
        <v>0</v>
      </c>
      <c r="C14" s="89"/>
      <c r="D14" s="89"/>
      <c r="E14" s="376"/>
      <c r="F14" s="89">
        <f t="shared" si="0"/>
        <v>0</v>
      </c>
      <c r="G14" s="70">
        <v>10</v>
      </c>
      <c r="H14" s="70">
        <f t="shared" si="1"/>
        <v>0</v>
      </c>
      <c r="J14" s="89" t="s">
        <v>44</v>
      </c>
      <c r="K14" s="89"/>
      <c r="L14" s="89"/>
      <c r="M14" s="89"/>
      <c r="N14" s="89">
        <f t="shared" si="2"/>
        <v>0</v>
      </c>
      <c r="O14" s="89"/>
      <c r="P14" s="70">
        <v>3.5</v>
      </c>
      <c r="Q14" s="70">
        <f t="shared" si="3"/>
        <v>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'25'!E15</f>
        <v>51</v>
      </c>
      <c r="C15" s="89"/>
      <c r="D15" s="89"/>
      <c r="E15" s="376">
        <v>21</v>
      </c>
      <c r="F15" s="89">
        <f t="shared" si="0"/>
        <v>30</v>
      </c>
      <c r="G15" s="70">
        <v>25</v>
      </c>
      <c r="H15" s="70">
        <f t="shared" si="1"/>
        <v>750</v>
      </c>
      <c r="J15" s="89" t="s">
        <v>41</v>
      </c>
      <c r="K15" s="89"/>
      <c r="L15" s="89"/>
      <c r="M15" s="89"/>
      <c r="N15" s="89">
        <f t="shared" si="2"/>
        <v>21</v>
      </c>
      <c r="O15" s="89"/>
      <c r="P15" s="70">
        <v>8</v>
      </c>
      <c r="Q15" s="70">
        <f t="shared" si="3"/>
        <v>168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86"/>
      <c r="C16" s="386"/>
      <c r="D16" s="386"/>
      <c r="E16" s="386"/>
      <c r="F16" s="386"/>
      <c r="G16" s="387"/>
      <c r="H16" s="345">
        <f>IFERROR(SUM(H7:H15),0)</f>
        <v>16764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91">
        <f>'25'!E17</f>
        <v>83</v>
      </c>
      <c r="C17" s="89"/>
      <c r="D17" s="89"/>
      <c r="E17" s="376">
        <v>70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70</v>
      </c>
      <c r="O17" s="89"/>
      <c r="P17" s="70">
        <f t="shared" si="5"/>
        <v>20</v>
      </c>
      <c r="Q17" s="70">
        <f t="shared" si="3"/>
        <v>1400</v>
      </c>
      <c r="S17" s="381" t="s">
        <v>223</v>
      </c>
      <c r="T17" s="70">
        <v>4792.74</v>
      </c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'25'!E18</f>
        <v>208</v>
      </c>
      <c r="C18" s="89"/>
      <c r="D18" s="89"/>
      <c r="E18" s="376">
        <v>144</v>
      </c>
      <c r="F18" s="89">
        <f t="shared" si="6"/>
        <v>64</v>
      </c>
      <c r="G18" s="70">
        <v>25</v>
      </c>
      <c r="H18" s="70">
        <f t="shared" si="7"/>
        <v>1600</v>
      </c>
      <c r="J18" s="89" t="s">
        <v>36</v>
      </c>
      <c r="K18" s="89"/>
      <c r="L18" s="89"/>
      <c r="M18" s="89"/>
      <c r="N18" s="89">
        <f t="shared" si="2"/>
        <v>144</v>
      </c>
      <c r="O18" s="89"/>
      <c r="P18" s="70">
        <v>7</v>
      </c>
      <c r="Q18" s="70">
        <f t="shared" si="3"/>
        <v>1008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0</v>
      </c>
    </row>
    <row r="19" spans="1:28" ht="14.5">
      <c r="A19" s="89" t="s">
        <v>228</v>
      </c>
      <c r="B19" s="391">
        <f>'25'!E19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'25'!E20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'25'!E21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>
        <v>140.25</v>
      </c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'25'!E22</f>
        <v>65</v>
      </c>
      <c r="C22" s="89"/>
      <c r="D22" s="89"/>
      <c r="E22" s="376">
        <v>59</v>
      </c>
      <c r="F22" s="89">
        <f t="shared" si="6"/>
        <v>6</v>
      </c>
      <c r="G22" s="70">
        <v>20</v>
      </c>
      <c r="H22" s="70">
        <f t="shared" si="7"/>
        <v>120</v>
      </c>
      <c r="J22" s="89" t="s">
        <v>220</v>
      </c>
      <c r="K22" s="89"/>
      <c r="L22" s="89"/>
      <c r="M22" s="89"/>
      <c r="N22" s="89">
        <f t="shared" si="2"/>
        <v>59</v>
      </c>
      <c r="O22" s="89"/>
      <c r="P22" s="70">
        <v>7.42</v>
      </c>
      <c r="Q22" s="70">
        <f t="shared" si="3"/>
        <v>437.78</v>
      </c>
      <c r="S22" s="381" t="s">
        <v>241</v>
      </c>
      <c r="T22" s="70"/>
      <c r="V22" s="392" t="s">
        <v>17</v>
      </c>
      <c r="W22" s="393">
        <f>SUM(W16:W21)</f>
        <v>1700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'25'!E23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'25'!E24</f>
        <v>19</v>
      </c>
      <c r="C24" s="89"/>
      <c r="D24" s="89"/>
      <c r="E24" s="376">
        <v>13</v>
      </c>
      <c r="F24" s="89">
        <f t="shared" si="6"/>
        <v>6</v>
      </c>
      <c r="G24" s="70">
        <v>25</v>
      </c>
      <c r="H24" s="70">
        <f t="shared" si="7"/>
        <v>150</v>
      </c>
      <c r="J24" s="89" t="s">
        <v>244</v>
      </c>
      <c r="K24" s="89"/>
      <c r="L24" s="89"/>
      <c r="M24" s="89"/>
      <c r="N24" s="89">
        <f t="shared" si="2"/>
        <v>13</v>
      </c>
      <c r="O24" s="89"/>
      <c r="P24" s="70">
        <f>G24</f>
        <v>25</v>
      </c>
      <c r="Q24" s="70">
        <f t="shared" si="3"/>
        <v>325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'25'!E25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'25'!E26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'25'!E27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'25'!E28</f>
        <v>42</v>
      </c>
      <c r="C28" s="89"/>
      <c r="D28" s="89"/>
      <c r="E28" s="376">
        <v>42</v>
      </c>
      <c r="F28" s="89">
        <f t="shared" si="6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1">
        <f>'25'!E29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2130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4932.99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18894</v>
      </c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10924.42</v>
      </c>
      <c r="R31" s="357"/>
      <c r="S31" s="506" t="s">
        <v>256</v>
      </c>
      <c r="T31" s="438"/>
      <c r="U31" s="438"/>
      <c r="V31" s="507"/>
      <c r="W31" s="407">
        <f>T30+W30+W22+W14</f>
        <v>6632.99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1700</v>
      </c>
    </row>
    <row r="33" spans="1:27" ht="15.75" customHeight="1">
      <c r="A33" s="3" t="s">
        <v>96</v>
      </c>
      <c r="B33" s="498">
        <f>H31</f>
        <v>18894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6632.99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4932.99</v>
      </c>
      <c r="AA34" s="39"/>
    </row>
    <row r="35" spans="1:27" ht="15.75" customHeight="1">
      <c r="A35" s="3" t="s">
        <v>258</v>
      </c>
      <c r="B35" s="499">
        <f>IFERROR(B33-B34,0)</f>
        <v>12261.01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0</v>
      </c>
      <c r="AA35" s="39"/>
    </row>
    <row r="36" spans="1:27" ht="15.75" customHeight="1">
      <c r="A36" s="3" t="s">
        <v>259</v>
      </c>
      <c r="B36" s="500">
        <v>12263.25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4932.99</v>
      </c>
      <c r="AA36" s="39"/>
    </row>
    <row r="37" spans="1:27" ht="15.75" customHeight="1">
      <c r="A37" s="3" t="s">
        <v>260</v>
      </c>
      <c r="B37" s="498">
        <f>IFERROR(B36-B35,0)</f>
        <v>2.2399999999997817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46230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'26'!E7</f>
        <v>294</v>
      </c>
      <c r="C7" s="370">
        <v>200</v>
      </c>
      <c r="D7" s="89"/>
      <c r="E7" s="371">
        <v>310</v>
      </c>
      <c r="F7" s="370">
        <f t="shared" ref="F7:F15" si="0">IFERROR(MAX(0,B7+C7-E7-D7),0)</f>
        <v>184</v>
      </c>
      <c r="G7" s="70">
        <v>50</v>
      </c>
      <c r="H7" s="70">
        <f t="shared" ref="H7:H15" si="1">IFERROR(F7*G7,0)</f>
        <v>9200</v>
      </c>
      <c r="J7" s="89" t="s">
        <v>194</v>
      </c>
      <c r="K7" s="89"/>
      <c r="L7" s="89"/>
      <c r="M7" s="89"/>
      <c r="N7" s="370">
        <f t="shared" ref="N7:N30" si="2">E7</f>
        <v>310</v>
      </c>
      <c r="O7" s="89"/>
      <c r="P7" s="70">
        <v>21</v>
      </c>
      <c r="Q7" s="70">
        <f t="shared" ref="Q7:Q29" si="3">IFERROR(N7*P7,0)</f>
        <v>6510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'26'!E8</f>
        <v>5</v>
      </c>
      <c r="C8" s="89">
        <v>20</v>
      </c>
      <c r="D8" s="89"/>
      <c r="E8" s="376">
        <v>15</v>
      </c>
      <c r="F8" s="89">
        <f t="shared" si="0"/>
        <v>10</v>
      </c>
      <c r="G8" s="70">
        <v>12</v>
      </c>
      <c r="H8" s="70">
        <f t="shared" si="1"/>
        <v>120</v>
      </c>
      <c r="J8" s="89" t="s">
        <v>198</v>
      </c>
      <c r="K8" s="89"/>
      <c r="L8" s="89"/>
      <c r="M8" s="89"/>
      <c r="N8" s="89">
        <f t="shared" si="2"/>
        <v>15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1">
        <f>'26'!E9</f>
        <v>10</v>
      </c>
      <c r="C9" s="89">
        <v>150</v>
      </c>
      <c r="D9" s="89"/>
      <c r="E9" s="376">
        <v>70</v>
      </c>
      <c r="F9" s="89">
        <f t="shared" si="0"/>
        <v>90</v>
      </c>
      <c r="G9" s="70">
        <v>12</v>
      </c>
      <c r="H9" s="70">
        <f t="shared" si="1"/>
        <v>1080</v>
      </c>
      <c r="J9" s="89" t="s">
        <v>200</v>
      </c>
      <c r="K9" s="89"/>
      <c r="L9" s="89"/>
      <c r="M9" s="89"/>
      <c r="N9" s="89">
        <f t="shared" si="2"/>
        <v>70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'26'!E10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60</v>
      </c>
      <c r="AA10" s="374">
        <v>6</v>
      </c>
      <c r="AB10" s="374">
        <f t="shared" si="4"/>
        <v>360</v>
      </c>
    </row>
    <row r="11" spans="1:28" ht="15.5">
      <c r="A11" s="89" t="s">
        <v>55</v>
      </c>
      <c r="B11" s="390">
        <f>'26'!E11</f>
        <v>11</v>
      </c>
      <c r="C11" s="89">
        <v>200</v>
      </c>
      <c r="D11" s="89"/>
      <c r="E11" s="371">
        <v>35</v>
      </c>
      <c r="F11" s="370">
        <f t="shared" si="0"/>
        <v>176</v>
      </c>
      <c r="G11" s="70">
        <v>15</v>
      </c>
      <c r="H11" s="70">
        <f t="shared" si="1"/>
        <v>2640</v>
      </c>
      <c r="J11" s="89" t="s">
        <v>42</v>
      </c>
      <c r="K11" s="89"/>
      <c r="L11" s="89"/>
      <c r="M11" s="89"/>
      <c r="N11" s="370">
        <f t="shared" si="2"/>
        <v>35</v>
      </c>
      <c r="O11" s="89"/>
      <c r="P11" s="70">
        <v>5.5</v>
      </c>
      <c r="Q11" s="70">
        <f t="shared" si="3"/>
        <v>192.5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'26'!E12</f>
        <v>63</v>
      </c>
      <c r="C12" s="89">
        <v>60</v>
      </c>
      <c r="D12" s="89"/>
      <c r="E12" s="376">
        <v>101</v>
      </c>
      <c r="F12" s="89">
        <f t="shared" si="0"/>
        <v>22</v>
      </c>
      <c r="G12" s="70">
        <v>10</v>
      </c>
      <c r="H12" s="70">
        <f t="shared" si="1"/>
        <v>220</v>
      </c>
      <c r="J12" s="89" t="s">
        <v>37</v>
      </c>
      <c r="K12" s="89"/>
      <c r="L12" s="89"/>
      <c r="M12" s="89"/>
      <c r="N12" s="89">
        <f t="shared" si="2"/>
        <v>101</v>
      </c>
      <c r="O12" s="89"/>
      <c r="P12" s="70">
        <v>3.5</v>
      </c>
      <c r="Q12" s="70">
        <f t="shared" si="3"/>
        <v>353.5</v>
      </c>
      <c r="S12" s="381" t="s">
        <v>208</v>
      </c>
      <c r="T12" s="70"/>
      <c r="V12" s="89" t="s">
        <v>209</v>
      </c>
      <c r="W12" s="53"/>
      <c r="Y12" s="373" t="s">
        <v>210</v>
      </c>
      <c r="Z12" s="374">
        <v>50</v>
      </c>
      <c r="AA12" s="374">
        <v>18</v>
      </c>
      <c r="AB12" s="374">
        <f t="shared" si="4"/>
        <v>900</v>
      </c>
    </row>
    <row r="13" spans="1:28" ht="15.5">
      <c r="A13" s="89" t="s">
        <v>57</v>
      </c>
      <c r="B13" s="391">
        <f>'26'!E13</f>
        <v>56</v>
      </c>
      <c r="C13" s="89">
        <v>50</v>
      </c>
      <c r="D13" s="89"/>
      <c r="E13" s="376">
        <v>75</v>
      </c>
      <c r="F13" s="89">
        <f t="shared" si="0"/>
        <v>31</v>
      </c>
      <c r="G13" s="70">
        <v>8</v>
      </c>
      <c r="H13" s="70">
        <f t="shared" si="1"/>
        <v>248</v>
      </c>
      <c r="J13" s="89" t="s">
        <v>211</v>
      </c>
      <c r="K13" s="89"/>
      <c r="L13" s="89"/>
      <c r="M13" s="89"/>
      <c r="N13" s="89">
        <f t="shared" si="2"/>
        <v>75</v>
      </c>
      <c r="O13" s="89"/>
      <c r="P13" s="70">
        <v>7.5</v>
      </c>
      <c r="Q13" s="70">
        <f t="shared" si="3"/>
        <v>562.5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'26'!E14</f>
        <v>0</v>
      </c>
      <c r="C14" s="89">
        <v>40</v>
      </c>
      <c r="D14" s="89"/>
      <c r="E14" s="376">
        <v>31</v>
      </c>
      <c r="F14" s="89">
        <f t="shared" si="0"/>
        <v>9</v>
      </c>
      <c r="G14" s="70">
        <v>10</v>
      </c>
      <c r="H14" s="70">
        <f t="shared" si="1"/>
        <v>90</v>
      </c>
      <c r="J14" s="89" t="s">
        <v>44</v>
      </c>
      <c r="K14" s="89"/>
      <c r="L14" s="89"/>
      <c r="M14" s="89"/>
      <c r="N14" s="89">
        <f t="shared" si="2"/>
        <v>31</v>
      </c>
      <c r="O14" s="89"/>
      <c r="P14" s="70">
        <v>3.5</v>
      </c>
      <c r="Q14" s="70">
        <f t="shared" si="3"/>
        <v>108.5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'26'!E15</f>
        <v>21</v>
      </c>
      <c r="C15" s="89">
        <v>50</v>
      </c>
      <c r="D15" s="89"/>
      <c r="E15" s="376">
        <v>62</v>
      </c>
      <c r="F15" s="89">
        <f t="shared" si="0"/>
        <v>9</v>
      </c>
      <c r="G15" s="70">
        <v>25</v>
      </c>
      <c r="H15" s="70">
        <f t="shared" si="1"/>
        <v>225</v>
      </c>
      <c r="J15" s="89" t="s">
        <v>41</v>
      </c>
      <c r="K15" s="89"/>
      <c r="L15" s="89"/>
      <c r="M15" s="89"/>
      <c r="N15" s="89">
        <f t="shared" si="2"/>
        <v>62</v>
      </c>
      <c r="O15" s="89"/>
      <c r="P15" s="70">
        <v>8</v>
      </c>
      <c r="Q15" s="70">
        <f t="shared" si="3"/>
        <v>496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'26'!E16</f>
        <v>0</v>
      </c>
      <c r="C16" s="386"/>
      <c r="D16" s="386"/>
      <c r="E16" s="386"/>
      <c r="F16" s="386"/>
      <c r="G16" s="387"/>
      <c r="H16" s="345">
        <f>IFERROR(SUM(H7:H15),0)</f>
        <v>13823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1700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'26'!E17</f>
        <v>70</v>
      </c>
      <c r="C17" s="89"/>
      <c r="D17" s="89"/>
      <c r="E17" s="376">
        <v>56</v>
      </c>
      <c r="F17" s="89">
        <v>14</v>
      </c>
      <c r="G17" s="70">
        <v>20</v>
      </c>
      <c r="H17" s="70">
        <f t="shared" ref="H17:H29" si="6">IFERROR(F17*G17,0)</f>
        <v>280</v>
      </c>
      <c r="J17" s="89" t="s">
        <v>222</v>
      </c>
      <c r="K17" s="89"/>
      <c r="L17" s="89"/>
      <c r="M17" s="89"/>
      <c r="N17" s="89">
        <f t="shared" si="2"/>
        <v>56</v>
      </c>
      <c r="O17" s="89"/>
      <c r="P17" s="70">
        <f t="shared" si="5"/>
        <v>20</v>
      </c>
      <c r="Q17" s="70">
        <f t="shared" si="3"/>
        <v>1120</v>
      </c>
      <c r="S17" s="381" t="s">
        <v>223</v>
      </c>
      <c r="T17" s="70"/>
      <c r="V17" s="89" t="s">
        <v>41</v>
      </c>
      <c r="W17" s="53">
        <v>320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'26'!E18</f>
        <v>144</v>
      </c>
      <c r="C18" s="89"/>
      <c r="D18" s="89"/>
      <c r="E18" s="376">
        <v>102</v>
      </c>
      <c r="F18" s="89">
        <f t="shared" ref="F18:F29" si="7">IFERROR(MAX(0,B18+C18-E18-D18),0)</f>
        <v>42</v>
      </c>
      <c r="G18" s="70">
        <v>25</v>
      </c>
      <c r="H18" s="70">
        <f t="shared" si="6"/>
        <v>1050</v>
      </c>
      <c r="J18" s="89" t="s">
        <v>36</v>
      </c>
      <c r="K18" s="89"/>
      <c r="L18" s="89"/>
      <c r="M18" s="89"/>
      <c r="N18" s="89">
        <f t="shared" si="2"/>
        <v>102</v>
      </c>
      <c r="O18" s="89"/>
      <c r="P18" s="70">
        <v>7</v>
      </c>
      <c r="Q18" s="70">
        <f t="shared" si="3"/>
        <v>714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9780</v>
      </c>
    </row>
    <row r="19" spans="1:28" ht="14.5">
      <c r="A19" s="89" t="s">
        <v>228</v>
      </c>
      <c r="B19" s="391">
        <f>'26'!E19</f>
        <v>0</v>
      </c>
      <c r="C19" s="89"/>
      <c r="D19" s="89"/>
      <c r="E19" s="376"/>
      <c r="F19" s="89">
        <f t="shared" si="7"/>
        <v>0</v>
      </c>
      <c r="G19" s="70">
        <v>40</v>
      </c>
      <c r="H19" s="70">
        <f t="shared" si="6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'26'!E20</f>
        <v>0</v>
      </c>
      <c r="C20" s="89"/>
      <c r="D20" s="89"/>
      <c r="E20" s="376"/>
      <c r="F20" s="89">
        <f t="shared" si="7"/>
        <v>0</v>
      </c>
      <c r="G20" s="70">
        <v>80</v>
      </c>
      <c r="H20" s="70">
        <f t="shared" si="6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'26'!E21</f>
        <v>0</v>
      </c>
      <c r="C21" s="89"/>
      <c r="D21" s="89"/>
      <c r="E21" s="376"/>
      <c r="F21" s="89">
        <f t="shared" si="7"/>
        <v>0</v>
      </c>
      <c r="G21" s="70">
        <v>15</v>
      </c>
      <c r="H21" s="70">
        <f t="shared" si="6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'26'!E22</f>
        <v>59</v>
      </c>
      <c r="C22" s="89"/>
      <c r="D22" s="89"/>
      <c r="E22" s="376">
        <v>47</v>
      </c>
      <c r="F22" s="89">
        <f t="shared" si="7"/>
        <v>12</v>
      </c>
      <c r="G22" s="70">
        <v>20</v>
      </c>
      <c r="H22" s="70">
        <f t="shared" si="6"/>
        <v>240</v>
      </c>
      <c r="J22" s="89" t="s">
        <v>220</v>
      </c>
      <c r="K22" s="89"/>
      <c r="L22" s="89"/>
      <c r="M22" s="89"/>
      <c r="N22" s="89">
        <f t="shared" si="2"/>
        <v>47</v>
      </c>
      <c r="O22" s="89"/>
      <c r="P22" s="70">
        <v>7.42</v>
      </c>
      <c r="Q22" s="70">
        <f t="shared" si="3"/>
        <v>348.74</v>
      </c>
      <c r="S22" s="381" t="s">
        <v>241</v>
      </c>
      <c r="T22" s="70"/>
      <c r="V22" s="392" t="s">
        <v>17</v>
      </c>
      <c r="W22" s="393">
        <f>SUM(W16:W21)</f>
        <v>2020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'26'!E23</f>
        <v>0</v>
      </c>
      <c r="C23" s="89"/>
      <c r="D23" s="89"/>
      <c r="E23" s="376"/>
      <c r="F23" s="89">
        <f t="shared" si="7"/>
        <v>0</v>
      </c>
      <c r="G23" s="70">
        <v>14</v>
      </c>
      <c r="H23" s="70">
        <f t="shared" si="6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'26'!E24</f>
        <v>13</v>
      </c>
      <c r="C24" s="89"/>
      <c r="D24" s="89"/>
      <c r="E24" s="376">
        <v>13</v>
      </c>
      <c r="F24" s="89">
        <f t="shared" si="7"/>
        <v>0</v>
      </c>
      <c r="G24" s="70">
        <v>25</v>
      </c>
      <c r="H24" s="70">
        <f t="shared" si="6"/>
        <v>0</v>
      </c>
      <c r="J24" s="89" t="s">
        <v>244</v>
      </c>
      <c r="K24" s="89"/>
      <c r="L24" s="89"/>
      <c r="M24" s="89"/>
      <c r="N24" s="89">
        <f t="shared" si="2"/>
        <v>13</v>
      </c>
      <c r="O24" s="89"/>
      <c r="P24" s="70">
        <f>G24</f>
        <v>25</v>
      </c>
      <c r="Q24" s="70">
        <f t="shared" si="3"/>
        <v>325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'26'!E25</f>
        <v>0</v>
      </c>
      <c r="C25" s="89"/>
      <c r="D25" s="89"/>
      <c r="E25" s="376"/>
      <c r="F25" s="89">
        <f t="shared" si="7"/>
        <v>0</v>
      </c>
      <c r="G25" s="70">
        <v>25</v>
      </c>
      <c r="H25" s="70">
        <f t="shared" si="6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'26'!E26</f>
        <v>0</v>
      </c>
      <c r="C26" s="89"/>
      <c r="D26" s="89"/>
      <c r="E26" s="376"/>
      <c r="F26" s="89">
        <f t="shared" si="7"/>
        <v>0</v>
      </c>
      <c r="G26" s="70">
        <v>25</v>
      </c>
      <c r="H26" s="70">
        <f t="shared" si="6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'26'!E27</f>
        <v>0</v>
      </c>
      <c r="C27" s="89"/>
      <c r="D27" s="89"/>
      <c r="E27" s="376"/>
      <c r="F27" s="89">
        <f t="shared" si="7"/>
        <v>0</v>
      </c>
      <c r="G27" s="70">
        <v>17</v>
      </c>
      <c r="H27" s="70">
        <f t="shared" si="6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'26'!E28</f>
        <v>42</v>
      </c>
      <c r="C28" s="89"/>
      <c r="D28" s="89"/>
      <c r="E28" s="376">
        <v>42</v>
      </c>
      <c r="F28" s="89">
        <f t="shared" si="7"/>
        <v>0</v>
      </c>
      <c r="G28" s="70">
        <v>25</v>
      </c>
      <c r="H28" s="70">
        <f t="shared" si="6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>
        <v>90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'26'!E29</f>
        <v>0</v>
      </c>
      <c r="C29" s="89"/>
      <c r="D29" s="89"/>
      <c r="E29" s="376"/>
      <c r="F29" s="89">
        <f t="shared" si="7"/>
        <v>0</v>
      </c>
      <c r="G29" s="70">
        <v>40</v>
      </c>
      <c r="H29" s="70">
        <f t="shared" si="6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1570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0</v>
      </c>
      <c r="U30" s="3"/>
      <c r="V30" s="402" t="s">
        <v>16</v>
      </c>
      <c r="W30" s="403">
        <f>SUM(W24:W29)</f>
        <v>90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15393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11441.38</v>
      </c>
      <c r="R31" s="357"/>
      <c r="S31" s="506" t="s">
        <v>256</v>
      </c>
      <c r="T31" s="438"/>
      <c r="U31" s="438"/>
      <c r="V31" s="507"/>
      <c r="W31" s="407">
        <f>T30+W30+W22+W14</f>
        <v>2110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11800</v>
      </c>
    </row>
    <row r="33" spans="1:27" ht="15.75" customHeight="1">
      <c r="A33" s="3" t="s">
        <v>96</v>
      </c>
      <c r="B33" s="498">
        <f>H31</f>
        <v>15393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2110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0</v>
      </c>
      <c r="AA34" s="39"/>
    </row>
    <row r="35" spans="1:27" ht="15.75" customHeight="1">
      <c r="A35" s="3" t="s">
        <v>258</v>
      </c>
      <c r="B35" s="499">
        <f>IFERROR(B33-B34,0)</f>
        <v>13283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9780</v>
      </c>
      <c r="AA35" s="39"/>
    </row>
    <row r="36" spans="1:27" ht="15.75" customHeight="1">
      <c r="A36" s="3" t="s">
        <v>259</v>
      </c>
      <c r="B36" s="500">
        <v>13293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9780</v>
      </c>
      <c r="AA36" s="39"/>
    </row>
    <row r="37" spans="1:27" ht="15.75" customHeight="1">
      <c r="A37" s="3" t="s">
        <v>260</v>
      </c>
      <c r="B37" s="498">
        <f>IFERROR(B36-B35,0)</f>
        <v>10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46231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'27'!E7</f>
        <v>310</v>
      </c>
      <c r="C7" s="370">
        <v>150</v>
      </c>
      <c r="D7" s="89"/>
      <c r="E7" s="371">
        <v>293</v>
      </c>
      <c r="F7" s="370">
        <f t="shared" ref="F7:F15" si="0">IFERROR(MAX(0,B7+C7-E7-D7),0)</f>
        <v>167</v>
      </c>
      <c r="G7" s="70">
        <v>50</v>
      </c>
      <c r="H7" s="70">
        <f t="shared" ref="H7:H15" si="1">IFERROR(F7*G7,0)</f>
        <v>8350</v>
      </c>
      <c r="J7" s="89" t="s">
        <v>194</v>
      </c>
      <c r="K7" s="89"/>
      <c r="L7" s="89"/>
      <c r="M7" s="89"/>
      <c r="N7" s="370">
        <f t="shared" ref="N7:N30" si="2">E7</f>
        <v>293</v>
      </c>
      <c r="O7" s="89"/>
      <c r="P7" s="70">
        <v>21</v>
      </c>
      <c r="Q7" s="70">
        <f t="shared" ref="Q7:Q29" si="3">IFERROR(N7*P7,0)</f>
        <v>6153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'27'!E8</f>
        <v>15</v>
      </c>
      <c r="C8" s="89"/>
      <c r="D8" s="89"/>
      <c r="E8" s="376"/>
      <c r="F8" s="89">
        <f t="shared" si="0"/>
        <v>15</v>
      </c>
      <c r="G8" s="70">
        <v>12</v>
      </c>
      <c r="H8" s="70">
        <f t="shared" si="1"/>
        <v>180</v>
      </c>
      <c r="J8" s="89" t="s">
        <v>198</v>
      </c>
      <c r="K8" s="89"/>
      <c r="L8" s="89"/>
      <c r="M8" s="89"/>
      <c r="N8" s="89">
        <f t="shared" si="2"/>
        <v>0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'27'!E9</f>
        <v>70</v>
      </c>
      <c r="C9" s="89">
        <v>100</v>
      </c>
      <c r="D9" s="89"/>
      <c r="E9" s="376">
        <v>60</v>
      </c>
      <c r="F9" s="89">
        <f t="shared" si="0"/>
        <v>110</v>
      </c>
      <c r="G9" s="70">
        <v>12</v>
      </c>
      <c r="H9" s="70">
        <f t="shared" si="1"/>
        <v>1320</v>
      </c>
      <c r="J9" s="89" t="s">
        <v>200</v>
      </c>
      <c r="K9" s="89"/>
      <c r="L9" s="89"/>
      <c r="M9" s="89"/>
      <c r="N9" s="89">
        <f t="shared" si="2"/>
        <v>60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/>
      <c r="AA9" s="374">
        <v>8.5</v>
      </c>
      <c r="AB9" s="374">
        <f t="shared" si="4"/>
        <v>0</v>
      </c>
    </row>
    <row r="10" spans="1:28" ht="15.5">
      <c r="A10" s="89" t="s">
        <v>54</v>
      </c>
      <c r="B10" s="391">
        <f>'27'!E10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'27'!E11</f>
        <v>35</v>
      </c>
      <c r="C11" s="89">
        <v>180</v>
      </c>
      <c r="D11" s="89"/>
      <c r="E11" s="371">
        <v>39</v>
      </c>
      <c r="F11" s="370">
        <f t="shared" si="0"/>
        <v>176</v>
      </c>
      <c r="G11" s="70">
        <v>15</v>
      </c>
      <c r="H11" s="70">
        <f t="shared" si="1"/>
        <v>2640</v>
      </c>
      <c r="J11" s="89" t="s">
        <v>42</v>
      </c>
      <c r="K11" s="89"/>
      <c r="L11" s="89"/>
      <c r="M11" s="89"/>
      <c r="N11" s="370">
        <f t="shared" si="2"/>
        <v>39</v>
      </c>
      <c r="O11" s="89"/>
      <c r="P11" s="70">
        <v>5.5</v>
      </c>
      <c r="Q11" s="70">
        <f t="shared" si="3"/>
        <v>214.5</v>
      </c>
      <c r="S11" s="89" t="s">
        <v>204</v>
      </c>
      <c r="T11" s="380"/>
      <c r="V11" s="89" t="s">
        <v>205</v>
      </c>
      <c r="W11" s="53"/>
      <c r="Y11" s="373" t="s">
        <v>206</v>
      </c>
      <c r="Z11" s="374">
        <v>1</v>
      </c>
      <c r="AA11" s="374">
        <v>1591</v>
      </c>
      <c r="AB11" s="374">
        <f t="shared" si="4"/>
        <v>1591</v>
      </c>
    </row>
    <row r="12" spans="1:28" ht="15.5">
      <c r="A12" s="89" t="s">
        <v>207</v>
      </c>
      <c r="B12" s="391">
        <f>'27'!E12</f>
        <v>101</v>
      </c>
      <c r="C12" s="89">
        <v>40</v>
      </c>
      <c r="D12" s="89"/>
      <c r="E12" s="376">
        <v>103</v>
      </c>
      <c r="F12" s="89">
        <f t="shared" si="0"/>
        <v>38</v>
      </c>
      <c r="G12" s="70">
        <v>10</v>
      </c>
      <c r="H12" s="70">
        <f t="shared" si="1"/>
        <v>380</v>
      </c>
      <c r="J12" s="89" t="s">
        <v>37</v>
      </c>
      <c r="K12" s="89"/>
      <c r="L12" s="89"/>
      <c r="M12" s="89"/>
      <c r="N12" s="89">
        <f t="shared" si="2"/>
        <v>103</v>
      </c>
      <c r="O12" s="89"/>
      <c r="P12" s="70">
        <v>3.5</v>
      </c>
      <c r="Q12" s="70">
        <f t="shared" si="3"/>
        <v>360.5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'27'!E13</f>
        <v>75</v>
      </c>
      <c r="C13" s="89">
        <v>30</v>
      </c>
      <c r="D13" s="89"/>
      <c r="E13" s="376">
        <v>77</v>
      </c>
      <c r="F13" s="89">
        <f t="shared" si="0"/>
        <v>28</v>
      </c>
      <c r="G13" s="70">
        <v>8</v>
      </c>
      <c r="H13" s="70">
        <f t="shared" si="1"/>
        <v>224</v>
      </c>
      <c r="J13" s="89" t="s">
        <v>211</v>
      </c>
      <c r="K13" s="89"/>
      <c r="L13" s="89"/>
      <c r="M13" s="89"/>
      <c r="N13" s="89">
        <f t="shared" si="2"/>
        <v>77</v>
      </c>
      <c r="O13" s="89"/>
      <c r="P13" s="70">
        <v>7.5</v>
      </c>
      <c r="Q13" s="70">
        <f t="shared" si="3"/>
        <v>577.5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'27'!E14</f>
        <v>31</v>
      </c>
      <c r="C14" s="89"/>
      <c r="D14" s="89"/>
      <c r="E14" s="376">
        <v>20</v>
      </c>
      <c r="F14" s="89">
        <f t="shared" si="0"/>
        <v>11</v>
      </c>
      <c r="G14" s="70">
        <v>10</v>
      </c>
      <c r="H14" s="70">
        <f t="shared" si="1"/>
        <v>110</v>
      </c>
      <c r="J14" s="89" t="s">
        <v>44</v>
      </c>
      <c r="K14" s="89"/>
      <c r="L14" s="89"/>
      <c r="M14" s="89"/>
      <c r="N14" s="89">
        <f t="shared" si="2"/>
        <v>20</v>
      </c>
      <c r="O14" s="89"/>
      <c r="P14" s="70">
        <v>3.5</v>
      </c>
      <c r="Q14" s="70">
        <f t="shared" si="3"/>
        <v>70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'27'!E15</f>
        <v>62</v>
      </c>
      <c r="C15" s="89"/>
      <c r="D15" s="89"/>
      <c r="E15" s="376">
        <v>53</v>
      </c>
      <c r="F15" s="89">
        <f t="shared" si="0"/>
        <v>9</v>
      </c>
      <c r="G15" s="70">
        <v>25</v>
      </c>
      <c r="H15" s="70">
        <f t="shared" si="1"/>
        <v>225</v>
      </c>
      <c r="J15" s="89" t="s">
        <v>41</v>
      </c>
      <c r="K15" s="89"/>
      <c r="L15" s="89"/>
      <c r="M15" s="89"/>
      <c r="N15" s="89">
        <f t="shared" si="2"/>
        <v>53</v>
      </c>
      <c r="O15" s="89"/>
      <c r="P15" s="70">
        <v>8</v>
      </c>
      <c r="Q15" s="70">
        <f t="shared" si="3"/>
        <v>424</v>
      </c>
      <c r="S15" s="381" t="s">
        <v>217</v>
      </c>
      <c r="T15" s="70">
        <v>1500</v>
      </c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91">
        <f>'27'!E16</f>
        <v>0</v>
      </c>
      <c r="C16" s="386"/>
      <c r="D16" s="386"/>
      <c r="E16" s="386"/>
      <c r="F16" s="386"/>
      <c r="G16" s="387"/>
      <c r="H16" s="345">
        <f>IFERROR(SUM(H7:H15),0)</f>
        <v>13429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139.75</v>
      </c>
      <c r="V16" s="89" t="s">
        <v>37</v>
      </c>
      <c r="W16" s="53">
        <v>1530</v>
      </c>
      <c r="Y16" s="89" t="s">
        <v>57</v>
      </c>
      <c r="Z16" s="89">
        <v>30</v>
      </c>
      <c r="AA16" s="89">
        <v>6</v>
      </c>
      <c r="AB16" s="374">
        <f t="shared" si="4"/>
        <v>180</v>
      </c>
    </row>
    <row r="17" spans="1:28" ht="15.5">
      <c r="A17" s="89" t="s">
        <v>220</v>
      </c>
      <c r="B17" s="391">
        <f>'27'!E17</f>
        <v>56</v>
      </c>
      <c r="C17" s="89"/>
      <c r="D17" s="89"/>
      <c r="E17" s="376">
        <v>43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43</v>
      </c>
      <c r="O17" s="89"/>
      <c r="P17" s="70">
        <f t="shared" si="5"/>
        <v>20</v>
      </c>
      <c r="Q17" s="70">
        <f t="shared" si="3"/>
        <v>860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'27'!E18</f>
        <v>102</v>
      </c>
      <c r="C18" s="89">
        <v>240</v>
      </c>
      <c r="D18" s="89"/>
      <c r="E18" s="376">
        <v>290</v>
      </c>
      <c r="F18" s="89">
        <f t="shared" si="6"/>
        <v>52</v>
      </c>
      <c r="G18" s="70">
        <v>25</v>
      </c>
      <c r="H18" s="70">
        <f t="shared" si="7"/>
        <v>1300</v>
      </c>
      <c r="J18" s="89" t="s">
        <v>36</v>
      </c>
      <c r="K18" s="89"/>
      <c r="L18" s="89"/>
      <c r="M18" s="89"/>
      <c r="N18" s="89">
        <f t="shared" si="2"/>
        <v>290</v>
      </c>
      <c r="O18" s="89"/>
      <c r="P18" s="70">
        <v>7</v>
      </c>
      <c r="Q18" s="70">
        <f t="shared" si="3"/>
        <v>2030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9335</v>
      </c>
    </row>
    <row r="19" spans="1:28" ht="14.5">
      <c r="A19" s="89" t="s">
        <v>228</v>
      </c>
      <c r="B19" s="391">
        <f>'27'!E19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'27'!E20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>
        <v>2940</v>
      </c>
      <c r="Y20" s="3"/>
      <c r="Z20" s="3"/>
      <c r="AA20" s="3"/>
      <c r="AB20" s="3"/>
    </row>
    <row r="21" spans="1:28" ht="15.75" customHeight="1">
      <c r="A21" s="89" t="s">
        <v>236</v>
      </c>
      <c r="B21" s="391">
        <f>'27'!E21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'27'!E22</f>
        <v>47</v>
      </c>
      <c r="C22" s="89"/>
      <c r="D22" s="89"/>
      <c r="E22" s="376">
        <v>40</v>
      </c>
      <c r="F22" s="89">
        <f t="shared" si="6"/>
        <v>7</v>
      </c>
      <c r="G22" s="70">
        <v>20</v>
      </c>
      <c r="H22" s="70">
        <f t="shared" si="7"/>
        <v>140</v>
      </c>
      <c r="J22" s="89" t="s">
        <v>220</v>
      </c>
      <c r="K22" s="89"/>
      <c r="L22" s="89"/>
      <c r="M22" s="89"/>
      <c r="N22" s="89">
        <f t="shared" si="2"/>
        <v>40</v>
      </c>
      <c r="O22" s="89"/>
      <c r="P22" s="70">
        <v>7.42</v>
      </c>
      <c r="Q22" s="70">
        <f t="shared" si="3"/>
        <v>296.8</v>
      </c>
      <c r="S22" s="381" t="s">
        <v>241</v>
      </c>
      <c r="T22" s="70"/>
      <c r="V22" s="392" t="s">
        <v>17</v>
      </c>
      <c r="W22" s="393">
        <f>SUM(W16:W21)</f>
        <v>4470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'27'!E23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'27'!E24</f>
        <v>13</v>
      </c>
      <c r="C24" s="89"/>
      <c r="D24" s="89"/>
      <c r="E24" s="376">
        <v>12</v>
      </c>
      <c r="F24" s="89">
        <f t="shared" si="6"/>
        <v>1</v>
      </c>
      <c r="G24" s="70">
        <v>25</v>
      </c>
      <c r="H24" s="70">
        <f t="shared" si="7"/>
        <v>25</v>
      </c>
      <c r="J24" s="89" t="s">
        <v>244</v>
      </c>
      <c r="K24" s="89"/>
      <c r="L24" s="89"/>
      <c r="M24" s="89"/>
      <c r="N24" s="89">
        <f t="shared" si="2"/>
        <v>12</v>
      </c>
      <c r="O24" s="89"/>
      <c r="P24" s="70">
        <f>G24</f>
        <v>25</v>
      </c>
      <c r="Q24" s="70">
        <f t="shared" si="3"/>
        <v>300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'27'!E25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'27'!E26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'27'!E27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'27'!E28</f>
        <v>42</v>
      </c>
      <c r="C28" s="89"/>
      <c r="D28" s="89"/>
      <c r="E28" s="376">
        <v>42</v>
      </c>
      <c r="F28" s="89">
        <f t="shared" si="6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1">
        <f>'27'!E29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1725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1639.75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15154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11996.939999999999</v>
      </c>
      <c r="R31" s="357"/>
      <c r="S31" s="506" t="s">
        <v>256</v>
      </c>
      <c r="T31" s="438"/>
      <c r="U31" s="438"/>
      <c r="V31" s="507"/>
      <c r="W31" s="407">
        <f>T30+W30+W22+W14</f>
        <v>6109.75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10840</v>
      </c>
    </row>
    <row r="33" spans="1:27" ht="15.75" customHeight="1">
      <c r="A33" s="3" t="s">
        <v>96</v>
      </c>
      <c r="B33" s="498">
        <f>H31</f>
        <v>15154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6109.75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3104.75</v>
      </c>
      <c r="AA34" s="39"/>
    </row>
    <row r="35" spans="1:27" ht="15.75" customHeight="1">
      <c r="A35" s="3" t="s">
        <v>258</v>
      </c>
      <c r="B35" s="499">
        <f>IFERROR(B33-B34,0)</f>
        <v>9044.25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6370</v>
      </c>
      <c r="AA35" s="39"/>
    </row>
    <row r="36" spans="1:27" ht="15.75" customHeight="1">
      <c r="A36" s="3" t="s">
        <v>259</v>
      </c>
      <c r="B36" s="500">
        <v>9050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9474.75</v>
      </c>
      <c r="AA36" s="39"/>
    </row>
    <row r="37" spans="1:27" ht="15.75" customHeight="1">
      <c r="A37" s="3" t="s">
        <v>260</v>
      </c>
      <c r="B37" s="498">
        <f>IFERROR(B36-B35,0)</f>
        <v>5.75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2965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B40" s="3" t="s">
        <v>0</v>
      </c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46232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274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'28'!E7</f>
        <v>293</v>
      </c>
      <c r="C7" s="370">
        <v>200</v>
      </c>
      <c r="D7" s="89"/>
      <c r="E7" s="371">
        <v>375</v>
      </c>
      <c r="F7" s="370">
        <f t="shared" ref="F7:F15" si="0">IFERROR(MAX(0,B7+C7-E7-D7),0)</f>
        <v>118</v>
      </c>
      <c r="G7" s="70">
        <v>50</v>
      </c>
      <c r="H7" s="70">
        <f t="shared" ref="H7:H15" si="1">IFERROR(F7*G7,0)</f>
        <v>5900</v>
      </c>
      <c r="J7" s="89" t="s">
        <v>194</v>
      </c>
      <c r="K7" s="89"/>
      <c r="L7" s="89"/>
      <c r="M7" s="89"/>
      <c r="N7" s="370">
        <f t="shared" ref="N7:N30" si="2">E7</f>
        <v>375</v>
      </c>
      <c r="O7" s="89"/>
      <c r="P7" s="70">
        <v>21</v>
      </c>
      <c r="Q7" s="70">
        <f t="shared" ref="Q7:Q29" si="3">IFERROR(N7*P7,0)</f>
        <v>7875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200</v>
      </c>
      <c r="AA7" s="374">
        <v>35</v>
      </c>
      <c r="AB7" s="374">
        <f t="shared" ref="AB7:AB17" si="4">IFERROR(Z7*AA7,0)</f>
        <v>7000</v>
      </c>
    </row>
    <row r="8" spans="1:28" ht="15.5">
      <c r="A8" s="89" t="s">
        <v>102</v>
      </c>
      <c r="B8" s="391">
        <f>'28'!E8</f>
        <v>0</v>
      </c>
      <c r="C8" s="89">
        <v>20</v>
      </c>
      <c r="D8" s="89"/>
      <c r="E8" s="376">
        <v>2</v>
      </c>
      <c r="F8" s="89">
        <f t="shared" si="0"/>
        <v>18</v>
      </c>
      <c r="G8" s="70">
        <v>12</v>
      </c>
      <c r="H8" s="70">
        <f t="shared" si="1"/>
        <v>216</v>
      </c>
      <c r="J8" s="89" t="s">
        <v>198</v>
      </c>
      <c r="K8" s="89"/>
      <c r="L8" s="89"/>
      <c r="M8" s="89"/>
      <c r="N8" s="89">
        <f t="shared" si="2"/>
        <v>2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50</v>
      </c>
      <c r="AA8" s="374">
        <v>7</v>
      </c>
      <c r="AB8" s="374">
        <f t="shared" si="4"/>
        <v>350</v>
      </c>
    </row>
    <row r="9" spans="1:28" ht="15.5">
      <c r="A9" s="89" t="s">
        <v>53</v>
      </c>
      <c r="B9" s="391">
        <f>'28'!E9</f>
        <v>60</v>
      </c>
      <c r="C9" s="89">
        <v>50</v>
      </c>
      <c r="D9" s="89"/>
      <c r="E9" s="376">
        <v>4</v>
      </c>
      <c r="F9" s="89">
        <f t="shared" si="0"/>
        <v>106</v>
      </c>
      <c r="G9" s="70">
        <v>12</v>
      </c>
      <c r="H9" s="70">
        <f t="shared" si="1"/>
        <v>1272</v>
      </c>
      <c r="J9" s="89" t="s">
        <v>200</v>
      </c>
      <c r="K9" s="89"/>
      <c r="L9" s="89"/>
      <c r="M9" s="89"/>
      <c r="N9" s="89">
        <f t="shared" si="2"/>
        <v>4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'28'!E10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/>
      <c r="AA10" s="374">
        <v>6</v>
      </c>
      <c r="AB10" s="374">
        <f t="shared" si="4"/>
        <v>0</v>
      </c>
    </row>
    <row r="11" spans="1:28" ht="15.5">
      <c r="A11" s="89" t="s">
        <v>55</v>
      </c>
      <c r="B11" s="390">
        <f>'28'!E11</f>
        <v>39</v>
      </c>
      <c r="C11" s="89">
        <v>190</v>
      </c>
      <c r="D11" s="89"/>
      <c r="E11" s="371">
        <v>47</v>
      </c>
      <c r="F11" s="370">
        <f t="shared" si="0"/>
        <v>182</v>
      </c>
      <c r="G11" s="70">
        <v>15</v>
      </c>
      <c r="H11" s="70">
        <f t="shared" si="1"/>
        <v>2730</v>
      </c>
      <c r="J11" s="89" t="s">
        <v>42</v>
      </c>
      <c r="K11" s="89"/>
      <c r="L11" s="89"/>
      <c r="M11" s="89"/>
      <c r="N11" s="370">
        <f t="shared" si="2"/>
        <v>47</v>
      </c>
      <c r="O11" s="89"/>
      <c r="P11" s="70">
        <v>5.5</v>
      </c>
      <c r="Q11" s="70">
        <f t="shared" si="3"/>
        <v>258.5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'28'!E12</f>
        <v>103</v>
      </c>
      <c r="C12" s="89"/>
      <c r="D12" s="89"/>
      <c r="E12" s="376">
        <v>57</v>
      </c>
      <c r="F12" s="89">
        <f t="shared" si="0"/>
        <v>46</v>
      </c>
      <c r="G12" s="70">
        <v>10</v>
      </c>
      <c r="H12" s="70">
        <f t="shared" si="1"/>
        <v>460</v>
      </c>
      <c r="J12" s="89" t="s">
        <v>37</v>
      </c>
      <c r="K12" s="89"/>
      <c r="L12" s="89"/>
      <c r="M12" s="89"/>
      <c r="N12" s="89">
        <f t="shared" si="2"/>
        <v>57</v>
      </c>
      <c r="O12" s="89"/>
      <c r="P12" s="70">
        <v>3.5</v>
      </c>
      <c r="Q12" s="70">
        <f t="shared" si="3"/>
        <v>199.5</v>
      </c>
      <c r="S12" s="381" t="s">
        <v>208</v>
      </c>
      <c r="T12" s="70">
        <v>198</v>
      </c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'28'!E13</f>
        <v>77</v>
      </c>
      <c r="C13" s="89">
        <v>50</v>
      </c>
      <c r="D13" s="89"/>
      <c r="E13" s="376">
        <v>101</v>
      </c>
      <c r="F13" s="89">
        <f t="shared" si="0"/>
        <v>26</v>
      </c>
      <c r="G13" s="70">
        <v>8</v>
      </c>
      <c r="H13" s="70">
        <f t="shared" si="1"/>
        <v>208</v>
      </c>
      <c r="J13" s="89" t="s">
        <v>211</v>
      </c>
      <c r="K13" s="89"/>
      <c r="L13" s="89"/>
      <c r="M13" s="89"/>
      <c r="N13" s="89">
        <f t="shared" si="2"/>
        <v>101</v>
      </c>
      <c r="O13" s="89"/>
      <c r="P13" s="70">
        <v>7.5</v>
      </c>
      <c r="Q13" s="70">
        <f t="shared" si="3"/>
        <v>757.5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'28'!E14</f>
        <v>20</v>
      </c>
      <c r="C14" s="89"/>
      <c r="D14" s="89"/>
      <c r="E14" s="376">
        <v>17</v>
      </c>
      <c r="F14" s="89">
        <f t="shared" si="0"/>
        <v>3</v>
      </c>
      <c r="G14" s="70">
        <v>10</v>
      </c>
      <c r="H14" s="70">
        <f t="shared" si="1"/>
        <v>30</v>
      </c>
      <c r="J14" s="89" t="s">
        <v>44</v>
      </c>
      <c r="K14" s="89"/>
      <c r="L14" s="89"/>
      <c r="M14" s="89"/>
      <c r="N14" s="89">
        <f t="shared" si="2"/>
        <v>17</v>
      </c>
      <c r="O14" s="89"/>
      <c r="P14" s="70">
        <v>3.5</v>
      </c>
      <c r="Q14" s="70">
        <f t="shared" si="3"/>
        <v>59.5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1">
        <f>'28'!E15</f>
        <v>53</v>
      </c>
      <c r="C15" s="89"/>
      <c r="D15" s="89"/>
      <c r="E15" s="376">
        <v>40</v>
      </c>
      <c r="F15" s="89">
        <f t="shared" si="0"/>
        <v>13</v>
      </c>
      <c r="G15" s="70">
        <v>25</v>
      </c>
      <c r="H15" s="70">
        <f t="shared" si="1"/>
        <v>325</v>
      </c>
      <c r="J15" s="89" t="s">
        <v>41</v>
      </c>
      <c r="K15" s="89"/>
      <c r="L15" s="89"/>
      <c r="M15" s="89"/>
      <c r="N15" s="89">
        <f t="shared" si="2"/>
        <v>40</v>
      </c>
      <c r="O15" s="89"/>
      <c r="P15" s="70">
        <v>8</v>
      </c>
      <c r="Q15" s="70">
        <f t="shared" si="3"/>
        <v>320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'28'!E16</f>
        <v>0</v>
      </c>
      <c r="C16" s="386"/>
      <c r="D16" s="386"/>
      <c r="E16" s="386"/>
      <c r="F16" s="386"/>
      <c r="G16" s="387"/>
      <c r="H16" s="345">
        <f>IFERROR(SUM(H7:H15),0)</f>
        <v>11141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1615</v>
      </c>
      <c r="Y16" s="89" t="s">
        <v>57</v>
      </c>
      <c r="Z16" s="89">
        <v>50</v>
      </c>
      <c r="AA16" s="89">
        <v>6</v>
      </c>
      <c r="AB16" s="374">
        <f t="shared" si="4"/>
        <v>300</v>
      </c>
    </row>
    <row r="17" spans="1:28" ht="15.5">
      <c r="A17" s="89" t="s">
        <v>220</v>
      </c>
      <c r="B17" s="391">
        <f>'28'!E17</f>
        <v>43</v>
      </c>
      <c r="C17" s="89"/>
      <c r="D17" s="89"/>
      <c r="E17" s="376">
        <v>30</v>
      </c>
      <c r="F17" s="89">
        <f t="shared" ref="F17:F29" si="6">IFERROR(MAX(0,B17+C17-E17-D17),0)</f>
        <v>13</v>
      </c>
      <c r="G17" s="70">
        <v>20</v>
      </c>
      <c r="H17" s="70">
        <f t="shared" ref="H17:H29" si="7">IFERROR(F17*G17,0)</f>
        <v>260</v>
      </c>
      <c r="J17" s="89" t="s">
        <v>222</v>
      </c>
      <c r="K17" s="89"/>
      <c r="L17" s="89"/>
      <c r="M17" s="89"/>
      <c r="N17" s="89">
        <f t="shared" si="2"/>
        <v>30</v>
      </c>
      <c r="O17" s="89"/>
      <c r="P17" s="70">
        <f t="shared" si="5"/>
        <v>20</v>
      </c>
      <c r="Q17" s="70">
        <f t="shared" si="3"/>
        <v>600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'28'!E18</f>
        <v>290</v>
      </c>
      <c r="C18" s="89"/>
      <c r="D18" s="89"/>
      <c r="E18" s="376">
        <v>249</v>
      </c>
      <c r="F18" s="89">
        <f t="shared" si="6"/>
        <v>41</v>
      </c>
      <c r="G18" s="70">
        <v>25</v>
      </c>
      <c r="H18" s="70">
        <f t="shared" si="7"/>
        <v>1025</v>
      </c>
      <c r="J18" s="89" t="s">
        <v>36</v>
      </c>
      <c r="K18" s="89"/>
      <c r="L18" s="89"/>
      <c r="M18" s="89"/>
      <c r="N18" s="89">
        <f t="shared" si="2"/>
        <v>249</v>
      </c>
      <c r="O18" s="89"/>
      <c r="P18" s="70">
        <v>7</v>
      </c>
      <c r="Q18" s="70">
        <f t="shared" si="3"/>
        <v>1743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7820</v>
      </c>
    </row>
    <row r="19" spans="1:28" ht="14.5">
      <c r="A19" s="89" t="s">
        <v>228</v>
      </c>
      <c r="B19" s="391">
        <f>'28'!E19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'28'!E20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'28'!E21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1">
        <f>'28'!E22</f>
        <v>40</v>
      </c>
      <c r="C22" s="89"/>
      <c r="D22" s="89"/>
      <c r="E22" s="376">
        <v>25</v>
      </c>
      <c r="F22" s="89">
        <f t="shared" si="6"/>
        <v>15</v>
      </c>
      <c r="G22" s="70">
        <v>20</v>
      </c>
      <c r="H22" s="70">
        <f t="shared" si="7"/>
        <v>300</v>
      </c>
      <c r="J22" s="89" t="s">
        <v>220</v>
      </c>
      <c r="K22" s="89"/>
      <c r="L22" s="89"/>
      <c r="M22" s="89"/>
      <c r="N22" s="89">
        <f t="shared" si="2"/>
        <v>25</v>
      </c>
      <c r="O22" s="89"/>
      <c r="P22" s="70">
        <v>7.42</v>
      </c>
      <c r="Q22" s="70">
        <f t="shared" si="3"/>
        <v>185.5</v>
      </c>
      <c r="S22" s="381" t="s">
        <v>241</v>
      </c>
      <c r="T22" s="70"/>
      <c r="V22" s="392" t="s">
        <v>17</v>
      </c>
      <c r="W22" s="393">
        <f>SUM(W16:W21)</f>
        <v>1615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'28'!E23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'28'!E24</f>
        <v>12</v>
      </c>
      <c r="C24" s="89"/>
      <c r="D24" s="89"/>
      <c r="E24" s="376">
        <v>10</v>
      </c>
      <c r="F24" s="89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10</v>
      </c>
      <c r="O24" s="89"/>
      <c r="P24" s="70">
        <f>G24</f>
        <v>25</v>
      </c>
      <c r="Q24" s="70">
        <f t="shared" si="3"/>
        <v>250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'28'!E25</f>
        <v>0</v>
      </c>
      <c r="C25" s="89"/>
      <c r="D25" s="89"/>
      <c r="E25" s="376"/>
      <c r="F25" s="89">
        <f t="shared" si="6"/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'28'!E26</f>
        <v>0</v>
      </c>
      <c r="C26" s="89"/>
      <c r="D26" s="89"/>
      <c r="E26" s="376"/>
      <c r="F26" s="89">
        <f t="shared" si="6"/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'28'!E27</f>
        <v>0</v>
      </c>
      <c r="C27" s="89"/>
      <c r="D27" s="89"/>
      <c r="E27" s="376"/>
      <c r="F27" s="89">
        <f t="shared" si="6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'28'!E28</f>
        <v>42</v>
      </c>
      <c r="C28" s="89"/>
      <c r="D28" s="89"/>
      <c r="E28" s="376">
        <v>42</v>
      </c>
      <c r="F28" s="89">
        <f t="shared" si="6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>
        <v>60</v>
      </c>
      <c r="Y28" s="3"/>
      <c r="Z28" s="39"/>
      <c r="AA28" s="3"/>
      <c r="AB28" s="3"/>
    </row>
    <row r="29" spans="1:28" ht="15.75" customHeight="1">
      <c r="A29" s="89" t="s">
        <v>271</v>
      </c>
      <c r="B29" s="391">
        <f>'28'!E29</f>
        <v>0</v>
      </c>
      <c r="C29" s="89"/>
      <c r="D29" s="89"/>
      <c r="E29" s="376"/>
      <c r="F29" s="89">
        <f t="shared" si="6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1635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198</v>
      </c>
      <c r="U30" s="3"/>
      <c r="V30" s="402" t="s">
        <v>16</v>
      </c>
      <c r="W30" s="403">
        <f>SUM(W24:W29)</f>
        <v>60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12776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12959.14</v>
      </c>
      <c r="R31" s="357"/>
      <c r="S31" s="506" t="s">
        <v>256</v>
      </c>
      <c r="T31" s="438"/>
      <c r="U31" s="438"/>
      <c r="V31" s="507"/>
      <c r="W31" s="407">
        <f>T30+W30+W22+W14</f>
        <v>1873</v>
      </c>
      <c r="X31" s="357"/>
      <c r="Y31" s="3"/>
      <c r="Z31" s="3"/>
      <c r="AA31" s="3"/>
      <c r="AB31" s="39"/>
    </row>
    <row r="32" spans="1:28" ht="15.75" customHeight="1">
      <c r="D32" s="421"/>
      <c r="G32" s="39"/>
      <c r="T32" s="39"/>
      <c r="W32" s="4"/>
      <c r="Y32" s="408" t="s">
        <v>171</v>
      </c>
      <c r="Z32" s="409">
        <f>IFERROR(W22+Z35,0)</f>
        <v>9435</v>
      </c>
    </row>
    <row r="33" spans="1:27" ht="15.75" customHeight="1">
      <c r="A33" s="3" t="s">
        <v>96</v>
      </c>
      <c r="B33" s="498">
        <f>H31</f>
        <v>12776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1873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198</v>
      </c>
      <c r="AA34" s="39"/>
    </row>
    <row r="35" spans="1:27" ht="15.75" customHeight="1">
      <c r="A35" s="3" t="s">
        <v>258</v>
      </c>
      <c r="B35" s="499">
        <f>IFERROR(B33-B34,0)</f>
        <v>10903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7820</v>
      </c>
      <c r="AA35" s="39"/>
    </row>
    <row r="36" spans="1:27" ht="15.75" customHeight="1">
      <c r="A36" s="3" t="s">
        <v>259</v>
      </c>
      <c r="B36" s="500">
        <v>10903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8018</v>
      </c>
      <c r="AA36" s="39"/>
    </row>
    <row r="37" spans="1:27" ht="15.75" customHeight="1">
      <c r="A37" s="3" t="s">
        <v>260</v>
      </c>
      <c r="B37" s="498">
        <f>IFERROR(B36-B35,0)</f>
        <v>0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46233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'29'!E7</f>
        <v>375</v>
      </c>
      <c r="C7" s="370">
        <v>150</v>
      </c>
      <c r="D7" s="89"/>
      <c r="E7" s="371">
        <v>343</v>
      </c>
      <c r="F7" s="370">
        <f t="shared" ref="F7:F15" si="0">IFERROR(MAX(0,B7+C7-E7-D7),0)</f>
        <v>182</v>
      </c>
      <c r="G7" s="70">
        <v>50</v>
      </c>
      <c r="H7" s="70">
        <f t="shared" ref="H7:H15" si="1">IFERROR(F7*G7,0)</f>
        <v>9100</v>
      </c>
      <c r="J7" s="89" t="s">
        <v>194</v>
      </c>
      <c r="K7" s="89"/>
      <c r="L7" s="89"/>
      <c r="M7" s="89"/>
      <c r="N7" s="370">
        <f t="shared" ref="N7:N30" si="2">E7</f>
        <v>343</v>
      </c>
      <c r="O7" s="89"/>
      <c r="P7" s="70">
        <v>21</v>
      </c>
      <c r="Q7" s="70">
        <f t="shared" ref="Q7:Q29" si="3">IFERROR(N7*P7,0)</f>
        <v>7203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1">
        <f>'29'!E8</f>
        <v>2</v>
      </c>
      <c r="C8" s="89">
        <v>20</v>
      </c>
      <c r="D8" s="89"/>
      <c r="E8" s="376">
        <v>12</v>
      </c>
      <c r="F8" s="89">
        <f t="shared" si="0"/>
        <v>10</v>
      </c>
      <c r="G8" s="70">
        <v>12</v>
      </c>
      <c r="H8" s="70">
        <f t="shared" si="1"/>
        <v>120</v>
      </c>
      <c r="J8" s="89" t="s">
        <v>198</v>
      </c>
      <c r="K8" s="89"/>
      <c r="L8" s="89"/>
      <c r="M8" s="89"/>
      <c r="N8" s="89">
        <f t="shared" si="2"/>
        <v>12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100</v>
      </c>
      <c r="AA8" s="374">
        <v>7</v>
      </c>
      <c r="AB8" s="374">
        <f t="shared" si="4"/>
        <v>700</v>
      </c>
    </row>
    <row r="9" spans="1:28" ht="15.5">
      <c r="A9" s="89" t="s">
        <v>53</v>
      </c>
      <c r="B9" s="391">
        <f>'29'!E9</f>
        <v>4</v>
      </c>
      <c r="C9" s="89">
        <v>100</v>
      </c>
      <c r="D9" s="89"/>
      <c r="E9" s="376">
        <v>10</v>
      </c>
      <c r="F9" s="89">
        <f t="shared" si="0"/>
        <v>94</v>
      </c>
      <c r="G9" s="70">
        <v>12</v>
      </c>
      <c r="H9" s="70">
        <f t="shared" si="1"/>
        <v>1128</v>
      </c>
      <c r="J9" s="89" t="s">
        <v>200</v>
      </c>
      <c r="K9" s="89"/>
      <c r="L9" s="89"/>
      <c r="M9" s="89"/>
      <c r="N9" s="89">
        <f t="shared" si="2"/>
        <v>10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1">
        <f>'29'!E10</f>
        <v>39</v>
      </c>
      <c r="C10" s="89"/>
      <c r="D10" s="89"/>
      <c r="E10" s="376">
        <v>39</v>
      </c>
      <c r="F10" s="89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'29'!E11</f>
        <v>47</v>
      </c>
      <c r="C11" s="89">
        <v>180</v>
      </c>
      <c r="D11" s="89"/>
      <c r="E11" s="371">
        <v>69</v>
      </c>
      <c r="F11" s="370">
        <f t="shared" si="0"/>
        <v>158</v>
      </c>
      <c r="G11" s="70">
        <v>15</v>
      </c>
      <c r="H11" s="70">
        <f t="shared" si="1"/>
        <v>2370</v>
      </c>
      <c r="J11" s="89" t="s">
        <v>42</v>
      </c>
      <c r="K11" s="89"/>
      <c r="L11" s="89"/>
      <c r="M11" s="89"/>
      <c r="N11" s="370">
        <f t="shared" si="2"/>
        <v>69</v>
      </c>
      <c r="O11" s="89"/>
      <c r="P11" s="70">
        <v>5.5</v>
      </c>
      <c r="Q11" s="70">
        <f t="shared" si="3"/>
        <v>379.5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1">
        <f>'29'!E12</f>
        <v>57</v>
      </c>
      <c r="C12" s="89">
        <v>40</v>
      </c>
      <c r="D12" s="89"/>
      <c r="E12" s="376">
        <v>68</v>
      </c>
      <c r="F12" s="89">
        <f t="shared" si="0"/>
        <v>29</v>
      </c>
      <c r="G12" s="70">
        <v>10</v>
      </c>
      <c r="H12" s="70">
        <f t="shared" si="1"/>
        <v>290</v>
      </c>
      <c r="J12" s="89" t="s">
        <v>37</v>
      </c>
      <c r="K12" s="89"/>
      <c r="L12" s="89"/>
      <c r="M12" s="89"/>
      <c r="N12" s="89">
        <f t="shared" si="2"/>
        <v>68</v>
      </c>
      <c r="O12" s="89"/>
      <c r="P12" s="70">
        <v>3.5</v>
      </c>
      <c r="Q12" s="70">
        <f t="shared" si="3"/>
        <v>238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1">
        <f>'29'!E13</f>
        <v>101</v>
      </c>
      <c r="C13" s="89">
        <v>20</v>
      </c>
      <c r="D13" s="89"/>
      <c r="E13" s="376">
        <v>85</v>
      </c>
      <c r="F13" s="89">
        <f t="shared" si="0"/>
        <v>36</v>
      </c>
      <c r="G13" s="70">
        <v>8</v>
      </c>
      <c r="H13" s="70">
        <f t="shared" si="1"/>
        <v>288</v>
      </c>
      <c r="J13" s="89" t="s">
        <v>211</v>
      </c>
      <c r="K13" s="89"/>
      <c r="L13" s="89"/>
      <c r="M13" s="89"/>
      <c r="N13" s="89">
        <f t="shared" si="2"/>
        <v>85</v>
      </c>
      <c r="O13" s="89"/>
      <c r="P13" s="70">
        <v>7.5</v>
      </c>
      <c r="Q13" s="70">
        <f t="shared" si="3"/>
        <v>637.5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1">
        <f>'29'!E14</f>
        <v>17</v>
      </c>
      <c r="C14" s="89"/>
      <c r="D14" s="89"/>
      <c r="E14" s="376">
        <v>14</v>
      </c>
      <c r="F14" s="89">
        <f t="shared" si="0"/>
        <v>3</v>
      </c>
      <c r="G14" s="70">
        <v>10</v>
      </c>
      <c r="H14" s="70">
        <f t="shared" si="1"/>
        <v>30</v>
      </c>
      <c r="J14" s="89" t="s">
        <v>44</v>
      </c>
      <c r="K14" s="89"/>
      <c r="L14" s="89"/>
      <c r="M14" s="89"/>
      <c r="N14" s="89">
        <f t="shared" si="2"/>
        <v>14</v>
      </c>
      <c r="O14" s="89"/>
      <c r="P14" s="70">
        <v>3.5</v>
      </c>
      <c r="Q14" s="70">
        <f t="shared" si="3"/>
        <v>49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>
        <v>10</v>
      </c>
      <c r="AA14" s="70">
        <v>27</v>
      </c>
      <c r="AB14" s="374">
        <f t="shared" si="4"/>
        <v>270</v>
      </c>
    </row>
    <row r="15" spans="1:28" ht="15.5">
      <c r="A15" s="89" t="s">
        <v>216</v>
      </c>
      <c r="B15" s="391">
        <f>'29'!E15</f>
        <v>40</v>
      </c>
      <c r="C15" s="89"/>
      <c r="D15" s="89"/>
      <c r="E15" s="376">
        <v>21</v>
      </c>
      <c r="F15" s="89">
        <f t="shared" si="0"/>
        <v>19</v>
      </c>
      <c r="G15" s="70">
        <v>25</v>
      </c>
      <c r="H15" s="70">
        <f t="shared" si="1"/>
        <v>475</v>
      </c>
      <c r="J15" s="89" t="s">
        <v>41</v>
      </c>
      <c r="K15" s="89"/>
      <c r="L15" s="89"/>
      <c r="M15" s="89"/>
      <c r="N15" s="89">
        <f t="shared" si="2"/>
        <v>21</v>
      </c>
      <c r="O15" s="89"/>
      <c r="P15" s="70">
        <v>8</v>
      </c>
      <c r="Q15" s="70">
        <f t="shared" si="3"/>
        <v>168</v>
      </c>
      <c r="S15" s="381" t="s">
        <v>217</v>
      </c>
      <c r="T15" s="70"/>
      <c r="V15" s="503" t="s">
        <v>171</v>
      </c>
      <c r="W15" s="423"/>
      <c r="Y15" s="89" t="s">
        <v>126</v>
      </c>
      <c r="Z15" s="89"/>
      <c r="AA15" s="53">
        <v>1374</v>
      </c>
      <c r="AB15" s="374">
        <f t="shared" si="4"/>
        <v>0</v>
      </c>
    </row>
    <row r="16" spans="1:28" ht="15.5">
      <c r="A16" s="384" t="s">
        <v>106</v>
      </c>
      <c r="B16" s="391">
        <f>'29'!E16</f>
        <v>0</v>
      </c>
      <c r="C16" s="386"/>
      <c r="D16" s="386"/>
      <c r="E16" s="386"/>
      <c r="F16" s="386"/>
      <c r="G16" s="387"/>
      <c r="H16" s="345">
        <f>IFERROR(SUM(H7:H15),0)</f>
        <v>13801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>
        <v>15</v>
      </c>
      <c r="V16" s="89" t="s">
        <v>37</v>
      </c>
      <c r="W16" s="53">
        <v>1530</v>
      </c>
      <c r="Y16" s="89" t="s">
        <v>57</v>
      </c>
      <c r="Z16" s="89">
        <v>20</v>
      </c>
      <c r="AA16" s="89">
        <v>6</v>
      </c>
      <c r="AB16" s="374">
        <f t="shared" si="4"/>
        <v>120</v>
      </c>
    </row>
    <row r="17" spans="1:28" ht="15.5">
      <c r="A17" s="89" t="s">
        <v>220</v>
      </c>
      <c r="B17" s="391">
        <f>'29'!E17</f>
        <v>30</v>
      </c>
      <c r="C17" s="89"/>
      <c r="D17" s="89"/>
      <c r="E17" s="376">
        <v>13</v>
      </c>
      <c r="F17" s="89">
        <f t="shared" ref="F17:F24" si="6">IFERROR(MAX(0,B17+C17-E17-D17),0)</f>
        <v>17</v>
      </c>
      <c r="G17" s="70">
        <v>20</v>
      </c>
      <c r="H17" s="70">
        <f t="shared" ref="H17:H29" si="7">IFERROR(F17*G17,0)</f>
        <v>340</v>
      </c>
      <c r="J17" s="89" t="s">
        <v>222</v>
      </c>
      <c r="K17" s="89"/>
      <c r="L17" s="89"/>
      <c r="M17" s="89"/>
      <c r="N17" s="89">
        <f t="shared" si="2"/>
        <v>13</v>
      </c>
      <c r="O17" s="89"/>
      <c r="P17" s="70">
        <f t="shared" si="5"/>
        <v>20</v>
      </c>
      <c r="Q17" s="70">
        <f t="shared" si="3"/>
        <v>260</v>
      </c>
      <c r="S17" s="381" t="s">
        <v>223</v>
      </c>
      <c r="T17" s="70"/>
      <c r="V17" s="89" t="s">
        <v>41</v>
      </c>
      <c r="W17" s="53"/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1">
        <f>'29'!E18</f>
        <v>249</v>
      </c>
      <c r="C18" s="89"/>
      <c r="D18" s="89"/>
      <c r="E18" s="376">
        <v>215</v>
      </c>
      <c r="F18" s="89">
        <f t="shared" si="6"/>
        <v>34</v>
      </c>
      <c r="G18" s="70">
        <v>25</v>
      </c>
      <c r="H18" s="70">
        <f t="shared" si="7"/>
        <v>850</v>
      </c>
      <c r="J18" s="89" t="s">
        <v>36</v>
      </c>
      <c r="K18" s="89"/>
      <c r="L18" s="89"/>
      <c r="M18" s="89"/>
      <c r="N18" s="89">
        <f t="shared" si="2"/>
        <v>215</v>
      </c>
      <c r="O18" s="89"/>
      <c r="P18" s="70">
        <v>7</v>
      </c>
      <c r="Q18" s="70">
        <f t="shared" si="3"/>
        <v>1505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6750</v>
      </c>
    </row>
    <row r="19" spans="1:28" ht="14.5">
      <c r="A19" s="89" t="s">
        <v>228</v>
      </c>
      <c r="B19" s="391">
        <f>'29'!E19</f>
        <v>0</v>
      </c>
      <c r="C19" s="89"/>
      <c r="D19" s="89"/>
      <c r="E19" s="376"/>
      <c r="F19" s="89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1">
        <f>'29'!E20</f>
        <v>0</v>
      </c>
      <c r="C20" s="89"/>
      <c r="D20" s="89"/>
      <c r="E20" s="376"/>
      <c r="F20" s="89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1">
        <f>'29'!E21</f>
        <v>0</v>
      </c>
      <c r="C21" s="89"/>
      <c r="D21" s="89"/>
      <c r="E21" s="376"/>
      <c r="F21" s="89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>
        <v>470</v>
      </c>
      <c r="Y21" s="3"/>
      <c r="Z21" s="3"/>
      <c r="AA21" s="3"/>
      <c r="AB21" s="3"/>
    </row>
    <row r="22" spans="1:28" ht="15.75" customHeight="1">
      <c r="A22" s="89" t="s">
        <v>240</v>
      </c>
      <c r="B22" s="391">
        <f>'29'!E22</f>
        <v>25</v>
      </c>
      <c r="C22" s="89">
        <v>48</v>
      </c>
      <c r="D22" s="89"/>
      <c r="E22" s="376">
        <v>57</v>
      </c>
      <c r="F22" s="89">
        <f t="shared" si="6"/>
        <v>16</v>
      </c>
      <c r="G22" s="70">
        <v>20</v>
      </c>
      <c r="H22" s="70">
        <f t="shared" si="7"/>
        <v>320</v>
      </c>
      <c r="J22" s="89" t="s">
        <v>220</v>
      </c>
      <c r="K22" s="89"/>
      <c r="L22" s="89"/>
      <c r="M22" s="89"/>
      <c r="N22" s="89">
        <f t="shared" si="2"/>
        <v>57</v>
      </c>
      <c r="O22" s="89"/>
      <c r="P22" s="70">
        <v>7.42</v>
      </c>
      <c r="Q22" s="70">
        <f t="shared" si="3"/>
        <v>422.94</v>
      </c>
      <c r="S22" s="381" t="s">
        <v>241</v>
      </c>
      <c r="T22" s="70"/>
      <c r="V22" s="392" t="s">
        <v>17</v>
      </c>
      <c r="W22" s="393">
        <f>SUM(W16:W21)</f>
        <v>2000</v>
      </c>
      <c r="Y22" s="394"/>
      <c r="Z22" s="394"/>
      <c r="AA22" s="3"/>
      <c r="AB22" s="3"/>
    </row>
    <row r="23" spans="1:28" ht="15.75" customHeight="1">
      <c r="A23" s="89" t="s">
        <v>242</v>
      </c>
      <c r="B23" s="391">
        <f>'29'!E23</f>
        <v>0</v>
      </c>
      <c r="C23" s="89"/>
      <c r="D23" s="89"/>
      <c r="E23" s="376"/>
      <c r="F23" s="89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1">
        <f>'29'!E24</f>
        <v>10</v>
      </c>
      <c r="C24" s="89"/>
      <c r="D24" s="89"/>
      <c r="E24" s="376">
        <v>7</v>
      </c>
      <c r="F24" s="89">
        <f t="shared" si="6"/>
        <v>3</v>
      </c>
      <c r="G24" s="70">
        <v>25</v>
      </c>
      <c r="H24" s="70">
        <f t="shared" si="7"/>
        <v>75</v>
      </c>
      <c r="J24" s="89" t="s">
        <v>244</v>
      </c>
      <c r="K24" s="89"/>
      <c r="L24" s="89"/>
      <c r="M24" s="89"/>
      <c r="N24" s="89">
        <f t="shared" si="2"/>
        <v>7</v>
      </c>
      <c r="O24" s="89"/>
      <c r="P24" s="70">
        <f>G24</f>
        <v>25</v>
      </c>
      <c r="Q24" s="70">
        <f t="shared" si="3"/>
        <v>175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1">
        <f>'29'!E25</f>
        <v>0</v>
      </c>
      <c r="C25" s="89"/>
      <c r="D25" s="89"/>
      <c r="E25" s="376"/>
      <c r="F25" s="89"/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1">
        <f>'29'!E26</f>
        <v>0</v>
      </c>
      <c r="C26" s="89"/>
      <c r="D26" s="89"/>
      <c r="E26" s="376"/>
      <c r="F26" s="89">
        <f t="shared" ref="F26:F29" si="9">IFERROR(MAX(0,B26+C26-E26-D26),0)</f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1">
        <f>'29'!E27</f>
        <v>0</v>
      </c>
      <c r="C27" s="89"/>
      <c r="D27" s="89"/>
      <c r="E27" s="376"/>
      <c r="F27" s="89">
        <f t="shared" si="9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1">
        <f>'29'!E28</f>
        <v>42</v>
      </c>
      <c r="C28" s="89"/>
      <c r="D28" s="89"/>
      <c r="E28" s="376">
        <v>42</v>
      </c>
      <c r="F28" s="89">
        <f t="shared" si="9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1">
        <f>'29'!E29</f>
        <v>0</v>
      </c>
      <c r="C29" s="89"/>
      <c r="D29" s="89"/>
      <c r="E29" s="376"/>
      <c r="F29" s="89">
        <f t="shared" si="9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1585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15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15386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11748.58</v>
      </c>
      <c r="R31" s="357"/>
      <c r="S31" s="506" t="s">
        <v>256</v>
      </c>
      <c r="T31" s="438"/>
      <c r="U31" s="438"/>
      <c r="V31" s="507"/>
      <c r="W31" s="407">
        <f>T30+W30+W22+W14</f>
        <v>2015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8480</v>
      </c>
    </row>
    <row r="33" spans="1:27" ht="15.75" customHeight="1">
      <c r="A33" s="3" t="s">
        <v>96</v>
      </c>
      <c r="B33" s="498">
        <f>H31</f>
        <v>15386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2015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285</v>
      </c>
      <c r="AA34" s="39"/>
    </row>
    <row r="35" spans="1:27" ht="15.75" customHeight="1">
      <c r="A35" s="3" t="s">
        <v>258</v>
      </c>
      <c r="B35" s="499">
        <f>IFERROR(B33-B34,0)</f>
        <v>13371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6480</v>
      </c>
      <c r="AA35" s="39"/>
    </row>
    <row r="36" spans="1:27" ht="15.75" customHeight="1">
      <c r="A36" s="3" t="s">
        <v>259</v>
      </c>
      <c r="B36" s="500">
        <v>13372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6765</v>
      </c>
      <c r="AA36" s="39"/>
    </row>
    <row r="37" spans="1:27" ht="15.75" customHeight="1">
      <c r="A37" s="3" t="s">
        <v>260</v>
      </c>
      <c r="B37" s="498">
        <f>IFERROR(B36-B35,0)</f>
        <v>1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0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270</v>
      </c>
      <c r="AA38" s="39"/>
    </row>
    <row r="39" spans="1:27" ht="15.75" customHeight="1">
      <c r="A39" s="3" t="s">
        <v>262</v>
      </c>
      <c r="B39" s="501" t="s">
        <v>263</v>
      </c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1000"/>
  <sheetViews>
    <sheetView workbookViewId="0"/>
  </sheetViews>
  <sheetFormatPr defaultColWidth="14.453125" defaultRowHeight="15" customHeight="1"/>
  <cols>
    <col min="1" max="1" width="17.453125" customWidth="1"/>
    <col min="2" max="2" width="12" customWidth="1"/>
    <col min="3" max="6" width="9" customWidth="1"/>
    <col min="7" max="7" width="9.08984375" customWidth="1"/>
    <col min="8" max="8" width="11.453125" customWidth="1"/>
    <col min="9" max="9" width="1.54296875" customWidth="1"/>
    <col min="10" max="10" width="17.81640625" hidden="1" customWidth="1"/>
    <col min="11" max="16" width="9" hidden="1" customWidth="1"/>
    <col min="17" max="17" width="11.54296875" hidden="1" customWidth="1"/>
    <col min="18" max="18" width="3.26953125" customWidth="1"/>
    <col min="19" max="19" width="23.81640625" customWidth="1"/>
    <col min="20" max="20" width="11.08984375" customWidth="1"/>
    <col min="21" max="21" width="1" customWidth="1"/>
    <col min="22" max="22" width="22.54296875" customWidth="1"/>
    <col min="23" max="23" width="13" customWidth="1"/>
    <col min="24" max="24" width="2.26953125" customWidth="1"/>
    <col min="25" max="25" width="16.54296875" customWidth="1"/>
    <col min="26" max="26" width="12.453125" customWidth="1"/>
    <col min="27" max="27" width="11.81640625" customWidth="1"/>
    <col min="28" max="28" width="12" customWidth="1"/>
  </cols>
  <sheetData>
    <row r="1" spans="1:28" ht="18.5">
      <c r="B1" s="493" t="s">
        <v>1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</row>
    <row r="2" spans="1:28" ht="18.5">
      <c r="B2" s="493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</row>
    <row r="3" spans="1:28" ht="18.5">
      <c r="B3" s="357" t="s">
        <v>177</v>
      </c>
      <c r="C3" s="494" t="s">
        <v>267</v>
      </c>
      <c r="D3" s="495"/>
      <c r="E3" s="495"/>
      <c r="F3" s="495"/>
      <c r="G3" s="359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61" t="s">
        <v>180</v>
      </c>
      <c r="T3" s="502">
        <v>46234</v>
      </c>
      <c r="U3" s="495"/>
      <c r="V3" s="495"/>
      <c r="W3" s="495"/>
    </row>
    <row r="4" spans="1:28" ht="14.5">
      <c r="G4" s="39"/>
      <c r="T4" s="39"/>
      <c r="W4" s="4"/>
    </row>
    <row r="5" spans="1:28" ht="15.5">
      <c r="A5" s="496" t="s">
        <v>181</v>
      </c>
      <c r="B5" s="445"/>
      <c r="C5" s="445"/>
      <c r="D5" s="445"/>
      <c r="E5" s="445"/>
      <c r="F5" s="445"/>
      <c r="G5" s="445"/>
      <c r="H5" s="423"/>
      <c r="I5" s="357"/>
      <c r="J5" s="496" t="s">
        <v>182</v>
      </c>
      <c r="K5" s="445"/>
      <c r="L5" s="445"/>
      <c r="M5" s="445"/>
      <c r="N5" s="445"/>
      <c r="O5" s="445"/>
      <c r="P5" s="445"/>
      <c r="Q5" s="423"/>
      <c r="R5" s="357"/>
      <c r="S5" s="496" t="s">
        <v>183</v>
      </c>
      <c r="T5" s="445"/>
      <c r="U5" s="445"/>
      <c r="V5" s="445"/>
      <c r="W5" s="423"/>
      <c r="X5" s="357"/>
      <c r="Y5" s="497" t="s">
        <v>184</v>
      </c>
      <c r="Z5" s="445"/>
      <c r="AA5" s="445"/>
      <c r="AB5" s="423"/>
    </row>
    <row r="6" spans="1:28" ht="14.5">
      <c r="A6" s="364" t="s">
        <v>185</v>
      </c>
      <c r="B6" s="364" t="s">
        <v>186</v>
      </c>
      <c r="C6" s="364" t="s">
        <v>187</v>
      </c>
      <c r="D6" s="364" t="s">
        <v>188</v>
      </c>
      <c r="E6" s="364" t="s">
        <v>189</v>
      </c>
      <c r="F6" s="364" t="s">
        <v>190</v>
      </c>
      <c r="G6" s="365" t="s">
        <v>100</v>
      </c>
      <c r="H6" s="364" t="s">
        <v>99</v>
      </c>
      <c r="I6" s="50"/>
      <c r="J6" s="364" t="s">
        <v>185</v>
      </c>
      <c r="K6" s="364" t="s">
        <v>186</v>
      </c>
      <c r="L6" s="364" t="s">
        <v>187</v>
      </c>
      <c r="M6" s="364" t="s">
        <v>188</v>
      </c>
      <c r="N6" s="364" t="s">
        <v>189</v>
      </c>
      <c r="O6" s="364" t="s">
        <v>190</v>
      </c>
      <c r="P6" s="364" t="s">
        <v>100</v>
      </c>
      <c r="Q6" s="364" t="s">
        <v>99</v>
      </c>
      <c r="R6" s="50"/>
      <c r="S6" s="366" t="s">
        <v>191</v>
      </c>
      <c r="T6" s="367" t="s">
        <v>26</v>
      </c>
      <c r="U6" s="50"/>
      <c r="V6" s="366" t="s">
        <v>191</v>
      </c>
      <c r="W6" s="368" t="s">
        <v>26</v>
      </c>
      <c r="X6" s="50"/>
      <c r="Y6" s="364" t="s">
        <v>191</v>
      </c>
      <c r="Z6" s="365" t="s">
        <v>192</v>
      </c>
      <c r="AA6" s="365" t="s">
        <v>193</v>
      </c>
      <c r="AB6" s="364" t="s">
        <v>26</v>
      </c>
    </row>
    <row r="7" spans="1:28" ht="15.5">
      <c r="A7" s="89" t="s">
        <v>270</v>
      </c>
      <c r="B7" s="390">
        <f>'30'!E7</f>
        <v>343</v>
      </c>
      <c r="C7" s="370">
        <v>150</v>
      </c>
      <c r="D7" s="89"/>
      <c r="E7" s="371">
        <v>313</v>
      </c>
      <c r="F7" s="370">
        <f t="shared" ref="F7:F15" si="0">IFERROR(MAX(0,B7+C7-E7-D7),0)</f>
        <v>180</v>
      </c>
      <c r="G7" s="70">
        <v>50</v>
      </c>
      <c r="H7" s="70">
        <f t="shared" ref="H7:H15" si="1">IFERROR(F7*G7,0)</f>
        <v>9000</v>
      </c>
      <c r="J7" s="89" t="s">
        <v>194</v>
      </c>
      <c r="K7" s="89"/>
      <c r="L7" s="89"/>
      <c r="M7" s="89"/>
      <c r="N7" s="370">
        <f t="shared" ref="N7:N30" si="2">E7</f>
        <v>313</v>
      </c>
      <c r="O7" s="89"/>
      <c r="P7" s="70">
        <v>21</v>
      </c>
      <c r="Q7" s="70">
        <f t="shared" ref="Q7:Q29" si="3">IFERROR(N7*P7,0)</f>
        <v>6573</v>
      </c>
      <c r="S7" s="89" t="s">
        <v>195</v>
      </c>
      <c r="T7" s="364"/>
      <c r="V7" s="89" t="s">
        <v>196</v>
      </c>
      <c r="W7" s="372"/>
      <c r="Y7" s="373" t="s">
        <v>197</v>
      </c>
      <c r="Z7" s="374">
        <v>150</v>
      </c>
      <c r="AA7" s="374">
        <v>35</v>
      </c>
      <c r="AB7" s="374">
        <f t="shared" ref="AB7:AB17" si="4">IFERROR(Z7*AA7,0)</f>
        <v>5250</v>
      </c>
    </row>
    <row r="8" spans="1:28" ht="15.5">
      <c r="A8" s="89" t="s">
        <v>102</v>
      </c>
      <c r="B8" s="390">
        <f>'30'!E8</f>
        <v>12</v>
      </c>
      <c r="C8" s="89">
        <v>20</v>
      </c>
      <c r="D8" s="89"/>
      <c r="E8" s="376">
        <v>25</v>
      </c>
      <c r="F8" s="370">
        <f t="shared" si="0"/>
        <v>7</v>
      </c>
      <c r="G8" s="70">
        <v>12</v>
      </c>
      <c r="H8" s="70">
        <f t="shared" si="1"/>
        <v>84</v>
      </c>
      <c r="J8" s="89" t="s">
        <v>198</v>
      </c>
      <c r="K8" s="89"/>
      <c r="L8" s="89"/>
      <c r="M8" s="89"/>
      <c r="N8" s="89">
        <f t="shared" si="2"/>
        <v>25</v>
      </c>
      <c r="O8" s="89"/>
      <c r="P8" s="70"/>
      <c r="Q8" s="70">
        <f t="shared" si="3"/>
        <v>0</v>
      </c>
      <c r="S8" s="89" t="s">
        <v>199</v>
      </c>
      <c r="T8" s="70"/>
      <c r="V8" s="377" t="s">
        <v>129</v>
      </c>
      <c r="W8" s="378"/>
      <c r="Y8" s="373" t="s">
        <v>53</v>
      </c>
      <c r="Z8" s="374">
        <v>150</v>
      </c>
      <c r="AA8" s="374">
        <v>7</v>
      </c>
      <c r="AB8" s="374">
        <f t="shared" si="4"/>
        <v>1050</v>
      </c>
    </row>
    <row r="9" spans="1:28" ht="15.5">
      <c r="A9" s="89" t="s">
        <v>53</v>
      </c>
      <c r="B9" s="390">
        <f>'30'!E9</f>
        <v>10</v>
      </c>
      <c r="C9" s="89">
        <v>150</v>
      </c>
      <c r="D9" s="89"/>
      <c r="E9" s="376">
        <v>34</v>
      </c>
      <c r="F9" s="370">
        <f t="shared" si="0"/>
        <v>126</v>
      </c>
      <c r="G9" s="70">
        <v>12</v>
      </c>
      <c r="H9" s="70">
        <f t="shared" si="1"/>
        <v>1512</v>
      </c>
      <c r="J9" s="89" t="s">
        <v>200</v>
      </c>
      <c r="K9" s="89"/>
      <c r="L9" s="89"/>
      <c r="M9" s="89"/>
      <c r="N9" s="89">
        <f t="shared" si="2"/>
        <v>34</v>
      </c>
      <c r="O9" s="89"/>
      <c r="P9" s="70"/>
      <c r="Q9" s="70">
        <f t="shared" si="3"/>
        <v>0</v>
      </c>
      <c r="S9" s="89" t="s">
        <v>201</v>
      </c>
      <c r="T9" s="70"/>
      <c r="V9" s="89" t="s">
        <v>130</v>
      </c>
      <c r="W9" s="53"/>
      <c r="Y9" s="373" t="s">
        <v>102</v>
      </c>
      <c r="Z9" s="374">
        <v>20</v>
      </c>
      <c r="AA9" s="374">
        <v>8.5</v>
      </c>
      <c r="AB9" s="374">
        <f t="shared" si="4"/>
        <v>170</v>
      </c>
    </row>
    <row r="10" spans="1:28" ht="15.5">
      <c r="A10" s="89" t="s">
        <v>54</v>
      </c>
      <c r="B10" s="390">
        <f>'30'!E10</f>
        <v>39</v>
      </c>
      <c r="C10" s="89"/>
      <c r="D10" s="89"/>
      <c r="E10" s="376">
        <v>39</v>
      </c>
      <c r="F10" s="370">
        <f t="shared" si="0"/>
        <v>0</v>
      </c>
      <c r="G10" s="70">
        <v>7.5</v>
      </c>
      <c r="H10" s="70">
        <f t="shared" si="1"/>
        <v>0</v>
      </c>
      <c r="J10" s="89" t="s">
        <v>40</v>
      </c>
      <c r="K10" s="89"/>
      <c r="L10" s="89"/>
      <c r="M10" s="89"/>
      <c r="N10" s="89">
        <f t="shared" si="2"/>
        <v>39</v>
      </c>
      <c r="O10" s="89"/>
      <c r="P10" s="70">
        <v>7</v>
      </c>
      <c r="Q10" s="70">
        <f t="shared" si="3"/>
        <v>273</v>
      </c>
      <c r="S10" s="89" t="s">
        <v>134</v>
      </c>
      <c r="T10" s="89"/>
      <c r="V10" s="89" t="s">
        <v>202</v>
      </c>
      <c r="W10" s="372"/>
      <c r="Y10" s="373" t="s">
        <v>203</v>
      </c>
      <c r="Z10" s="374">
        <v>40</v>
      </c>
      <c r="AA10" s="374">
        <v>6</v>
      </c>
      <c r="AB10" s="374">
        <f t="shared" si="4"/>
        <v>240</v>
      </c>
    </row>
    <row r="11" spans="1:28" ht="15.5">
      <c r="A11" s="89" t="s">
        <v>55</v>
      </c>
      <c r="B11" s="390">
        <f>'30'!E11</f>
        <v>69</v>
      </c>
      <c r="C11" s="89">
        <v>150</v>
      </c>
      <c r="D11" s="89"/>
      <c r="E11" s="371">
        <v>46</v>
      </c>
      <c r="F11" s="370">
        <f t="shared" si="0"/>
        <v>173</v>
      </c>
      <c r="G11" s="70">
        <v>15</v>
      </c>
      <c r="H11" s="70">
        <f t="shared" si="1"/>
        <v>2595</v>
      </c>
      <c r="J11" s="89" t="s">
        <v>42</v>
      </c>
      <c r="K11" s="89"/>
      <c r="L11" s="89"/>
      <c r="M11" s="89"/>
      <c r="N11" s="370">
        <f t="shared" si="2"/>
        <v>46</v>
      </c>
      <c r="O11" s="89"/>
      <c r="P11" s="70">
        <v>5.5</v>
      </c>
      <c r="Q11" s="70">
        <f t="shared" si="3"/>
        <v>253</v>
      </c>
      <c r="S11" s="89" t="s">
        <v>204</v>
      </c>
      <c r="T11" s="380"/>
      <c r="V11" s="89" t="s">
        <v>205</v>
      </c>
      <c r="W11" s="53"/>
      <c r="Y11" s="373" t="s">
        <v>206</v>
      </c>
      <c r="Z11" s="374"/>
      <c r="AA11" s="374">
        <v>1591</v>
      </c>
      <c r="AB11" s="374">
        <f t="shared" si="4"/>
        <v>0</v>
      </c>
    </row>
    <row r="12" spans="1:28" ht="15.5">
      <c r="A12" s="89" t="s">
        <v>207</v>
      </c>
      <c r="B12" s="390">
        <f>'30'!E12</f>
        <v>68</v>
      </c>
      <c r="C12" s="89">
        <v>40</v>
      </c>
      <c r="D12" s="89"/>
      <c r="E12" s="376">
        <v>70</v>
      </c>
      <c r="F12" s="370">
        <f t="shared" si="0"/>
        <v>38</v>
      </c>
      <c r="G12" s="70">
        <v>10</v>
      </c>
      <c r="H12" s="70">
        <f t="shared" si="1"/>
        <v>380</v>
      </c>
      <c r="J12" s="89" t="s">
        <v>37</v>
      </c>
      <c r="K12" s="89"/>
      <c r="L12" s="89"/>
      <c r="M12" s="89"/>
      <c r="N12" s="89">
        <f t="shared" si="2"/>
        <v>70</v>
      </c>
      <c r="O12" s="89"/>
      <c r="P12" s="70">
        <v>3.5</v>
      </c>
      <c r="Q12" s="70">
        <f t="shared" si="3"/>
        <v>245</v>
      </c>
      <c r="S12" s="381" t="s">
        <v>208</v>
      </c>
      <c r="T12" s="70"/>
      <c r="V12" s="89" t="s">
        <v>209</v>
      </c>
      <c r="W12" s="53"/>
      <c r="Y12" s="373" t="s">
        <v>210</v>
      </c>
      <c r="Z12" s="374"/>
      <c r="AA12" s="374">
        <v>18</v>
      </c>
      <c r="AB12" s="374">
        <f t="shared" si="4"/>
        <v>0</v>
      </c>
    </row>
    <row r="13" spans="1:28" ht="15.5">
      <c r="A13" s="89" t="s">
        <v>57</v>
      </c>
      <c r="B13" s="390">
        <f>'30'!E13</f>
        <v>85</v>
      </c>
      <c r="C13" s="89"/>
      <c r="D13" s="89"/>
      <c r="E13" s="376">
        <v>59</v>
      </c>
      <c r="F13" s="370">
        <f t="shared" si="0"/>
        <v>26</v>
      </c>
      <c r="G13" s="70">
        <v>8</v>
      </c>
      <c r="H13" s="70">
        <f t="shared" si="1"/>
        <v>208</v>
      </c>
      <c r="J13" s="89" t="s">
        <v>211</v>
      </c>
      <c r="K13" s="89"/>
      <c r="L13" s="89"/>
      <c r="M13" s="89"/>
      <c r="N13" s="89">
        <f t="shared" si="2"/>
        <v>59</v>
      </c>
      <c r="O13" s="89"/>
      <c r="P13" s="70">
        <v>7.5</v>
      </c>
      <c r="Q13" s="70">
        <f t="shared" si="3"/>
        <v>442.5</v>
      </c>
      <c r="S13" s="381" t="s">
        <v>212</v>
      </c>
      <c r="T13" s="70"/>
      <c r="V13" s="89" t="s">
        <v>213</v>
      </c>
      <c r="W13" s="53"/>
      <c r="Y13" s="373" t="s">
        <v>54</v>
      </c>
      <c r="Z13" s="374"/>
      <c r="AA13" s="374">
        <v>5.5</v>
      </c>
      <c r="AB13" s="374">
        <f t="shared" si="4"/>
        <v>0</v>
      </c>
    </row>
    <row r="14" spans="1:28" ht="15.5">
      <c r="A14" s="89" t="s">
        <v>58</v>
      </c>
      <c r="B14" s="390">
        <f>'30'!E14</f>
        <v>14</v>
      </c>
      <c r="C14" s="89"/>
      <c r="D14" s="89"/>
      <c r="E14" s="376">
        <v>3</v>
      </c>
      <c r="F14" s="370">
        <f t="shared" si="0"/>
        <v>11</v>
      </c>
      <c r="G14" s="70">
        <v>10</v>
      </c>
      <c r="H14" s="70">
        <f t="shared" si="1"/>
        <v>110</v>
      </c>
      <c r="J14" s="89" t="s">
        <v>44</v>
      </c>
      <c r="K14" s="89"/>
      <c r="L14" s="89"/>
      <c r="M14" s="89"/>
      <c r="N14" s="89">
        <f t="shared" si="2"/>
        <v>3</v>
      </c>
      <c r="O14" s="89"/>
      <c r="P14" s="70">
        <v>3.5</v>
      </c>
      <c r="Q14" s="70">
        <f t="shared" si="3"/>
        <v>10.5</v>
      </c>
      <c r="S14" s="381" t="s">
        <v>214</v>
      </c>
      <c r="T14" s="70"/>
      <c r="V14" s="89" t="s">
        <v>215</v>
      </c>
      <c r="W14" s="53">
        <f>IFERROR(W7+W8+W10-W11-W12-W13,0)</f>
        <v>0</v>
      </c>
      <c r="Y14" s="89" t="s">
        <v>127</v>
      </c>
      <c r="Z14" s="70"/>
      <c r="AA14" s="70">
        <v>27</v>
      </c>
      <c r="AB14" s="374">
        <f t="shared" si="4"/>
        <v>0</v>
      </c>
    </row>
    <row r="15" spans="1:28" ht="15.5">
      <c r="A15" s="89" t="s">
        <v>216</v>
      </c>
      <c r="B15" s="390">
        <f>'30'!E15</f>
        <v>21</v>
      </c>
      <c r="C15" s="89"/>
      <c r="D15" s="89"/>
      <c r="E15" s="376">
        <v>12</v>
      </c>
      <c r="F15" s="370">
        <f t="shared" si="0"/>
        <v>9</v>
      </c>
      <c r="G15" s="70">
        <v>25</v>
      </c>
      <c r="H15" s="70">
        <f t="shared" si="1"/>
        <v>225</v>
      </c>
      <c r="J15" s="89" t="s">
        <v>41</v>
      </c>
      <c r="K15" s="89"/>
      <c r="L15" s="89"/>
      <c r="M15" s="89"/>
      <c r="N15" s="89">
        <f t="shared" si="2"/>
        <v>12</v>
      </c>
      <c r="O15" s="89"/>
      <c r="P15" s="70">
        <v>8</v>
      </c>
      <c r="Q15" s="70">
        <f t="shared" si="3"/>
        <v>96</v>
      </c>
      <c r="S15" s="381" t="s">
        <v>217</v>
      </c>
      <c r="T15" s="70"/>
      <c r="V15" s="503" t="s">
        <v>171</v>
      </c>
      <c r="W15" s="423"/>
      <c r="Y15" s="89" t="s">
        <v>126</v>
      </c>
      <c r="Z15" s="89">
        <v>1</v>
      </c>
      <c r="AA15" s="53">
        <v>1374</v>
      </c>
      <c r="AB15" s="374">
        <f t="shared" si="4"/>
        <v>1374</v>
      </c>
    </row>
    <row r="16" spans="1:28" ht="15.5">
      <c r="A16" s="384" t="s">
        <v>106</v>
      </c>
      <c r="B16" s="390">
        <f>'30'!E16</f>
        <v>0</v>
      </c>
      <c r="C16" s="386"/>
      <c r="D16" s="386"/>
      <c r="E16" s="386"/>
      <c r="F16" s="386"/>
      <c r="G16" s="387"/>
      <c r="H16" s="345">
        <f>IFERROR(SUM(H7:H15),0)</f>
        <v>14114</v>
      </c>
      <c r="J16" s="89" t="s">
        <v>218</v>
      </c>
      <c r="K16" s="89"/>
      <c r="L16" s="89"/>
      <c r="M16" s="89"/>
      <c r="N16" s="89">
        <f t="shared" si="2"/>
        <v>0</v>
      </c>
      <c r="O16" s="89"/>
      <c r="P16" s="70">
        <f t="shared" ref="P16:P17" si="5">G16</f>
        <v>0</v>
      </c>
      <c r="Q16" s="70">
        <f t="shared" si="3"/>
        <v>0</v>
      </c>
      <c r="S16" s="381" t="s">
        <v>219</v>
      </c>
      <c r="T16" s="70"/>
      <c r="V16" s="89" t="s">
        <v>37</v>
      </c>
      <c r="W16" s="53">
        <v>1275</v>
      </c>
      <c r="Y16" s="89" t="s">
        <v>57</v>
      </c>
      <c r="Z16" s="89"/>
      <c r="AA16" s="89">
        <v>6</v>
      </c>
      <c r="AB16" s="374">
        <f t="shared" si="4"/>
        <v>0</v>
      </c>
    </row>
    <row r="17" spans="1:28" ht="15.5">
      <c r="A17" s="89" t="s">
        <v>220</v>
      </c>
      <c r="B17" s="390">
        <f>'30'!E17</f>
        <v>13</v>
      </c>
      <c r="C17" s="89">
        <v>96</v>
      </c>
      <c r="D17" s="89"/>
      <c r="E17" s="376">
        <v>95</v>
      </c>
      <c r="F17" s="370">
        <f t="shared" ref="F17:F24" si="6">IFERROR(MAX(0,B17+C17-E17-D17),0)</f>
        <v>14</v>
      </c>
      <c r="G17" s="70">
        <v>20</v>
      </c>
      <c r="H17" s="70">
        <f t="shared" ref="H17:H29" si="7">IFERROR(F17*G17,0)</f>
        <v>280</v>
      </c>
      <c r="J17" s="89" t="s">
        <v>222</v>
      </c>
      <c r="K17" s="89"/>
      <c r="L17" s="89"/>
      <c r="M17" s="89"/>
      <c r="N17" s="89">
        <f t="shared" si="2"/>
        <v>95</v>
      </c>
      <c r="O17" s="89"/>
      <c r="P17" s="70">
        <f t="shared" si="5"/>
        <v>20</v>
      </c>
      <c r="Q17" s="70">
        <f t="shared" si="3"/>
        <v>1900</v>
      </c>
      <c r="S17" s="381" t="s">
        <v>223</v>
      </c>
      <c r="T17" s="70"/>
      <c r="V17" s="89" t="s">
        <v>41</v>
      </c>
      <c r="W17" s="53">
        <v>1734</v>
      </c>
      <c r="Y17" s="89" t="s">
        <v>224</v>
      </c>
      <c r="Z17" s="89"/>
      <c r="AA17" s="89">
        <v>30</v>
      </c>
      <c r="AB17" s="374">
        <f t="shared" si="4"/>
        <v>0</v>
      </c>
    </row>
    <row r="18" spans="1:28" ht="14.5">
      <c r="A18" s="89" t="s">
        <v>225</v>
      </c>
      <c r="B18" s="390">
        <f>'30'!E18</f>
        <v>215</v>
      </c>
      <c r="C18" s="89">
        <v>48</v>
      </c>
      <c r="D18" s="89"/>
      <c r="E18" s="376">
        <v>218</v>
      </c>
      <c r="F18" s="370">
        <f t="shared" si="6"/>
        <v>45</v>
      </c>
      <c r="G18" s="70">
        <v>25</v>
      </c>
      <c r="H18" s="70">
        <f t="shared" si="7"/>
        <v>1125</v>
      </c>
      <c r="J18" s="89" t="s">
        <v>36</v>
      </c>
      <c r="K18" s="89"/>
      <c r="L18" s="89"/>
      <c r="M18" s="89"/>
      <c r="N18" s="89">
        <f t="shared" si="2"/>
        <v>218</v>
      </c>
      <c r="O18" s="89"/>
      <c r="P18" s="70">
        <v>7</v>
      </c>
      <c r="Q18" s="70">
        <f t="shared" si="3"/>
        <v>1526</v>
      </c>
      <c r="S18" s="381" t="s">
        <v>226</v>
      </c>
      <c r="T18" s="70"/>
      <c r="V18" s="89" t="s">
        <v>227</v>
      </c>
      <c r="W18" s="53"/>
      <c r="Y18" s="388"/>
      <c r="Z18" s="388"/>
      <c r="AA18" s="388"/>
      <c r="AB18" s="389">
        <f>IFERROR(SUM(AB7:AB17)+AB19,0)</f>
        <v>8084</v>
      </c>
    </row>
    <row r="19" spans="1:28" ht="14.5">
      <c r="A19" s="89" t="s">
        <v>228</v>
      </c>
      <c r="B19" s="390">
        <f>'30'!E19</f>
        <v>0</v>
      </c>
      <c r="C19" s="89"/>
      <c r="D19" s="89"/>
      <c r="E19" s="376"/>
      <c r="F19" s="370">
        <f t="shared" si="6"/>
        <v>0</v>
      </c>
      <c r="G19" s="70">
        <v>40</v>
      </c>
      <c r="H19" s="70">
        <f t="shared" si="7"/>
        <v>0</v>
      </c>
      <c r="J19" s="89" t="s">
        <v>229</v>
      </c>
      <c r="K19" s="89"/>
      <c r="L19" s="89"/>
      <c r="M19" s="89"/>
      <c r="N19" s="89">
        <f t="shared" si="2"/>
        <v>0</v>
      </c>
      <c r="O19" s="89"/>
      <c r="P19" s="70">
        <f t="shared" ref="P19:P21" si="8">G19</f>
        <v>40</v>
      </c>
      <c r="Q19" s="70">
        <f t="shared" si="3"/>
        <v>0</v>
      </c>
      <c r="S19" s="381" t="s">
        <v>230</v>
      </c>
      <c r="T19" s="70"/>
      <c r="V19" s="89" t="s">
        <v>231</v>
      </c>
      <c r="W19" s="53"/>
      <c r="Y19" s="89" t="s">
        <v>137</v>
      </c>
      <c r="Z19" s="89"/>
      <c r="AA19" s="89">
        <v>15</v>
      </c>
      <c r="AB19" s="70">
        <f>IFERROR(Z19*AA19,0)</f>
        <v>0</v>
      </c>
    </row>
    <row r="20" spans="1:28" ht="14.5">
      <c r="A20" s="89" t="s">
        <v>232</v>
      </c>
      <c r="B20" s="390">
        <f>'30'!E20</f>
        <v>0</v>
      </c>
      <c r="C20" s="89"/>
      <c r="D20" s="89"/>
      <c r="E20" s="376"/>
      <c r="F20" s="370">
        <f t="shared" si="6"/>
        <v>0</v>
      </c>
      <c r="G20" s="70">
        <v>80</v>
      </c>
      <c r="H20" s="70">
        <f t="shared" si="7"/>
        <v>0</v>
      </c>
      <c r="J20" s="89" t="s">
        <v>233</v>
      </c>
      <c r="K20" s="89"/>
      <c r="L20" s="89"/>
      <c r="M20" s="89"/>
      <c r="N20" s="89">
        <f t="shared" si="2"/>
        <v>0</v>
      </c>
      <c r="O20" s="89"/>
      <c r="P20" s="70">
        <f t="shared" si="8"/>
        <v>80</v>
      </c>
      <c r="Q20" s="70">
        <f t="shared" si="3"/>
        <v>0</v>
      </c>
      <c r="S20" s="381" t="s">
        <v>234</v>
      </c>
      <c r="T20" s="70"/>
      <c r="V20" s="89" t="s">
        <v>235</v>
      </c>
      <c r="W20" s="53"/>
      <c r="Y20" s="3"/>
      <c r="Z20" s="3"/>
      <c r="AA20" s="3"/>
      <c r="AB20" s="3"/>
    </row>
    <row r="21" spans="1:28" ht="15.75" customHeight="1">
      <c r="A21" s="89" t="s">
        <v>236</v>
      </c>
      <c r="B21" s="390">
        <f>'30'!E21</f>
        <v>0</v>
      </c>
      <c r="C21" s="89"/>
      <c r="D21" s="89"/>
      <c r="E21" s="376"/>
      <c r="F21" s="370">
        <f t="shared" si="6"/>
        <v>0</v>
      </c>
      <c r="G21" s="70">
        <v>15</v>
      </c>
      <c r="H21" s="70">
        <f t="shared" si="7"/>
        <v>0</v>
      </c>
      <c r="J21" s="89" t="s">
        <v>237</v>
      </c>
      <c r="K21" s="89"/>
      <c r="L21" s="89"/>
      <c r="M21" s="89"/>
      <c r="N21" s="89">
        <f t="shared" si="2"/>
        <v>0</v>
      </c>
      <c r="O21" s="89"/>
      <c r="P21" s="70">
        <f t="shared" si="8"/>
        <v>15</v>
      </c>
      <c r="Q21" s="70">
        <f t="shared" si="3"/>
        <v>0</v>
      </c>
      <c r="S21" s="381" t="s">
        <v>238</v>
      </c>
      <c r="T21" s="70"/>
      <c r="V21" s="89" t="s">
        <v>239</v>
      </c>
      <c r="W21" s="53"/>
      <c r="Y21" s="3"/>
      <c r="Z21" s="3"/>
      <c r="AA21" s="3"/>
      <c r="AB21" s="3"/>
    </row>
    <row r="22" spans="1:28" ht="15.75" customHeight="1">
      <c r="A22" s="89" t="s">
        <v>240</v>
      </c>
      <c r="B22" s="390">
        <f>'30'!E22</f>
        <v>57</v>
      </c>
      <c r="C22" s="89"/>
      <c r="D22" s="89"/>
      <c r="E22" s="376">
        <v>48</v>
      </c>
      <c r="F22" s="370">
        <f t="shared" si="6"/>
        <v>9</v>
      </c>
      <c r="G22" s="70">
        <v>20</v>
      </c>
      <c r="H22" s="70">
        <f t="shared" si="7"/>
        <v>180</v>
      </c>
      <c r="J22" s="89" t="s">
        <v>220</v>
      </c>
      <c r="K22" s="89"/>
      <c r="L22" s="89"/>
      <c r="M22" s="89"/>
      <c r="N22" s="89">
        <f t="shared" si="2"/>
        <v>48</v>
      </c>
      <c r="O22" s="89"/>
      <c r="P22" s="70">
        <v>7.42</v>
      </c>
      <c r="Q22" s="70">
        <f t="shared" si="3"/>
        <v>356.15999999999997</v>
      </c>
      <c r="S22" s="381" t="s">
        <v>241</v>
      </c>
      <c r="T22" s="70"/>
      <c r="V22" s="392" t="s">
        <v>17</v>
      </c>
      <c r="W22" s="393">
        <f>SUM(W16:W21)</f>
        <v>3009</v>
      </c>
      <c r="Y22" s="394"/>
      <c r="Z22" s="394"/>
      <c r="AA22" s="3"/>
      <c r="AB22" s="3"/>
    </row>
    <row r="23" spans="1:28" ht="15.75" customHeight="1">
      <c r="A23" s="89" t="s">
        <v>242</v>
      </c>
      <c r="B23" s="390">
        <f>'30'!E23</f>
        <v>0</v>
      </c>
      <c r="C23" s="89"/>
      <c r="D23" s="89"/>
      <c r="E23" s="376"/>
      <c r="F23" s="370">
        <f t="shared" si="6"/>
        <v>0</v>
      </c>
      <c r="G23" s="70">
        <v>35</v>
      </c>
      <c r="H23" s="70">
        <f t="shared" si="7"/>
        <v>0</v>
      </c>
      <c r="J23" s="89" t="s">
        <v>225</v>
      </c>
      <c r="K23" s="89"/>
      <c r="L23" s="89"/>
      <c r="M23" s="89"/>
      <c r="N23" s="89">
        <f t="shared" si="2"/>
        <v>0</v>
      </c>
      <c r="O23" s="89"/>
      <c r="P23" s="70">
        <v>10.43</v>
      </c>
      <c r="Q23" s="70">
        <f t="shared" si="3"/>
        <v>0</v>
      </c>
      <c r="S23" s="381" t="s">
        <v>243</v>
      </c>
      <c r="T23" s="70"/>
      <c r="V23" s="504" t="s">
        <v>116</v>
      </c>
      <c r="W23" s="423"/>
      <c r="Y23" s="395"/>
      <c r="Z23" s="39"/>
      <c r="AA23" s="3"/>
      <c r="AB23" s="3"/>
    </row>
    <row r="24" spans="1:28" ht="15.75" customHeight="1">
      <c r="A24" s="89" t="s">
        <v>67</v>
      </c>
      <c r="B24" s="390">
        <f>'30'!E24</f>
        <v>7</v>
      </c>
      <c r="C24" s="89">
        <v>24</v>
      </c>
      <c r="D24" s="89"/>
      <c r="E24" s="376">
        <v>29</v>
      </c>
      <c r="F24" s="370">
        <f t="shared" si="6"/>
        <v>2</v>
      </c>
      <c r="G24" s="70">
        <v>25</v>
      </c>
      <c r="H24" s="70">
        <f t="shared" si="7"/>
        <v>50</v>
      </c>
      <c r="J24" s="89" t="s">
        <v>244</v>
      </c>
      <c r="K24" s="89"/>
      <c r="L24" s="89"/>
      <c r="M24" s="89"/>
      <c r="N24" s="89">
        <f t="shared" si="2"/>
        <v>29</v>
      </c>
      <c r="O24" s="89"/>
      <c r="P24" s="70">
        <f>G24</f>
        <v>25</v>
      </c>
      <c r="Q24" s="70">
        <f t="shared" si="3"/>
        <v>725</v>
      </c>
      <c r="S24" s="381" t="s">
        <v>245</v>
      </c>
      <c r="T24" s="70"/>
      <c r="V24" s="396" t="s">
        <v>160</v>
      </c>
      <c r="W24" s="397"/>
      <c r="Y24" s="3"/>
      <c r="Z24" s="39"/>
      <c r="AA24" s="3"/>
      <c r="AB24" s="3"/>
    </row>
    <row r="25" spans="1:28" ht="15.75" customHeight="1">
      <c r="A25" s="89" t="s">
        <v>66</v>
      </c>
      <c r="B25" s="390">
        <f>'30'!E25</f>
        <v>0</v>
      </c>
      <c r="C25" s="89"/>
      <c r="D25" s="89"/>
      <c r="E25" s="376"/>
      <c r="F25" s="370">
        <v>0</v>
      </c>
      <c r="G25" s="70">
        <v>25</v>
      </c>
      <c r="H25" s="70">
        <f t="shared" si="7"/>
        <v>0</v>
      </c>
      <c r="J25" s="89" t="s">
        <v>236</v>
      </c>
      <c r="K25" s="89"/>
      <c r="L25" s="89"/>
      <c r="M25" s="89"/>
      <c r="N25" s="89">
        <f t="shared" si="2"/>
        <v>0</v>
      </c>
      <c r="O25" s="89"/>
      <c r="P25" s="70">
        <v>8</v>
      </c>
      <c r="Q25" s="70">
        <f t="shared" si="3"/>
        <v>0</v>
      </c>
      <c r="S25" s="381" t="s">
        <v>158</v>
      </c>
      <c r="T25" s="70"/>
      <c r="U25" s="3"/>
      <c r="V25" s="396" t="s">
        <v>161</v>
      </c>
      <c r="W25" s="53"/>
      <c r="Y25" s="3"/>
      <c r="Z25" s="39"/>
      <c r="AA25" s="3"/>
      <c r="AB25" s="3"/>
    </row>
    <row r="26" spans="1:28" ht="15.75" customHeight="1">
      <c r="A26" s="89" t="s">
        <v>63</v>
      </c>
      <c r="B26" s="390">
        <f>'30'!E26</f>
        <v>0</v>
      </c>
      <c r="C26" s="89"/>
      <c r="D26" s="89"/>
      <c r="E26" s="376"/>
      <c r="F26" s="370">
        <f t="shared" ref="F26:F29" si="9">IFERROR(MAX(0,B26+C26-E26-D26),0)</f>
        <v>0</v>
      </c>
      <c r="G26" s="70">
        <v>25</v>
      </c>
      <c r="H26" s="70">
        <f t="shared" si="7"/>
        <v>0</v>
      </c>
      <c r="J26" s="89" t="s">
        <v>240</v>
      </c>
      <c r="K26" s="89"/>
      <c r="L26" s="89"/>
      <c r="M26" s="89"/>
      <c r="N26" s="89">
        <f t="shared" si="2"/>
        <v>0</v>
      </c>
      <c r="O26" s="89"/>
      <c r="P26" s="70">
        <v>9.58</v>
      </c>
      <c r="Q26" s="70">
        <f t="shared" si="3"/>
        <v>0</v>
      </c>
      <c r="S26" s="89" t="s">
        <v>246</v>
      </c>
      <c r="T26" s="89"/>
      <c r="U26" s="3"/>
      <c r="V26" s="396" t="s">
        <v>162</v>
      </c>
      <c r="W26" s="53"/>
      <c r="Y26" s="3"/>
      <c r="Z26" s="3"/>
      <c r="AA26" s="3"/>
      <c r="AB26" s="3"/>
    </row>
    <row r="27" spans="1:28" ht="15.75" customHeight="1">
      <c r="A27" s="89" t="s">
        <v>247</v>
      </c>
      <c r="B27" s="390">
        <f>'30'!E27</f>
        <v>0</v>
      </c>
      <c r="C27" s="89"/>
      <c r="D27" s="89"/>
      <c r="E27" s="376"/>
      <c r="F27" s="370">
        <f t="shared" si="9"/>
        <v>0</v>
      </c>
      <c r="G27" s="70">
        <v>17</v>
      </c>
      <c r="H27" s="70">
        <f t="shared" si="7"/>
        <v>0</v>
      </c>
      <c r="J27" s="89" t="s">
        <v>248</v>
      </c>
      <c r="K27" s="89"/>
      <c r="L27" s="89"/>
      <c r="M27" s="89"/>
      <c r="N27" s="89">
        <f t="shared" si="2"/>
        <v>0</v>
      </c>
      <c r="O27" s="89"/>
      <c r="P27" s="70">
        <v>12.8</v>
      </c>
      <c r="Q27" s="70">
        <f t="shared" si="3"/>
        <v>0</v>
      </c>
      <c r="S27" s="89" t="s">
        <v>249</v>
      </c>
      <c r="T27" s="70"/>
      <c r="U27" s="3"/>
      <c r="V27" s="381" t="s">
        <v>159</v>
      </c>
      <c r="W27" s="53"/>
      <c r="Y27" s="3"/>
      <c r="Z27" s="39"/>
      <c r="AA27" s="3"/>
      <c r="AB27" s="3"/>
    </row>
    <row r="28" spans="1:28" ht="15.75" customHeight="1">
      <c r="A28" s="89" t="s">
        <v>250</v>
      </c>
      <c r="B28" s="390">
        <f>'30'!E28</f>
        <v>42</v>
      </c>
      <c r="C28" s="89"/>
      <c r="D28" s="89"/>
      <c r="E28" s="376">
        <v>42</v>
      </c>
      <c r="F28" s="370">
        <f t="shared" si="9"/>
        <v>0</v>
      </c>
      <c r="G28" s="70">
        <v>25</v>
      </c>
      <c r="H28" s="70">
        <f t="shared" si="7"/>
        <v>0</v>
      </c>
      <c r="J28" s="89" t="s">
        <v>251</v>
      </c>
      <c r="K28" s="89"/>
      <c r="L28" s="89"/>
      <c r="M28" s="89"/>
      <c r="N28" s="89">
        <f t="shared" si="2"/>
        <v>42</v>
      </c>
      <c r="O28" s="89"/>
      <c r="P28" s="70">
        <v>10.42</v>
      </c>
      <c r="Q28" s="70">
        <f t="shared" si="3"/>
        <v>437.64</v>
      </c>
      <c r="S28" s="89" t="s">
        <v>252</v>
      </c>
      <c r="T28" s="70"/>
      <c r="U28" s="3"/>
      <c r="V28" s="381" t="s">
        <v>253</v>
      </c>
      <c r="W28" s="53"/>
      <c r="Y28" s="3"/>
      <c r="Z28" s="39"/>
      <c r="AA28" s="3"/>
      <c r="AB28" s="3"/>
    </row>
    <row r="29" spans="1:28" ht="15.75" customHeight="1">
      <c r="A29" s="89" t="s">
        <v>271</v>
      </c>
      <c r="B29" s="390">
        <f>'30'!E29</f>
        <v>0</v>
      </c>
      <c r="C29" s="89"/>
      <c r="D29" s="89"/>
      <c r="E29" s="376"/>
      <c r="F29" s="370">
        <f t="shared" si="9"/>
        <v>0</v>
      </c>
      <c r="G29" s="70">
        <v>40</v>
      </c>
      <c r="H29" s="70">
        <f t="shared" si="7"/>
        <v>0</v>
      </c>
      <c r="J29" s="89" t="s">
        <v>254</v>
      </c>
      <c r="K29" s="89"/>
      <c r="L29" s="89"/>
      <c r="M29" s="89"/>
      <c r="N29" s="89">
        <f t="shared" si="2"/>
        <v>0</v>
      </c>
      <c r="O29" s="89"/>
      <c r="P29" s="70">
        <v>15</v>
      </c>
      <c r="Q29" s="70">
        <f t="shared" si="3"/>
        <v>0</v>
      </c>
      <c r="S29" s="364" t="s">
        <v>126</v>
      </c>
      <c r="T29" s="70"/>
      <c r="U29" s="3"/>
      <c r="V29" s="373"/>
      <c r="W29" s="398"/>
      <c r="Y29" s="357"/>
      <c r="Z29" s="399"/>
      <c r="AA29" s="3"/>
      <c r="AB29" s="3"/>
    </row>
    <row r="30" spans="1:28" ht="15.75" customHeight="1">
      <c r="A30" s="505" t="s">
        <v>106</v>
      </c>
      <c r="B30" s="445"/>
      <c r="C30" s="445"/>
      <c r="D30" s="445"/>
      <c r="E30" s="445"/>
      <c r="F30" s="445"/>
      <c r="G30" s="423"/>
      <c r="H30" s="70">
        <f>IFERROR(SUM(H17:H29),0)</f>
        <v>1635</v>
      </c>
      <c r="J30" s="89"/>
      <c r="K30" s="89"/>
      <c r="L30" s="89"/>
      <c r="M30" s="89"/>
      <c r="N30" s="89">
        <f t="shared" si="2"/>
        <v>0</v>
      </c>
      <c r="O30" s="89"/>
      <c r="P30" s="70"/>
      <c r="Q30" s="70"/>
      <c r="S30" s="400" t="s">
        <v>14</v>
      </c>
      <c r="T30" s="401">
        <f>IFERROR(SUM(T7:T29),0)</f>
        <v>0</v>
      </c>
      <c r="U30" s="3"/>
      <c r="V30" s="402" t="s">
        <v>16</v>
      </c>
      <c r="W30" s="403">
        <f>SUM(W24:W29)</f>
        <v>0</v>
      </c>
      <c r="Y30" s="3"/>
      <c r="Z30" s="39"/>
      <c r="AA30" s="3"/>
      <c r="AB30" s="3"/>
    </row>
    <row r="31" spans="1:28" ht="15.75" customHeight="1">
      <c r="A31" s="496" t="s">
        <v>156</v>
      </c>
      <c r="B31" s="445"/>
      <c r="C31" s="445"/>
      <c r="D31" s="445"/>
      <c r="E31" s="445"/>
      <c r="F31" s="445"/>
      <c r="G31" s="423"/>
      <c r="H31" s="404">
        <f>H30+H16</f>
        <v>15749</v>
      </c>
      <c r="I31" s="357"/>
      <c r="J31" s="405"/>
      <c r="K31" s="405"/>
      <c r="L31" s="405"/>
      <c r="M31" s="405"/>
      <c r="N31" s="405"/>
      <c r="O31" s="405"/>
      <c r="P31" s="406" t="s">
        <v>255</v>
      </c>
      <c r="Q31" s="406">
        <f>SUM(Q7:Q29)</f>
        <v>12837.8</v>
      </c>
      <c r="R31" s="357"/>
      <c r="S31" s="506" t="s">
        <v>256</v>
      </c>
      <c r="T31" s="438"/>
      <c r="U31" s="438"/>
      <c r="V31" s="507"/>
      <c r="W31" s="407">
        <f>T30+W30+W22+W14</f>
        <v>3009</v>
      </c>
      <c r="X31" s="357"/>
      <c r="Y31" s="3"/>
      <c r="Z31" s="3"/>
      <c r="AA31" s="3"/>
      <c r="AB31" s="39"/>
    </row>
    <row r="32" spans="1:28" ht="15.75" customHeight="1">
      <c r="G32" s="39"/>
      <c r="T32" s="39"/>
      <c r="W32" s="4"/>
      <c r="Y32" s="408" t="s">
        <v>171</v>
      </c>
      <c r="Z32" s="409">
        <f>IFERROR(W22+Z35,0)</f>
        <v>9719</v>
      </c>
    </row>
    <row r="33" spans="1:27" ht="15.75" customHeight="1">
      <c r="A33" s="3" t="s">
        <v>96</v>
      </c>
      <c r="B33" s="498">
        <f>H31</f>
        <v>15749</v>
      </c>
      <c r="C33" s="495"/>
      <c r="E33" s="3"/>
      <c r="F33" s="3"/>
      <c r="G33" s="39"/>
      <c r="H33" s="3"/>
      <c r="I33" s="3"/>
      <c r="J33" s="50"/>
      <c r="K33" s="50"/>
      <c r="L33" s="50"/>
      <c r="M33" s="50"/>
      <c r="N33" s="50"/>
      <c r="O33" s="50"/>
      <c r="P33" s="3"/>
      <c r="Q33" s="3"/>
      <c r="R33" s="3"/>
      <c r="S33" s="3"/>
      <c r="T33" s="3"/>
      <c r="U33" s="357"/>
      <c r="V33" s="39"/>
      <c r="W33" s="4"/>
      <c r="Y33" s="408" t="s">
        <v>116</v>
      </c>
      <c r="Z33" s="410">
        <f>W29</f>
        <v>0</v>
      </c>
      <c r="AA33" s="39"/>
    </row>
    <row r="34" spans="1:27" ht="15.75" customHeight="1">
      <c r="A34" s="3" t="s">
        <v>257</v>
      </c>
      <c r="B34" s="498">
        <f>W31</f>
        <v>3009</v>
      </c>
      <c r="C34" s="495"/>
      <c r="E34" s="3"/>
      <c r="F34" s="3"/>
      <c r="G34" s="39"/>
      <c r="H34" s="3"/>
      <c r="I34" s="3"/>
      <c r="J34" s="3"/>
      <c r="K34" s="180"/>
      <c r="L34" s="180"/>
      <c r="M34" s="180"/>
      <c r="N34" s="180"/>
      <c r="O34" s="180"/>
      <c r="P34" s="3"/>
      <c r="Q34" s="3"/>
      <c r="R34" s="3"/>
      <c r="S34" s="3"/>
      <c r="T34" s="3"/>
      <c r="U34" s="357"/>
      <c r="V34" s="39"/>
      <c r="W34" s="4"/>
      <c r="Y34" s="408" t="s">
        <v>115</v>
      </c>
      <c r="Z34" s="411">
        <f>IFERROR(T30+AB15+AB14+AB11+Z40+W10-T15+W8+W9,0)</f>
        <v>1374</v>
      </c>
      <c r="AA34" s="39"/>
    </row>
    <row r="35" spans="1:27" ht="15.75" customHeight="1">
      <c r="A35" s="3" t="s">
        <v>258</v>
      </c>
      <c r="B35" s="499">
        <f>IFERROR(B33-B34,0)</f>
        <v>12740</v>
      </c>
      <c r="C35" s="445"/>
      <c r="E35" s="3"/>
      <c r="F35" s="3"/>
      <c r="G35" s="39"/>
      <c r="H35" s="3"/>
      <c r="I35" s="3"/>
      <c r="J35" s="3"/>
      <c r="K35" s="180"/>
      <c r="L35" s="180"/>
      <c r="M35" s="180"/>
      <c r="N35" s="180"/>
      <c r="O35" s="180"/>
      <c r="P35" s="3"/>
      <c r="Q35" s="3"/>
      <c r="R35" s="3"/>
      <c r="S35" s="3"/>
      <c r="T35" s="3"/>
      <c r="U35" s="357"/>
      <c r="V35" s="39"/>
      <c r="W35" s="4"/>
      <c r="Y35" s="408" t="s">
        <v>168</v>
      </c>
      <c r="Z35" s="411">
        <f>IFERROR(AB18-AB15-AB14-AB11-AB19,0)</f>
        <v>6710</v>
      </c>
      <c r="AA35" s="39"/>
    </row>
    <row r="36" spans="1:27" ht="15.75" customHeight="1">
      <c r="A36" s="3" t="s">
        <v>259</v>
      </c>
      <c r="B36" s="500">
        <v>12746</v>
      </c>
      <c r="C36" s="495"/>
      <c r="E36" s="3"/>
      <c r="F36" s="3"/>
      <c r="G36" s="39"/>
      <c r="H36" s="3"/>
      <c r="I36" s="3"/>
      <c r="J36" s="3"/>
      <c r="K36" s="180"/>
      <c r="L36" s="180"/>
      <c r="M36" s="180"/>
      <c r="N36" s="180"/>
      <c r="O36" s="180"/>
      <c r="P36" s="3"/>
      <c r="Q36" s="3"/>
      <c r="R36" s="3"/>
      <c r="S36" s="3"/>
      <c r="T36" s="3"/>
      <c r="U36" s="357"/>
      <c r="V36" s="39"/>
      <c r="W36" s="4"/>
      <c r="Y36" s="414" t="s">
        <v>23</v>
      </c>
      <c r="Z36" s="345">
        <f>IFERROR(SUM(Z34:Z35),0)</f>
        <v>8084</v>
      </c>
      <c r="AA36" s="39"/>
    </row>
    <row r="37" spans="1:27" ht="15.75" customHeight="1">
      <c r="A37" s="3" t="s">
        <v>260</v>
      </c>
      <c r="B37" s="498">
        <f>IFERROR(B36-B35,0)</f>
        <v>6</v>
      </c>
      <c r="C37" s="495"/>
      <c r="D37" s="3"/>
      <c r="E37" s="3"/>
      <c r="F37" s="3"/>
      <c r="G37" s="39"/>
      <c r="H37" s="3"/>
      <c r="I37" s="3"/>
      <c r="J37" s="3"/>
      <c r="K37" s="180"/>
      <c r="L37" s="180"/>
      <c r="M37" s="180"/>
      <c r="N37" s="180"/>
      <c r="O37" s="180"/>
      <c r="P37" s="3"/>
      <c r="Q37" s="3"/>
      <c r="R37" s="3"/>
      <c r="S37" s="3"/>
      <c r="T37" s="3"/>
      <c r="U37" s="357"/>
      <c r="V37" s="39"/>
      <c r="W37" s="4"/>
      <c r="Y37" s="89" t="s">
        <v>126</v>
      </c>
      <c r="Z37" s="70">
        <f>IFERROR(T29+AB15,0)</f>
        <v>1374</v>
      </c>
    </row>
    <row r="38" spans="1:27" ht="15.75" customHeight="1">
      <c r="E38" s="3"/>
      <c r="F38" s="3"/>
      <c r="G38" s="3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9"/>
      <c r="W38" s="4"/>
      <c r="Y38" s="89" t="s">
        <v>261</v>
      </c>
      <c r="Z38" s="70">
        <f>AB15+AB14+AB11</f>
        <v>1374</v>
      </c>
      <c r="AA38" s="39"/>
    </row>
    <row r="39" spans="1:27" ht="15.75" customHeight="1">
      <c r="A39" s="3" t="s">
        <v>262</v>
      </c>
      <c r="B39" s="501"/>
      <c r="C39" s="495"/>
      <c r="D39" s="495"/>
      <c r="E39" s="3"/>
      <c r="F39" s="3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9"/>
      <c r="W39" s="4"/>
      <c r="Y39" s="417" t="s">
        <v>264</v>
      </c>
      <c r="Z39" s="418">
        <f>W11+W12+W13</f>
        <v>0</v>
      </c>
    </row>
    <row r="40" spans="1:27" ht="15.75" customHeight="1">
      <c r="E40" s="3"/>
      <c r="F40" s="3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Y40" s="417" t="s">
        <v>265</v>
      </c>
      <c r="Z40" s="418">
        <f>W7-W11</f>
        <v>0</v>
      </c>
    </row>
    <row r="41" spans="1:27" ht="15.75" customHeight="1">
      <c r="G41" s="39"/>
      <c r="T41" s="39"/>
      <c r="W41" s="4"/>
    </row>
    <row r="42" spans="1:27" ht="15.75" customHeight="1">
      <c r="G42" s="39"/>
      <c r="T42" s="39"/>
      <c r="W42" s="39"/>
    </row>
    <row r="43" spans="1:27" ht="15.75" customHeight="1">
      <c r="G43" s="39"/>
      <c r="T43" s="39"/>
      <c r="W43" s="39"/>
    </row>
    <row r="44" spans="1:27" ht="15.75" customHeight="1">
      <c r="G44" s="39"/>
      <c r="T44" s="39"/>
      <c r="W44" s="39"/>
    </row>
    <row r="45" spans="1:27" ht="15.75" customHeight="1">
      <c r="G45" s="39"/>
      <c r="T45" s="39"/>
      <c r="W45" s="39"/>
    </row>
    <row r="46" spans="1:27" ht="15.75" customHeight="1">
      <c r="G46" s="39"/>
      <c r="T46" s="39"/>
      <c r="W46" s="39"/>
    </row>
    <row r="47" spans="1:27" ht="15.75" customHeight="1">
      <c r="G47" s="39"/>
      <c r="T47" s="39"/>
      <c r="W47" s="39"/>
    </row>
    <row r="48" spans="1:27" ht="15.75" customHeight="1">
      <c r="G48" s="39"/>
      <c r="T48" s="39"/>
      <c r="W48" s="39"/>
    </row>
    <row r="49" spans="7:23" ht="15.75" customHeight="1">
      <c r="G49" s="39"/>
      <c r="T49" s="39"/>
      <c r="W49" s="39"/>
    </row>
    <row r="50" spans="7:23" ht="15.75" customHeight="1">
      <c r="G50" s="39"/>
      <c r="T50" s="39"/>
      <c r="W50" s="39"/>
    </row>
    <row r="51" spans="7:23" ht="15.75" customHeight="1">
      <c r="G51" s="39"/>
      <c r="T51" s="39"/>
      <c r="W51" s="39"/>
    </row>
    <row r="52" spans="7:23" ht="15.75" customHeight="1">
      <c r="G52" s="39"/>
      <c r="T52" s="39"/>
      <c r="W52" s="39"/>
    </row>
    <row r="53" spans="7:23" ht="15.75" customHeight="1">
      <c r="G53" s="39"/>
      <c r="T53" s="39"/>
      <c r="W53" s="39"/>
    </row>
    <row r="54" spans="7:23" ht="15.75" customHeight="1">
      <c r="G54" s="39"/>
      <c r="T54" s="39"/>
      <c r="W54" s="39"/>
    </row>
    <row r="55" spans="7:23" ht="15.75" customHeight="1">
      <c r="G55" s="39"/>
      <c r="T55" s="39"/>
      <c r="W55" s="39"/>
    </row>
    <row r="56" spans="7:23" ht="15.75" customHeight="1">
      <c r="G56" s="39"/>
      <c r="T56" s="39"/>
      <c r="W56" s="39"/>
    </row>
    <row r="57" spans="7:23" ht="15.75" customHeight="1">
      <c r="G57" s="39"/>
      <c r="T57" s="39"/>
      <c r="W57" s="39"/>
    </row>
    <row r="58" spans="7:23" ht="15.75" customHeight="1">
      <c r="G58" s="39"/>
      <c r="T58" s="39"/>
      <c r="W58" s="39"/>
    </row>
    <row r="59" spans="7:23" ht="15.75" customHeight="1">
      <c r="G59" s="39"/>
      <c r="T59" s="39"/>
      <c r="W59" s="39"/>
    </row>
    <row r="60" spans="7:23" ht="15.75" customHeight="1">
      <c r="G60" s="39"/>
      <c r="T60" s="39"/>
      <c r="W60" s="39"/>
    </row>
    <row r="61" spans="7:23" ht="15.75" customHeight="1">
      <c r="G61" s="39"/>
      <c r="T61" s="39"/>
      <c r="W61" s="39"/>
    </row>
    <row r="62" spans="7:23" ht="15.75" customHeight="1">
      <c r="G62" s="39"/>
      <c r="T62" s="39"/>
      <c r="W62" s="39"/>
    </row>
    <row r="63" spans="7:23" ht="15.75" customHeight="1">
      <c r="G63" s="39"/>
      <c r="T63" s="39"/>
      <c r="W63" s="39"/>
    </row>
    <row r="64" spans="7:23" ht="15.75" customHeight="1">
      <c r="G64" s="39"/>
      <c r="T64" s="39"/>
      <c r="W64" s="39"/>
    </row>
    <row r="65" spans="7:23" ht="15.75" customHeight="1">
      <c r="G65" s="39"/>
      <c r="T65" s="39"/>
      <c r="W65" s="39"/>
    </row>
    <row r="66" spans="7:23" ht="15.75" customHeight="1">
      <c r="G66" s="39"/>
      <c r="T66" s="39"/>
      <c r="W66" s="39"/>
    </row>
    <row r="67" spans="7:23" ht="15.75" customHeight="1">
      <c r="G67" s="39"/>
      <c r="T67" s="39"/>
      <c r="W67" s="39"/>
    </row>
    <row r="68" spans="7:23" ht="15.75" customHeight="1">
      <c r="G68" s="39"/>
      <c r="T68" s="39"/>
      <c r="W68" s="39"/>
    </row>
    <row r="69" spans="7:23" ht="15.75" customHeight="1">
      <c r="G69" s="39"/>
      <c r="T69" s="39"/>
      <c r="W69" s="39"/>
    </row>
    <row r="70" spans="7:23" ht="15.75" customHeight="1">
      <c r="G70" s="39"/>
      <c r="T70" s="39"/>
      <c r="W70" s="39"/>
    </row>
    <row r="71" spans="7:23" ht="15.75" customHeight="1">
      <c r="G71" s="39"/>
      <c r="T71" s="39"/>
      <c r="W71" s="39"/>
    </row>
    <row r="72" spans="7:23" ht="15.75" customHeight="1">
      <c r="G72" s="39"/>
      <c r="T72" s="39"/>
      <c r="W72" s="39"/>
    </row>
    <row r="73" spans="7:23" ht="15.75" customHeight="1">
      <c r="G73" s="39"/>
      <c r="T73" s="39"/>
      <c r="W73" s="39"/>
    </row>
    <row r="74" spans="7:23" ht="15.75" customHeight="1">
      <c r="G74" s="39"/>
      <c r="T74" s="39"/>
      <c r="W74" s="39"/>
    </row>
    <row r="75" spans="7:23" ht="15.75" customHeight="1">
      <c r="G75" s="39"/>
      <c r="T75" s="39"/>
      <c r="W75" s="39"/>
    </row>
    <row r="76" spans="7:23" ht="15.75" customHeight="1">
      <c r="G76" s="39"/>
      <c r="T76" s="39"/>
      <c r="W76" s="39"/>
    </row>
    <row r="77" spans="7:23" ht="15.75" customHeight="1">
      <c r="G77" s="39"/>
      <c r="T77" s="39"/>
      <c r="W77" s="39"/>
    </row>
    <row r="78" spans="7:23" ht="15.75" customHeight="1">
      <c r="G78" s="39"/>
      <c r="T78" s="39"/>
      <c r="W78" s="39"/>
    </row>
    <row r="79" spans="7:23" ht="15.75" customHeight="1">
      <c r="G79" s="39"/>
      <c r="T79" s="39"/>
      <c r="W79" s="39"/>
    </row>
    <row r="80" spans="7:23" ht="15.75" customHeight="1">
      <c r="G80" s="39"/>
      <c r="T80" s="39"/>
      <c r="W80" s="39"/>
    </row>
    <row r="81" spans="7:23" ht="15.75" customHeight="1">
      <c r="G81" s="39"/>
      <c r="T81" s="39"/>
      <c r="W81" s="39"/>
    </row>
    <row r="82" spans="7:23" ht="15.75" customHeight="1">
      <c r="G82" s="39"/>
      <c r="T82" s="39"/>
      <c r="W82" s="39"/>
    </row>
    <row r="83" spans="7:23" ht="15.75" customHeight="1">
      <c r="G83" s="39"/>
      <c r="T83" s="39"/>
      <c r="W83" s="39"/>
    </row>
    <row r="84" spans="7:23" ht="15.75" customHeight="1">
      <c r="G84" s="39"/>
      <c r="T84" s="39"/>
      <c r="W84" s="39"/>
    </row>
    <row r="85" spans="7:23" ht="15.75" customHeight="1">
      <c r="G85" s="39"/>
      <c r="T85" s="39"/>
      <c r="W85" s="39"/>
    </row>
    <row r="86" spans="7:23" ht="15.75" customHeight="1">
      <c r="G86" s="39"/>
      <c r="T86" s="39"/>
      <c r="W86" s="39"/>
    </row>
    <row r="87" spans="7:23" ht="15.75" customHeight="1">
      <c r="G87" s="39"/>
      <c r="T87" s="39"/>
      <c r="W87" s="39"/>
    </row>
    <row r="88" spans="7:23" ht="15.75" customHeight="1">
      <c r="G88" s="39"/>
      <c r="T88" s="39"/>
      <c r="W88" s="39"/>
    </row>
    <row r="89" spans="7:23" ht="15.75" customHeight="1">
      <c r="G89" s="39"/>
      <c r="T89" s="39"/>
      <c r="W89" s="39"/>
    </row>
    <row r="90" spans="7:23" ht="15.75" customHeight="1">
      <c r="G90" s="39"/>
      <c r="T90" s="39"/>
      <c r="W90" s="39"/>
    </row>
    <row r="91" spans="7:23" ht="15.75" customHeight="1">
      <c r="G91" s="39"/>
      <c r="T91" s="39"/>
      <c r="W91" s="39"/>
    </row>
    <row r="92" spans="7:23" ht="15.75" customHeight="1">
      <c r="G92" s="39"/>
      <c r="T92" s="39"/>
      <c r="W92" s="39"/>
    </row>
    <row r="93" spans="7:23" ht="15.75" customHeight="1">
      <c r="G93" s="39"/>
      <c r="T93" s="39"/>
      <c r="W93" s="39"/>
    </row>
    <row r="94" spans="7:23" ht="15.75" customHeight="1">
      <c r="G94" s="39"/>
      <c r="T94" s="39"/>
      <c r="W94" s="39"/>
    </row>
    <row r="95" spans="7:23" ht="15.75" customHeight="1">
      <c r="G95" s="39"/>
      <c r="T95" s="39"/>
      <c r="W95" s="39"/>
    </row>
    <row r="96" spans="7:23" ht="15.75" customHeight="1">
      <c r="G96" s="39"/>
      <c r="T96" s="39"/>
      <c r="W96" s="39"/>
    </row>
    <row r="97" spans="7:23" ht="15.75" customHeight="1">
      <c r="G97" s="39"/>
      <c r="T97" s="39"/>
      <c r="W97" s="39"/>
    </row>
    <row r="98" spans="7:23" ht="15.75" customHeight="1">
      <c r="G98" s="39"/>
      <c r="T98" s="39"/>
      <c r="W98" s="39"/>
    </row>
    <row r="99" spans="7:23" ht="15.75" customHeight="1">
      <c r="G99" s="39"/>
      <c r="T99" s="39"/>
      <c r="W99" s="39"/>
    </row>
    <row r="100" spans="7:23" ht="15.75" customHeight="1">
      <c r="G100" s="39"/>
      <c r="T100" s="39"/>
      <c r="W100" s="39"/>
    </row>
    <row r="101" spans="7:23" ht="15.75" customHeight="1">
      <c r="G101" s="39"/>
      <c r="T101" s="39"/>
      <c r="W101" s="39"/>
    </row>
    <row r="102" spans="7:23" ht="15.75" customHeight="1">
      <c r="G102" s="39"/>
      <c r="T102" s="39"/>
      <c r="W102" s="39"/>
    </row>
    <row r="103" spans="7:23" ht="15.75" customHeight="1">
      <c r="G103" s="39"/>
      <c r="T103" s="39"/>
      <c r="W103" s="39"/>
    </row>
    <row r="104" spans="7:23" ht="15.75" customHeight="1">
      <c r="G104" s="39"/>
      <c r="T104" s="39"/>
      <c r="W104" s="39"/>
    </row>
    <row r="105" spans="7:23" ht="15.75" customHeight="1">
      <c r="G105" s="39"/>
      <c r="T105" s="39"/>
      <c r="W105" s="39"/>
    </row>
    <row r="106" spans="7:23" ht="15.75" customHeight="1">
      <c r="G106" s="39"/>
      <c r="T106" s="39"/>
      <c r="W106" s="39"/>
    </row>
    <row r="107" spans="7:23" ht="15.75" customHeight="1">
      <c r="G107" s="39"/>
      <c r="T107" s="39"/>
      <c r="W107" s="39"/>
    </row>
    <row r="108" spans="7:23" ht="15.75" customHeight="1">
      <c r="G108" s="39"/>
      <c r="T108" s="39"/>
      <c r="W108" s="39"/>
    </row>
    <row r="109" spans="7:23" ht="15.75" customHeight="1">
      <c r="G109" s="39"/>
      <c r="T109" s="39"/>
      <c r="W109" s="39"/>
    </row>
    <row r="110" spans="7:23" ht="15.75" customHeight="1">
      <c r="G110" s="39"/>
      <c r="T110" s="39"/>
      <c r="W110" s="39"/>
    </row>
    <row r="111" spans="7:23" ht="15.75" customHeight="1">
      <c r="G111" s="39"/>
      <c r="T111" s="39"/>
      <c r="W111" s="39"/>
    </row>
    <row r="112" spans="7:23" ht="15.75" customHeight="1">
      <c r="G112" s="39"/>
      <c r="T112" s="39"/>
      <c r="W112" s="39"/>
    </row>
    <row r="113" spans="7:23" ht="15.75" customHeight="1">
      <c r="G113" s="39"/>
      <c r="T113" s="39"/>
      <c r="W113" s="39"/>
    </row>
    <row r="114" spans="7:23" ht="15.75" customHeight="1">
      <c r="G114" s="39"/>
      <c r="T114" s="39"/>
      <c r="W114" s="39"/>
    </row>
    <row r="115" spans="7:23" ht="15.75" customHeight="1">
      <c r="G115" s="39"/>
      <c r="T115" s="39"/>
      <c r="W115" s="39"/>
    </row>
    <row r="116" spans="7:23" ht="15.75" customHeight="1">
      <c r="G116" s="39"/>
      <c r="T116" s="39"/>
      <c r="W116" s="39"/>
    </row>
    <row r="117" spans="7:23" ht="15.75" customHeight="1">
      <c r="G117" s="39"/>
      <c r="T117" s="39"/>
      <c r="W117" s="39"/>
    </row>
    <row r="118" spans="7:23" ht="15.75" customHeight="1">
      <c r="G118" s="39"/>
      <c r="T118" s="39"/>
      <c r="W118" s="39"/>
    </row>
    <row r="119" spans="7:23" ht="15.75" customHeight="1">
      <c r="G119" s="39"/>
      <c r="T119" s="39"/>
      <c r="W119" s="39"/>
    </row>
    <row r="120" spans="7:23" ht="15.75" customHeight="1">
      <c r="G120" s="39"/>
      <c r="T120" s="39"/>
      <c r="W120" s="39"/>
    </row>
    <row r="121" spans="7:23" ht="15.75" customHeight="1">
      <c r="G121" s="39"/>
      <c r="T121" s="39"/>
      <c r="W121" s="39"/>
    </row>
    <row r="122" spans="7:23" ht="15.75" customHeight="1">
      <c r="G122" s="39"/>
      <c r="T122" s="39"/>
      <c r="W122" s="39"/>
    </row>
    <row r="123" spans="7:23" ht="15.75" customHeight="1">
      <c r="G123" s="39"/>
      <c r="T123" s="39"/>
      <c r="W123" s="39"/>
    </row>
    <row r="124" spans="7:23" ht="15.75" customHeight="1">
      <c r="G124" s="39"/>
      <c r="T124" s="39"/>
      <c r="W124" s="39"/>
    </row>
    <row r="125" spans="7:23" ht="15.75" customHeight="1">
      <c r="G125" s="39"/>
      <c r="T125" s="39"/>
      <c r="W125" s="39"/>
    </row>
    <row r="126" spans="7:23" ht="15.75" customHeight="1">
      <c r="G126" s="39"/>
      <c r="T126" s="39"/>
      <c r="W126" s="39"/>
    </row>
    <row r="127" spans="7:23" ht="15.75" customHeight="1">
      <c r="G127" s="39"/>
      <c r="T127" s="39"/>
      <c r="W127" s="39"/>
    </row>
    <row r="128" spans="7:23" ht="15.75" customHeight="1">
      <c r="G128" s="39"/>
      <c r="T128" s="39"/>
      <c r="W128" s="39"/>
    </row>
    <row r="129" spans="7:23" ht="15.75" customHeight="1">
      <c r="G129" s="39"/>
      <c r="T129" s="39"/>
      <c r="W129" s="39"/>
    </row>
    <row r="130" spans="7:23" ht="15.75" customHeight="1">
      <c r="G130" s="39"/>
      <c r="T130" s="39"/>
      <c r="W130" s="39"/>
    </row>
    <row r="131" spans="7:23" ht="15.75" customHeight="1">
      <c r="G131" s="39"/>
      <c r="T131" s="39"/>
      <c r="W131" s="39"/>
    </row>
    <row r="132" spans="7:23" ht="15.75" customHeight="1">
      <c r="G132" s="39"/>
      <c r="T132" s="39"/>
      <c r="W132" s="39"/>
    </row>
    <row r="133" spans="7:23" ht="15.75" customHeight="1">
      <c r="G133" s="39"/>
      <c r="T133" s="39"/>
      <c r="W133" s="39"/>
    </row>
    <row r="134" spans="7:23" ht="15.75" customHeight="1">
      <c r="G134" s="39"/>
      <c r="T134" s="39"/>
      <c r="W134" s="39"/>
    </row>
    <row r="135" spans="7:23" ht="15.75" customHeight="1">
      <c r="G135" s="39"/>
      <c r="T135" s="39"/>
      <c r="W135" s="39"/>
    </row>
    <row r="136" spans="7:23" ht="15.75" customHeight="1">
      <c r="G136" s="39"/>
      <c r="T136" s="39"/>
      <c r="W136" s="39"/>
    </row>
    <row r="137" spans="7:23" ht="15.75" customHeight="1">
      <c r="G137" s="39"/>
      <c r="T137" s="39"/>
      <c r="W137" s="39"/>
    </row>
    <row r="138" spans="7:23" ht="15.75" customHeight="1">
      <c r="G138" s="39"/>
      <c r="T138" s="39"/>
      <c r="W138" s="39"/>
    </row>
    <row r="139" spans="7:23" ht="15.75" customHeight="1">
      <c r="G139" s="39"/>
      <c r="T139" s="39"/>
      <c r="W139" s="39"/>
    </row>
    <row r="140" spans="7:23" ht="15.75" customHeight="1">
      <c r="G140" s="39"/>
      <c r="T140" s="39"/>
      <c r="W140" s="39"/>
    </row>
    <row r="141" spans="7:23" ht="15.75" customHeight="1">
      <c r="G141" s="39"/>
      <c r="T141" s="39"/>
      <c r="W141" s="39"/>
    </row>
    <row r="142" spans="7:23" ht="15.75" customHeight="1">
      <c r="G142" s="39"/>
      <c r="T142" s="39"/>
      <c r="W142" s="39"/>
    </row>
    <row r="143" spans="7:23" ht="15.75" customHeight="1">
      <c r="G143" s="39"/>
      <c r="T143" s="39"/>
      <c r="W143" s="39"/>
    </row>
    <row r="144" spans="7:23" ht="15.75" customHeight="1">
      <c r="G144" s="39"/>
      <c r="T144" s="39"/>
      <c r="W144" s="39"/>
    </row>
    <row r="145" spans="7:23" ht="15.75" customHeight="1">
      <c r="G145" s="39"/>
      <c r="T145" s="39"/>
      <c r="W145" s="39"/>
    </row>
    <row r="146" spans="7:23" ht="15.75" customHeight="1">
      <c r="G146" s="39"/>
      <c r="T146" s="39"/>
      <c r="W146" s="39"/>
    </row>
    <row r="147" spans="7:23" ht="15.75" customHeight="1">
      <c r="G147" s="39"/>
      <c r="T147" s="39"/>
      <c r="W147" s="39"/>
    </row>
    <row r="148" spans="7:23" ht="15.75" customHeight="1">
      <c r="G148" s="39"/>
      <c r="T148" s="39"/>
      <c r="W148" s="39"/>
    </row>
    <row r="149" spans="7:23" ht="15.75" customHeight="1">
      <c r="G149" s="39"/>
      <c r="T149" s="39"/>
      <c r="W149" s="39"/>
    </row>
    <row r="150" spans="7:23" ht="15.75" customHeight="1">
      <c r="G150" s="39"/>
      <c r="T150" s="39"/>
      <c r="W150" s="39"/>
    </row>
    <row r="151" spans="7:23" ht="15.75" customHeight="1">
      <c r="G151" s="39"/>
      <c r="T151" s="39"/>
      <c r="W151" s="39"/>
    </row>
    <row r="152" spans="7:23" ht="15.75" customHeight="1">
      <c r="G152" s="39"/>
      <c r="T152" s="39"/>
      <c r="W152" s="39"/>
    </row>
    <row r="153" spans="7:23" ht="15.75" customHeight="1">
      <c r="G153" s="39"/>
      <c r="T153" s="39"/>
      <c r="W153" s="39"/>
    </row>
    <row r="154" spans="7:23" ht="15.75" customHeight="1">
      <c r="G154" s="39"/>
      <c r="T154" s="39"/>
      <c r="W154" s="39"/>
    </row>
    <row r="155" spans="7:23" ht="15.75" customHeight="1">
      <c r="G155" s="39"/>
      <c r="T155" s="39"/>
      <c r="W155" s="39"/>
    </row>
    <row r="156" spans="7:23" ht="15.75" customHeight="1">
      <c r="G156" s="39"/>
      <c r="T156" s="39"/>
      <c r="W156" s="39"/>
    </row>
    <row r="157" spans="7:23" ht="15.75" customHeight="1">
      <c r="G157" s="39"/>
      <c r="T157" s="39"/>
      <c r="W157" s="39"/>
    </row>
    <row r="158" spans="7:23" ht="15.75" customHeight="1">
      <c r="G158" s="39"/>
      <c r="T158" s="39"/>
      <c r="W158" s="39"/>
    </row>
    <row r="159" spans="7:23" ht="15.75" customHeight="1">
      <c r="G159" s="39"/>
      <c r="T159" s="39"/>
      <c r="W159" s="39"/>
    </row>
    <row r="160" spans="7:23" ht="15.75" customHeight="1">
      <c r="G160" s="39"/>
      <c r="T160" s="39"/>
      <c r="W160" s="39"/>
    </row>
    <row r="161" spans="7:23" ht="15.75" customHeight="1">
      <c r="G161" s="39"/>
      <c r="T161" s="39"/>
      <c r="W161" s="39"/>
    </row>
    <row r="162" spans="7:23" ht="15.75" customHeight="1">
      <c r="G162" s="39"/>
      <c r="T162" s="39"/>
      <c r="W162" s="39"/>
    </row>
    <row r="163" spans="7:23" ht="15.75" customHeight="1">
      <c r="G163" s="39"/>
      <c r="T163" s="39"/>
      <c r="W163" s="39"/>
    </row>
    <row r="164" spans="7:23" ht="15.75" customHeight="1">
      <c r="G164" s="39"/>
      <c r="T164" s="39"/>
      <c r="W164" s="39"/>
    </row>
    <row r="165" spans="7:23" ht="15.75" customHeight="1">
      <c r="G165" s="39"/>
      <c r="T165" s="39"/>
      <c r="W165" s="39"/>
    </row>
    <row r="166" spans="7:23" ht="15.75" customHeight="1">
      <c r="G166" s="39"/>
      <c r="T166" s="39"/>
      <c r="W166" s="39"/>
    </row>
    <row r="167" spans="7:23" ht="15.75" customHeight="1">
      <c r="G167" s="39"/>
      <c r="T167" s="39"/>
      <c r="W167" s="39"/>
    </row>
    <row r="168" spans="7:23" ht="15.75" customHeight="1">
      <c r="G168" s="39"/>
      <c r="T168" s="39"/>
      <c r="W168" s="39"/>
    </row>
    <row r="169" spans="7:23" ht="15.75" customHeight="1">
      <c r="G169" s="39"/>
      <c r="T169" s="39"/>
      <c r="W169" s="39"/>
    </row>
    <row r="170" spans="7:23" ht="15.75" customHeight="1">
      <c r="G170" s="39"/>
      <c r="T170" s="39"/>
      <c r="W170" s="39"/>
    </row>
    <row r="171" spans="7:23" ht="15.75" customHeight="1">
      <c r="G171" s="39"/>
      <c r="T171" s="39"/>
      <c r="W171" s="39"/>
    </row>
    <row r="172" spans="7:23" ht="15.75" customHeight="1">
      <c r="G172" s="39"/>
      <c r="T172" s="39"/>
      <c r="W172" s="39"/>
    </row>
    <row r="173" spans="7:23" ht="15.75" customHeight="1">
      <c r="G173" s="39"/>
      <c r="T173" s="39"/>
      <c r="W173" s="39"/>
    </row>
    <row r="174" spans="7:23" ht="15.75" customHeight="1">
      <c r="G174" s="39"/>
      <c r="T174" s="39"/>
      <c r="W174" s="39"/>
    </row>
    <row r="175" spans="7:23" ht="15.75" customHeight="1">
      <c r="G175" s="39"/>
      <c r="T175" s="39"/>
      <c r="W175" s="39"/>
    </row>
    <row r="176" spans="7:23" ht="15.75" customHeight="1">
      <c r="G176" s="39"/>
      <c r="T176" s="39"/>
      <c r="W176" s="39"/>
    </row>
    <row r="177" spans="7:23" ht="15.75" customHeight="1">
      <c r="G177" s="39"/>
      <c r="T177" s="39"/>
      <c r="W177" s="39"/>
    </row>
    <row r="178" spans="7:23" ht="15.75" customHeight="1">
      <c r="G178" s="39"/>
      <c r="T178" s="39"/>
      <c r="W178" s="39"/>
    </row>
    <row r="179" spans="7:23" ht="15.75" customHeight="1">
      <c r="G179" s="39"/>
      <c r="T179" s="39"/>
      <c r="W179" s="39"/>
    </row>
    <row r="180" spans="7:23" ht="15.75" customHeight="1">
      <c r="G180" s="39"/>
      <c r="T180" s="39"/>
      <c r="W180" s="39"/>
    </row>
    <row r="181" spans="7:23" ht="15.75" customHeight="1">
      <c r="G181" s="39"/>
      <c r="T181" s="39"/>
      <c r="W181" s="39"/>
    </row>
    <row r="182" spans="7:23" ht="15.75" customHeight="1">
      <c r="G182" s="39"/>
      <c r="T182" s="39"/>
      <c r="W182" s="39"/>
    </row>
    <row r="183" spans="7:23" ht="15.75" customHeight="1">
      <c r="G183" s="39"/>
      <c r="T183" s="39"/>
      <c r="W183" s="39"/>
    </row>
    <row r="184" spans="7:23" ht="15.75" customHeight="1">
      <c r="G184" s="39"/>
      <c r="T184" s="39"/>
      <c r="W184" s="39"/>
    </row>
    <row r="185" spans="7:23" ht="15.75" customHeight="1">
      <c r="G185" s="39"/>
      <c r="T185" s="39"/>
      <c r="W185" s="39"/>
    </row>
    <row r="186" spans="7:23" ht="15.75" customHeight="1">
      <c r="G186" s="39"/>
      <c r="T186" s="39"/>
      <c r="W186" s="39"/>
    </row>
    <row r="187" spans="7:23" ht="15.75" customHeight="1">
      <c r="G187" s="39"/>
      <c r="T187" s="39"/>
      <c r="W187" s="39"/>
    </row>
    <row r="188" spans="7:23" ht="15.75" customHeight="1">
      <c r="G188" s="39"/>
      <c r="T188" s="39"/>
      <c r="W188" s="39"/>
    </row>
    <row r="189" spans="7:23" ht="15.75" customHeight="1">
      <c r="G189" s="39"/>
      <c r="T189" s="39"/>
      <c r="W189" s="39"/>
    </row>
    <row r="190" spans="7:23" ht="15.75" customHeight="1">
      <c r="G190" s="39"/>
      <c r="T190" s="39"/>
      <c r="W190" s="39"/>
    </row>
    <row r="191" spans="7:23" ht="15.75" customHeight="1">
      <c r="G191" s="39"/>
      <c r="T191" s="39"/>
      <c r="W191" s="39"/>
    </row>
    <row r="192" spans="7:23" ht="15.75" customHeight="1">
      <c r="G192" s="39"/>
      <c r="T192" s="39"/>
      <c r="W192" s="39"/>
    </row>
    <row r="193" spans="7:23" ht="15.75" customHeight="1">
      <c r="G193" s="39"/>
      <c r="T193" s="39"/>
      <c r="W193" s="39"/>
    </row>
    <row r="194" spans="7:23" ht="15.75" customHeight="1">
      <c r="G194" s="39"/>
      <c r="T194" s="39"/>
      <c r="W194" s="39"/>
    </row>
    <row r="195" spans="7:23" ht="15.75" customHeight="1">
      <c r="G195" s="39"/>
      <c r="T195" s="39"/>
      <c r="W195" s="39"/>
    </row>
    <row r="196" spans="7:23" ht="15.75" customHeight="1">
      <c r="G196" s="39"/>
      <c r="T196" s="39"/>
      <c r="W196" s="39"/>
    </row>
    <row r="197" spans="7:23" ht="15.75" customHeight="1">
      <c r="G197" s="39"/>
      <c r="T197" s="39"/>
      <c r="W197" s="39"/>
    </row>
    <row r="198" spans="7:23" ht="15.75" customHeight="1">
      <c r="G198" s="39"/>
      <c r="T198" s="39"/>
      <c r="W198" s="39"/>
    </row>
    <row r="199" spans="7:23" ht="15.75" customHeight="1">
      <c r="G199" s="39"/>
      <c r="T199" s="39"/>
      <c r="W199" s="39"/>
    </row>
    <row r="200" spans="7:23" ht="15.75" customHeight="1">
      <c r="G200" s="39"/>
      <c r="T200" s="39"/>
      <c r="W200" s="39"/>
    </row>
    <row r="201" spans="7:23" ht="15.75" customHeight="1">
      <c r="G201" s="39"/>
      <c r="T201" s="39"/>
      <c r="W201" s="39"/>
    </row>
    <row r="202" spans="7:23" ht="15.75" customHeight="1">
      <c r="G202" s="39"/>
      <c r="T202" s="39"/>
      <c r="W202" s="39"/>
    </row>
    <row r="203" spans="7:23" ht="15.75" customHeight="1">
      <c r="G203" s="39"/>
      <c r="T203" s="39"/>
      <c r="W203" s="39"/>
    </row>
    <row r="204" spans="7:23" ht="15.75" customHeight="1">
      <c r="G204" s="39"/>
      <c r="T204" s="39"/>
      <c r="W204" s="39"/>
    </row>
    <row r="205" spans="7:23" ht="15.75" customHeight="1">
      <c r="G205" s="39"/>
      <c r="T205" s="39"/>
      <c r="W205" s="39"/>
    </row>
    <row r="206" spans="7:23" ht="15.75" customHeight="1">
      <c r="G206" s="39"/>
      <c r="T206" s="39"/>
      <c r="W206" s="39"/>
    </row>
    <row r="207" spans="7:23" ht="15.75" customHeight="1">
      <c r="G207" s="39"/>
      <c r="T207" s="39"/>
      <c r="W207" s="39"/>
    </row>
    <row r="208" spans="7:23" ht="15.75" customHeight="1">
      <c r="G208" s="39"/>
      <c r="T208" s="39"/>
      <c r="W208" s="39"/>
    </row>
    <row r="209" spans="7:23" ht="15.75" customHeight="1">
      <c r="G209" s="39"/>
      <c r="T209" s="39"/>
      <c r="W209" s="39"/>
    </row>
    <row r="210" spans="7:23" ht="15.75" customHeight="1">
      <c r="G210" s="39"/>
      <c r="T210" s="39"/>
      <c r="W210" s="39"/>
    </row>
    <row r="211" spans="7:23" ht="15.75" customHeight="1">
      <c r="G211" s="39"/>
      <c r="T211" s="39"/>
      <c r="W211" s="39"/>
    </row>
    <row r="212" spans="7:23" ht="15.75" customHeight="1">
      <c r="G212" s="39"/>
      <c r="T212" s="39"/>
      <c r="W212" s="39"/>
    </row>
    <row r="213" spans="7:23" ht="15.75" customHeight="1">
      <c r="G213" s="39"/>
      <c r="T213" s="39"/>
      <c r="W213" s="39"/>
    </row>
    <row r="214" spans="7:23" ht="15.75" customHeight="1">
      <c r="G214" s="39"/>
      <c r="T214" s="39"/>
      <c r="W214" s="39"/>
    </row>
    <row r="215" spans="7:23" ht="15.75" customHeight="1">
      <c r="G215" s="39"/>
      <c r="T215" s="39"/>
      <c r="W215" s="39"/>
    </row>
    <row r="216" spans="7:23" ht="15.75" customHeight="1">
      <c r="G216" s="39"/>
      <c r="T216" s="39"/>
      <c r="W216" s="39"/>
    </row>
    <row r="217" spans="7:23" ht="15.75" customHeight="1">
      <c r="G217" s="39"/>
      <c r="T217" s="39"/>
      <c r="W217" s="39"/>
    </row>
    <row r="218" spans="7:23" ht="15.75" customHeight="1">
      <c r="G218" s="39"/>
      <c r="T218" s="39"/>
      <c r="W218" s="39"/>
    </row>
    <row r="219" spans="7:23" ht="15.75" customHeight="1">
      <c r="G219" s="39"/>
      <c r="T219" s="39"/>
      <c r="W219" s="39"/>
    </row>
    <row r="220" spans="7:23" ht="15.75" customHeight="1">
      <c r="G220" s="39"/>
      <c r="T220" s="39"/>
      <c r="W220" s="39"/>
    </row>
    <row r="221" spans="7:23" ht="15.75" customHeight="1">
      <c r="G221" s="39"/>
      <c r="T221" s="39"/>
      <c r="W221" s="39"/>
    </row>
    <row r="222" spans="7:23" ht="15.75" customHeight="1">
      <c r="G222" s="39"/>
      <c r="T222" s="39"/>
      <c r="W222" s="39"/>
    </row>
    <row r="223" spans="7:23" ht="15.75" customHeight="1">
      <c r="G223" s="39"/>
      <c r="T223" s="39"/>
      <c r="W223" s="39"/>
    </row>
    <row r="224" spans="7:23" ht="15.75" customHeight="1">
      <c r="G224" s="39"/>
      <c r="T224" s="39"/>
      <c r="W224" s="39"/>
    </row>
    <row r="225" spans="7:23" ht="15.75" customHeight="1">
      <c r="G225" s="39"/>
      <c r="T225" s="39"/>
      <c r="W225" s="39"/>
    </row>
    <row r="226" spans="7:23" ht="15.75" customHeight="1">
      <c r="G226" s="39"/>
      <c r="T226" s="39"/>
      <c r="W226" s="39"/>
    </row>
    <row r="227" spans="7:23" ht="15.75" customHeight="1">
      <c r="G227" s="39"/>
      <c r="T227" s="39"/>
      <c r="W227" s="39"/>
    </row>
    <row r="228" spans="7:23" ht="15.75" customHeight="1">
      <c r="G228" s="39"/>
      <c r="T228" s="39"/>
      <c r="W228" s="39"/>
    </row>
    <row r="229" spans="7:23" ht="15.75" customHeight="1">
      <c r="G229" s="39"/>
      <c r="T229" s="39"/>
      <c r="W229" s="39"/>
    </row>
    <row r="230" spans="7:23" ht="15.75" customHeight="1">
      <c r="G230" s="39"/>
      <c r="T230" s="39"/>
      <c r="W230" s="39"/>
    </row>
    <row r="231" spans="7:23" ht="15.75" customHeight="1">
      <c r="G231" s="39"/>
      <c r="T231" s="39"/>
      <c r="W231" s="39"/>
    </row>
    <row r="232" spans="7:23" ht="15.75" customHeight="1">
      <c r="G232" s="39"/>
      <c r="T232" s="39"/>
      <c r="W232" s="39"/>
    </row>
    <row r="233" spans="7:23" ht="15.75" customHeight="1">
      <c r="G233" s="39"/>
      <c r="T233" s="39"/>
      <c r="W233" s="39"/>
    </row>
    <row r="234" spans="7:23" ht="15.75" customHeight="1">
      <c r="G234" s="39"/>
      <c r="T234" s="39"/>
      <c r="W234" s="39"/>
    </row>
    <row r="235" spans="7:23" ht="15.75" customHeight="1">
      <c r="G235" s="39"/>
      <c r="T235" s="39"/>
      <c r="W235" s="39"/>
    </row>
    <row r="236" spans="7:23" ht="15.75" customHeight="1">
      <c r="G236" s="39"/>
      <c r="T236" s="39"/>
      <c r="W236" s="39"/>
    </row>
    <row r="237" spans="7:23" ht="15.75" customHeight="1">
      <c r="G237" s="39"/>
      <c r="T237" s="39"/>
      <c r="W237" s="39"/>
    </row>
    <row r="238" spans="7:23" ht="15.75" customHeight="1">
      <c r="G238" s="39"/>
      <c r="T238" s="39"/>
      <c r="W238" s="39"/>
    </row>
    <row r="239" spans="7:23" ht="15.75" customHeight="1">
      <c r="G239" s="39"/>
      <c r="T239" s="39"/>
      <c r="W239" s="39"/>
    </row>
    <row r="240" spans="7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9:D39"/>
    <mergeCell ref="T3:W3"/>
    <mergeCell ref="V15:W15"/>
    <mergeCell ref="V23:W23"/>
    <mergeCell ref="A30:G30"/>
    <mergeCell ref="A31:G31"/>
    <mergeCell ref="S31:V31"/>
    <mergeCell ref="B33:C33"/>
    <mergeCell ref="Y5:AB5"/>
    <mergeCell ref="B34:C34"/>
    <mergeCell ref="B35:C35"/>
    <mergeCell ref="B36:C36"/>
    <mergeCell ref="B37:C37"/>
    <mergeCell ref="B1:W1"/>
    <mergeCell ref="B2:W2"/>
    <mergeCell ref="C3:F3"/>
    <mergeCell ref="A5:H5"/>
    <mergeCell ref="J5:Q5"/>
    <mergeCell ref="S5:W5"/>
  </mergeCells>
  <pageMargins left="0.69930555555555596" right="0.69930555555555596" top="0.75" bottom="0.75" header="0" footer="0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1:A1000"/>
  <sheetViews>
    <sheetView workbookViewId="0"/>
  </sheetViews>
  <sheetFormatPr defaultColWidth="14.453125" defaultRowHeight="15" customHeight="1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SUMMARY</vt:lpstr>
      <vt:lpstr>DAILY SUMMARY</vt:lpstr>
      <vt:lpstr>income statement</vt:lpstr>
      <vt:lpstr>DAILY COGS</vt:lpstr>
      <vt:lpstr>B.O</vt:lpstr>
      <vt:lpstr>MONTHLY INV.</vt:lpstr>
      <vt:lpstr>DELIVERIES</vt:lpstr>
      <vt:lpstr>GROSS</vt:lpstr>
      <vt:lpstr>CASH FLOW</vt:lpstr>
      <vt:lpstr>WEEKLY INV.</vt:lpstr>
      <vt:lpstr>OPEX</vt:lpstr>
      <vt:lpstr>CAPEX</vt:lpstr>
      <vt:lpstr>Check and balance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Copy of Copy of 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2021-06-05T21:11:00Z</dcterms:created>
  <dcterms:modified xsi:type="dcterms:W3CDTF">2026-08-25T08:39:50Z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909491F43A1D4A4B9B099C674FE5C82D</vt:lpwstr>
  </property>
  <property fmtid="{D5CDD505-2E9C-101B-9397-08002B2CF9AE}" pid="3" name="KSOProductBuildVer">
    <vt:lpwstr>1033-12.2.0.23196</vt:lpwstr>
  </property>
</Properties>
</file>