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VITERBO FOODS OPC\"/>
    </mc:Choice>
  </mc:AlternateContent>
  <xr:revisionPtr revIDLastSave="0" documentId="8_{8B512C84-F8DE-41B3-BC49-E931FB223A3A}" xr6:coauthVersionLast="47" xr6:coauthVersionMax="47" xr10:uidLastSave="{00000000-0000-0000-0000-000000000000}"/>
  <bookViews>
    <workbookView xWindow="-110" yWindow="-110" windowWidth="21820" windowHeight="13900" xr2:uid="{F712D281-12E6-4E06-AE99-0B2E5B78EAC4}"/>
  </bookViews>
  <sheets>
    <sheet name="DAILY SALES AND INCOME REPORT" sheetId="1" r:id="rId1"/>
    <sheet name="BALANCE SHEET" sheetId="2" r:id="rId2"/>
    <sheet name="CASH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3" l="1"/>
  <c r="D35" i="3"/>
  <c r="F35" i="3" s="1"/>
  <c r="G35" i="3" s="1"/>
  <c r="I35" i="2"/>
  <c r="D35" i="2"/>
  <c r="L35" i="2" s="1"/>
  <c r="M35" i="2" s="1"/>
  <c r="G16" i="1"/>
  <c r="G17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G25" i="1"/>
  <c r="G24" i="1"/>
  <c r="E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" i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F24" i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F16" i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D35" i="1"/>
  <c r="F35" i="1" s="1"/>
  <c r="G35" i="1" s="1"/>
  <c r="N35" i="3" l="1"/>
  <c r="O35" i="3" s="1"/>
  <c r="E35" i="3"/>
  <c r="E35" i="2"/>
  <c r="F35" i="2"/>
  <c r="G35" i="2" s="1"/>
  <c r="J35" i="1"/>
  <c r="E35" i="1"/>
</calcChain>
</file>

<file path=xl/sharedStrings.xml><?xml version="1.0" encoding="utf-8"?>
<sst xmlns="http://schemas.openxmlformats.org/spreadsheetml/2006/main" count="105" uniqueCount="93">
  <si>
    <t>CRISPY KING FOOD STATION</t>
  </si>
  <si>
    <t>DAILY SALES SUMMARY — JULY 2026</t>
  </si>
  <si>
    <t>DAY</t>
  </si>
  <si>
    <t>DATE</t>
  </si>
  <si>
    <t>GROSS SALES</t>
  </si>
  <si>
    <t>LESS EXPENSES</t>
  </si>
  <si>
    <t>NET SALES</t>
  </si>
  <si>
    <t>CASH DEPOSIT</t>
  </si>
  <si>
    <t>OVER/SHORT</t>
  </si>
  <si>
    <t>TOTAL OPEX</t>
  </si>
  <si>
    <t>TOTAL CAPEX</t>
  </si>
  <si>
    <t>TOTAL PURCHASES</t>
  </si>
  <si>
    <t>TOTAL DELIVERIES</t>
  </si>
  <si>
    <t>REMARKS</t>
  </si>
  <si>
    <t>Jul 01, 2026</t>
  </si>
  <si>
    <t>Jul 02, 2026</t>
  </si>
  <si>
    <t>Jul 03, 2026</t>
  </si>
  <si>
    <t>Jul 04, 2026</t>
  </si>
  <si>
    <t>Jul 05, 2026</t>
  </si>
  <si>
    <t>Jul 06, 2026</t>
  </si>
  <si>
    <t>Jul 07, 2026</t>
  </si>
  <si>
    <t>Jul 08, 2026</t>
  </si>
  <si>
    <t>Jul 09, 2026</t>
  </si>
  <si>
    <t>Jul 10, 2026</t>
  </si>
  <si>
    <t>Jul 11, 2026</t>
  </si>
  <si>
    <t>Jul 12, 2026</t>
  </si>
  <si>
    <t>Jul 13, 2026</t>
  </si>
  <si>
    <t>Jul 14, 2026</t>
  </si>
  <si>
    <t>Jul 15, 2026</t>
  </si>
  <si>
    <t>Jul 16, 2026</t>
  </si>
  <si>
    <t>Jul 17, 2026</t>
  </si>
  <si>
    <t>Jul 18, 2006</t>
  </si>
  <si>
    <t>Jul 19, 2026</t>
  </si>
  <si>
    <t>Jul 20, 2026</t>
  </si>
  <si>
    <t>Jul 21, 2026</t>
  </si>
  <si>
    <t>Jul 22, 2026</t>
  </si>
  <si>
    <t>Jul 23, 2026</t>
  </si>
  <si>
    <t>Jul 24, 2025</t>
  </si>
  <si>
    <t>Jul 25, 2026</t>
  </si>
  <si>
    <t>Jul 26, 2026</t>
  </si>
  <si>
    <t>Jul 27, 2026</t>
  </si>
  <si>
    <t>Jul 28, 2026</t>
  </si>
  <si>
    <t>Jul 29, 2026</t>
  </si>
  <si>
    <t>Jul 30, 2026</t>
  </si>
  <si>
    <t>Jul 31, 2026</t>
  </si>
  <si>
    <t>MONTHLY TOTAL</t>
  </si>
  <si>
    <t>📋 HOW TO USE: Enter data directly in each Day tab (sheets 1–31). Branch name &amp; Date entered there will auto-appear in the Date column above. Gross Sales, Expenses, Net Sales &amp; Over/Short pull automatically.</t>
  </si>
  <si>
    <t>COGS</t>
  </si>
  <si>
    <t>GROSS PROFIT</t>
  </si>
  <si>
    <t>COGS%</t>
  </si>
  <si>
    <t>%</t>
  </si>
  <si>
    <t>OPEX%</t>
  </si>
  <si>
    <t>NET%</t>
  </si>
  <si>
    <t>CASH ON HAND</t>
  </si>
  <si>
    <t>DEPOSIT</t>
  </si>
  <si>
    <t>WITHDRAWAL</t>
  </si>
  <si>
    <t>BANK BALANCE</t>
  </si>
  <si>
    <t>INVENTORY</t>
  </si>
  <si>
    <t>ACCTS RECEIVABLE</t>
  </si>
  <si>
    <t>CURRENT ASSETS</t>
  </si>
  <si>
    <t>ACCTS PAYABLE CHICKEN</t>
  </si>
  <si>
    <t>TOTAL LIABILITIES</t>
  </si>
  <si>
    <t>CAPITAL</t>
  </si>
  <si>
    <t>FIXED ASSET</t>
  </si>
  <si>
    <t>TOTAL ASSETS</t>
  </si>
  <si>
    <t>RETAINED EARNINGS</t>
  </si>
  <si>
    <t>DRAWINGS</t>
  </si>
  <si>
    <t>NEW CAPITAL</t>
  </si>
  <si>
    <t>NET WORTH</t>
  </si>
  <si>
    <t>WORKING CAPITAL RATIO</t>
  </si>
  <si>
    <t>DEBT TO ASSET</t>
  </si>
  <si>
    <t>BALANCE SHEET 2026</t>
  </si>
  <si>
    <t>BRANCH</t>
  </si>
  <si>
    <t>NET INCOME</t>
  </si>
  <si>
    <t>CASH BEGINNING</t>
  </si>
  <si>
    <t>LOAN RELEASE</t>
  </si>
  <si>
    <t>TOTAL CASH INFLOW</t>
  </si>
  <si>
    <t>SALARIES</t>
  </si>
  <si>
    <t>RENT</t>
  </si>
  <si>
    <t>USAGES</t>
  </si>
  <si>
    <t>OT</t>
  </si>
  <si>
    <t>BENEFITS</t>
  </si>
  <si>
    <t>LIGHT</t>
  </si>
  <si>
    <t>WATER</t>
  </si>
  <si>
    <t>FUEL</t>
  </si>
  <si>
    <t>CHICKEN PURCHASES</t>
  </si>
  <si>
    <t>SOFT DRINKS</t>
  </si>
  <si>
    <t>RICE</t>
  </si>
  <si>
    <t>TOTAL DISBURSEMENTS</t>
  </si>
  <si>
    <t>NET CASH FLOW</t>
  </si>
  <si>
    <t>CASH AVAILABLE</t>
  </si>
  <si>
    <t>SHORT OVER</t>
  </si>
  <si>
    <t>CASH FLOW2026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</si>
</sst>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i/>
      <sz val="12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0" xfId="0" applyFont="1"/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4" fontId="6" fillId="0" borderId="9" xfId="0" applyNumberFormat="1" applyFont="1" applyFill="1" applyBorder="1" applyAlignment="1">
      <alignment horizontal="right" vertical="center" wrapText="1"/>
    </xf>
    <xf numFmtId="9" fontId="6" fillId="0" borderId="9" xfId="1" applyFont="1" applyFill="1" applyBorder="1" applyAlignment="1">
      <alignment horizontal="center" vertical="center" wrapText="1"/>
    </xf>
    <xf numFmtId="4" fontId="6" fillId="0" borderId="9" xfId="1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right" vertical="center" wrapText="1"/>
    </xf>
    <xf numFmtId="0" fontId="3" fillId="0" borderId="9" xfId="0" applyFont="1" applyFill="1" applyBorder="1" applyAlignment="1">
      <alignment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4" fontId="5" fillId="0" borderId="9" xfId="0" applyNumberFormat="1" applyFont="1" applyFill="1" applyBorder="1" applyAlignment="1">
      <alignment horizontal="right" vertical="center" wrapText="1"/>
    </xf>
    <xf numFmtId="0" fontId="5" fillId="0" borderId="9" xfId="0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/>
    </xf>
    <xf numFmtId="4" fontId="5" fillId="0" borderId="9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C50E-A84F-4B50-A429-AE6B02EEAA62}">
  <dimension ref="A1:AG1000"/>
  <sheetViews>
    <sheetView tabSelected="1" workbookViewId="0">
      <pane xSplit="8" ySplit="11" topLeftCell="I12" activePane="bottomRight" state="frozen"/>
      <selection pane="topRight" activeCell="I1" sqref="I1"/>
      <selection pane="bottomLeft" activeCell="A12" sqref="A12"/>
      <selection pane="bottomRight" activeCell="D35" sqref="D35"/>
    </sheetView>
  </sheetViews>
  <sheetFormatPr defaultRowHeight="16" x14ac:dyDescent="0.4"/>
  <cols>
    <col min="1" max="1" width="8.7265625" style="2"/>
    <col min="2" max="2" width="13.7265625" style="2" customWidth="1"/>
    <col min="3" max="4" width="12.453125" style="2" customWidth="1"/>
    <col min="5" max="5" width="11.453125" style="2" customWidth="1"/>
    <col min="6" max="6" width="12.453125" style="2" customWidth="1"/>
    <col min="7" max="7" width="10.26953125" style="2" customWidth="1"/>
    <col min="8" max="8" width="13.54296875" style="2" customWidth="1"/>
    <col min="9" max="9" width="11.453125" style="2" customWidth="1"/>
    <col min="10" max="10" width="14.1796875" style="2" customWidth="1"/>
    <col min="11" max="11" width="11.453125" style="2" customWidth="1"/>
    <col min="12" max="12" width="13.1796875" style="2" customWidth="1"/>
    <col min="13" max="13" width="12.90625" style="2" customWidth="1"/>
    <col min="14" max="14" width="8.453125" style="2" customWidth="1"/>
    <col min="15" max="15" width="12" style="2" customWidth="1"/>
    <col min="16" max="16" width="12.08984375" style="2" customWidth="1"/>
    <col min="17" max="17" width="16.08984375" style="2" customWidth="1"/>
    <col min="18" max="18" width="16.453125" style="2" customWidth="1"/>
    <col min="19" max="19" width="12.81640625" style="2" customWidth="1"/>
    <col min="20" max="16384" width="8.7265625" style="2"/>
  </cols>
  <sheetData>
    <row r="1" spans="1:33" ht="16.5" thickBot="1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4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47" thickBot="1" x14ac:dyDescent="0.45">
      <c r="A3" s="3" t="s">
        <v>2</v>
      </c>
      <c r="B3" s="4" t="s">
        <v>3</v>
      </c>
      <c r="C3" s="4" t="s">
        <v>4</v>
      </c>
      <c r="D3" s="4" t="s">
        <v>47</v>
      </c>
      <c r="E3" s="4" t="s">
        <v>49</v>
      </c>
      <c r="F3" s="4" t="s">
        <v>48</v>
      </c>
      <c r="G3" s="4" t="s">
        <v>50</v>
      </c>
      <c r="H3" s="4" t="s">
        <v>5</v>
      </c>
      <c r="I3" s="4" t="s">
        <v>51</v>
      </c>
      <c r="J3" s="4" t="s">
        <v>73</v>
      </c>
      <c r="K3" s="4" t="s">
        <v>52</v>
      </c>
      <c r="L3" s="4" t="s">
        <v>6</v>
      </c>
      <c r="M3" s="4" t="s">
        <v>7</v>
      </c>
      <c r="N3" s="4" t="s">
        <v>8</v>
      </c>
      <c r="O3" s="4" t="s">
        <v>9</v>
      </c>
      <c r="P3" s="4" t="s">
        <v>10</v>
      </c>
      <c r="Q3" s="4" t="s">
        <v>11</v>
      </c>
      <c r="R3" s="4" t="s">
        <v>12</v>
      </c>
      <c r="S3" s="4" t="s">
        <v>13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0" customHeight="1" thickBot="1" x14ac:dyDescent="0.45">
      <c r="A4" s="14">
        <v>1</v>
      </c>
      <c r="B4" s="15" t="s">
        <v>14</v>
      </c>
      <c r="C4" s="16">
        <v>14797</v>
      </c>
      <c r="D4" s="16">
        <v>9605.7900000000009</v>
      </c>
      <c r="E4" s="17">
        <f>D4/C4</f>
        <v>0.64917145367304185</v>
      </c>
      <c r="F4" s="16">
        <f>C4-D4</f>
        <v>5191.2099999999991</v>
      </c>
      <c r="G4" s="17">
        <f>F4/C4</f>
        <v>0.35082854632695809</v>
      </c>
      <c r="H4" s="16">
        <v>5970</v>
      </c>
      <c r="I4" s="17">
        <f>H4/C4</f>
        <v>0.40346016084341418</v>
      </c>
      <c r="J4" s="18">
        <f>C4-D4-H4</f>
        <v>-778.79000000000087</v>
      </c>
      <c r="K4" s="17">
        <f>J4/C4</f>
        <v>-5.26316145164561E-2</v>
      </c>
      <c r="L4" s="16">
        <v>8827</v>
      </c>
      <c r="M4" s="16">
        <v>8827</v>
      </c>
      <c r="N4" s="15">
        <v>0</v>
      </c>
      <c r="O4" s="16">
        <v>4270</v>
      </c>
      <c r="P4" s="19">
        <v>0</v>
      </c>
      <c r="Q4" s="16">
        <v>1700</v>
      </c>
      <c r="R4" s="16">
        <v>9220</v>
      </c>
      <c r="S4" s="2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0" customHeight="1" thickBot="1" x14ac:dyDescent="0.45">
      <c r="A5" s="14">
        <v>2</v>
      </c>
      <c r="B5" s="15" t="s">
        <v>15</v>
      </c>
      <c r="C5" s="16">
        <v>17889</v>
      </c>
      <c r="D5" s="16">
        <v>11649</v>
      </c>
      <c r="E5" s="17">
        <f>D5/C5</f>
        <v>0.65118229079322487</v>
      </c>
      <c r="F5" s="16">
        <f t="shared" ref="F5:F35" si="0">C5-D5</f>
        <v>6240</v>
      </c>
      <c r="G5" s="17">
        <f t="shared" ref="G5:G35" si="1">F5/C5</f>
        <v>0.34881770920677513</v>
      </c>
      <c r="H5" s="16">
        <v>3439</v>
      </c>
      <c r="I5" s="17">
        <f t="shared" ref="I5:I35" si="2">H5/C5</f>
        <v>0.1922410419811057</v>
      </c>
      <c r="J5" s="18">
        <f t="shared" ref="J5:J35" si="3">C5-D5-H5</f>
        <v>2801</v>
      </c>
      <c r="K5" s="17">
        <f t="shared" ref="K5:K35" si="4">J5/C5</f>
        <v>0.1565766672256694</v>
      </c>
      <c r="L5" s="16">
        <v>14450</v>
      </c>
      <c r="M5" s="16">
        <v>14450</v>
      </c>
      <c r="N5" s="15">
        <v>0</v>
      </c>
      <c r="O5" s="16">
        <v>1284</v>
      </c>
      <c r="P5" s="19">
        <v>60</v>
      </c>
      <c r="Q5" s="16">
        <v>2095</v>
      </c>
      <c r="R5" s="16">
        <v>6430</v>
      </c>
      <c r="S5" s="2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0" customHeight="1" thickBot="1" x14ac:dyDescent="0.45">
      <c r="A6" s="14">
        <v>3</v>
      </c>
      <c r="B6" s="15" t="s">
        <v>16</v>
      </c>
      <c r="C6" s="16">
        <v>16664</v>
      </c>
      <c r="D6" s="16">
        <v>10808.92</v>
      </c>
      <c r="E6" s="17">
        <f t="shared" ref="E6:E35" si="5">D6/C6</f>
        <v>0.64863898223715799</v>
      </c>
      <c r="F6" s="16">
        <f t="shared" si="0"/>
        <v>5855.08</v>
      </c>
      <c r="G6" s="17">
        <f t="shared" si="1"/>
        <v>0.35136101776284206</v>
      </c>
      <c r="H6" s="16">
        <v>5491</v>
      </c>
      <c r="I6" s="17">
        <f t="shared" si="2"/>
        <v>0.32951272203552567</v>
      </c>
      <c r="J6" s="18">
        <f t="shared" si="3"/>
        <v>364.07999999999993</v>
      </c>
      <c r="K6" s="17">
        <f t="shared" si="4"/>
        <v>2.1848295727316367E-2</v>
      </c>
      <c r="L6" s="16">
        <v>11173</v>
      </c>
      <c r="M6" s="16">
        <v>11181.5</v>
      </c>
      <c r="N6" s="15">
        <v>8.5</v>
      </c>
      <c r="O6" s="16">
        <v>1091</v>
      </c>
      <c r="P6" s="19">
        <v>0</v>
      </c>
      <c r="Q6" s="16">
        <v>4400</v>
      </c>
      <c r="R6" s="16">
        <v>11134</v>
      </c>
      <c r="S6" s="20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0" customHeight="1" thickBot="1" x14ac:dyDescent="0.45">
      <c r="A7" s="14">
        <v>4</v>
      </c>
      <c r="B7" s="15" t="s">
        <v>17</v>
      </c>
      <c r="C7" s="16">
        <v>12936</v>
      </c>
      <c r="D7" s="16">
        <v>8419.6299999999992</v>
      </c>
      <c r="E7" s="17">
        <f t="shared" si="5"/>
        <v>0.65086811997526273</v>
      </c>
      <c r="F7" s="16">
        <f t="shared" si="0"/>
        <v>4516.3700000000008</v>
      </c>
      <c r="G7" s="17">
        <f t="shared" si="1"/>
        <v>0.34913188002473722</v>
      </c>
      <c r="H7" s="16">
        <v>10512.5</v>
      </c>
      <c r="I7" s="17">
        <f t="shared" si="2"/>
        <v>0.81265460729746442</v>
      </c>
      <c r="J7" s="18">
        <f t="shared" si="3"/>
        <v>-5996.1299999999992</v>
      </c>
      <c r="K7" s="17">
        <f t="shared" si="4"/>
        <v>-0.4635227272727272</v>
      </c>
      <c r="L7" s="16">
        <v>2423.5</v>
      </c>
      <c r="M7" s="16">
        <v>2424</v>
      </c>
      <c r="N7" s="15">
        <v>0.5</v>
      </c>
      <c r="O7" s="19">
        <v>0</v>
      </c>
      <c r="P7" s="19">
        <v>90</v>
      </c>
      <c r="Q7" s="16">
        <v>1360</v>
      </c>
      <c r="R7" s="16">
        <v>22005</v>
      </c>
      <c r="S7" s="20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0" customHeight="1" thickBot="1" x14ac:dyDescent="0.45">
      <c r="A8" s="14">
        <v>5</v>
      </c>
      <c r="B8" s="15" t="s">
        <v>18</v>
      </c>
      <c r="C8" s="16">
        <v>19041</v>
      </c>
      <c r="D8" s="16">
        <v>12350.92</v>
      </c>
      <c r="E8" s="17">
        <f t="shared" si="5"/>
        <v>0.6486487054251352</v>
      </c>
      <c r="F8" s="16">
        <f t="shared" si="0"/>
        <v>6690.08</v>
      </c>
      <c r="G8" s="17">
        <f t="shared" si="1"/>
        <v>0.35135129457486475</v>
      </c>
      <c r="H8" s="16">
        <v>6767.5</v>
      </c>
      <c r="I8" s="17">
        <f t="shared" si="2"/>
        <v>0.35541725749698022</v>
      </c>
      <c r="J8" s="18">
        <f t="shared" si="3"/>
        <v>-77.420000000000073</v>
      </c>
      <c r="K8" s="17">
        <f t="shared" si="4"/>
        <v>-4.0659629221154389E-3</v>
      </c>
      <c r="L8" s="16">
        <v>12273.5</v>
      </c>
      <c r="M8" s="16">
        <v>12279</v>
      </c>
      <c r="N8" s="15">
        <v>5.5</v>
      </c>
      <c r="O8" s="16">
        <v>4270</v>
      </c>
      <c r="P8" s="19">
        <v>500</v>
      </c>
      <c r="Q8" s="16">
        <v>1997.5</v>
      </c>
      <c r="R8" s="19">
        <v>0</v>
      </c>
      <c r="S8" s="20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0" customHeight="1" thickBot="1" x14ac:dyDescent="0.45">
      <c r="A9" s="14">
        <v>6</v>
      </c>
      <c r="B9" s="15" t="s">
        <v>19</v>
      </c>
      <c r="C9" s="16">
        <v>16561</v>
      </c>
      <c r="D9" s="16">
        <v>10785.54</v>
      </c>
      <c r="E9" s="17">
        <f t="shared" si="5"/>
        <v>0.65126139725861976</v>
      </c>
      <c r="F9" s="16">
        <f t="shared" si="0"/>
        <v>5775.4599999999991</v>
      </c>
      <c r="G9" s="17">
        <f t="shared" si="1"/>
        <v>0.3487386027413803</v>
      </c>
      <c r="H9" s="16">
        <v>7360</v>
      </c>
      <c r="I9" s="17">
        <f t="shared" si="2"/>
        <v>0.44441760763238936</v>
      </c>
      <c r="J9" s="18">
        <f t="shared" si="3"/>
        <v>-1584.5400000000009</v>
      </c>
      <c r="K9" s="17">
        <f t="shared" si="4"/>
        <v>-9.5679004891009056E-2</v>
      </c>
      <c r="L9" s="16">
        <v>9201</v>
      </c>
      <c r="M9" s="16">
        <v>9207.5</v>
      </c>
      <c r="N9" s="15">
        <v>6.5</v>
      </c>
      <c r="O9" s="16">
        <v>5185</v>
      </c>
      <c r="P9" s="19">
        <v>60</v>
      </c>
      <c r="Q9" s="16">
        <v>2115</v>
      </c>
      <c r="R9" s="16">
        <v>5030</v>
      </c>
      <c r="S9" s="20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0" customHeight="1" thickBot="1" x14ac:dyDescent="0.45">
      <c r="A10" s="14">
        <v>7</v>
      </c>
      <c r="B10" s="15" t="s">
        <v>20</v>
      </c>
      <c r="C10" s="16">
        <v>14102</v>
      </c>
      <c r="D10" s="16">
        <v>9137.1299999999992</v>
      </c>
      <c r="E10" s="17">
        <f t="shared" si="5"/>
        <v>0.64793149907814485</v>
      </c>
      <c r="F10" s="16">
        <f t="shared" si="0"/>
        <v>4964.8700000000008</v>
      </c>
      <c r="G10" s="17">
        <f t="shared" si="1"/>
        <v>0.3520685009218551</v>
      </c>
      <c r="H10" s="16">
        <v>7694</v>
      </c>
      <c r="I10" s="17">
        <f t="shared" si="2"/>
        <v>0.54559636930931787</v>
      </c>
      <c r="J10" s="18">
        <f t="shared" si="3"/>
        <v>-2729.1299999999992</v>
      </c>
      <c r="K10" s="17">
        <f t="shared" si="4"/>
        <v>-0.19352786838746272</v>
      </c>
      <c r="L10" s="16">
        <v>6408</v>
      </c>
      <c r="M10" s="16">
        <v>6410</v>
      </c>
      <c r="N10" s="15">
        <v>2</v>
      </c>
      <c r="O10" s="16">
        <v>3660</v>
      </c>
      <c r="P10" s="19">
        <v>530</v>
      </c>
      <c r="Q10" s="16">
        <v>3504</v>
      </c>
      <c r="R10" s="16">
        <v>8160</v>
      </c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0" customHeight="1" thickBot="1" x14ac:dyDescent="0.45">
      <c r="A11" s="14">
        <v>8</v>
      </c>
      <c r="B11" s="15" t="s">
        <v>21</v>
      </c>
      <c r="C11" s="16">
        <v>18444</v>
      </c>
      <c r="D11" s="16">
        <v>12150.17</v>
      </c>
      <c r="E11" s="17">
        <f t="shared" si="5"/>
        <v>0.65876003036217745</v>
      </c>
      <c r="F11" s="16">
        <f t="shared" si="0"/>
        <v>6293.83</v>
      </c>
      <c r="G11" s="17">
        <f t="shared" si="1"/>
        <v>0.3412399696378226</v>
      </c>
      <c r="H11" s="16">
        <v>8305.2900000000009</v>
      </c>
      <c r="I11" s="17">
        <f t="shared" si="2"/>
        <v>0.45029765777488617</v>
      </c>
      <c r="J11" s="18">
        <f t="shared" si="3"/>
        <v>-2011.4600000000009</v>
      </c>
      <c r="K11" s="17">
        <f t="shared" si="4"/>
        <v>-0.1090576881370636</v>
      </c>
      <c r="L11" s="16">
        <v>10138.709999999999</v>
      </c>
      <c r="M11" s="16">
        <v>10141</v>
      </c>
      <c r="N11" s="15">
        <v>2.29</v>
      </c>
      <c r="O11" s="16">
        <v>6775.29</v>
      </c>
      <c r="P11" s="19">
        <v>0</v>
      </c>
      <c r="Q11" s="16">
        <v>1530</v>
      </c>
      <c r="R11" s="16">
        <v>7611</v>
      </c>
      <c r="S11" s="20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0" customHeight="1" thickBot="1" x14ac:dyDescent="0.45">
      <c r="A12" s="14">
        <v>9</v>
      </c>
      <c r="B12" s="15" t="s">
        <v>22</v>
      </c>
      <c r="C12" s="16">
        <v>18214</v>
      </c>
      <c r="D12" s="16">
        <v>11928.04</v>
      </c>
      <c r="E12" s="17">
        <f t="shared" si="5"/>
        <v>0.6548830569891293</v>
      </c>
      <c r="F12" s="16">
        <f t="shared" si="0"/>
        <v>6285.9599999999991</v>
      </c>
      <c r="G12" s="17">
        <f t="shared" si="1"/>
        <v>0.3451169430108707</v>
      </c>
      <c r="H12" s="16">
        <v>9968.25</v>
      </c>
      <c r="I12" s="17">
        <f t="shared" si="2"/>
        <v>0.54728505545185024</v>
      </c>
      <c r="J12" s="18">
        <f t="shared" si="3"/>
        <v>-3682.2900000000009</v>
      </c>
      <c r="K12" s="17">
        <f t="shared" si="4"/>
        <v>-0.20216811244097951</v>
      </c>
      <c r="L12" s="16">
        <v>8245.75</v>
      </c>
      <c r="M12" s="16">
        <v>8250</v>
      </c>
      <c r="N12" s="15">
        <v>4.25</v>
      </c>
      <c r="O12" s="16">
        <v>8378.25</v>
      </c>
      <c r="P12" s="19">
        <v>60</v>
      </c>
      <c r="Q12" s="16">
        <v>1530</v>
      </c>
      <c r="R12" s="16">
        <v>9254</v>
      </c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0" customHeight="1" thickBot="1" x14ac:dyDescent="0.45">
      <c r="A13" s="14">
        <v>10</v>
      </c>
      <c r="B13" s="15" t="s">
        <v>23</v>
      </c>
      <c r="C13" s="16">
        <v>15286</v>
      </c>
      <c r="D13" s="16">
        <v>10011.33</v>
      </c>
      <c r="E13" s="17">
        <f t="shared" si="5"/>
        <v>0.65493458066204369</v>
      </c>
      <c r="F13" s="16">
        <f t="shared" si="0"/>
        <v>5274.67</v>
      </c>
      <c r="G13" s="17">
        <f t="shared" si="1"/>
        <v>0.34506541933795631</v>
      </c>
      <c r="H13" s="16">
        <v>8505</v>
      </c>
      <c r="I13" s="17">
        <f t="shared" si="2"/>
        <v>0.5563914693183305</v>
      </c>
      <c r="J13" s="18">
        <f t="shared" si="3"/>
        <v>-3230.33</v>
      </c>
      <c r="K13" s="17">
        <f t="shared" si="4"/>
        <v>-0.21132604998037419</v>
      </c>
      <c r="L13" s="16">
        <v>6781</v>
      </c>
      <c r="M13" s="16">
        <v>6781</v>
      </c>
      <c r="N13" s="15">
        <v>0</v>
      </c>
      <c r="O13" s="16">
        <v>5000</v>
      </c>
      <c r="P13" s="19">
        <v>0</v>
      </c>
      <c r="Q13" s="16">
        <v>3505</v>
      </c>
      <c r="R13" s="16">
        <v>9520</v>
      </c>
      <c r="S13" s="20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0" customHeight="1" thickBot="1" x14ac:dyDescent="0.45">
      <c r="A14" s="14">
        <v>11</v>
      </c>
      <c r="B14" s="15" t="s">
        <v>24</v>
      </c>
      <c r="C14" s="16">
        <v>17440</v>
      </c>
      <c r="D14" s="16">
        <v>11410.79</v>
      </c>
      <c r="E14" s="17">
        <f t="shared" si="5"/>
        <v>0.6542884174311927</v>
      </c>
      <c r="F14" s="16">
        <f t="shared" si="0"/>
        <v>6029.2099999999991</v>
      </c>
      <c r="G14" s="17">
        <f t="shared" si="1"/>
        <v>0.3457115825688073</v>
      </c>
      <c r="H14" s="16">
        <v>15145.5</v>
      </c>
      <c r="I14" s="17">
        <f t="shared" si="2"/>
        <v>0.86843463302752288</v>
      </c>
      <c r="J14" s="18">
        <f t="shared" si="3"/>
        <v>-9116.2900000000009</v>
      </c>
      <c r="K14" s="17">
        <f t="shared" si="4"/>
        <v>-0.5227230504587157</v>
      </c>
      <c r="L14" s="16">
        <v>2294.5</v>
      </c>
      <c r="M14" s="16">
        <v>2295</v>
      </c>
      <c r="N14" s="15">
        <v>0.5</v>
      </c>
      <c r="O14" s="16">
        <v>4200</v>
      </c>
      <c r="P14" s="19">
        <v>60</v>
      </c>
      <c r="Q14" s="16">
        <v>1823</v>
      </c>
      <c r="R14" s="16">
        <v>21764</v>
      </c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0" customHeight="1" thickBot="1" x14ac:dyDescent="0.45">
      <c r="A15" s="14">
        <v>12</v>
      </c>
      <c r="B15" s="15" t="s">
        <v>25</v>
      </c>
      <c r="C15" s="16">
        <v>20150</v>
      </c>
      <c r="D15" s="16">
        <v>13324.46</v>
      </c>
      <c r="E15" s="17">
        <f t="shared" si="5"/>
        <v>0.66126352357320095</v>
      </c>
      <c r="F15" s="16">
        <f t="shared" si="0"/>
        <v>6825.5400000000009</v>
      </c>
      <c r="G15" s="17">
        <f t="shared" si="1"/>
        <v>0.33873647642679905</v>
      </c>
      <c r="H15" s="16">
        <v>2552.14</v>
      </c>
      <c r="I15" s="17">
        <f t="shared" si="2"/>
        <v>0.12665707196029777</v>
      </c>
      <c r="J15" s="18">
        <f t="shared" si="3"/>
        <v>4273.4000000000015</v>
      </c>
      <c r="K15" s="17">
        <f t="shared" si="4"/>
        <v>0.21207940446650131</v>
      </c>
      <c r="L15" s="16">
        <v>17597.86</v>
      </c>
      <c r="M15" s="16">
        <v>17603</v>
      </c>
      <c r="N15" s="15">
        <v>5.14</v>
      </c>
      <c r="O15" s="16">
        <v>1022.14</v>
      </c>
      <c r="P15" s="19">
        <v>0</v>
      </c>
      <c r="Q15" s="16">
        <v>1530</v>
      </c>
      <c r="R15" s="19">
        <v>0</v>
      </c>
      <c r="S15" s="20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0" customHeight="1" thickBot="1" x14ac:dyDescent="0.45">
      <c r="A16" s="14">
        <v>13</v>
      </c>
      <c r="B16" s="15" t="s">
        <v>26</v>
      </c>
      <c r="C16" s="16">
        <v>15248</v>
      </c>
      <c r="D16" s="16">
        <v>9916.5</v>
      </c>
      <c r="E16" s="17">
        <f t="shared" si="5"/>
        <v>0.65034758656873037</v>
      </c>
      <c r="F16" s="16">
        <f t="shared" si="0"/>
        <v>5331.5</v>
      </c>
      <c r="G16" s="17">
        <f t="shared" si="1"/>
        <v>0.34965241343126968</v>
      </c>
      <c r="H16" s="16">
        <v>3090</v>
      </c>
      <c r="I16" s="17">
        <f t="shared" si="2"/>
        <v>0.20264952780692549</v>
      </c>
      <c r="J16" s="18">
        <f t="shared" si="3"/>
        <v>2241.5</v>
      </c>
      <c r="K16" s="17">
        <f t="shared" si="4"/>
        <v>0.14700288562434419</v>
      </c>
      <c r="L16" s="16">
        <v>12158</v>
      </c>
      <c r="M16" s="16">
        <v>12159</v>
      </c>
      <c r="N16" s="15">
        <v>1</v>
      </c>
      <c r="O16" s="19">
        <v>275</v>
      </c>
      <c r="P16" s="19">
        <v>90</v>
      </c>
      <c r="Q16" s="16">
        <v>2725</v>
      </c>
      <c r="R16" s="16">
        <v>10531</v>
      </c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20" customHeight="1" thickBot="1" x14ac:dyDescent="0.45">
      <c r="A17" s="14">
        <v>14</v>
      </c>
      <c r="B17" s="15" t="s">
        <v>27</v>
      </c>
      <c r="C17" s="16">
        <v>15740</v>
      </c>
      <c r="D17" s="16">
        <v>10227.42</v>
      </c>
      <c r="E17" s="17">
        <f t="shared" si="5"/>
        <v>0.6497725540025413</v>
      </c>
      <c r="F17" s="16">
        <f t="shared" si="0"/>
        <v>5512.58</v>
      </c>
      <c r="G17" s="17">
        <f t="shared" si="1"/>
        <v>0.3502274459974587</v>
      </c>
      <c r="H17" s="16">
        <v>10380.5</v>
      </c>
      <c r="I17" s="17">
        <f t="shared" si="2"/>
        <v>0.65949809402795423</v>
      </c>
      <c r="J17" s="18">
        <f t="shared" si="3"/>
        <v>-4867.92</v>
      </c>
      <c r="K17" s="17">
        <f t="shared" si="4"/>
        <v>-0.30927064803049553</v>
      </c>
      <c r="L17" s="16">
        <v>5359.5</v>
      </c>
      <c r="M17" s="16">
        <v>5359.5</v>
      </c>
      <c r="N17" s="15">
        <v>0</v>
      </c>
      <c r="O17" s="16">
        <v>6909.5</v>
      </c>
      <c r="P17" s="19">
        <v>0</v>
      </c>
      <c r="Q17" s="16">
        <v>3471</v>
      </c>
      <c r="R17" s="16">
        <v>7160</v>
      </c>
      <c r="S17" s="20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20" customHeight="1" thickBot="1" x14ac:dyDescent="0.45">
      <c r="A18" s="14">
        <v>15</v>
      </c>
      <c r="B18" s="15" t="s">
        <v>28</v>
      </c>
      <c r="C18" s="16">
        <v>18654</v>
      </c>
      <c r="D18" s="16">
        <v>12174</v>
      </c>
      <c r="E18" s="17">
        <f t="shared" si="5"/>
        <v>0.65262142167899651</v>
      </c>
      <c r="F18" s="16">
        <f t="shared" si="0"/>
        <v>6480</v>
      </c>
      <c r="G18" s="17">
        <f t="shared" si="1"/>
        <v>0.34737857832100355</v>
      </c>
      <c r="H18" s="16">
        <v>4627.87</v>
      </c>
      <c r="I18" s="17">
        <f t="shared" si="2"/>
        <v>0.24808995389728744</v>
      </c>
      <c r="J18" s="18">
        <f t="shared" si="3"/>
        <v>1852.13</v>
      </c>
      <c r="K18" s="17">
        <f t="shared" si="4"/>
        <v>9.9288624423716096E-2</v>
      </c>
      <c r="L18" s="16">
        <v>14026.13</v>
      </c>
      <c r="M18" s="16">
        <v>14026</v>
      </c>
      <c r="N18" s="15">
        <v>-0.13</v>
      </c>
      <c r="O18" s="16">
        <v>3007.87</v>
      </c>
      <c r="P18" s="19">
        <v>90</v>
      </c>
      <c r="Q18" s="16">
        <v>1530</v>
      </c>
      <c r="R18" s="16">
        <v>8614</v>
      </c>
      <c r="S18" s="2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0" customHeight="1" thickBot="1" x14ac:dyDescent="0.45">
      <c r="A19" s="14">
        <v>16</v>
      </c>
      <c r="B19" s="15" t="s">
        <v>29</v>
      </c>
      <c r="C19" s="16">
        <v>17527</v>
      </c>
      <c r="D19" s="16">
        <v>11429.25</v>
      </c>
      <c r="E19" s="17">
        <f t="shared" si="5"/>
        <v>0.65209391224967195</v>
      </c>
      <c r="F19" s="16">
        <f t="shared" si="0"/>
        <v>6097.75</v>
      </c>
      <c r="G19" s="17">
        <f t="shared" si="1"/>
        <v>0.34790608775032805</v>
      </c>
      <c r="H19" s="16">
        <v>5675</v>
      </c>
      <c r="I19" s="17">
        <f t="shared" si="2"/>
        <v>0.32378615849831688</v>
      </c>
      <c r="J19" s="18">
        <f t="shared" si="3"/>
        <v>422.75</v>
      </c>
      <c r="K19" s="17">
        <f t="shared" si="4"/>
        <v>2.4119929252011181E-2</v>
      </c>
      <c r="L19" s="16">
        <v>11852</v>
      </c>
      <c r="M19" s="16">
        <v>11853</v>
      </c>
      <c r="N19" s="15">
        <v>1</v>
      </c>
      <c r="O19" s="16">
        <v>4060</v>
      </c>
      <c r="P19" s="19">
        <v>0</v>
      </c>
      <c r="Q19" s="16">
        <v>1615</v>
      </c>
      <c r="R19" s="16">
        <v>8120</v>
      </c>
      <c r="S19" s="20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0" customHeight="1" thickBot="1" x14ac:dyDescent="0.45">
      <c r="A20" s="14">
        <v>17</v>
      </c>
      <c r="B20" s="15" t="s">
        <v>30</v>
      </c>
      <c r="C20" s="16">
        <v>17898</v>
      </c>
      <c r="D20" s="16">
        <v>11617.13</v>
      </c>
      <c r="E20" s="17">
        <f t="shared" si="5"/>
        <v>0.64907419823443957</v>
      </c>
      <c r="F20" s="16">
        <f t="shared" si="0"/>
        <v>6280.8700000000008</v>
      </c>
      <c r="G20" s="17">
        <f t="shared" si="1"/>
        <v>0.35092580176556043</v>
      </c>
      <c r="H20" s="16">
        <v>7460.69</v>
      </c>
      <c r="I20" s="17">
        <f t="shared" si="2"/>
        <v>0.41684489887138226</v>
      </c>
      <c r="J20" s="18">
        <f t="shared" si="3"/>
        <v>-1179.8199999999988</v>
      </c>
      <c r="K20" s="17">
        <f t="shared" si="4"/>
        <v>-6.5919097105821806E-2</v>
      </c>
      <c r="L20" s="16">
        <v>10437.31</v>
      </c>
      <c r="M20" s="16">
        <v>10438</v>
      </c>
      <c r="N20" s="15">
        <v>0.69</v>
      </c>
      <c r="O20" s="16">
        <v>4200.6899999999996</v>
      </c>
      <c r="P20" s="19">
        <v>90</v>
      </c>
      <c r="Q20" s="16">
        <v>3170</v>
      </c>
      <c r="R20" s="16">
        <v>12270</v>
      </c>
      <c r="S20" s="20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20" customHeight="1" thickBot="1" x14ac:dyDescent="0.45">
      <c r="A21" s="14">
        <v>18</v>
      </c>
      <c r="B21" s="15" t="s">
        <v>31</v>
      </c>
      <c r="C21" s="16">
        <v>16732</v>
      </c>
      <c r="D21" s="16">
        <v>10915.04</v>
      </c>
      <c r="E21" s="17">
        <f t="shared" si="5"/>
        <v>0.65234520678938568</v>
      </c>
      <c r="F21" s="16">
        <f t="shared" si="0"/>
        <v>5816.9599999999991</v>
      </c>
      <c r="G21" s="17">
        <f t="shared" si="1"/>
        <v>0.34765479321061432</v>
      </c>
      <c r="H21" s="16">
        <v>14353.57</v>
      </c>
      <c r="I21" s="17">
        <f t="shared" si="2"/>
        <v>0.85785142242409751</v>
      </c>
      <c r="J21" s="18">
        <f t="shared" si="3"/>
        <v>-8536.61</v>
      </c>
      <c r="K21" s="17">
        <f t="shared" si="4"/>
        <v>-0.51019662921348319</v>
      </c>
      <c r="L21" s="16">
        <v>2378.4299999999998</v>
      </c>
      <c r="M21" s="16">
        <v>2379</v>
      </c>
      <c r="N21" s="15">
        <v>0.56999999999999995</v>
      </c>
      <c r="O21" s="19">
        <v>11.07</v>
      </c>
      <c r="P21" s="19">
        <v>30</v>
      </c>
      <c r="Q21" s="16">
        <v>1700</v>
      </c>
      <c r="R21" s="16">
        <v>22701</v>
      </c>
      <c r="S21" s="20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20" customHeight="1" thickBot="1" x14ac:dyDescent="0.45">
      <c r="A22" s="14">
        <v>19</v>
      </c>
      <c r="B22" s="15" t="s">
        <v>32</v>
      </c>
      <c r="C22" s="16">
        <v>20302</v>
      </c>
      <c r="D22" s="16">
        <v>13097.13</v>
      </c>
      <c r="E22" s="17">
        <f t="shared" si="5"/>
        <v>0.64511525958033689</v>
      </c>
      <c r="F22" s="16">
        <f t="shared" si="0"/>
        <v>7204.8700000000008</v>
      </c>
      <c r="G22" s="17">
        <f t="shared" si="1"/>
        <v>0.35488474041966311</v>
      </c>
      <c r="H22" s="16">
        <v>2210.87</v>
      </c>
      <c r="I22" s="17">
        <f t="shared" si="2"/>
        <v>0.10889912323908973</v>
      </c>
      <c r="J22" s="18">
        <f t="shared" si="3"/>
        <v>4994.0000000000009</v>
      </c>
      <c r="K22" s="17">
        <f t="shared" si="4"/>
        <v>0.24598561718057338</v>
      </c>
      <c r="L22" s="16">
        <v>18091.13</v>
      </c>
      <c r="M22" s="16">
        <v>18092</v>
      </c>
      <c r="N22" s="15">
        <v>0.87</v>
      </c>
      <c r="O22" s="19">
        <v>85.87</v>
      </c>
      <c r="P22" s="19">
        <v>0</v>
      </c>
      <c r="Q22" s="16">
        <v>2125</v>
      </c>
      <c r="R22" s="19">
        <v>0</v>
      </c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20" customHeight="1" thickBot="1" x14ac:dyDescent="0.45">
      <c r="A23" s="14">
        <v>20</v>
      </c>
      <c r="B23" s="15" t="s">
        <v>33</v>
      </c>
      <c r="C23" s="16">
        <v>15110</v>
      </c>
      <c r="D23" s="16">
        <v>9739.75</v>
      </c>
      <c r="E23" s="17">
        <f t="shared" si="5"/>
        <v>0.64458967571144932</v>
      </c>
      <c r="F23" s="16">
        <f t="shared" si="0"/>
        <v>5370.25</v>
      </c>
      <c r="G23" s="17">
        <f t="shared" si="1"/>
        <v>0.35541032428855063</v>
      </c>
      <c r="H23" s="16">
        <v>2175.9499999999998</v>
      </c>
      <c r="I23" s="17">
        <f t="shared" si="2"/>
        <v>0.14400727994705492</v>
      </c>
      <c r="J23" s="18">
        <f t="shared" si="3"/>
        <v>3194.3</v>
      </c>
      <c r="K23" s="17">
        <f t="shared" si="4"/>
        <v>0.21140304434149571</v>
      </c>
      <c r="L23" s="16">
        <v>12934.05</v>
      </c>
      <c r="M23" s="16">
        <v>12936</v>
      </c>
      <c r="N23" s="15">
        <v>1.95</v>
      </c>
      <c r="O23" s="19">
        <v>555.95000000000005</v>
      </c>
      <c r="P23" s="19">
        <v>90</v>
      </c>
      <c r="Q23" s="16">
        <v>1530</v>
      </c>
      <c r="R23" s="16">
        <v>8704</v>
      </c>
      <c r="S23" s="20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0" customHeight="1" thickBot="1" x14ac:dyDescent="0.45">
      <c r="A24" s="14">
        <v>21</v>
      </c>
      <c r="B24" s="15" t="s">
        <v>34</v>
      </c>
      <c r="C24" s="16">
        <v>15951</v>
      </c>
      <c r="D24" s="16">
        <v>10394.58</v>
      </c>
      <c r="E24" s="17">
        <f t="shared" si="5"/>
        <v>0.65165694940756069</v>
      </c>
      <c r="F24" s="16">
        <f t="shared" si="0"/>
        <v>5556.42</v>
      </c>
      <c r="G24" s="17">
        <f t="shared" si="1"/>
        <v>0.34834305059243936</v>
      </c>
      <c r="H24" s="16">
        <v>7877.82</v>
      </c>
      <c r="I24" s="17">
        <f t="shared" si="2"/>
        <v>0.49387624600338537</v>
      </c>
      <c r="J24" s="18">
        <f t="shared" si="3"/>
        <v>-2321.3999999999996</v>
      </c>
      <c r="K24" s="17">
        <f t="shared" si="4"/>
        <v>-0.145533195410946</v>
      </c>
      <c r="L24" s="16">
        <v>8073.18</v>
      </c>
      <c r="M24" s="16">
        <v>8075</v>
      </c>
      <c r="N24" s="15">
        <v>1.82</v>
      </c>
      <c r="O24" s="16">
        <v>1564.82</v>
      </c>
      <c r="P24" s="19">
        <v>135</v>
      </c>
      <c r="Q24" s="16">
        <v>6178</v>
      </c>
      <c r="R24" s="16">
        <v>12380</v>
      </c>
      <c r="S24" s="2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0" customHeight="1" thickBot="1" x14ac:dyDescent="0.45">
      <c r="A25" s="14">
        <v>22</v>
      </c>
      <c r="B25" s="15" t="s">
        <v>35</v>
      </c>
      <c r="C25" s="16">
        <v>15625</v>
      </c>
      <c r="D25" s="16">
        <v>10097.540000000001</v>
      </c>
      <c r="E25" s="17">
        <f t="shared" si="5"/>
        <v>0.64624256000000002</v>
      </c>
      <c r="F25" s="16">
        <f t="shared" si="0"/>
        <v>5527.4599999999991</v>
      </c>
      <c r="G25" s="17">
        <f t="shared" si="1"/>
        <v>0.35375743999999992</v>
      </c>
      <c r="H25" s="16">
        <v>3679</v>
      </c>
      <c r="I25" s="17">
        <f t="shared" si="2"/>
        <v>0.235456</v>
      </c>
      <c r="J25" s="18">
        <f t="shared" si="3"/>
        <v>1848.4599999999991</v>
      </c>
      <c r="K25" s="17">
        <f t="shared" si="4"/>
        <v>0.11830143999999994</v>
      </c>
      <c r="L25" s="16">
        <v>11946</v>
      </c>
      <c r="M25" s="16">
        <v>11947</v>
      </c>
      <c r="N25" s="15">
        <v>1</v>
      </c>
      <c r="O25" s="16">
        <v>1444</v>
      </c>
      <c r="P25" s="19">
        <v>0</v>
      </c>
      <c r="Q25" s="16">
        <v>2235</v>
      </c>
      <c r="R25" s="16">
        <v>8004</v>
      </c>
      <c r="S25" s="20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0" customHeight="1" thickBot="1" x14ac:dyDescent="0.45">
      <c r="A26" s="14">
        <v>23</v>
      </c>
      <c r="B26" s="15" t="s">
        <v>36</v>
      </c>
      <c r="C26" s="16">
        <v>16503</v>
      </c>
      <c r="D26" s="16">
        <v>10745.29</v>
      </c>
      <c r="E26" s="17">
        <f t="shared" si="5"/>
        <v>0.65111131309458892</v>
      </c>
      <c r="F26" s="16">
        <f t="shared" si="0"/>
        <v>5757.7099999999991</v>
      </c>
      <c r="G26" s="17">
        <f t="shared" si="1"/>
        <v>0.34888868690541108</v>
      </c>
      <c r="H26" s="16">
        <v>8999.07</v>
      </c>
      <c r="I26" s="17">
        <f t="shared" si="2"/>
        <v>0.54529903653881107</v>
      </c>
      <c r="J26" s="18">
        <f t="shared" si="3"/>
        <v>-3241.3600000000006</v>
      </c>
      <c r="K26" s="17">
        <f t="shared" si="4"/>
        <v>-0.19641034963340001</v>
      </c>
      <c r="L26" s="16">
        <v>7503.93</v>
      </c>
      <c r="M26" s="16">
        <v>7505</v>
      </c>
      <c r="N26" s="15">
        <v>1.07</v>
      </c>
      <c r="O26" s="16">
        <v>7239.07</v>
      </c>
      <c r="P26" s="19">
        <v>60</v>
      </c>
      <c r="Q26" s="16">
        <v>1700</v>
      </c>
      <c r="R26" s="16">
        <v>7740</v>
      </c>
      <c r="S26" s="2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20" customHeight="1" thickBot="1" x14ac:dyDescent="0.45">
      <c r="A27" s="14">
        <v>24</v>
      </c>
      <c r="B27" s="15" t="s">
        <v>37</v>
      </c>
      <c r="C27" s="16">
        <v>17337</v>
      </c>
      <c r="D27" s="16">
        <v>11357.96</v>
      </c>
      <c r="E27" s="17">
        <f t="shared" si="5"/>
        <v>0.65512833823614225</v>
      </c>
      <c r="F27" s="16">
        <f t="shared" si="0"/>
        <v>5979.0400000000009</v>
      </c>
      <c r="G27" s="17">
        <f t="shared" si="1"/>
        <v>0.3448716617638577</v>
      </c>
      <c r="H27" s="16">
        <v>6551.75</v>
      </c>
      <c r="I27" s="17">
        <f t="shared" si="2"/>
        <v>0.37790563534636906</v>
      </c>
      <c r="J27" s="18">
        <f t="shared" si="3"/>
        <v>-572.70999999999913</v>
      </c>
      <c r="K27" s="17">
        <f t="shared" si="4"/>
        <v>-3.3033973582511339E-2</v>
      </c>
      <c r="L27" s="16">
        <v>10785.25</v>
      </c>
      <c r="M27" s="16">
        <v>10785.25</v>
      </c>
      <c r="N27" s="15">
        <v>0</v>
      </c>
      <c r="O27" s="16">
        <v>2961.75</v>
      </c>
      <c r="P27" s="19">
        <v>0</v>
      </c>
      <c r="Q27" s="16">
        <v>3590</v>
      </c>
      <c r="R27" s="16">
        <v>7311</v>
      </c>
      <c r="S27" s="20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20" customHeight="1" thickBot="1" x14ac:dyDescent="0.45">
      <c r="A28" s="14">
        <v>25</v>
      </c>
      <c r="B28" s="15" t="s">
        <v>38</v>
      </c>
      <c r="C28" s="16">
        <v>14880</v>
      </c>
      <c r="D28" s="16">
        <v>9595.6299999999992</v>
      </c>
      <c r="E28" s="17">
        <f t="shared" si="5"/>
        <v>0.64486760752688166</v>
      </c>
      <c r="F28" s="16">
        <f t="shared" si="0"/>
        <v>5284.3700000000008</v>
      </c>
      <c r="G28" s="17">
        <f t="shared" si="1"/>
        <v>0.35513239247311834</v>
      </c>
      <c r="H28" s="16">
        <v>11383.57</v>
      </c>
      <c r="I28" s="17">
        <f t="shared" si="2"/>
        <v>0.76502486559139782</v>
      </c>
      <c r="J28" s="18">
        <f t="shared" si="3"/>
        <v>-6099.1999999999989</v>
      </c>
      <c r="K28" s="17">
        <f t="shared" si="4"/>
        <v>-0.40989247311827948</v>
      </c>
      <c r="L28" s="16">
        <v>3496.43</v>
      </c>
      <c r="M28" s="16">
        <v>3482</v>
      </c>
      <c r="N28" s="15">
        <v>-14.43</v>
      </c>
      <c r="O28" s="19">
        <v>11.07</v>
      </c>
      <c r="P28" s="19">
        <v>60</v>
      </c>
      <c r="Q28" s="16">
        <v>1700</v>
      </c>
      <c r="R28" s="16">
        <v>21094</v>
      </c>
      <c r="S28" s="2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20" customHeight="1" thickBot="1" x14ac:dyDescent="0.45">
      <c r="A29" s="14">
        <v>26</v>
      </c>
      <c r="B29" s="15" t="s">
        <v>39</v>
      </c>
      <c r="C29" s="16">
        <v>18894</v>
      </c>
      <c r="D29" s="16">
        <v>12175</v>
      </c>
      <c r="E29" s="17">
        <f t="shared" si="5"/>
        <v>0.64438446067534672</v>
      </c>
      <c r="F29" s="16">
        <f t="shared" si="0"/>
        <v>6719</v>
      </c>
      <c r="G29" s="17">
        <f t="shared" si="1"/>
        <v>0.35561553932465334</v>
      </c>
      <c r="H29" s="16">
        <v>6632.99</v>
      </c>
      <c r="I29" s="17">
        <f t="shared" si="2"/>
        <v>0.35106330051868317</v>
      </c>
      <c r="J29" s="18">
        <f t="shared" si="3"/>
        <v>86.010000000000218</v>
      </c>
      <c r="K29" s="17">
        <f t="shared" si="4"/>
        <v>4.5522388059701605E-3</v>
      </c>
      <c r="L29" s="16">
        <v>12261.01</v>
      </c>
      <c r="M29" s="16">
        <v>12263.25</v>
      </c>
      <c r="N29" s="15">
        <v>2.2400000000000002</v>
      </c>
      <c r="O29" s="16">
        <v>4932.99</v>
      </c>
      <c r="P29" s="19">
        <v>0</v>
      </c>
      <c r="Q29" s="16">
        <v>1700</v>
      </c>
      <c r="R29" s="19">
        <v>0</v>
      </c>
      <c r="S29" s="20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20" customHeight="1" thickBot="1" x14ac:dyDescent="0.45">
      <c r="A30" s="14">
        <v>27</v>
      </c>
      <c r="B30" s="15" t="s">
        <v>40</v>
      </c>
      <c r="C30" s="16">
        <v>15393</v>
      </c>
      <c r="D30" s="16">
        <v>9957.5</v>
      </c>
      <c r="E30" s="17">
        <f t="shared" si="5"/>
        <v>0.64688494770350158</v>
      </c>
      <c r="F30" s="16">
        <f t="shared" si="0"/>
        <v>5435.5</v>
      </c>
      <c r="G30" s="17">
        <f t="shared" si="1"/>
        <v>0.35311505229649842</v>
      </c>
      <c r="H30" s="16">
        <v>2110</v>
      </c>
      <c r="I30" s="17">
        <f t="shared" si="2"/>
        <v>0.13707529396478918</v>
      </c>
      <c r="J30" s="18">
        <f t="shared" si="3"/>
        <v>3325.5</v>
      </c>
      <c r="K30" s="17">
        <f t="shared" si="4"/>
        <v>0.21603975833170921</v>
      </c>
      <c r="L30" s="16">
        <v>13283</v>
      </c>
      <c r="M30" s="16">
        <v>13293</v>
      </c>
      <c r="N30" s="15">
        <v>10</v>
      </c>
      <c r="O30" s="19">
        <v>0</v>
      </c>
      <c r="P30" s="19">
        <v>90</v>
      </c>
      <c r="Q30" s="16">
        <v>2020</v>
      </c>
      <c r="R30" s="16">
        <v>9780</v>
      </c>
      <c r="S30" s="20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20" customHeight="1" thickBot="1" x14ac:dyDescent="0.45">
      <c r="A31" s="14">
        <v>28</v>
      </c>
      <c r="B31" s="15" t="s">
        <v>41</v>
      </c>
      <c r="C31" s="16">
        <v>15154</v>
      </c>
      <c r="D31" s="16">
        <v>9716.5400000000009</v>
      </c>
      <c r="E31" s="17">
        <f t="shared" si="5"/>
        <v>0.64118648541639178</v>
      </c>
      <c r="F31" s="16">
        <f t="shared" si="0"/>
        <v>5437.4599999999991</v>
      </c>
      <c r="G31" s="17">
        <f t="shared" si="1"/>
        <v>0.35881351458360822</v>
      </c>
      <c r="H31" s="16">
        <v>6109.75</v>
      </c>
      <c r="I31" s="17">
        <f t="shared" si="2"/>
        <v>0.40317737890985877</v>
      </c>
      <c r="J31" s="18">
        <f t="shared" si="3"/>
        <v>-672.29000000000087</v>
      </c>
      <c r="K31" s="17">
        <f t="shared" si="4"/>
        <v>-4.436386432625055E-2</v>
      </c>
      <c r="L31" s="16">
        <v>9044.25</v>
      </c>
      <c r="M31" s="16">
        <v>9050</v>
      </c>
      <c r="N31" s="15">
        <v>5.75</v>
      </c>
      <c r="O31" s="16">
        <v>1639.75</v>
      </c>
      <c r="P31" s="19">
        <v>0</v>
      </c>
      <c r="Q31" s="16">
        <v>4470</v>
      </c>
      <c r="R31" s="16">
        <v>9335</v>
      </c>
      <c r="S31" s="20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20" customHeight="1" thickBot="1" x14ac:dyDescent="0.45">
      <c r="A32" s="14">
        <v>29</v>
      </c>
      <c r="B32" s="15" t="s">
        <v>42</v>
      </c>
      <c r="C32" s="16">
        <v>12776</v>
      </c>
      <c r="D32" s="16">
        <v>8050.38</v>
      </c>
      <c r="E32" s="17">
        <f t="shared" si="5"/>
        <v>0.63011740763932378</v>
      </c>
      <c r="F32" s="16">
        <f t="shared" si="0"/>
        <v>4725.62</v>
      </c>
      <c r="G32" s="17">
        <f t="shared" si="1"/>
        <v>0.36988259236067628</v>
      </c>
      <c r="H32" s="16">
        <v>1873</v>
      </c>
      <c r="I32" s="17">
        <f t="shared" si="2"/>
        <v>0.14660300563556669</v>
      </c>
      <c r="J32" s="18">
        <f t="shared" si="3"/>
        <v>2852.62</v>
      </c>
      <c r="K32" s="17">
        <f t="shared" si="4"/>
        <v>0.22327958672510959</v>
      </c>
      <c r="L32" s="16">
        <v>10903</v>
      </c>
      <c r="M32" s="16">
        <v>10903</v>
      </c>
      <c r="N32" s="15">
        <v>0</v>
      </c>
      <c r="O32" s="19">
        <v>198</v>
      </c>
      <c r="P32" s="19">
        <v>60</v>
      </c>
      <c r="Q32" s="16">
        <v>1615</v>
      </c>
      <c r="R32" s="16">
        <v>7820</v>
      </c>
      <c r="S32" s="20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20" customHeight="1" thickBot="1" x14ac:dyDescent="0.45">
      <c r="A33" s="14">
        <v>30</v>
      </c>
      <c r="B33" s="15" t="s">
        <v>43</v>
      </c>
      <c r="C33" s="16">
        <v>15386</v>
      </c>
      <c r="D33" s="16">
        <v>9972.17</v>
      </c>
      <c r="E33" s="17">
        <f t="shared" si="5"/>
        <v>0.64813271805537498</v>
      </c>
      <c r="F33" s="16">
        <f t="shared" si="0"/>
        <v>5413.83</v>
      </c>
      <c r="G33" s="17">
        <f t="shared" si="1"/>
        <v>0.35186728194462497</v>
      </c>
      <c r="H33" s="16">
        <v>2015</v>
      </c>
      <c r="I33" s="17">
        <f t="shared" si="2"/>
        <v>0.13096321331080202</v>
      </c>
      <c r="J33" s="18">
        <f t="shared" si="3"/>
        <v>3398.83</v>
      </c>
      <c r="K33" s="17">
        <f t="shared" si="4"/>
        <v>0.22090406863382295</v>
      </c>
      <c r="L33" s="16">
        <v>13371</v>
      </c>
      <c r="M33" s="16">
        <v>13372</v>
      </c>
      <c r="N33" s="15">
        <v>1</v>
      </c>
      <c r="O33" s="19">
        <v>15</v>
      </c>
      <c r="P33" s="19">
        <v>0</v>
      </c>
      <c r="Q33" s="16">
        <v>2000</v>
      </c>
      <c r="R33" s="16">
        <v>6750</v>
      </c>
      <c r="S33" s="20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20" customHeight="1" thickBot="1" x14ac:dyDescent="0.45">
      <c r="A34" s="14">
        <v>31</v>
      </c>
      <c r="B34" s="15" t="s">
        <v>44</v>
      </c>
      <c r="C34" s="16">
        <v>15749</v>
      </c>
      <c r="D34" s="16">
        <v>10133.379999999999</v>
      </c>
      <c r="E34" s="17">
        <f t="shared" si="5"/>
        <v>0.6434300590513683</v>
      </c>
      <c r="F34" s="16">
        <f t="shared" si="0"/>
        <v>5615.6200000000008</v>
      </c>
      <c r="G34" s="17">
        <f t="shared" si="1"/>
        <v>0.3565699409486317</v>
      </c>
      <c r="H34" s="16">
        <v>3009</v>
      </c>
      <c r="I34" s="17">
        <f t="shared" si="2"/>
        <v>0.19105974982538573</v>
      </c>
      <c r="J34" s="18">
        <f t="shared" si="3"/>
        <v>2606.6200000000008</v>
      </c>
      <c r="K34" s="17">
        <f t="shared" si="4"/>
        <v>0.16551019112324597</v>
      </c>
      <c r="L34" s="16">
        <v>12740</v>
      </c>
      <c r="M34" s="16">
        <v>12746</v>
      </c>
      <c r="N34" s="15">
        <v>6</v>
      </c>
      <c r="O34" s="19">
        <v>0</v>
      </c>
      <c r="P34" s="19">
        <v>0</v>
      </c>
      <c r="Q34" s="16">
        <v>3009</v>
      </c>
      <c r="R34" s="16">
        <v>8084</v>
      </c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0" customHeight="1" thickBot="1" x14ac:dyDescent="0.45">
      <c r="A35" s="21" t="s">
        <v>45</v>
      </c>
      <c r="B35" s="22"/>
      <c r="C35" s="23">
        <v>512383</v>
      </c>
      <c r="D35" s="23">
        <f>SUM(D4:D34)</f>
        <v>332893.90999999997</v>
      </c>
      <c r="E35" s="17">
        <f t="shared" si="5"/>
        <v>0.64969741384862489</v>
      </c>
      <c r="F35" s="23">
        <f t="shared" si="0"/>
        <v>179489.09000000003</v>
      </c>
      <c r="G35" s="17">
        <f t="shared" si="1"/>
        <v>0.35030258615137511</v>
      </c>
      <c r="H35" s="23">
        <v>201925.58</v>
      </c>
      <c r="I35" s="17">
        <f t="shared" si="2"/>
        <v>0.39409109982181295</v>
      </c>
      <c r="J35" s="26">
        <f t="shared" si="3"/>
        <v>-22436.489999999962</v>
      </c>
      <c r="K35" s="17">
        <f t="shared" si="4"/>
        <v>-4.3788513670437859E-2</v>
      </c>
      <c r="L35" s="23">
        <v>310457.42</v>
      </c>
      <c r="M35" s="23">
        <v>310513</v>
      </c>
      <c r="N35" s="24">
        <v>55.58</v>
      </c>
      <c r="O35" s="23">
        <v>84248.08</v>
      </c>
      <c r="P35" s="23">
        <v>2155</v>
      </c>
      <c r="Q35" s="23">
        <v>75172.5</v>
      </c>
      <c r="R35" s="23">
        <v>286526</v>
      </c>
      <c r="S35" s="20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6.5" thickBo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20" customHeight="1" thickBot="1" x14ac:dyDescent="0.45">
      <c r="A37" s="11" t="s">
        <v>46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thickBo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6.5" thickBo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6.5" thickBo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6.5" thickBo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6.5" thickBo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6.5" thickBo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6.5" thickBo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6.5" thickBo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6.5" thickBo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6.5" thickBo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.5" thickBo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6.5" thickBo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6.5" thickBo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thickBo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6.5" thickBo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6.5" thickBo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6.5" thickBo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6.5" thickBo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6.5" thickBo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6.5" thickBo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6.5" thickBo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6.5" thickBo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thickBo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thickBo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thickBo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thickBo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thickBo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6.5" thickBo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6.5" thickBo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6.5" thickBo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6.5" thickBo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6.5" thickBo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6.5" thickBo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6.5" thickBo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6.5" thickBo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6.5" thickBo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6.5" thickBo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6.5" thickBo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6.5" thickBo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6.5" thickBo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6.5" thickBo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6.5" thickBo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6.5" thickBo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6.5" thickBo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6.5" thickBo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6.5" thickBo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6.5" thickBo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6.5" thickBo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6.5" thickBo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6.5" thickBo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6.5" thickBo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6.5" thickBo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6.5" thickBo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6.5" thickBo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6.5" thickBo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6.5" thickBo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6.5" thickBo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6.5" thickBo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6.5" thickBo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6.5" thickBo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6.5" thickBo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6.5" thickBo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6.5" thickBo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6.5" thickBo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6.5" thickBo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6.5" thickBo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6.5" thickBo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6.5" thickBo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6.5" thickBo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6.5" thickBo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6.5" thickBo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6.5" thickBo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6.5" thickBo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6.5" thickBo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6.5" thickBo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6.5" thickBo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6.5" thickBo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6.5" thickBo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6.5" thickBo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6.5" thickBo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6.5" thickBo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6.5" thickBo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6.5" thickBo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6.5" thickBo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6.5" thickBo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6.5" thickBo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6.5" thickBo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6.5" thickBo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6.5" thickBo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6.5" thickBo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6.5" thickBo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6.5" thickBo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6.5" thickBo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6.5" thickBo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6.5" thickBo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6.5" thickBo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6.5" thickBo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6.5" thickBo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6.5" thickBo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6.5" thickBo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6.5" thickBo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6.5" thickBo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6.5" thickBo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6.5" thickBo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6.5" thickBo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6.5" thickBo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6.5" thickBo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6.5" thickBo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6.5" thickBo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6.5" thickBo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6.5" thickBo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6.5" thickBo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6.5" thickBo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6.5" thickBo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6.5" thickBo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6.5" thickBo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6.5" thickBo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6.5" thickBo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6.5" thickBo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6.5" thickBo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6.5" thickBo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6.5" thickBo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6.5" thickBo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6.5" thickBo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6.5" thickBo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6.5" thickBo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6.5" thickBo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6.5" thickBo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6.5" thickBo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6.5" thickBo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6.5" thickBo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6.5" thickBo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6.5" thickBo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6.5" thickBo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6.5" thickBo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6.5" thickBo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6.5" thickBo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6.5" thickBo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6.5" thickBo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6.5" thickBo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6.5" thickBo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6.5" thickBo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6.5" thickBo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6.5" thickBo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6.5" thickBo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6.5" thickBo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6.5" thickBo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6.5" thickBo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6.5" thickBo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6.5" thickBo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6.5" thickBo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6.5" thickBo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6.5" thickBo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6.5" thickBo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6.5" thickBo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6.5" thickBo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6.5" thickBo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6.5" thickBo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6.5" thickBo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6.5" thickBo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6.5" thickBo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6.5" thickBo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6.5" thickBo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6.5" thickBo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6.5" thickBo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6.5" thickBo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6.5" thickBo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6.5" thickBo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6.5" thickBo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6.5" thickBo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6.5" thickBo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6.5" thickBo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6.5" thickBo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6.5" thickBo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6.5" thickBo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6.5" thickBo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6.5" thickBo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6.5" thickBo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6.5" thickBo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6.5" thickBo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6.5" thickBo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6.5" thickBo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6.5" thickBo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6.5" thickBo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6.5" thickBo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6.5" thickBo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6.5" thickBo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6.5" thickBo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6.5" thickBo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6.5" thickBo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6.5" thickBo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6.5" thickBo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6.5" thickBo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6.5" thickBo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6.5" thickBo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6.5" thickBo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6.5" thickBo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6.5" thickBo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6.5" thickBo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6.5" thickBo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6.5" thickBo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6.5" thickBo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6.5" thickBo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6.5" thickBo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6.5" thickBo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6.5" thickBo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6.5" thickBo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6.5" thickBo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6.5" thickBo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6.5" thickBo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6.5" thickBo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6.5" thickBo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6.5" thickBo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6.5" thickBo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6.5" thickBo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6.5" thickBo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6.5" thickBo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6.5" thickBo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6.5" thickBo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6.5" thickBo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6.5" thickBo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6.5" thickBo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6.5" thickBo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6.5" thickBo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6.5" thickBo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6.5" thickBo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6.5" thickBo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6.5" thickBo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6.5" thickBo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6.5" thickBo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6.5" thickBo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6.5" thickBo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6.5" thickBo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6.5" thickBo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6.5" thickBo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6.5" thickBo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6.5" thickBo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6.5" thickBo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6.5" thickBo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6.5" thickBo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6.5" thickBo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6.5" thickBo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6.5" thickBo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6.5" thickBo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6.5" thickBo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6.5" thickBo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6.5" thickBo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6.5" thickBo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6.5" thickBo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6.5" thickBo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6.5" thickBo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6.5" thickBo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6.5" thickBo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6.5" thickBo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6.5" thickBo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6.5" thickBo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6.5" thickBo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6.5" thickBo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6.5" thickBo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6.5" thickBo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6.5" thickBo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6.5" thickBo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6.5" thickBo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6.5" thickBo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6.5" thickBo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6.5" thickBo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6.5" thickBo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6.5" thickBo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6.5" thickBo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6.5" thickBo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6.5" thickBo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6.5" thickBo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6.5" thickBo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6.5" thickBo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6.5" thickBo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6.5" thickBo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6.5" thickBo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6.5" thickBo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6.5" thickBo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6.5" thickBo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6.5" thickBo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6.5" thickBo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6.5" thickBo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6.5" thickBo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6.5" thickBo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6.5" thickBo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6.5" thickBo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6.5" thickBo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6.5" thickBo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6.5" thickBo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6.5" thickBo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6.5" thickBo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6.5" thickBo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6.5" thickBo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6.5" thickBo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6.5" thickBo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6.5" thickBo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6.5" thickBo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6.5" thickBo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6.5" thickBo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6.5" thickBo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6.5" thickBo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6.5" thickBo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6.5" thickBo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6.5" thickBo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6.5" thickBo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6.5" thickBo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6.5" thickBo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6.5" thickBo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6.5" thickBo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6.5" thickBo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6.5" thickBo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6.5" thickBo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6.5" thickBo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6.5" thickBo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6.5" thickBo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6.5" thickBo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6.5" thickBo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6.5" thickBo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6.5" thickBo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6.5" thickBo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6.5" thickBo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6.5" thickBo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6.5" thickBo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6.5" thickBo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6.5" thickBo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6.5" thickBo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6.5" thickBo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6.5" thickBo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6.5" thickBo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6.5" thickBo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6.5" thickBo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6.5" thickBo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6.5" thickBo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6.5" thickBo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6.5" thickBo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6.5" thickBo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6.5" thickBo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6.5" thickBo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6.5" thickBo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6.5" thickBo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6.5" thickBo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6.5" thickBo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6.5" thickBo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6.5" thickBo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6.5" thickBo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6.5" thickBo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6.5" thickBo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6.5" thickBo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6.5" thickBo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6.5" thickBo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6.5" thickBo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6.5" thickBo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6.5" thickBo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6.5" thickBo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6.5" thickBo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6.5" thickBo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6.5" thickBo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6.5" thickBo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6.5" thickBo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6.5" thickBo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6.5" thickBo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6.5" thickBo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6.5" thickBo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6.5" thickBo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6.5" thickBo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6.5" thickBo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6.5" thickBo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6.5" thickBo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6.5" thickBo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6.5" thickBo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6.5" thickBo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6.5" thickBo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6.5" thickBo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6.5" thickBo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6.5" thickBo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6.5" thickBo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6.5" thickBo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6.5" thickBo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6.5" thickBo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6.5" thickBo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6.5" thickBo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6.5" thickBo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6.5" thickBo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6.5" thickBo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6.5" thickBo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6.5" thickBo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6.5" thickBo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6.5" thickBo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6.5" thickBo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6.5" thickBo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6.5" thickBo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6.5" thickBo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6.5" thickBo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6.5" thickBo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6.5" thickBo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6.5" thickBo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6.5" thickBo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6.5" thickBo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6.5" thickBo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6.5" thickBo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6.5" thickBo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6.5" thickBo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6.5" thickBo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6.5" thickBo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6.5" thickBo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6.5" thickBo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6.5" thickBo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6.5" thickBo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6.5" thickBo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6.5" thickBo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6.5" thickBo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6.5" thickBo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6.5" thickBo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6.5" thickBo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6.5" thickBo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6.5" thickBo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6.5" thickBo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6.5" thickBo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6.5" thickBo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6.5" thickBo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6.5" thickBo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6.5" thickBo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6.5" thickBo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6.5" thickBo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6.5" thickBo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6.5" thickBo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6.5" thickBo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6.5" thickBo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6.5" thickBo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6.5" thickBo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6.5" thickBo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6.5" thickBo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6.5" thickBo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6.5" thickBo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6.5" thickBo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6.5" thickBo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6.5" thickBo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6.5" thickBo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6.5" thickBo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6.5" thickBo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6.5" thickBo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6.5" thickBo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6.5" thickBo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6.5" thickBo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6.5" thickBo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6.5" thickBo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6.5" thickBo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6.5" thickBo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6.5" thickBo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6.5" thickBo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6.5" thickBo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6.5" thickBo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6.5" thickBo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6.5" thickBo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6.5" thickBo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6.5" thickBo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6.5" thickBo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6.5" thickBo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6.5" thickBo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6.5" thickBo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6.5" thickBo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6.5" thickBo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6.5" thickBo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6.5" thickBo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6.5" thickBo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6.5" thickBo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6.5" thickBo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6.5" thickBo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6.5" thickBo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6.5" thickBo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6.5" thickBo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6.5" thickBo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6.5" thickBo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6.5" thickBo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6.5" thickBo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6.5" thickBo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6.5" thickBo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6.5" thickBo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6.5" thickBo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6.5" thickBo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6.5" thickBo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6.5" thickBo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6.5" thickBo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6.5" thickBo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6.5" thickBo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6.5" thickBo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6.5" thickBo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6.5" thickBo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6.5" thickBo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6.5" thickBo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6.5" thickBo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6.5" thickBo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6.5" thickBo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6.5" thickBo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6.5" thickBo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6.5" thickBo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6.5" thickBo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6.5" thickBo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6.5" thickBo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6.5" thickBo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6.5" thickBo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6.5" thickBo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6.5" thickBo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6.5" thickBo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6.5" thickBo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6.5" thickBo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6.5" thickBo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6.5" thickBo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6.5" thickBo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6.5" thickBo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6.5" thickBo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6.5" thickBo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6.5" thickBo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6.5" thickBo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6.5" thickBo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6.5" thickBo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6.5" thickBo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6.5" thickBo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6.5" thickBo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6.5" thickBo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6.5" thickBo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6.5" thickBo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6.5" thickBo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6.5" thickBo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6.5" thickBo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6.5" thickBo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6.5" thickBo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6.5" thickBo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6.5" thickBo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6.5" thickBo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6.5" thickBo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6.5" thickBo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6.5" thickBo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6.5" thickBo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6.5" thickBo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6.5" thickBo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6.5" thickBo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6.5" thickBo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6.5" thickBo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6.5" thickBo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6.5" thickBo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6.5" thickBo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6.5" thickBo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6.5" thickBo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6.5" thickBo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6.5" thickBo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6.5" thickBo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6.5" thickBo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6.5" thickBo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6.5" thickBo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6.5" thickBo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6.5" thickBo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6.5" thickBo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6.5" thickBo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6.5" thickBo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6.5" thickBo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6.5" thickBo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6.5" thickBo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6.5" thickBo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6.5" thickBo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6.5" thickBo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6.5" thickBo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6.5" thickBo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6.5" thickBo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6.5" thickBo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6.5" thickBo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6.5" thickBo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6.5" thickBo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6.5" thickBo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6.5" thickBo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6.5" thickBo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6.5" thickBo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6.5" thickBo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6.5" thickBo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6.5" thickBo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6.5" thickBo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6.5" thickBo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6.5" thickBo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6.5" thickBo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6.5" thickBo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6.5" thickBo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6.5" thickBo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6.5" thickBo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6.5" thickBo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6.5" thickBo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6.5" thickBo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6.5" thickBo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6.5" thickBo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6.5" thickBo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6.5" thickBo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6.5" thickBo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6.5" thickBo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6.5" thickBo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6.5" thickBo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6.5" thickBo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6.5" thickBo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6.5" thickBo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6.5" thickBo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6.5" thickBo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6.5" thickBo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6.5" thickBo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6.5" thickBo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6.5" thickBo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6.5" thickBo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6.5" thickBo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6.5" thickBo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6.5" thickBo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6.5" thickBo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6.5" thickBo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6.5" thickBo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6.5" thickBo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6.5" thickBo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6.5" thickBo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6.5" thickBo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6.5" thickBo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6.5" thickBo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6.5" thickBo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6.5" thickBo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6.5" thickBo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6.5" thickBo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6.5" thickBo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6.5" thickBo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6.5" thickBo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6.5" thickBo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6.5" thickBo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6.5" thickBo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6.5" thickBo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6.5" thickBo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6.5" thickBo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6.5" thickBo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6.5" thickBo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6.5" thickBo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6.5" thickBo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6.5" thickBo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6.5" thickBo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6.5" thickBo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6.5" thickBo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6.5" thickBo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6.5" thickBo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6.5" thickBo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6.5" thickBo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6.5" thickBo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6.5" thickBo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6.5" thickBo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6.5" thickBo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6.5" thickBo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6.5" thickBo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6.5" thickBo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6.5" thickBo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6.5" thickBo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6.5" thickBo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6.5" thickBo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6.5" thickBo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6.5" thickBo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6.5" thickBo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6.5" thickBo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6.5" thickBo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6.5" thickBo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6.5" thickBo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6.5" thickBo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6.5" thickBo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6.5" thickBo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6.5" thickBo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6.5" thickBo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6.5" thickBo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6.5" thickBo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6.5" thickBo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6.5" thickBo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6.5" thickBo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6.5" thickBo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6.5" thickBo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6.5" thickBo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6.5" thickBo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6.5" thickBo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6.5" thickBo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6.5" thickBo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6.5" thickBo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6.5" thickBo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6.5" thickBo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6.5" thickBo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6.5" thickBo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6.5" thickBo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6.5" thickBo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6.5" thickBo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6.5" thickBo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6.5" thickBo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6.5" thickBo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6.5" thickBo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6.5" thickBo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6.5" thickBo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6.5" thickBo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6.5" thickBo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6.5" thickBo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6.5" thickBo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6.5" thickBo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6.5" thickBo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6.5" thickBo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6.5" thickBo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6.5" thickBo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6.5" thickBo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6.5" thickBo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6.5" thickBo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6.5" thickBo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6.5" thickBo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6.5" thickBo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6.5" thickBo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6.5" thickBo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6.5" thickBo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6.5" thickBo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6.5" thickBo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6.5" thickBo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6.5" thickBo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6.5" thickBo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6.5" thickBo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6.5" thickBo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6.5" thickBo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6.5" thickBo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6.5" thickBo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6.5" thickBo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6.5" thickBo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6.5" thickBo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6.5" thickBo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6.5" thickBo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6.5" thickBo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6.5" thickBo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6.5" thickBo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6.5" thickBo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6.5" thickBo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6.5" thickBo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6.5" thickBo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6.5" thickBo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6.5" thickBo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6.5" thickBo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6.5" thickBo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6.5" thickBo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6.5" thickBo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6.5" thickBo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6.5" thickBo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6.5" thickBo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6.5" thickBo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6.5" thickBo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6.5" thickBo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6.5" thickBo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6.5" thickBo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6.5" thickBo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6.5" thickBo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6.5" thickBo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6.5" thickBo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6.5" thickBo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6.5" thickBo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6.5" thickBo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6.5" thickBo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6.5" thickBo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6.5" thickBo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6.5" thickBo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6.5" thickBo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6.5" thickBo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6.5" thickBo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6.5" thickBo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6.5" thickBo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6.5" thickBo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6.5" thickBo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6.5" thickBo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6.5" thickBo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6.5" thickBo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6.5" thickBo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6.5" thickBo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6.5" thickBo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6.5" thickBo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6.5" thickBo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6.5" thickBo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6.5" thickBo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6.5" thickBo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6.5" thickBo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6.5" thickBo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6.5" thickBo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6.5" thickBo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6.5" thickBo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6.5" thickBo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6.5" thickBo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6.5" thickBo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6.5" thickBo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6.5" thickBo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6.5" thickBo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6.5" thickBo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6.5" thickBo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6.5" thickBo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6.5" thickBo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6.5" thickBo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6.5" thickBo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6.5" thickBo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6.5" thickBo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6.5" thickBo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6.5" thickBo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6.5" thickBo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6.5" thickBo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6.5" thickBo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6.5" thickBo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6.5" thickBo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6.5" thickBo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6.5" thickBo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6.5" thickBo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6.5" thickBo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6.5" thickBo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6.5" thickBo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6.5" thickBo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6.5" thickBo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6.5" thickBo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6.5" thickBo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6.5" thickBo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6.5" thickBo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6.5" thickBo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6.5" thickBo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6.5" thickBo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6.5" thickBo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6.5" thickBo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6.5" thickBo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6.5" thickBo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6.5" thickBo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6.5" thickBo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6.5" thickBo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6.5" thickBo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6.5" thickBo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6.5" thickBo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6.5" thickBo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6.5" thickBo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6.5" thickBo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6.5" thickBo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6.5" thickBo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6.5" thickBo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6.5" thickBo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6.5" thickBo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6.5" thickBo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6.5" thickBo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6.5" thickBo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6.5" thickBo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6.5" thickBo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6.5" thickBo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6.5" thickBo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6.5" thickBo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6.5" thickBo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6.5" thickBo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6.5" thickBo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6.5" thickBo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6.5" thickBo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6.5" thickBo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6.5" thickBo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6.5" thickBo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6.5" thickBo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6.5" thickBo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6.5" thickBo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6.5" thickBo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6.5" thickBo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6.5" thickBo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6.5" thickBo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6.5" thickBo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6.5" thickBo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6.5" thickBo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6.5" thickBo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6.5" thickBo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6.5" thickBo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6.5" thickBo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6.5" thickBo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6.5" thickBo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6.5" thickBo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6.5" thickBo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6.5" thickBo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6.5" thickBo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6.5" thickBo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6.5" thickBo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6.5" thickBo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6.5" thickBo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6.5" thickBo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6.5" thickBo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6.5" thickBo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6.5" thickBo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6.5" thickBo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6.5" thickBo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6.5" thickBo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6.5" thickBo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6.5" thickBo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6.5" thickBo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6.5" thickBo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6.5" thickBo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6.5" thickBo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6.5" thickBo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6.5" thickBo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6.5" thickBo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6.5" thickBo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6.5" thickBo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6.5" thickBo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6.5" thickBo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6.5" thickBo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6.5" thickBo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6.5" thickBo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6.5" thickBo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6.5" thickBo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6.5" thickBo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6.5" thickBo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6.5" thickBo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6.5" thickBo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6.5" thickBo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6.5" thickBo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6.5" thickBo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6.5" thickBo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6.5" thickBo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6.5" thickBo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6.5" thickBo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6.5" thickBo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6.5" thickBo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6.5" thickBo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6.5" thickBo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6.5" thickBo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6.5" thickBo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6.5" thickBo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6.5" thickBo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6.5" thickBo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6.5" thickBo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6.5" thickBo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6.5" thickBo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6.5" thickBo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6.5" thickBo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6.5" thickBo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6.5" thickBo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6.5" thickBo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6.5" thickBo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6.5" thickBo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6.5" thickBo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6.5" thickBo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6.5" thickBo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6.5" thickBo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6.5" thickBo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6.5" thickBo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6.5" thickBo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6.5" thickBo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6.5" thickBo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6.5" thickBo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6.5" thickBo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6.5" thickBo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6.5" thickBo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6.5" thickBo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6.5" thickBo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6.5" thickBo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6.5" thickBo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6.5" thickBo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6.5" thickBo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6.5" thickBo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6.5" thickBo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6.5" thickBo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6.5" thickBo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6.5" thickBo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6.5" thickBo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6.5" thickBo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6.5" thickBo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6.5" thickBo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6.5" thickBo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6.5" thickBo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6.5" thickBo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6.5" thickBo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6.5" thickBo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6.5" thickBo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6.5" thickBo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A1:S1"/>
    <mergeCell ref="A2:S2"/>
    <mergeCell ref="A35:B35"/>
    <mergeCell ref="A37:S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4660-2762-4A42-BF7C-0CB25B767C88}">
  <dimension ref="A1:AI1000"/>
  <sheetViews>
    <sheetView workbookViewId="0">
      <selection activeCell="B4" sqref="B4"/>
    </sheetView>
  </sheetViews>
  <sheetFormatPr defaultRowHeight="16" x14ac:dyDescent="0.4"/>
  <cols>
    <col min="1" max="1" width="14.08984375" style="2" customWidth="1"/>
    <col min="2" max="2" width="13.7265625" style="2" customWidth="1"/>
    <col min="3" max="3" width="14.1796875" style="2" customWidth="1"/>
    <col min="4" max="4" width="14.90625" style="2" customWidth="1"/>
    <col min="5" max="5" width="16.36328125" style="2" customWidth="1"/>
    <col min="6" max="6" width="14.1796875" style="2" customWidth="1"/>
    <col min="7" max="7" width="15.81640625" style="2" customWidth="1"/>
    <col min="8" max="8" width="17.08984375" style="2" customWidth="1"/>
    <col min="9" max="9" width="11.453125" style="2" customWidth="1"/>
    <col min="10" max="11" width="14.08984375" style="2" customWidth="1"/>
    <col min="12" max="12" width="15.36328125" style="2" customWidth="1"/>
    <col min="13" max="13" width="16.08984375" style="2" customWidth="1"/>
    <col min="14" max="14" width="13.1796875" style="2" customWidth="1"/>
    <col min="15" max="15" width="12.90625" style="2" customWidth="1"/>
    <col min="16" max="16" width="14.1796875" style="2" customWidth="1"/>
    <col min="17" max="17" width="13.7265625" style="2" customWidth="1"/>
    <col min="18" max="18" width="12.08984375" style="2" customWidth="1"/>
    <col min="19" max="19" width="16.08984375" style="2" customWidth="1"/>
    <col min="20" max="20" width="14.90625" style="2" customWidth="1"/>
    <col min="21" max="21" width="12.81640625" style="2" customWidth="1"/>
    <col min="22" max="16384" width="8.7265625" style="2"/>
  </cols>
  <sheetData>
    <row r="1" spans="1:35" ht="16.5" thickBot="1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6.5" thickBot="1" x14ac:dyDescent="0.45">
      <c r="A2" s="8" t="s">
        <v>71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47" thickBot="1" x14ac:dyDescent="0.45">
      <c r="A3" s="3" t="s">
        <v>72</v>
      </c>
      <c r="B3" s="4" t="s">
        <v>3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63</v>
      </c>
      <c r="K3" s="4" t="s">
        <v>64</v>
      </c>
      <c r="L3" s="4" t="s">
        <v>60</v>
      </c>
      <c r="M3" s="4" t="s">
        <v>61</v>
      </c>
      <c r="N3" s="4" t="s">
        <v>62</v>
      </c>
      <c r="O3" s="4" t="s">
        <v>65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0" customHeight="1" thickBot="1" x14ac:dyDescent="0.45">
      <c r="A4" s="14"/>
      <c r="B4" s="15"/>
      <c r="C4" s="16"/>
      <c r="D4" s="16"/>
      <c r="E4" s="17"/>
      <c r="F4" s="16"/>
      <c r="G4" s="17"/>
      <c r="H4" s="16"/>
      <c r="I4" s="17"/>
      <c r="J4" s="25"/>
      <c r="K4" s="25"/>
      <c r="L4" s="18"/>
      <c r="M4" s="17"/>
      <c r="N4" s="16"/>
      <c r="O4" s="16"/>
      <c r="P4" s="15"/>
      <c r="Q4" s="16"/>
      <c r="R4" s="19"/>
      <c r="S4" s="16"/>
      <c r="T4" s="16"/>
      <c r="U4" s="20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0" customHeight="1" thickBot="1" x14ac:dyDescent="0.45">
      <c r="A5" s="14"/>
      <c r="B5" s="15"/>
      <c r="C5" s="16"/>
      <c r="D5" s="16"/>
      <c r="E5" s="17"/>
      <c r="F5" s="16"/>
      <c r="G5" s="17"/>
      <c r="H5" s="16"/>
      <c r="I5" s="17"/>
      <c r="J5" s="17"/>
      <c r="K5" s="17"/>
      <c r="L5" s="18"/>
      <c r="M5" s="17"/>
      <c r="N5" s="16"/>
      <c r="O5" s="16"/>
      <c r="P5" s="15"/>
      <c r="Q5" s="16"/>
      <c r="R5" s="19"/>
      <c r="S5" s="16"/>
      <c r="T5" s="16"/>
      <c r="U5" s="20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0" customHeight="1" thickBot="1" x14ac:dyDescent="0.45">
      <c r="A6" s="14"/>
      <c r="B6" s="15"/>
      <c r="C6" s="16"/>
      <c r="D6" s="16"/>
      <c r="E6" s="17"/>
      <c r="F6" s="16"/>
      <c r="G6" s="17"/>
      <c r="H6" s="16"/>
      <c r="I6" s="17"/>
      <c r="J6" s="17"/>
      <c r="K6" s="17"/>
      <c r="L6" s="18"/>
      <c r="M6" s="17"/>
      <c r="N6" s="16"/>
      <c r="O6" s="16"/>
      <c r="P6" s="15"/>
      <c r="Q6" s="16"/>
      <c r="R6" s="19"/>
      <c r="S6" s="16"/>
      <c r="T6" s="16"/>
      <c r="U6" s="20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20" customHeight="1" thickBot="1" x14ac:dyDescent="0.45">
      <c r="A7" s="14"/>
      <c r="B7" s="15"/>
      <c r="C7" s="16"/>
      <c r="D7" s="16"/>
      <c r="E7" s="17"/>
      <c r="F7" s="16"/>
      <c r="G7" s="17"/>
      <c r="H7" s="16"/>
      <c r="I7" s="17"/>
      <c r="J7" s="17"/>
      <c r="K7" s="17"/>
      <c r="L7" s="18"/>
      <c r="M7" s="17"/>
      <c r="N7" s="16"/>
      <c r="O7" s="16"/>
      <c r="P7" s="15"/>
      <c r="Q7" s="19"/>
      <c r="R7" s="19"/>
      <c r="S7" s="16"/>
      <c r="T7" s="16"/>
      <c r="U7" s="20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0" customHeight="1" thickBot="1" x14ac:dyDescent="0.45">
      <c r="A8" s="14"/>
      <c r="B8" s="15"/>
      <c r="C8" s="16"/>
      <c r="D8" s="16"/>
      <c r="E8" s="17"/>
      <c r="F8" s="16"/>
      <c r="G8" s="17"/>
      <c r="H8" s="16"/>
      <c r="I8" s="17"/>
      <c r="J8" s="17"/>
      <c r="K8" s="17"/>
      <c r="L8" s="18"/>
      <c r="M8" s="17"/>
      <c r="N8" s="16"/>
      <c r="O8" s="16"/>
      <c r="P8" s="15"/>
      <c r="Q8" s="16"/>
      <c r="R8" s="19"/>
      <c r="S8" s="16"/>
      <c r="T8" s="19"/>
      <c r="U8" s="20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0" customHeight="1" thickBot="1" x14ac:dyDescent="0.45">
      <c r="A9" s="14"/>
      <c r="B9" s="15"/>
      <c r="C9" s="16"/>
      <c r="D9" s="16"/>
      <c r="E9" s="17"/>
      <c r="F9" s="16"/>
      <c r="G9" s="17"/>
      <c r="H9" s="16"/>
      <c r="I9" s="17"/>
      <c r="J9" s="17"/>
      <c r="K9" s="17"/>
      <c r="L9" s="18"/>
      <c r="M9" s="17"/>
      <c r="N9" s="16"/>
      <c r="O9" s="16"/>
      <c r="P9" s="15"/>
      <c r="Q9" s="16"/>
      <c r="R9" s="19"/>
      <c r="S9" s="16"/>
      <c r="T9" s="16"/>
      <c r="U9" s="20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20" customHeight="1" thickBot="1" x14ac:dyDescent="0.45">
      <c r="A10" s="14"/>
      <c r="B10" s="15"/>
      <c r="C10" s="16"/>
      <c r="D10" s="16"/>
      <c r="E10" s="17"/>
      <c r="F10" s="16"/>
      <c r="G10" s="17"/>
      <c r="H10" s="16"/>
      <c r="I10" s="17"/>
      <c r="J10" s="17"/>
      <c r="K10" s="17"/>
      <c r="L10" s="18"/>
      <c r="M10" s="17"/>
      <c r="N10" s="16"/>
      <c r="O10" s="16"/>
      <c r="P10" s="15"/>
      <c r="Q10" s="16"/>
      <c r="R10" s="19"/>
      <c r="S10" s="16"/>
      <c r="T10" s="16"/>
      <c r="U10" s="20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20" customHeight="1" thickBot="1" x14ac:dyDescent="0.45">
      <c r="A11" s="14"/>
      <c r="B11" s="15"/>
      <c r="C11" s="16"/>
      <c r="D11" s="16"/>
      <c r="E11" s="17"/>
      <c r="F11" s="16"/>
      <c r="G11" s="17"/>
      <c r="H11" s="16"/>
      <c r="I11" s="17"/>
      <c r="J11" s="17"/>
      <c r="K11" s="17"/>
      <c r="L11" s="18"/>
      <c r="M11" s="17"/>
      <c r="N11" s="16"/>
      <c r="O11" s="16"/>
      <c r="P11" s="15"/>
      <c r="Q11" s="16"/>
      <c r="R11" s="19"/>
      <c r="S11" s="16"/>
      <c r="T11" s="16"/>
      <c r="U11" s="20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0" customHeight="1" thickBot="1" x14ac:dyDescent="0.45">
      <c r="A12" s="14"/>
      <c r="B12" s="15"/>
      <c r="C12" s="16"/>
      <c r="D12" s="16"/>
      <c r="E12" s="17"/>
      <c r="F12" s="16"/>
      <c r="G12" s="17"/>
      <c r="H12" s="16"/>
      <c r="I12" s="17"/>
      <c r="J12" s="17"/>
      <c r="K12" s="17"/>
      <c r="L12" s="18"/>
      <c r="M12" s="17"/>
      <c r="N12" s="16"/>
      <c r="O12" s="16"/>
      <c r="P12" s="15"/>
      <c r="Q12" s="16"/>
      <c r="R12" s="19"/>
      <c r="S12" s="16"/>
      <c r="T12" s="16"/>
      <c r="U12" s="20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0" customHeight="1" thickBot="1" x14ac:dyDescent="0.45">
      <c r="A13" s="14"/>
      <c r="B13" s="15"/>
      <c r="C13" s="16"/>
      <c r="D13" s="16"/>
      <c r="E13" s="17"/>
      <c r="F13" s="16"/>
      <c r="G13" s="17"/>
      <c r="H13" s="16"/>
      <c r="I13" s="17"/>
      <c r="J13" s="17"/>
      <c r="K13" s="17"/>
      <c r="L13" s="18"/>
      <c r="M13" s="17"/>
      <c r="N13" s="16"/>
      <c r="O13" s="16"/>
      <c r="P13" s="15"/>
      <c r="Q13" s="16"/>
      <c r="R13" s="19"/>
      <c r="S13" s="16"/>
      <c r="T13" s="16"/>
      <c r="U13" s="20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20" customHeight="1" thickBot="1" x14ac:dyDescent="0.45">
      <c r="A14" s="14"/>
      <c r="B14" s="15"/>
      <c r="C14" s="16"/>
      <c r="D14" s="16"/>
      <c r="E14" s="17"/>
      <c r="F14" s="16"/>
      <c r="G14" s="17"/>
      <c r="H14" s="16"/>
      <c r="I14" s="17"/>
      <c r="J14" s="17"/>
      <c r="K14" s="17"/>
      <c r="L14" s="18"/>
      <c r="M14" s="17"/>
      <c r="N14" s="16"/>
      <c r="O14" s="16"/>
      <c r="P14" s="15"/>
      <c r="Q14" s="16"/>
      <c r="R14" s="19"/>
      <c r="S14" s="16"/>
      <c r="T14" s="16"/>
      <c r="U14" s="20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0" customHeight="1" thickBot="1" x14ac:dyDescent="0.45">
      <c r="A15" s="14"/>
      <c r="B15" s="15"/>
      <c r="C15" s="16"/>
      <c r="D15" s="16"/>
      <c r="E15" s="17"/>
      <c r="F15" s="16"/>
      <c r="G15" s="17"/>
      <c r="H15" s="16"/>
      <c r="I15" s="17"/>
      <c r="J15" s="17"/>
      <c r="K15" s="17"/>
      <c r="L15" s="18"/>
      <c r="M15" s="17"/>
      <c r="N15" s="16"/>
      <c r="O15" s="16"/>
      <c r="P15" s="15"/>
      <c r="Q15" s="16"/>
      <c r="R15" s="19"/>
      <c r="S15" s="16"/>
      <c r="T15" s="19"/>
      <c r="U15" s="20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0" customHeight="1" thickBot="1" x14ac:dyDescent="0.45">
      <c r="A16" s="14"/>
      <c r="B16" s="15"/>
      <c r="C16" s="16"/>
      <c r="D16" s="16"/>
      <c r="E16" s="17"/>
      <c r="F16" s="16"/>
      <c r="G16" s="17"/>
      <c r="H16" s="16"/>
      <c r="I16" s="17"/>
      <c r="J16" s="17"/>
      <c r="K16" s="17"/>
      <c r="L16" s="18"/>
      <c r="M16" s="17"/>
      <c r="N16" s="16"/>
      <c r="O16" s="16"/>
      <c r="P16" s="15"/>
      <c r="Q16" s="19"/>
      <c r="R16" s="19"/>
      <c r="S16" s="16"/>
      <c r="T16" s="16"/>
      <c r="U16" s="2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20" customHeight="1" thickBot="1" x14ac:dyDescent="0.45">
      <c r="A17" s="14"/>
      <c r="B17" s="15"/>
      <c r="C17" s="16"/>
      <c r="D17" s="16"/>
      <c r="E17" s="17"/>
      <c r="F17" s="16"/>
      <c r="G17" s="17"/>
      <c r="H17" s="16"/>
      <c r="I17" s="17"/>
      <c r="J17" s="17"/>
      <c r="K17" s="17"/>
      <c r="L17" s="18"/>
      <c r="M17" s="17"/>
      <c r="N17" s="16"/>
      <c r="O17" s="16"/>
      <c r="P17" s="15"/>
      <c r="Q17" s="16"/>
      <c r="R17" s="19"/>
      <c r="S17" s="16"/>
      <c r="T17" s="16"/>
      <c r="U17" s="20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20" customHeight="1" thickBot="1" x14ac:dyDescent="0.45">
      <c r="A18" s="14"/>
      <c r="B18" s="15"/>
      <c r="C18" s="16"/>
      <c r="D18" s="16"/>
      <c r="E18" s="17"/>
      <c r="F18" s="16"/>
      <c r="G18" s="17"/>
      <c r="H18" s="16"/>
      <c r="I18" s="17"/>
      <c r="J18" s="17"/>
      <c r="K18" s="17"/>
      <c r="L18" s="18"/>
      <c r="M18" s="17"/>
      <c r="N18" s="16"/>
      <c r="O18" s="16"/>
      <c r="P18" s="15"/>
      <c r="Q18" s="16"/>
      <c r="R18" s="19"/>
      <c r="S18" s="16"/>
      <c r="T18" s="16"/>
      <c r="U18" s="20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20" customHeight="1" thickBot="1" x14ac:dyDescent="0.45">
      <c r="A19" s="14"/>
      <c r="B19" s="15"/>
      <c r="C19" s="16"/>
      <c r="D19" s="16"/>
      <c r="E19" s="17"/>
      <c r="F19" s="16"/>
      <c r="G19" s="17"/>
      <c r="H19" s="16"/>
      <c r="I19" s="17"/>
      <c r="J19" s="17"/>
      <c r="K19" s="17"/>
      <c r="L19" s="18"/>
      <c r="M19" s="17"/>
      <c r="N19" s="16"/>
      <c r="O19" s="16"/>
      <c r="P19" s="15"/>
      <c r="Q19" s="16"/>
      <c r="R19" s="19"/>
      <c r="S19" s="16"/>
      <c r="T19" s="16"/>
      <c r="U19" s="20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20" customHeight="1" thickBot="1" x14ac:dyDescent="0.45">
      <c r="A20" s="14"/>
      <c r="B20" s="15"/>
      <c r="C20" s="16"/>
      <c r="D20" s="16"/>
      <c r="E20" s="17"/>
      <c r="F20" s="16"/>
      <c r="G20" s="17"/>
      <c r="H20" s="16"/>
      <c r="I20" s="17"/>
      <c r="J20" s="17"/>
      <c r="K20" s="17"/>
      <c r="L20" s="18"/>
      <c r="M20" s="17"/>
      <c r="N20" s="16"/>
      <c r="O20" s="16"/>
      <c r="P20" s="15"/>
      <c r="Q20" s="16"/>
      <c r="R20" s="19"/>
      <c r="S20" s="16"/>
      <c r="T20" s="16"/>
      <c r="U20" s="20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20" customHeight="1" thickBot="1" x14ac:dyDescent="0.45">
      <c r="A21" s="14"/>
      <c r="B21" s="15"/>
      <c r="C21" s="16"/>
      <c r="D21" s="16"/>
      <c r="E21" s="17"/>
      <c r="F21" s="16"/>
      <c r="G21" s="17"/>
      <c r="H21" s="16"/>
      <c r="I21" s="17"/>
      <c r="J21" s="17"/>
      <c r="K21" s="17"/>
      <c r="L21" s="18"/>
      <c r="M21" s="17"/>
      <c r="N21" s="16"/>
      <c r="O21" s="16"/>
      <c r="P21" s="15"/>
      <c r="Q21" s="19"/>
      <c r="R21" s="19"/>
      <c r="S21" s="16"/>
      <c r="T21" s="16"/>
      <c r="U21" s="20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20" customHeight="1" thickBot="1" x14ac:dyDescent="0.45">
      <c r="A22" s="14"/>
      <c r="B22" s="15"/>
      <c r="C22" s="16"/>
      <c r="D22" s="16"/>
      <c r="E22" s="17"/>
      <c r="F22" s="16"/>
      <c r="G22" s="17"/>
      <c r="H22" s="16"/>
      <c r="I22" s="17"/>
      <c r="J22" s="17"/>
      <c r="K22" s="17"/>
      <c r="L22" s="18"/>
      <c r="M22" s="17"/>
      <c r="N22" s="16"/>
      <c r="O22" s="16"/>
      <c r="P22" s="15"/>
      <c r="Q22" s="19"/>
      <c r="R22" s="19"/>
      <c r="S22" s="16"/>
      <c r="T22" s="19"/>
      <c r="U22" s="20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20" customHeight="1" thickBot="1" x14ac:dyDescent="0.45">
      <c r="A23" s="14"/>
      <c r="B23" s="15"/>
      <c r="C23" s="16"/>
      <c r="D23" s="16"/>
      <c r="E23" s="17"/>
      <c r="F23" s="16"/>
      <c r="G23" s="17"/>
      <c r="H23" s="16"/>
      <c r="I23" s="17"/>
      <c r="J23" s="17"/>
      <c r="K23" s="17"/>
      <c r="L23" s="18"/>
      <c r="M23" s="17"/>
      <c r="N23" s="16"/>
      <c r="O23" s="16"/>
      <c r="P23" s="15"/>
      <c r="Q23" s="19"/>
      <c r="R23" s="19"/>
      <c r="S23" s="16"/>
      <c r="T23" s="16"/>
      <c r="U23" s="20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0" customHeight="1" thickBot="1" x14ac:dyDescent="0.45">
      <c r="A24" s="14"/>
      <c r="B24" s="15"/>
      <c r="C24" s="16"/>
      <c r="D24" s="16"/>
      <c r="E24" s="17"/>
      <c r="F24" s="16"/>
      <c r="G24" s="17"/>
      <c r="H24" s="16"/>
      <c r="I24" s="17"/>
      <c r="J24" s="17"/>
      <c r="K24" s="17"/>
      <c r="L24" s="18"/>
      <c r="M24" s="17"/>
      <c r="N24" s="16"/>
      <c r="O24" s="16"/>
      <c r="P24" s="15"/>
      <c r="Q24" s="16"/>
      <c r="R24" s="19"/>
      <c r="S24" s="16"/>
      <c r="T24" s="16"/>
      <c r="U24" s="20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20" customHeight="1" thickBot="1" x14ac:dyDescent="0.45">
      <c r="A25" s="14"/>
      <c r="B25" s="15"/>
      <c r="C25" s="16"/>
      <c r="D25" s="16"/>
      <c r="E25" s="17"/>
      <c r="F25" s="16"/>
      <c r="G25" s="17"/>
      <c r="H25" s="16"/>
      <c r="I25" s="17"/>
      <c r="J25" s="17"/>
      <c r="K25" s="17"/>
      <c r="L25" s="18"/>
      <c r="M25" s="17"/>
      <c r="N25" s="16"/>
      <c r="O25" s="16"/>
      <c r="P25" s="15"/>
      <c r="Q25" s="16"/>
      <c r="R25" s="19"/>
      <c r="S25" s="16"/>
      <c r="T25" s="16"/>
      <c r="U25" s="20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20" customHeight="1" thickBot="1" x14ac:dyDescent="0.45">
      <c r="A26" s="14"/>
      <c r="B26" s="15"/>
      <c r="C26" s="16"/>
      <c r="D26" s="16"/>
      <c r="E26" s="17"/>
      <c r="F26" s="16"/>
      <c r="G26" s="17"/>
      <c r="H26" s="16"/>
      <c r="I26" s="17"/>
      <c r="J26" s="17"/>
      <c r="K26" s="17"/>
      <c r="L26" s="18"/>
      <c r="M26" s="17"/>
      <c r="N26" s="16"/>
      <c r="O26" s="16"/>
      <c r="P26" s="15"/>
      <c r="Q26" s="16"/>
      <c r="R26" s="19"/>
      <c r="S26" s="16"/>
      <c r="T26" s="16"/>
      <c r="U26" s="20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20" customHeight="1" thickBot="1" x14ac:dyDescent="0.45">
      <c r="A27" s="14"/>
      <c r="B27" s="15"/>
      <c r="C27" s="16"/>
      <c r="D27" s="16"/>
      <c r="E27" s="17"/>
      <c r="F27" s="16"/>
      <c r="G27" s="17"/>
      <c r="H27" s="16"/>
      <c r="I27" s="17"/>
      <c r="J27" s="17"/>
      <c r="K27" s="17"/>
      <c r="L27" s="18"/>
      <c r="M27" s="17"/>
      <c r="N27" s="16"/>
      <c r="O27" s="16"/>
      <c r="P27" s="15"/>
      <c r="Q27" s="16"/>
      <c r="R27" s="19"/>
      <c r="S27" s="16"/>
      <c r="T27" s="16"/>
      <c r="U27" s="20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0" customHeight="1" thickBot="1" x14ac:dyDescent="0.45">
      <c r="A28" s="14"/>
      <c r="B28" s="15"/>
      <c r="C28" s="16"/>
      <c r="D28" s="16"/>
      <c r="E28" s="17"/>
      <c r="F28" s="16"/>
      <c r="G28" s="17"/>
      <c r="H28" s="16"/>
      <c r="I28" s="17"/>
      <c r="J28" s="17"/>
      <c r="K28" s="17"/>
      <c r="L28" s="18"/>
      <c r="M28" s="17"/>
      <c r="N28" s="16"/>
      <c r="O28" s="16"/>
      <c r="P28" s="15"/>
      <c r="Q28" s="19"/>
      <c r="R28" s="19"/>
      <c r="S28" s="16"/>
      <c r="T28" s="16"/>
      <c r="U28" s="20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20" customHeight="1" thickBot="1" x14ac:dyDescent="0.45">
      <c r="A29" s="14"/>
      <c r="B29" s="15"/>
      <c r="C29" s="16"/>
      <c r="D29" s="16"/>
      <c r="E29" s="17"/>
      <c r="F29" s="16"/>
      <c r="G29" s="17"/>
      <c r="H29" s="16"/>
      <c r="I29" s="17"/>
      <c r="J29" s="17"/>
      <c r="K29" s="17"/>
      <c r="L29" s="18"/>
      <c r="M29" s="17"/>
      <c r="N29" s="16"/>
      <c r="O29" s="16"/>
      <c r="P29" s="15"/>
      <c r="Q29" s="16"/>
      <c r="R29" s="19"/>
      <c r="S29" s="16"/>
      <c r="T29" s="19"/>
      <c r="U29" s="20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20" customHeight="1" thickBot="1" x14ac:dyDescent="0.45">
      <c r="A30" s="14"/>
      <c r="B30" s="15"/>
      <c r="C30" s="16"/>
      <c r="D30" s="16"/>
      <c r="E30" s="17"/>
      <c r="F30" s="16"/>
      <c r="G30" s="17"/>
      <c r="H30" s="16"/>
      <c r="I30" s="17"/>
      <c r="J30" s="17"/>
      <c r="K30" s="17"/>
      <c r="L30" s="18"/>
      <c r="M30" s="17"/>
      <c r="N30" s="16"/>
      <c r="O30" s="16"/>
      <c r="P30" s="15"/>
      <c r="Q30" s="19"/>
      <c r="R30" s="19"/>
      <c r="S30" s="16"/>
      <c r="T30" s="16"/>
      <c r="U30" s="20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20" customHeight="1" thickBot="1" x14ac:dyDescent="0.45">
      <c r="A31" s="14"/>
      <c r="B31" s="15"/>
      <c r="C31" s="16"/>
      <c r="D31" s="16"/>
      <c r="E31" s="17"/>
      <c r="F31" s="16"/>
      <c r="G31" s="17"/>
      <c r="H31" s="16"/>
      <c r="I31" s="17"/>
      <c r="J31" s="17"/>
      <c r="K31" s="17"/>
      <c r="L31" s="18"/>
      <c r="M31" s="17"/>
      <c r="N31" s="16"/>
      <c r="O31" s="16"/>
      <c r="P31" s="15"/>
      <c r="Q31" s="16"/>
      <c r="R31" s="19"/>
      <c r="S31" s="16"/>
      <c r="T31" s="16"/>
      <c r="U31" s="20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20" customHeight="1" thickBot="1" x14ac:dyDescent="0.45">
      <c r="A32" s="14"/>
      <c r="B32" s="15"/>
      <c r="C32" s="16"/>
      <c r="D32" s="16"/>
      <c r="E32" s="17"/>
      <c r="F32" s="16"/>
      <c r="G32" s="17"/>
      <c r="H32" s="16"/>
      <c r="I32" s="17"/>
      <c r="J32" s="17"/>
      <c r="K32" s="17"/>
      <c r="L32" s="18"/>
      <c r="M32" s="17"/>
      <c r="N32" s="16"/>
      <c r="O32" s="16"/>
      <c r="P32" s="15"/>
      <c r="Q32" s="19"/>
      <c r="R32" s="19"/>
      <c r="S32" s="16"/>
      <c r="T32" s="16"/>
      <c r="U32" s="20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20" customHeight="1" thickBot="1" x14ac:dyDescent="0.45">
      <c r="A33" s="14"/>
      <c r="B33" s="15"/>
      <c r="C33" s="16"/>
      <c r="D33" s="16"/>
      <c r="E33" s="17"/>
      <c r="F33" s="16"/>
      <c r="G33" s="17"/>
      <c r="H33" s="16"/>
      <c r="I33" s="17"/>
      <c r="J33" s="17"/>
      <c r="K33" s="17"/>
      <c r="L33" s="18"/>
      <c r="M33" s="17"/>
      <c r="N33" s="16"/>
      <c r="O33" s="16"/>
      <c r="P33" s="15"/>
      <c r="Q33" s="19"/>
      <c r="R33" s="19"/>
      <c r="S33" s="16"/>
      <c r="T33" s="16"/>
      <c r="U33" s="20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20" customHeight="1" thickBot="1" x14ac:dyDescent="0.45">
      <c r="A34" s="14"/>
      <c r="B34" s="15"/>
      <c r="C34" s="16"/>
      <c r="D34" s="16"/>
      <c r="E34" s="17"/>
      <c r="F34" s="16"/>
      <c r="G34" s="17"/>
      <c r="H34" s="16"/>
      <c r="I34" s="17"/>
      <c r="J34" s="17"/>
      <c r="K34" s="17"/>
      <c r="L34" s="18"/>
      <c r="M34" s="17"/>
      <c r="N34" s="16"/>
      <c r="O34" s="16"/>
      <c r="P34" s="15"/>
      <c r="Q34" s="19"/>
      <c r="R34" s="19"/>
      <c r="S34" s="16"/>
      <c r="T34" s="16"/>
      <c r="U34" s="20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20" customHeight="1" thickBot="1" x14ac:dyDescent="0.45">
      <c r="A35" s="21" t="s">
        <v>45</v>
      </c>
      <c r="B35" s="22"/>
      <c r="C35" s="23">
        <v>512383</v>
      </c>
      <c r="D35" s="23">
        <f>SUM(D4:D34)</f>
        <v>0</v>
      </c>
      <c r="E35" s="17">
        <f t="shared" ref="E35" si="0">D35/C35</f>
        <v>0</v>
      </c>
      <c r="F35" s="16">
        <f t="shared" ref="F35" si="1">C35-D35</f>
        <v>512383</v>
      </c>
      <c r="G35" s="17">
        <f t="shared" ref="G35" si="2">F35/C35</f>
        <v>1</v>
      </c>
      <c r="H35" s="23">
        <v>201925.58</v>
      </c>
      <c r="I35" s="17">
        <f t="shared" ref="I35" si="3">H35/C35</f>
        <v>0.39409109982181295</v>
      </c>
      <c r="J35" s="17"/>
      <c r="K35" s="17"/>
      <c r="L35" s="18">
        <f>C35-D35-H35</f>
        <v>310457.42000000004</v>
      </c>
      <c r="M35" s="17">
        <f>L35/C35</f>
        <v>0.6059089001781871</v>
      </c>
      <c r="N35" s="23">
        <v>310457.42</v>
      </c>
      <c r="O35" s="23">
        <v>310513</v>
      </c>
      <c r="P35" s="24">
        <v>55.58</v>
      </c>
      <c r="Q35" s="23">
        <v>84248.08</v>
      </c>
      <c r="R35" s="23">
        <v>2155</v>
      </c>
      <c r="S35" s="23">
        <v>75172.5</v>
      </c>
      <c r="T35" s="23">
        <v>286526</v>
      </c>
      <c r="U35" s="20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6.5" thickBo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20" customHeight="1" thickBot="1" x14ac:dyDescent="0.45">
      <c r="A37" s="11" t="s">
        <v>46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6.5" thickBo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6.5" thickBo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6.5" thickBo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6.5" thickBo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6.5" thickBo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6.5" thickBo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6.5" thickBo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6.5" thickBo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6.5" thickBo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6.5" thickBo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6.5" thickBo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6.5" thickBo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6.5" thickBo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6.5" thickBo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6.5" thickBo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6.5" thickBo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6.5" thickBo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6.5" thickBo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6.5" thickBo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6.5" thickBo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6.5" thickBo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6.5" thickBo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6.5" thickBo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6.5" thickBo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6.5" thickBo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6.5" thickBo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6.5" thickBo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6.5" thickBo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6.5" thickBo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6.5" thickBo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6.5" thickBo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6.5" thickBo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6.5" thickBo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6.5" thickBo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6.5" thickBo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6.5" thickBo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6.5" thickBo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6.5" thickBo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6.5" thickBo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6.5" thickBo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6.5" thickBo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6.5" thickBo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6.5" thickBo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6.5" thickBo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6.5" thickBo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6.5" thickBo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6.5" thickBo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6.5" thickBo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6.5" thickBo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6.5" thickBo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6.5" thickBo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6.5" thickBo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6.5" thickBo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6.5" thickBo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6.5" thickBo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6.5" thickBo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6.5" thickBo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6.5" thickBo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6.5" thickBo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6.5" thickBo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6.5" thickBo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6.5" thickBo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6.5" thickBo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6.5" thickBo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6.5" thickBo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6.5" thickBo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6.5" thickBo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6.5" thickBo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6.5" thickBo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6.5" thickBo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6.5" thickBo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6.5" thickBo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6.5" thickBo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6.5" thickBo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6.5" thickBo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6.5" thickBo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6.5" thickBo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6.5" thickBo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6.5" thickBo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6.5" thickBo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6.5" thickBo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6.5" thickBo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6.5" thickBo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6.5" thickBo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6.5" thickBo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6.5" thickBo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6.5" thickBo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6.5" thickBo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6.5" thickBo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6.5" thickBo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6.5" thickBo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6.5" thickBo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6.5" thickBo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6.5" thickBo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6.5" thickBo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6.5" thickBo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6.5" thickBo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6.5" thickBo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6.5" thickBo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6.5" thickBo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6.5" thickBo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6.5" thickBo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6.5" thickBo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6.5" thickBo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6.5" thickBo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6.5" thickBo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6.5" thickBo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6.5" thickBo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6.5" thickBo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6.5" thickBo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6.5" thickBo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6.5" thickBo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6.5" thickBo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6.5" thickBo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6.5" thickBo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6.5" thickBo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6.5" thickBo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6.5" thickBo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6.5" thickBo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6.5" thickBo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6.5" thickBo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6.5" thickBo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6.5" thickBo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6.5" thickBo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6.5" thickBo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6.5" thickBo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6.5" thickBo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6.5" thickBo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6.5" thickBo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6.5" thickBo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6.5" thickBo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6.5" thickBo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6.5" thickBo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6.5" thickBo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6.5" thickBo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6.5" thickBo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6.5" thickBo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6.5" thickBo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6.5" thickBo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6.5" thickBo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6.5" thickBo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6.5" thickBo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6.5" thickBo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6.5" thickBo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6.5" thickBo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6.5" thickBo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6.5" thickBo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6.5" thickBo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6.5" thickBo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6.5" thickBo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6.5" thickBo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6.5" thickBo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6.5" thickBo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6.5" thickBo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6.5" thickBo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6.5" thickBo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6.5" thickBo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6.5" thickBo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6.5" thickBo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6.5" thickBo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6.5" thickBo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6.5" thickBo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6.5" thickBo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6.5" thickBo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6.5" thickBo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6.5" thickBo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6.5" thickBo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6.5" thickBo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6.5" thickBo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6.5" thickBo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6.5" thickBo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6.5" thickBo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6.5" thickBo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6.5" thickBo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6.5" thickBo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6.5" thickBo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6.5" thickBo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6.5" thickBo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6.5" thickBo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6.5" thickBo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6.5" thickBo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6.5" thickBo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6.5" thickBo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6.5" thickBo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6.5" thickBo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6.5" thickBo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6.5" thickBo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6.5" thickBo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6.5" thickBo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6.5" thickBo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6.5" thickBo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6.5" thickBo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6.5" thickBo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6.5" thickBo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6.5" thickBo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6.5" thickBo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6.5" thickBo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6.5" thickBo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6.5" thickBo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6.5" thickBo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6.5" thickBo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6.5" thickBo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6.5" thickBo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6.5" thickBo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6.5" thickBo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6.5" thickBo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6.5" thickBo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6.5" thickBo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6.5" thickBo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6.5" thickBo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6.5" thickBo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6.5" thickBo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6.5" thickBo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6.5" thickBo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6.5" thickBo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6.5" thickBo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6.5" thickBo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6.5" thickBo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6.5" thickBo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6.5" thickBo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6.5" thickBo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6.5" thickBo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6.5" thickBo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6.5" thickBo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6.5" thickBo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6.5" thickBo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6.5" thickBo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6.5" thickBo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6.5" thickBo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6.5" thickBo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6.5" thickBo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6.5" thickBo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6.5" thickBo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6.5" thickBo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6.5" thickBo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6.5" thickBo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6.5" thickBo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6.5" thickBo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6.5" thickBo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6.5" thickBo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6.5" thickBo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6.5" thickBo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6.5" thickBo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6.5" thickBo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6.5" thickBo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6.5" thickBo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6.5" thickBo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6.5" thickBo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6.5" thickBo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6.5" thickBo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6.5" thickBo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6.5" thickBo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6.5" thickBo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6.5" thickBo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6.5" thickBo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6.5" thickBo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6.5" thickBo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6.5" thickBo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6.5" thickBo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6.5" thickBo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6.5" thickBo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6.5" thickBo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6.5" thickBo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6.5" thickBo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6.5" thickBo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6.5" thickBo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6.5" thickBo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6.5" thickBo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6.5" thickBo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6.5" thickBo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6.5" thickBo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6.5" thickBo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6.5" thickBo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6.5" thickBo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6.5" thickBo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6.5" thickBo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6.5" thickBo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6.5" thickBo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6.5" thickBo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6.5" thickBo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6.5" thickBo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6.5" thickBo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6.5" thickBo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6.5" thickBo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6.5" thickBo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6.5" thickBo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6.5" thickBo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6.5" thickBo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6.5" thickBo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6.5" thickBo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6.5" thickBo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6.5" thickBo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6.5" thickBo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6.5" thickBo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6.5" thickBo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6.5" thickBo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6.5" thickBo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6.5" thickBo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6.5" thickBo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6.5" thickBo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6.5" thickBo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6.5" thickBo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6.5" thickBo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6.5" thickBo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6.5" thickBo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6.5" thickBo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6.5" thickBo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6.5" thickBo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6.5" thickBo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6.5" thickBo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6.5" thickBo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6.5" thickBo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6.5" thickBo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6.5" thickBo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6.5" thickBo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6.5" thickBo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6.5" thickBo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6.5" thickBo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6.5" thickBo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6.5" thickBo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6.5" thickBo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6.5" thickBo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6.5" thickBo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6.5" thickBo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6.5" thickBo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6.5" thickBo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6.5" thickBo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6.5" thickBo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6.5" thickBo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6.5" thickBo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6.5" thickBo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6.5" thickBo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6.5" thickBo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6.5" thickBo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6.5" thickBo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6.5" thickBo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6.5" thickBo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6.5" thickBo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6.5" thickBo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6.5" thickBo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6.5" thickBo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6.5" thickBo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6.5" thickBo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6.5" thickBo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6.5" thickBo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6.5" thickBo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6.5" thickBo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6.5" thickBo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6.5" thickBo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6.5" thickBo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6.5" thickBo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6.5" thickBo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6.5" thickBo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6.5" thickBo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6.5" thickBo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6.5" thickBo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6.5" thickBo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6.5" thickBo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6.5" thickBo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6.5" thickBo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6.5" thickBo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6.5" thickBo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6.5" thickBo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6.5" thickBo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6.5" thickBo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6.5" thickBo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6.5" thickBo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6.5" thickBo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6.5" thickBo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6.5" thickBo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6.5" thickBo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6.5" thickBo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6.5" thickBo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6.5" thickBo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6.5" thickBo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6.5" thickBo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6.5" thickBo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6.5" thickBo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6.5" thickBo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6.5" thickBo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6.5" thickBo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6.5" thickBo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6.5" thickBo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6.5" thickBo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6.5" thickBo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6.5" thickBo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6.5" thickBo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6.5" thickBo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6.5" thickBo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6.5" thickBo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6.5" thickBo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6.5" thickBo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6.5" thickBo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6.5" thickBo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6.5" thickBo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6.5" thickBo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6.5" thickBo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6.5" thickBo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6.5" thickBo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6.5" thickBo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6.5" thickBo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6.5" thickBo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6.5" thickBo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6.5" thickBo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6.5" thickBo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6.5" thickBo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6.5" thickBo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6.5" thickBo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6.5" thickBo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6.5" thickBo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6.5" thickBo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6.5" thickBo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6.5" thickBo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6.5" thickBo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6.5" thickBo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6.5" thickBo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6.5" thickBo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6.5" thickBo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6.5" thickBo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6.5" thickBo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6.5" thickBo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6.5" thickBo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6.5" thickBo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6.5" thickBo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6.5" thickBo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6.5" thickBo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6.5" thickBo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6.5" thickBo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6.5" thickBo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6.5" thickBo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6.5" thickBo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6.5" thickBo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6.5" thickBo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6.5" thickBo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6.5" thickBo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6.5" thickBo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6.5" thickBo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6.5" thickBo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6.5" thickBo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6.5" thickBo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6.5" thickBo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6.5" thickBo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6.5" thickBo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6.5" thickBo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6.5" thickBo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6.5" thickBo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6.5" thickBo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6.5" thickBo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6.5" thickBo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6.5" thickBo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6.5" thickBo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6.5" thickBo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6.5" thickBo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6.5" thickBo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6.5" thickBo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6.5" thickBo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6.5" thickBo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6.5" thickBo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6.5" thickBo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6.5" thickBo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6.5" thickBo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6.5" thickBo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6.5" thickBo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6.5" thickBo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6.5" thickBo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6.5" thickBo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6.5" thickBo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6.5" thickBo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6.5" thickBo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6.5" thickBo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6.5" thickBo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6.5" thickBo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6.5" thickBo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6.5" thickBo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6.5" thickBo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6.5" thickBo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6.5" thickBo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6.5" thickBo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6.5" thickBo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6.5" thickBo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6.5" thickBo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6.5" thickBo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6.5" thickBo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6.5" thickBo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6.5" thickBo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6.5" thickBo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6.5" thickBo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6.5" thickBo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6.5" thickBo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6.5" thickBo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6.5" thickBo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6.5" thickBo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6.5" thickBo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6.5" thickBo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6.5" thickBo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6.5" thickBo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6.5" thickBo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6.5" thickBo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6.5" thickBo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6.5" thickBo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6.5" thickBo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6.5" thickBo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6.5" thickBo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6.5" thickBo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6.5" thickBo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6.5" thickBo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6.5" thickBo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6.5" thickBo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6.5" thickBo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6.5" thickBo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6.5" thickBo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6.5" thickBo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6.5" thickBo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6.5" thickBo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6.5" thickBo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6.5" thickBo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6.5" thickBo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6.5" thickBo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6.5" thickBo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6.5" thickBo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6.5" thickBo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6.5" thickBo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6.5" thickBo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6.5" thickBo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6.5" thickBo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6.5" thickBo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6.5" thickBo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6.5" thickBo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6.5" thickBo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6.5" thickBo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6.5" thickBo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6.5" thickBo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6.5" thickBo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6.5" thickBo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6.5" thickBo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6.5" thickBo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6.5" thickBo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6.5" thickBo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6.5" thickBo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6.5" thickBo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6.5" thickBo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6.5" thickBo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6.5" thickBo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6.5" thickBo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6.5" thickBo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6.5" thickBo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6.5" thickBo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6.5" thickBo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6.5" thickBo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6.5" thickBo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6.5" thickBo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6.5" thickBo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6.5" thickBo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6.5" thickBo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6.5" thickBo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6.5" thickBo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6.5" thickBo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6.5" thickBo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6.5" thickBo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6.5" thickBo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6.5" thickBo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6.5" thickBo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6.5" thickBo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6.5" thickBo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6.5" thickBo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6.5" thickBo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6.5" thickBo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6.5" thickBo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6.5" thickBo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6.5" thickBo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6.5" thickBo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6.5" thickBo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6.5" thickBo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6.5" thickBo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6.5" thickBo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6.5" thickBo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6.5" thickBo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6.5" thickBo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6.5" thickBo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6.5" thickBo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6.5" thickBo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6.5" thickBo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6.5" thickBo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6.5" thickBo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6.5" thickBo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6.5" thickBo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6.5" thickBo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6.5" thickBo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6.5" thickBo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6.5" thickBo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6.5" thickBo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6.5" thickBo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6.5" thickBo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6.5" thickBo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6.5" thickBo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6.5" thickBo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6.5" thickBo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6.5" thickBo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6.5" thickBo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6.5" thickBo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6.5" thickBo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6.5" thickBo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6.5" thickBo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6.5" thickBo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6.5" thickBo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6.5" thickBo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6.5" thickBo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6.5" thickBo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6.5" thickBo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6.5" thickBo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6.5" thickBo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6.5" thickBo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6.5" thickBo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6.5" thickBo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6.5" thickBo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6.5" thickBo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6.5" thickBo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6.5" thickBo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6.5" thickBo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6.5" thickBo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6.5" thickBo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6.5" thickBo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6.5" thickBo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6.5" thickBo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6.5" thickBo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6.5" thickBo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6.5" thickBo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6.5" thickBo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6.5" thickBo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6.5" thickBo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6.5" thickBo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6.5" thickBo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6.5" thickBo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6.5" thickBo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6.5" thickBo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6.5" thickBo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6.5" thickBo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6.5" thickBo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6.5" thickBo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6.5" thickBo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6.5" thickBo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6.5" thickBo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6.5" thickBo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6.5" thickBo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6.5" thickBo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6.5" thickBo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6.5" thickBo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6.5" thickBo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6.5" thickBo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6.5" thickBo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6.5" thickBo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6.5" thickBo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6.5" thickBo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6.5" thickBo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6.5" thickBo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6.5" thickBo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6.5" thickBo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6.5" thickBo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6.5" thickBo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6.5" thickBo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6.5" thickBo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6.5" thickBo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6.5" thickBo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6.5" thickBo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6.5" thickBo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6.5" thickBo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6.5" thickBo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6.5" thickBo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6.5" thickBo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6.5" thickBo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6.5" thickBo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6.5" thickBo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6.5" thickBo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6.5" thickBo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6.5" thickBo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6.5" thickBo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6.5" thickBo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6.5" thickBo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6.5" thickBo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6.5" thickBo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6.5" thickBo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6.5" thickBo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6.5" thickBo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6.5" thickBo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6.5" thickBo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6.5" thickBo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6.5" thickBo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6.5" thickBo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6.5" thickBo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6.5" thickBo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6.5" thickBo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6.5" thickBo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6.5" thickBo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6.5" thickBo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6.5" thickBo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6.5" thickBo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6.5" thickBo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6.5" thickBo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6.5" thickBo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6.5" thickBo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6.5" thickBo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6.5" thickBo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6.5" thickBo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6.5" thickBo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6.5" thickBo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6.5" thickBo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6.5" thickBo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6.5" thickBo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6.5" thickBo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6.5" thickBo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6.5" thickBo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6.5" thickBo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6.5" thickBo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6.5" thickBo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6.5" thickBo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6.5" thickBo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6.5" thickBo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6.5" thickBo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6.5" thickBo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6.5" thickBo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6.5" thickBo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6.5" thickBo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6.5" thickBo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6.5" thickBo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6.5" thickBo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6.5" thickBo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6.5" thickBo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6.5" thickBo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6.5" thickBo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6.5" thickBo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6.5" thickBo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6.5" thickBo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6.5" thickBo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6.5" thickBo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6.5" thickBo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6.5" thickBo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6.5" thickBo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6.5" thickBo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6.5" thickBo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6.5" thickBo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6.5" thickBo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6.5" thickBo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6.5" thickBo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6.5" thickBo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6.5" thickBo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6.5" thickBo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6.5" thickBo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6.5" thickBo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6.5" thickBo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6.5" thickBo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6.5" thickBo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6.5" thickBo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6.5" thickBo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6.5" thickBo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6.5" thickBo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6.5" thickBo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6.5" thickBo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6.5" thickBo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6.5" thickBo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6.5" thickBo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6.5" thickBo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6.5" thickBo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6.5" thickBo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6.5" thickBo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6.5" thickBo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6.5" thickBo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6.5" thickBo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6.5" thickBo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6.5" thickBo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6.5" thickBo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6.5" thickBo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6.5" thickBo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6.5" thickBo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6.5" thickBo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6.5" thickBo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6.5" thickBo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6.5" thickBo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6.5" thickBo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6.5" thickBo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6.5" thickBo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6.5" thickBo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6.5" thickBo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6.5" thickBo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6.5" thickBo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6.5" thickBo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6.5" thickBo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6.5" thickBo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6.5" thickBo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6.5" thickBo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6.5" thickBo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6.5" thickBo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6.5" thickBo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6.5" thickBo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6.5" thickBo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6.5" thickBo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6.5" thickBo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6.5" thickBo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6.5" thickBo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6.5" thickBo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6.5" thickBo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6.5" thickBo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6.5" thickBo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6.5" thickBo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6.5" thickBo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6.5" thickBo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6.5" thickBo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6.5" thickBo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6.5" thickBo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6.5" thickBo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6.5" thickBo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6.5" thickBo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6.5" thickBo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6.5" thickBo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6.5" thickBo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6.5" thickBo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6.5" thickBo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6.5" thickBo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6.5" thickBo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6.5" thickBo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6.5" thickBo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6.5" thickBo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6.5" thickBo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6.5" thickBo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6.5" thickBo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6.5" thickBo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6.5" thickBo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6.5" thickBo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6.5" thickBo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6.5" thickBo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6.5" thickBo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6.5" thickBo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6.5" thickBo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6.5" thickBo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6.5" thickBo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6.5" thickBo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6.5" thickBo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6.5" thickBo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6.5" thickBo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6.5" thickBo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6.5" thickBo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6.5" thickBo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6.5" thickBo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6.5" thickBo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6.5" thickBo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6.5" thickBo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6.5" thickBo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6.5" thickBo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6.5" thickBo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6.5" thickBo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6.5" thickBo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6.5" thickBo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6.5" thickBo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6.5" thickBo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6.5" thickBo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6.5" thickBo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6.5" thickBo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6.5" thickBo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6.5" thickBo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6.5" thickBo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6.5" thickBo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6.5" thickBo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6.5" thickBo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6.5" thickBo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6.5" thickBo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6.5" thickBo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6.5" thickBo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6.5" thickBo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6.5" thickBo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6.5" thickBo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6.5" thickBo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6.5" thickBo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6.5" thickBo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6.5" thickBo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6.5" thickBo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6.5" thickBo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6.5" thickBo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6.5" thickBo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6.5" thickBo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6.5" thickBo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6.5" thickBo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6.5" thickBo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6.5" thickBo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6.5" thickBo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6.5" thickBo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6.5" thickBo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6.5" thickBo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6.5" thickBo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6.5" thickBo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6.5" thickBo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6.5" thickBo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6.5" thickBo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6.5" thickBo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6.5" thickBo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6.5" thickBo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6.5" thickBo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6.5" thickBo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6.5" thickBo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6.5" thickBo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6.5" thickBo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6.5" thickBo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6.5" thickBo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6.5" thickBo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6.5" thickBo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6.5" thickBo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6.5" thickBo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6.5" thickBo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6.5" thickBo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6.5" thickBo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6.5" thickBo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6.5" thickBo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6.5" thickBo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6.5" thickBo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6.5" thickBo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6.5" thickBo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6.5" thickBo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6.5" thickBo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6.5" thickBo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6.5" thickBo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6.5" thickBo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6.5" thickBo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6.5" thickBo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6.5" thickBo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6.5" thickBo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6.5" thickBo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6.5" thickBo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6.5" thickBo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6.5" thickBo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6.5" thickBo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6.5" thickBo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6.5" thickBo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6.5" thickBo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6.5" thickBo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6.5" thickBo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6.5" thickBo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6.5" thickBo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6.5" thickBo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6.5" thickBo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6.5" thickBo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6.5" thickBo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6.5" thickBo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6.5" thickBo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6.5" thickBo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6.5" thickBo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6.5" thickBo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6.5" thickBo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6.5" thickBo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6.5" thickBo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6.5" thickBo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6.5" thickBo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6.5" thickBo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6.5" thickBo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6.5" thickBo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6.5" thickBo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6.5" thickBo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6.5" thickBo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6.5" thickBo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6.5" thickBo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6.5" thickBo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6.5" thickBo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6.5" thickBo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6.5" thickBo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6.5" thickBo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6.5" thickBo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4">
    <mergeCell ref="A1:U1"/>
    <mergeCell ref="A2:U2"/>
    <mergeCell ref="A35:B35"/>
    <mergeCell ref="A37:U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D890-BFBE-45C3-BD42-9DDDBA145F8C}">
  <dimension ref="A1:AK1000"/>
  <sheetViews>
    <sheetView workbookViewId="0">
      <selection activeCell="A3" sqref="A3"/>
    </sheetView>
  </sheetViews>
  <sheetFormatPr defaultRowHeight="16" x14ac:dyDescent="0.4"/>
  <cols>
    <col min="1" max="1" width="14.08984375" style="2" customWidth="1"/>
    <col min="2" max="2" width="13.7265625" style="2" customWidth="1"/>
    <col min="3" max="3" width="14.1796875" style="2" customWidth="1"/>
    <col min="4" max="4" width="14.90625" style="2" customWidth="1"/>
    <col min="5" max="5" width="16.36328125" style="2" customWidth="1"/>
    <col min="6" max="6" width="14.1796875" style="2" customWidth="1"/>
    <col min="7" max="7" width="15.81640625" style="2" customWidth="1"/>
    <col min="8" max="8" width="13.453125" style="2" customWidth="1"/>
    <col min="9" max="9" width="12.81640625" style="2" customWidth="1"/>
    <col min="10" max="10" width="12.08984375" style="2" customWidth="1"/>
    <col min="11" max="11" width="11.453125" style="2" customWidth="1"/>
    <col min="12" max="12" width="14.08984375" style="2" customWidth="1"/>
    <col min="13" max="13" width="12.7265625" style="2" customWidth="1"/>
    <col min="14" max="14" width="13.81640625" style="2" customWidth="1"/>
    <col min="15" max="15" width="16.08984375" style="2" customWidth="1"/>
    <col min="16" max="16" width="15.81640625" style="2" customWidth="1"/>
    <col min="17" max="17" width="12.90625" style="2" customWidth="1"/>
    <col min="18" max="18" width="14.1796875" style="2" customWidth="1"/>
    <col min="19" max="19" width="21.6328125" style="2" customWidth="1"/>
    <col min="20" max="20" width="15.81640625" style="2" customWidth="1"/>
    <col min="21" max="21" width="16.08984375" style="2" customWidth="1"/>
    <col min="22" max="22" width="14.90625" style="2" customWidth="1"/>
    <col min="23" max="23" width="12.81640625" style="2" customWidth="1"/>
    <col min="24" max="16384" width="8.7265625" style="2"/>
  </cols>
  <sheetData>
    <row r="1" spans="1:37" ht="16.5" thickBot="1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6.5" thickBot="1" x14ac:dyDescent="0.45">
      <c r="A2" s="8" t="s">
        <v>92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1.5" thickBot="1" x14ac:dyDescent="0.45">
      <c r="A3" s="3" t="s">
        <v>72</v>
      </c>
      <c r="B3" s="4" t="s">
        <v>3</v>
      </c>
      <c r="C3" s="4" t="s">
        <v>74</v>
      </c>
      <c r="D3" s="4" t="s">
        <v>4</v>
      </c>
      <c r="E3" s="4" t="s">
        <v>58</v>
      </c>
      <c r="F3" s="4" t="s">
        <v>75</v>
      </c>
      <c r="G3" s="4" t="s">
        <v>76</v>
      </c>
      <c r="H3" s="4" t="s">
        <v>77</v>
      </c>
      <c r="I3" s="4" t="s">
        <v>80</v>
      </c>
      <c r="J3" s="4" t="s">
        <v>81</v>
      </c>
      <c r="K3" s="4" t="s">
        <v>78</v>
      </c>
      <c r="L3" s="4" t="s">
        <v>79</v>
      </c>
      <c r="M3" s="4" t="s">
        <v>82</v>
      </c>
      <c r="N3" s="4" t="s">
        <v>83</v>
      </c>
      <c r="O3" s="4" t="s">
        <v>84</v>
      </c>
      <c r="P3" s="4" t="s">
        <v>85</v>
      </c>
      <c r="Q3" s="4" t="s">
        <v>86</v>
      </c>
      <c r="R3" s="4" t="s">
        <v>87</v>
      </c>
      <c r="S3" s="4" t="s">
        <v>88</v>
      </c>
      <c r="T3" s="4" t="s">
        <v>89</v>
      </c>
      <c r="U3" s="4" t="s">
        <v>56</v>
      </c>
      <c r="V3" s="4" t="s">
        <v>90</v>
      </c>
      <c r="W3" s="4" t="s">
        <v>91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0" customHeight="1" thickBot="1" x14ac:dyDescent="0.45">
      <c r="A4" s="14"/>
      <c r="B4" s="15"/>
      <c r="C4" s="16"/>
      <c r="D4" s="16"/>
      <c r="E4" s="17"/>
      <c r="F4" s="16"/>
      <c r="G4" s="17"/>
      <c r="H4" s="16"/>
      <c r="I4" s="16"/>
      <c r="J4" s="16"/>
      <c r="K4" s="17"/>
      <c r="L4" s="25"/>
      <c r="M4" s="25"/>
      <c r="N4" s="18"/>
      <c r="O4" s="17"/>
      <c r="P4" s="16"/>
      <c r="Q4" s="16"/>
      <c r="R4" s="15"/>
      <c r="S4" s="16"/>
      <c r="T4" s="19"/>
      <c r="U4" s="16"/>
      <c r="V4" s="16"/>
      <c r="W4" s="20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20" customHeight="1" thickBot="1" x14ac:dyDescent="0.45">
      <c r="A5" s="14"/>
      <c r="B5" s="15"/>
      <c r="C5" s="16"/>
      <c r="D5" s="16"/>
      <c r="E5" s="17"/>
      <c r="F5" s="16"/>
      <c r="G5" s="17"/>
      <c r="H5" s="16"/>
      <c r="I5" s="16"/>
      <c r="J5" s="16"/>
      <c r="K5" s="17"/>
      <c r="L5" s="17"/>
      <c r="M5" s="17"/>
      <c r="N5" s="18"/>
      <c r="O5" s="17"/>
      <c r="P5" s="16"/>
      <c r="Q5" s="16"/>
      <c r="R5" s="15"/>
      <c r="S5" s="16"/>
      <c r="T5" s="19"/>
      <c r="U5" s="16"/>
      <c r="V5" s="16"/>
      <c r="W5" s="20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20" customHeight="1" thickBot="1" x14ac:dyDescent="0.45">
      <c r="A6" s="14"/>
      <c r="B6" s="15"/>
      <c r="C6" s="16"/>
      <c r="D6" s="16"/>
      <c r="E6" s="17"/>
      <c r="F6" s="16"/>
      <c r="G6" s="17"/>
      <c r="H6" s="16"/>
      <c r="I6" s="16"/>
      <c r="J6" s="16"/>
      <c r="K6" s="17"/>
      <c r="L6" s="17"/>
      <c r="M6" s="17"/>
      <c r="N6" s="18"/>
      <c r="O6" s="17"/>
      <c r="P6" s="16"/>
      <c r="Q6" s="16"/>
      <c r="R6" s="15"/>
      <c r="S6" s="16"/>
      <c r="T6" s="19"/>
      <c r="U6" s="16"/>
      <c r="V6" s="16"/>
      <c r="W6" s="20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20" customHeight="1" thickBot="1" x14ac:dyDescent="0.45">
      <c r="A7" s="14"/>
      <c r="B7" s="15"/>
      <c r="C7" s="16"/>
      <c r="D7" s="16"/>
      <c r="E7" s="17"/>
      <c r="F7" s="16"/>
      <c r="G7" s="17"/>
      <c r="H7" s="16"/>
      <c r="I7" s="16"/>
      <c r="J7" s="16"/>
      <c r="K7" s="17"/>
      <c r="L7" s="17"/>
      <c r="M7" s="17"/>
      <c r="N7" s="18"/>
      <c r="O7" s="17"/>
      <c r="P7" s="16"/>
      <c r="Q7" s="16"/>
      <c r="R7" s="15"/>
      <c r="S7" s="19"/>
      <c r="T7" s="19"/>
      <c r="U7" s="16"/>
      <c r="V7" s="16"/>
      <c r="W7" s="20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20" customHeight="1" thickBot="1" x14ac:dyDescent="0.45">
      <c r="A8" s="14"/>
      <c r="B8" s="15"/>
      <c r="C8" s="16"/>
      <c r="D8" s="16"/>
      <c r="E8" s="17"/>
      <c r="F8" s="16"/>
      <c r="G8" s="17"/>
      <c r="H8" s="16"/>
      <c r="I8" s="16"/>
      <c r="J8" s="16"/>
      <c r="K8" s="17"/>
      <c r="L8" s="17"/>
      <c r="M8" s="17"/>
      <c r="N8" s="18"/>
      <c r="O8" s="17"/>
      <c r="P8" s="16"/>
      <c r="Q8" s="16"/>
      <c r="R8" s="15"/>
      <c r="S8" s="16"/>
      <c r="T8" s="19"/>
      <c r="U8" s="16"/>
      <c r="V8" s="19"/>
      <c r="W8" s="20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20" customHeight="1" thickBot="1" x14ac:dyDescent="0.45">
      <c r="A9" s="14"/>
      <c r="B9" s="15"/>
      <c r="C9" s="16"/>
      <c r="D9" s="16"/>
      <c r="E9" s="17"/>
      <c r="F9" s="16"/>
      <c r="G9" s="17"/>
      <c r="H9" s="16"/>
      <c r="I9" s="16"/>
      <c r="J9" s="16"/>
      <c r="K9" s="17"/>
      <c r="L9" s="17"/>
      <c r="M9" s="17"/>
      <c r="N9" s="18"/>
      <c r="O9" s="17"/>
      <c r="P9" s="16"/>
      <c r="Q9" s="16"/>
      <c r="R9" s="15"/>
      <c r="S9" s="16"/>
      <c r="T9" s="19"/>
      <c r="U9" s="16"/>
      <c r="V9" s="16"/>
      <c r="W9" s="20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0" customHeight="1" thickBot="1" x14ac:dyDescent="0.45">
      <c r="A10" s="14"/>
      <c r="B10" s="15"/>
      <c r="C10" s="16"/>
      <c r="D10" s="16"/>
      <c r="E10" s="17"/>
      <c r="F10" s="16"/>
      <c r="G10" s="17"/>
      <c r="H10" s="16"/>
      <c r="I10" s="16"/>
      <c r="J10" s="16"/>
      <c r="K10" s="17"/>
      <c r="L10" s="17"/>
      <c r="M10" s="17"/>
      <c r="N10" s="18"/>
      <c r="O10" s="17"/>
      <c r="P10" s="16"/>
      <c r="Q10" s="16"/>
      <c r="R10" s="15"/>
      <c r="S10" s="16"/>
      <c r="T10" s="19"/>
      <c r="U10" s="16"/>
      <c r="V10" s="16"/>
      <c r="W10" s="20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20" customHeight="1" thickBot="1" x14ac:dyDescent="0.45">
      <c r="A11" s="14"/>
      <c r="B11" s="15"/>
      <c r="C11" s="16"/>
      <c r="D11" s="16"/>
      <c r="E11" s="17"/>
      <c r="F11" s="16"/>
      <c r="G11" s="17"/>
      <c r="H11" s="16"/>
      <c r="I11" s="16"/>
      <c r="J11" s="16"/>
      <c r="K11" s="17"/>
      <c r="L11" s="17"/>
      <c r="M11" s="17"/>
      <c r="N11" s="18"/>
      <c r="O11" s="17"/>
      <c r="P11" s="16"/>
      <c r="Q11" s="16"/>
      <c r="R11" s="15"/>
      <c r="S11" s="16"/>
      <c r="T11" s="19"/>
      <c r="U11" s="16"/>
      <c r="V11" s="16"/>
      <c r="W11" s="20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0" customHeight="1" thickBot="1" x14ac:dyDescent="0.45">
      <c r="A12" s="14"/>
      <c r="B12" s="15"/>
      <c r="C12" s="16"/>
      <c r="D12" s="16"/>
      <c r="E12" s="17"/>
      <c r="F12" s="16"/>
      <c r="G12" s="17"/>
      <c r="H12" s="16"/>
      <c r="I12" s="16"/>
      <c r="J12" s="16"/>
      <c r="K12" s="17"/>
      <c r="L12" s="17"/>
      <c r="M12" s="17"/>
      <c r="N12" s="18"/>
      <c r="O12" s="17"/>
      <c r="P12" s="16"/>
      <c r="Q12" s="16"/>
      <c r="R12" s="15"/>
      <c r="S12" s="16"/>
      <c r="T12" s="19"/>
      <c r="U12" s="16"/>
      <c r="V12" s="16"/>
      <c r="W12" s="20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20" customHeight="1" thickBot="1" x14ac:dyDescent="0.45">
      <c r="A13" s="14"/>
      <c r="B13" s="15"/>
      <c r="C13" s="16"/>
      <c r="D13" s="16"/>
      <c r="E13" s="17"/>
      <c r="F13" s="16"/>
      <c r="G13" s="17"/>
      <c r="H13" s="16"/>
      <c r="I13" s="16"/>
      <c r="J13" s="16"/>
      <c r="K13" s="17"/>
      <c r="L13" s="17"/>
      <c r="M13" s="17"/>
      <c r="N13" s="18"/>
      <c r="O13" s="17"/>
      <c r="P13" s="16"/>
      <c r="Q13" s="16"/>
      <c r="R13" s="15"/>
      <c r="S13" s="16"/>
      <c r="T13" s="19"/>
      <c r="U13" s="16"/>
      <c r="V13" s="16"/>
      <c r="W13" s="20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20" customHeight="1" thickBot="1" x14ac:dyDescent="0.45">
      <c r="A14" s="14"/>
      <c r="B14" s="15"/>
      <c r="C14" s="16"/>
      <c r="D14" s="16"/>
      <c r="E14" s="17"/>
      <c r="F14" s="16"/>
      <c r="G14" s="17"/>
      <c r="H14" s="16"/>
      <c r="I14" s="16"/>
      <c r="J14" s="16"/>
      <c r="K14" s="17"/>
      <c r="L14" s="17"/>
      <c r="M14" s="17"/>
      <c r="N14" s="18"/>
      <c r="O14" s="17"/>
      <c r="P14" s="16"/>
      <c r="Q14" s="16"/>
      <c r="R14" s="15"/>
      <c r="S14" s="16"/>
      <c r="T14" s="19"/>
      <c r="U14" s="16"/>
      <c r="V14" s="16"/>
      <c r="W14" s="20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20" customHeight="1" thickBot="1" x14ac:dyDescent="0.45">
      <c r="A15" s="14"/>
      <c r="B15" s="15"/>
      <c r="C15" s="16"/>
      <c r="D15" s="16"/>
      <c r="E15" s="17"/>
      <c r="F15" s="16"/>
      <c r="G15" s="17"/>
      <c r="H15" s="16"/>
      <c r="I15" s="16"/>
      <c r="J15" s="16"/>
      <c r="K15" s="17"/>
      <c r="L15" s="17"/>
      <c r="M15" s="17"/>
      <c r="N15" s="18"/>
      <c r="O15" s="17"/>
      <c r="P15" s="16"/>
      <c r="Q15" s="16"/>
      <c r="R15" s="15"/>
      <c r="S15" s="16"/>
      <c r="T15" s="19"/>
      <c r="U15" s="16"/>
      <c r="V15" s="19"/>
      <c r="W15" s="20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20" customHeight="1" thickBot="1" x14ac:dyDescent="0.45">
      <c r="A16" s="14"/>
      <c r="B16" s="15"/>
      <c r="C16" s="16"/>
      <c r="D16" s="16"/>
      <c r="E16" s="17"/>
      <c r="F16" s="16"/>
      <c r="G16" s="17"/>
      <c r="H16" s="16"/>
      <c r="I16" s="16"/>
      <c r="J16" s="16"/>
      <c r="K16" s="17"/>
      <c r="L16" s="17"/>
      <c r="M16" s="17"/>
      <c r="N16" s="18"/>
      <c r="O16" s="17"/>
      <c r="P16" s="16"/>
      <c r="Q16" s="16"/>
      <c r="R16" s="15"/>
      <c r="S16" s="19"/>
      <c r="T16" s="19"/>
      <c r="U16" s="16"/>
      <c r="V16" s="16"/>
      <c r="W16" s="20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20" customHeight="1" thickBot="1" x14ac:dyDescent="0.45">
      <c r="A17" s="14"/>
      <c r="B17" s="15"/>
      <c r="C17" s="16"/>
      <c r="D17" s="16"/>
      <c r="E17" s="17"/>
      <c r="F17" s="16"/>
      <c r="G17" s="17"/>
      <c r="H17" s="16"/>
      <c r="I17" s="16"/>
      <c r="J17" s="16"/>
      <c r="K17" s="17"/>
      <c r="L17" s="17"/>
      <c r="M17" s="17"/>
      <c r="N17" s="18"/>
      <c r="O17" s="17"/>
      <c r="P17" s="16"/>
      <c r="Q17" s="16"/>
      <c r="R17" s="15"/>
      <c r="S17" s="16"/>
      <c r="T17" s="19"/>
      <c r="U17" s="16"/>
      <c r="V17" s="16"/>
      <c r="W17" s="20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20" customHeight="1" thickBot="1" x14ac:dyDescent="0.45">
      <c r="A18" s="14"/>
      <c r="B18" s="15"/>
      <c r="C18" s="16"/>
      <c r="D18" s="16"/>
      <c r="E18" s="17"/>
      <c r="F18" s="16"/>
      <c r="G18" s="17"/>
      <c r="H18" s="16"/>
      <c r="I18" s="16"/>
      <c r="J18" s="16"/>
      <c r="K18" s="17"/>
      <c r="L18" s="17"/>
      <c r="M18" s="17"/>
      <c r="N18" s="18"/>
      <c r="O18" s="17"/>
      <c r="P18" s="16"/>
      <c r="Q18" s="16"/>
      <c r="R18" s="15"/>
      <c r="S18" s="16"/>
      <c r="T18" s="19"/>
      <c r="U18" s="16"/>
      <c r="V18" s="16"/>
      <c r="W18" s="20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20" customHeight="1" thickBot="1" x14ac:dyDescent="0.45">
      <c r="A19" s="14"/>
      <c r="B19" s="15"/>
      <c r="C19" s="16"/>
      <c r="D19" s="16"/>
      <c r="E19" s="17"/>
      <c r="F19" s="16"/>
      <c r="G19" s="17"/>
      <c r="H19" s="16"/>
      <c r="I19" s="16"/>
      <c r="J19" s="16"/>
      <c r="K19" s="17"/>
      <c r="L19" s="17"/>
      <c r="M19" s="17"/>
      <c r="N19" s="18"/>
      <c r="O19" s="17"/>
      <c r="P19" s="16"/>
      <c r="Q19" s="16"/>
      <c r="R19" s="15"/>
      <c r="S19" s="16"/>
      <c r="T19" s="19"/>
      <c r="U19" s="16"/>
      <c r="V19" s="16"/>
      <c r="W19" s="20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20" customHeight="1" thickBot="1" x14ac:dyDescent="0.45">
      <c r="A20" s="14"/>
      <c r="B20" s="15"/>
      <c r="C20" s="16"/>
      <c r="D20" s="16"/>
      <c r="E20" s="17"/>
      <c r="F20" s="16"/>
      <c r="G20" s="17"/>
      <c r="H20" s="16"/>
      <c r="I20" s="16"/>
      <c r="J20" s="16"/>
      <c r="K20" s="17"/>
      <c r="L20" s="17"/>
      <c r="M20" s="17"/>
      <c r="N20" s="18"/>
      <c r="O20" s="17"/>
      <c r="P20" s="16"/>
      <c r="Q20" s="16"/>
      <c r="R20" s="15"/>
      <c r="S20" s="16"/>
      <c r="T20" s="19"/>
      <c r="U20" s="16"/>
      <c r="V20" s="16"/>
      <c r="W20" s="20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20" customHeight="1" thickBot="1" x14ac:dyDescent="0.45">
      <c r="A21" s="14"/>
      <c r="B21" s="15"/>
      <c r="C21" s="16"/>
      <c r="D21" s="16"/>
      <c r="E21" s="17"/>
      <c r="F21" s="16"/>
      <c r="G21" s="17"/>
      <c r="H21" s="16"/>
      <c r="I21" s="16"/>
      <c r="J21" s="16"/>
      <c r="K21" s="17"/>
      <c r="L21" s="17"/>
      <c r="M21" s="17"/>
      <c r="N21" s="18"/>
      <c r="O21" s="17"/>
      <c r="P21" s="16"/>
      <c r="Q21" s="16"/>
      <c r="R21" s="15"/>
      <c r="S21" s="19"/>
      <c r="T21" s="19"/>
      <c r="U21" s="16"/>
      <c r="V21" s="16"/>
      <c r="W21" s="20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20" customHeight="1" thickBot="1" x14ac:dyDescent="0.45">
      <c r="A22" s="14"/>
      <c r="B22" s="15"/>
      <c r="C22" s="16"/>
      <c r="D22" s="16"/>
      <c r="E22" s="17"/>
      <c r="F22" s="16"/>
      <c r="G22" s="17"/>
      <c r="H22" s="16"/>
      <c r="I22" s="16"/>
      <c r="J22" s="16"/>
      <c r="K22" s="17"/>
      <c r="L22" s="17"/>
      <c r="M22" s="17"/>
      <c r="N22" s="18"/>
      <c r="O22" s="17"/>
      <c r="P22" s="16"/>
      <c r="Q22" s="16"/>
      <c r="R22" s="15"/>
      <c r="S22" s="19"/>
      <c r="T22" s="19"/>
      <c r="U22" s="16"/>
      <c r="V22" s="19"/>
      <c r="W22" s="20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0" customHeight="1" thickBot="1" x14ac:dyDescent="0.45">
      <c r="A23" s="14"/>
      <c r="B23" s="15"/>
      <c r="C23" s="16"/>
      <c r="D23" s="16"/>
      <c r="E23" s="17"/>
      <c r="F23" s="16"/>
      <c r="G23" s="17"/>
      <c r="H23" s="16"/>
      <c r="I23" s="16"/>
      <c r="J23" s="16"/>
      <c r="K23" s="17"/>
      <c r="L23" s="17"/>
      <c r="M23" s="17"/>
      <c r="N23" s="18"/>
      <c r="O23" s="17"/>
      <c r="P23" s="16"/>
      <c r="Q23" s="16"/>
      <c r="R23" s="15"/>
      <c r="S23" s="19"/>
      <c r="T23" s="19"/>
      <c r="U23" s="16"/>
      <c r="V23" s="16"/>
      <c r="W23" s="20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20" customHeight="1" thickBot="1" x14ac:dyDescent="0.45">
      <c r="A24" s="14"/>
      <c r="B24" s="15"/>
      <c r="C24" s="16"/>
      <c r="D24" s="16"/>
      <c r="E24" s="17"/>
      <c r="F24" s="16"/>
      <c r="G24" s="17"/>
      <c r="H24" s="16"/>
      <c r="I24" s="16"/>
      <c r="J24" s="16"/>
      <c r="K24" s="17"/>
      <c r="L24" s="17"/>
      <c r="M24" s="17"/>
      <c r="N24" s="18"/>
      <c r="O24" s="17"/>
      <c r="P24" s="16"/>
      <c r="Q24" s="16"/>
      <c r="R24" s="15"/>
      <c r="S24" s="16"/>
      <c r="T24" s="19"/>
      <c r="U24" s="16"/>
      <c r="V24" s="16"/>
      <c r="W24" s="20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20" customHeight="1" thickBot="1" x14ac:dyDescent="0.45">
      <c r="A25" s="14"/>
      <c r="B25" s="15"/>
      <c r="C25" s="16"/>
      <c r="D25" s="16"/>
      <c r="E25" s="17"/>
      <c r="F25" s="16"/>
      <c r="G25" s="17"/>
      <c r="H25" s="16"/>
      <c r="I25" s="16"/>
      <c r="J25" s="16"/>
      <c r="K25" s="17"/>
      <c r="L25" s="17"/>
      <c r="M25" s="17"/>
      <c r="N25" s="18"/>
      <c r="O25" s="17"/>
      <c r="P25" s="16"/>
      <c r="Q25" s="16"/>
      <c r="R25" s="15"/>
      <c r="S25" s="16"/>
      <c r="T25" s="19"/>
      <c r="U25" s="16"/>
      <c r="V25" s="16"/>
      <c r="W25" s="20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20" customHeight="1" thickBot="1" x14ac:dyDescent="0.45">
      <c r="A26" s="14"/>
      <c r="B26" s="15"/>
      <c r="C26" s="16"/>
      <c r="D26" s="16"/>
      <c r="E26" s="17"/>
      <c r="F26" s="16"/>
      <c r="G26" s="17"/>
      <c r="H26" s="16"/>
      <c r="I26" s="16"/>
      <c r="J26" s="16"/>
      <c r="K26" s="17"/>
      <c r="L26" s="17"/>
      <c r="M26" s="17"/>
      <c r="N26" s="18"/>
      <c r="O26" s="17"/>
      <c r="P26" s="16"/>
      <c r="Q26" s="16"/>
      <c r="R26" s="15"/>
      <c r="S26" s="16"/>
      <c r="T26" s="19"/>
      <c r="U26" s="16"/>
      <c r="V26" s="16"/>
      <c r="W26" s="20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20" customHeight="1" thickBot="1" x14ac:dyDescent="0.45">
      <c r="A27" s="14"/>
      <c r="B27" s="15"/>
      <c r="C27" s="16"/>
      <c r="D27" s="16"/>
      <c r="E27" s="17"/>
      <c r="F27" s="16"/>
      <c r="G27" s="17"/>
      <c r="H27" s="16"/>
      <c r="I27" s="16"/>
      <c r="J27" s="16"/>
      <c r="K27" s="17"/>
      <c r="L27" s="17"/>
      <c r="M27" s="17"/>
      <c r="N27" s="18"/>
      <c r="O27" s="17"/>
      <c r="P27" s="16"/>
      <c r="Q27" s="16"/>
      <c r="R27" s="15"/>
      <c r="S27" s="16"/>
      <c r="T27" s="19"/>
      <c r="U27" s="16"/>
      <c r="V27" s="16"/>
      <c r="W27" s="20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20" customHeight="1" thickBot="1" x14ac:dyDescent="0.45">
      <c r="A28" s="14"/>
      <c r="B28" s="15"/>
      <c r="C28" s="16"/>
      <c r="D28" s="16"/>
      <c r="E28" s="17"/>
      <c r="F28" s="16"/>
      <c r="G28" s="17"/>
      <c r="H28" s="16"/>
      <c r="I28" s="16"/>
      <c r="J28" s="16"/>
      <c r="K28" s="17"/>
      <c r="L28" s="17"/>
      <c r="M28" s="17"/>
      <c r="N28" s="18"/>
      <c r="O28" s="17"/>
      <c r="P28" s="16"/>
      <c r="Q28" s="16"/>
      <c r="R28" s="15"/>
      <c r="S28" s="19"/>
      <c r="T28" s="19"/>
      <c r="U28" s="16"/>
      <c r="V28" s="16"/>
      <c r="W28" s="20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20" customHeight="1" thickBot="1" x14ac:dyDescent="0.45">
      <c r="A29" s="14"/>
      <c r="B29" s="15"/>
      <c r="C29" s="16"/>
      <c r="D29" s="16"/>
      <c r="E29" s="17"/>
      <c r="F29" s="16"/>
      <c r="G29" s="17"/>
      <c r="H29" s="16"/>
      <c r="I29" s="16"/>
      <c r="J29" s="16"/>
      <c r="K29" s="17"/>
      <c r="L29" s="17"/>
      <c r="M29" s="17"/>
      <c r="N29" s="18"/>
      <c r="O29" s="17"/>
      <c r="P29" s="16"/>
      <c r="Q29" s="16"/>
      <c r="R29" s="15"/>
      <c r="S29" s="16"/>
      <c r="T29" s="19"/>
      <c r="U29" s="16"/>
      <c r="V29" s="19"/>
      <c r="W29" s="20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20" customHeight="1" thickBot="1" x14ac:dyDescent="0.45">
      <c r="A30" s="14"/>
      <c r="B30" s="15"/>
      <c r="C30" s="16"/>
      <c r="D30" s="16"/>
      <c r="E30" s="17"/>
      <c r="F30" s="16"/>
      <c r="G30" s="17"/>
      <c r="H30" s="16"/>
      <c r="I30" s="16"/>
      <c r="J30" s="16"/>
      <c r="K30" s="17"/>
      <c r="L30" s="17"/>
      <c r="M30" s="17"/>
      <c r="N30" s="18"/>
      <c r="O30" s="17"/>
      <c r="P30" s="16"/>
      <c r="Q30" s="16"/>
      <c r="R30" s="15"/>
      <c r="S30" s="19"/>
      <c r="T30" s="19"/>
      <c r="U30" s="16"/>
      <c r="V30" s="16"/>
      <c r="W30" s="20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20" customHeight="1" thickBot="1" x14ac:dyDescent="0.45">
      <c r="A31" s="14"/>
      <c r="B31" s="15"/>
      <c r="C31" s="16"/>
      <c r="D31" s="16"/>
      <c r="E31" s="17"/>
      <c r="F31" s="16"/>
      <c r="G31" s="17"/>
      <c r="H31" s="16"/>
      <c r="I31" s="16"/>
      <c r="J31" s="16"/>
      <c r="K31" s="17"/>
      <c r="L31" s="17"/>
      <c r="M31" s="17"/>
      <c r="N31" s="18"/>
      <c r="O31" s="17"/>
      <c r="P31" s="16"/>
      <c r="Q31" s="16"/>
      <c r="R31" s="15"/>
      <c r="S31" s="16"/>
      <c r="T31" s="19"/>
      <c r="U31" s="16"/>
      <c r="V31" s="16"/>
      <c r="W31" s="20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20" customHeight="1" thickBot="1" x14ac:dyDescent="0.45">
      <c r="A32" s="14"/>
      <c r="B32" s="15"/>
      <c r="C32" s="16"/>
      <c r="D32" s="16"/>
      <c r="E32" s="17"/>
      <c r="F32" s="16"/>
      <c r="G32" s="17"/>
      <c r="H32" s="16"/>
      <c r="I32" s="16"/>
      <c r="J32" s="16"/>
      <c r="K32" s="17"/>
      <c r="L32" s="17"/>
      <c r="M32" s="17"/>
      <c r="N32" s="18"/>
      <c r="O32" s="17"/>
      <c r="P32" s="16"/>
      <c r="Q32" s="16"/>
      <c r="R32" s="15"/>
      <c r="S32" s="19"/>
      <c r="T32" s="19"/>
      <c r="U32" s="16"/>
      <c r="V32" s="16"/>
      <c r="W32" s="20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20" customHeight="1" thickBot="1" x14ac:dyDescent="0.45">
      <c r="A33" s="14"/>
      <c r="B33" s="15"/>
      <c r="C33" s="16"/>
      <c r="D33" s="16"/>
      <c r="E33" s="17"/>
      <c r="F33" s="16"/>
      <c r="G33" s="17"/>
      <c r="H33" s="16"/>
      <c r="I33" s="16"/>
      <c r="J33" s="16"/>
      <c r="K33" s="17"/>
      <c r="L33" s="17"/>
      <c r="M33" s="17"/>
      <c r="N33" s="18"/>
      <c r="O33" s="17"/>
      <c r="P33" s="16"/>
      <c r="Q33" s="16"/>
      <c r="R33" s="15"/>
      <c r="S33" s="19"/>
      <c r="T33" s="19"/>
      <c r="U33" s="16"/>
      <c r="V33" s="16"/>
      <c r="W33" s="20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20" customHeight="1" thickBot="1" x14ac:dyDescent="0.45">
      <c r="A34" s="14"/>
      <c r="B34" s="15"/>
      <c r="C34" s="16"/>
      <c r="D34" s="16"/>
      <c r="E34" s="17"/>
      <c r="F34" s="16"/>
      <c r="G34" s="17"/>
      <c r="H34" s="16"/>
      <c r="I34" s="16"/>
      <c r="J34" s="16"/>
      <c r="K34" s="17"/>
      <c r="L34" s="17"/>
      <c r="M34" s="17"/>
      <c r="N34" s="18"/>
      <c r="O34" s="17"/>
      <c r="P34" s="16"/>
      <c r="Q34" s="16"/>
      <c r="R34" s="15"/>
      <c r="S34" s="19"/>
      <c r="T34" s="19"/>
      <c r="U34" s="16"/>
      <c r="V34" s="16"/>
      <c r="W34" s="20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20" customHeight="1" thickBot="1" x14ac:dyDescent="0.45">
      <c r="A35" s="21" t="s">
        <v>45</v>
      </c>
      <c r="B35" s="22"/>
      <c r="C35" s="23">
        <v>512383</v>
      </c>
      <c r="D35" s="23">
        <f>SUM(D4:D34)</f>
        <v>0</v>
      </c>
      <c r="E35" s="17">
        <f t="shared" ref="E35" si="0">D35/C35</f>
        <v>0</v>
      </c>
      <c r="F35" s="16">
        <f t="shared" ref="F35" si="1">C35-D35</f>
        <v>512383</v>
      </c>
      <c r="G35" s="17">
        <f t="shared" ref="G35" si="2">F35/C35</f>
        <v>1</v>
      </c>
      <c r="H35" s="23">
        <v>201925.58</v>
      </c>
      <c r="I35" s="23"/>
      <c r="J35" s="23"/>
      <c r="K35" s="17">
        <f t="shared" ref="K35" si="3">H35/C35</f>
        <v>0.39409109982181295</v>
      </c>
      <c r="L35" s="17"/>
      <c r="M35" s="17"/>
      <c r="N35" s="18">
        <f>C35-D35-H35</f>
        <v>310457.42000000004</v>
      </c>
      <c r="O35" s="17">
        <f>N35/C35</f>
        <v>0.6059089001781871</v>
      </c>
      <c r="P35" s="23">
        <v>310457.42</v>
      </c>
      <c r="Q35" s="23">
        <v>310513</v>
      </c>
      <c r="R35" s="24">
        <v>55.58</v>
      </c>
      <c r="S35" s="23">
        <v>84248.08</v>
      </c>
      <c r="T35" s="23">
        <v>2155</v>
      </c>
      <c r="U35" s="23">
        <v>75172.5</v>
      </c>
      <c r="V35" s="23">
        <v>286526</v>
      </c>
      <c r="W35" s="20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6.5" thickBo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20" customHeight="1" thickBot="1" x14ac:dyDescent="0.45">
      <c r="A37" s="11" t="s">
        <v>46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6.5" thickBo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6.5" thickBo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6.5" thickBo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6.5" thickBo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6.5" thickBo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6.5" thickBo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6.5" thickBo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6.5" thickBo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6.5" thickBo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6.5" thickBo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6.5" thickBo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6.5" thickBo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6.5" thickBo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6.5" thickBo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6.5" thickBo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6.5" thickBo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6.5" thickBo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6.5" thickBo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6.5" thickBo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6.5" thickBo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6.5" thickBo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6.5" thickBo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6.5" thickBo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6.5" thickBo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6.5" thickBo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6.5" thickBo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6.5" thickBo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6.5" thickBo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6.5" thickBo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6.5" thickBo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6.5" thickBo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6.5" thickBo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6.5" thickBo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6.5" thickBo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6.5" thickBo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6.5" thickBo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6.5" thickBo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6.5" thickBo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6.5" thickBo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6.5" thickBo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6.5" thickBo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6.5" thickBo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6.5" thickBo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 thickBo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 thickBo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 thickBo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 thickBo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 thickBo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 thickBo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 thickBo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 thickBo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 thickBo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 thickBo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 thickBo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 thickBo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 thickBo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 thickBo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6.5" thickBo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6.5" thickBo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6.5" thickBo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6.5" thickBo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6.5" thickBo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6.5" thickBo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6.5" thickBo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6.5" thickBo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6.5" thickBo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6.5" thickBo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6.5" thickBo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6.5" thickBo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6.5" thickBo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6.5" thickBo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6.5" thickBo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6.5" thickBo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6.5" thickBo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6.5" thickBo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6.5" thickBo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6.5" thickBo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6.5" thickBo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6.5" thickBo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6.5" thickBo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6.5" thickBo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6.5" thickBo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6.5" thickBo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6.5" thickBo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6.5" thickBo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6.5" thickBo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6.5" thickBo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6.5" thickBo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6.5" thickBo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6.5" thickBo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6.5" thickBo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6.5" thickBo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6.5" thickBo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6.5" thickBo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6.5" thickBo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6.5" thickBo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6.5" thickBo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6.5" thickBo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6.5" thickBo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6.5" thickBo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6.5" thickBo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6.5" thickBo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6.5" thickBo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6.5" thickBo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6.5" thickBo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6.5" thickBo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6.5" thickBo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6.5" thickBo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6.5" thickBo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6.5" thickBo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6.5" thickBo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6.5" thickBo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6.5" thickBo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6.5" thickBo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6.5" thickBo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6.5" thickBo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6.5" thickBo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6.5" thickBo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6.5" thickBo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6.5" thickBo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6.5" thickBo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6.5" thickBo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6.5" thickBo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6.5" thickBo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6.5" thickBo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6.5" thickBo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6.5" thickBo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6.5" thickBo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6.5" thickBo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6.5" thickBo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6.5" thickBo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6.5" thickBo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6.5" thickBo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6.5" thickBo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6.5" thickBo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6.5" thickBo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6.5" thickBo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6.5" thickBo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6.5" thickBo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6.5" thickBo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6.5" thickBo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6.5" thickBo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6.5" thickBo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6.5" thickBo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6.5" thickBo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6.5" thickBo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6.5" thickBo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6.5" thickBo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6.5" thickBo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6.5" thickBo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6.5" thickBo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6.5" thickBo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6.5" thickBo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6.5" thickBo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6.5" thickBo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6.5" thickBo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6.5" thickBo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6.5" thickBo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6.5" thickBo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6.5" thickBo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6.5" thickBo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6.5" thickBo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6.5" thickBo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6.5" thickBo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6.5" thickBo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6.5" thickBo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6.5" thickBo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6.5" thickBo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6.5" thickBo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6.5" thickBo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6.5" thickBo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6.5" thickBo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6.5" thickBo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6.5" thickBo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6.5" thickBo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6.5" thickBo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6.5" thickBo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6.5" thickBo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6.5" thickBo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6.5" thickBo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6.5" thickBo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6.5" thickBo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6.5" thickBo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6.5" thickBo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6.5" thickBo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6.5" thickBo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6.5" thickBo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6.5" thickBo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6.5" thickBo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6.5" thickBo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6.5" thickBo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6.5" thickBo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6.5" thickBo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6.5" thickBo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6.5" thickBo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6.5" thickBo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6.5" thickBo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6.5" thickBo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6.5" thickBo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6.5" thickBo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6.5" thickBo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6.5" thickBo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6.5" thickBo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6.5" thickBo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6.5" thickBo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6.5" thickBo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6.5" thickBo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6.5" thickBo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6.5" thickBo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6.5" thickBo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6.5" thickBo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6.5" thickBo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6.5" thickBo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6.5" thickBo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6.5" thickBo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6.5" thickBo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6.5" thickBo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6.5" thickBo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6.5" thickBo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6.5" thickBo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6.5" thickBo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6.5" thickBo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6.5" thickBo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6.5" thickBo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6.5" thickBo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6.5" thickBo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6.5" thickBo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6.5" thickBo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6.5" thickBo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6.5" thickBo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6.5" thickBo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6.5" thickBo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6.5" thickBo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6.5" thickBo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6.5" thickBo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6.5" thickBo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6.5" thickBo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6.5" thickBo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6.5" thickBo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6.5" thickBo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6.5" thickBo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6.5" thickBo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6.5" thickBo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6.5" thickBo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6.5" thickBo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6.5" thickBo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6.5" thickBo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6.5" thickBo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6.5" thickBo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6.5" thickBo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6.5" thickBo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6.5" thickBo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6.5" thickBo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6.5" thickBo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6.5" thickBo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6.5" thickBo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6.5" thickBo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6.5" thickBo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6.5" thickBo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6.5" thickBo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6.5" thickBo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6.5" thickBo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6.5" thickBo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6.5" thickBo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6.5" thickBo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6.5" thickBo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6.5" thickBo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6.5" thickBo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6.5" thickBo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6.5" thickBo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6.5" thickBo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6.5" thickBo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6.5" thickBo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6.5" thickBo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6.5" thickBo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6.5" thickBo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6.5" thickBo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6.5" thickBo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6.5" thickBo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6.5" thickBo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6.5" thickBo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6.5" thickBo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6.5" thickBo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6.5" thickBo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6.5" thickBo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6.5" thickBo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6.5" thickBo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6.5" thickBo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6.5" thickBo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6.5" thickBo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6.5" thickBo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6.5" thickBo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6.5" thickBo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6.5" thickBo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6.5" thickBo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6.5" thickBo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6.5" thickBo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6.5" thickBo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6.5" thickBo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6.5" thickBo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6.5" thickBo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6.5" thickBo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6.5" thickBo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6.5" thickBo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6.5" thickBo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6.5" thickBo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6.5" thickBo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6.5" thickBo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6.5" thickBo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6.5" thickBo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6.5" thickBo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6.5" thickBo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6.5" thickBo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6.5" thickBo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6.5" thickBo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6.5" thickBo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6.5" thickBo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6.5" thickBo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6.5" thickBo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6.5" thickBo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6.5" thickBo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6.5" thickBo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6.5" thickBo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6.5" thickBo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6.5" thickBo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6.5" thickBo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6.5" thickBo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6.5" thickBo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6.5" thickBo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6.5" thickBo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6.5" thickBo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6.5" thickBo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6.5" thickBo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6.5" thickBo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6.5" thickBo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6.5" thickBo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6.5" thickBo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6.5" thickBo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6.5" thickBo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6.5" thickBo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6.5" thickBo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6.5" thickBo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6.5" thickBo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6.5" thickBo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6.5" thickBo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6.5" thickBo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6.5" thickBo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6.5" thickBo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6.5" thickBo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6.5" thickBo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6.5" thickBo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6.5" thickBo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6.5" thickBo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6.5" thickBo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6.5" thickBo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6.5" thickBo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6.5" thickBo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6.5" thickBo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6.5" thickBo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6.5" thickBo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6.5" thickBo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6.5" thickBo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6.5" thickBo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6.5" thickBo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6.5" thickBo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6.5" thickBo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6.5" thickBo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6.5" thickBo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6.5" thickBo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6.5" thickBo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6.5" thickBo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6.5" thickBo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6.5" thickBo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6.5" thickBo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6.5" thickBo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6.5" thickBo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6.5" thickBo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6.5" thickBo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6.5" thickBo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6.5" thickBo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6.5" thickBo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6.5" thickBo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6.5" thickBo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6.5" thickBo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6.5" thickBo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6.5" thickBo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6.5" thickBo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6.5" thickBo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6.5" thickBo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6.5" thickBo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6.5" thickBo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6.5" thickBo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6.5" thickBo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6.5" thickBo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6.5" thickBo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6.5" thickBo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6.5" thickBo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6.5" thickBo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6.5" thickBo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6.5" thickBo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6.5" thickBo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6.5" thickBo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6.5" thickBo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6.5" thickBo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6.5" thickBo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6.5" thickBo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6.5" thickBo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6.5" thickBo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6.5" thickBo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6.5" thickBo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6.5" thickBo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6.5" thickBo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6.5" thickBo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6.5" thickBo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6.5" thickBo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6.5" thickBo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6.5" thickBo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6.5" thickBo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6.5" thickBo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6.5" thickBo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6.5" thickBo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6.5" thickBo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6.5" thickBo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6.5" thickBo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6.5" thickBo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6.5" thickBo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6.5" thickBo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6.5" thickBo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6.5" thickBo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6.5" thickBo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6.5" thickBo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6.5" thickBo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6.5" thickBo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6.5" thickBo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6.5" thickBo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6.5" thickBo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6.5" thickBo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6.5" thickBo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6.5" thickBo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6.5" thickBo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6.5" thickBo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6.5" thickBo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6.5" thickBo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6.5" thickBo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6.5" thickBo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6.5" thickBo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6.5" thickBo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6.5" thickBo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6.5" thickBo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6.5" thickBo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6.5" thickBo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6.5" thickBo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6.5" thickBo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6.5" thickBo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6.5" thickBo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6.5" thickBo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6.5" thickBo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6.5" thickBo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6.5" thickBo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6.5" thickBo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6.5" thickBo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6.5" thickBo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6.5" thickBo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6.5" thickBo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6.5" thickBo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6.5" thickBo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6.5" thickBo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6.5" thickBo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6.5" thickBo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6.5" thickBo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6.5" thickBo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6.5" thickBo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6.5" thickBo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6.5" thickBo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6.5" thickBo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6.5" thickBo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6.5" thickBo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6.5" thickBo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6.5" thickBo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6.5" thickBo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6.5" thickBo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6.5" thickBo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6.5" thickBo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6.5" thickBo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6.5" thickBo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6.5" thickBo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6.5" thickBo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6.5" thickBo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6.5" thickBo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6.5" thickBo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6.5" thickBo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6.5" thickBo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6.5" thickBo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6.5" thickBo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6.5" thickBo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6.5" thickBo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6.5" thickBo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6.5" thickBo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6.5" thickBo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6.5" thickBo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6.5" thickBo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6.5" thickBo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6.5" thickBo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6.5" thickBo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6.5" thickBo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6.5" thickBo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6.5" thickBo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6.5" thickBo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6.5" thickBo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6.5" thickBo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6.5" thickBo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6.5" thickBo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6.5" thickBo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6.5" thickBo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6.5" thickBo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6.5" thickBo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6.5" thickBo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6.5" thickBo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6.5" thickBo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6.5" thickBo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6.5" thickBo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6.5" thickBo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6.5" thickBo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6.5" thickBo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6.5" thickBo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6.5" thickBo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6.5" thickBo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6.5" thickBo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6.5" thickBo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6.5" thickBo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6.5" thickBo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6.5" thickBo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6.5" thickBo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6.5" thickBo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6.5" thickBo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6.5" thickBo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6.5" thickBo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6.5" thickBo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6.5" thickBo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6.5" thickBo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6.5" thickBo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6.5" thickBo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6.5" thickBo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6.5" thickBo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6.5" thickBo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6.5" thickBo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6.5" thickBo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6.5" thickBo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6.5" thickBo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6.5" thickBo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6.5" thickBo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6.5" thickBo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6.5" thickBo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6.5" thickBo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6.5" thickBo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6.5" thickBo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6.5" thickBo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6.5" thickBo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6.5" thickBo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6.5" thickBo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6.5" thickBo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6.5" thickBo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6.5" thickBo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6.5" thickBo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6.5" thickBo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6.5" thickBo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6.5" thickBo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6.5" thickBo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6.5" thickBo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6.5" thickBo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6.5" thickBo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6.5" thickBo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6.5" thickBo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6.5" thickBo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6.5" thickBo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6.5" thickBo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6.5" thickBo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6.5" thickBo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6.5" thickBo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6.5" thickBo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6.5" thickBo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6.5" thickBo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6.5" thickBo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6.5" thickBo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6.5" thickBo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6.5" thickBo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6.5" thickBo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6.5" thickBo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6.5" thickBo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6.5" thickBo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6.5" thickBo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6.5" thickBo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6.5" thickBo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6.5" thickBo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6.5" thickBo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6.5" thickBo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6.5" thickBo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6.5" thickBo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6.5" thickBo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6.5" thickBo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6.5" thickBo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6.5" thickBo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6.5" thickBo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6.5" thickBo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6.5" thickBo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6.5" thickBo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6.5" thickBo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6.5" thickBo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6.5" thickBo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6.5" thickBo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6.5" thickBo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6.5" thickBo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6.5" thickBo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6.5" thickBo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6.5" thickBo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6.5" thickBo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6.5" thickBo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6.5" thickBo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6.5" thickBo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6.5" thickBo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6.5" thickBo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6.5" thickBo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6.5" thickBo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6.5" thickBo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6.5" thickBo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6.5" thickBo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6.5" thickBo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6.5" thickBo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6.5" thickBo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6.5" thickBo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6.5" thickBo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6.5" thickBo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6.5" thickBo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6.5" thickBo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6.5" thickBo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6.5" thickBo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6.5" thickBo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6.5" thickBo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6.5" thickBo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6.5" thickBo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6.5" thickBo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6.5" thickBo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6.5" thickBo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6.5" thickBo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6.5" thickBo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6.5" thickBo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6.5" thickBo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6.5" thickBo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6.5" thickBo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6.5" thickBo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6.5" thickBo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6.5" thickBo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6.5" thickBo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6.5" thickBo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6.5" thickBo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6.5" thickBo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6.5" thickBo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6.5" thickBo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6.5" thickBo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6.5" thickBo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6.5" thickBo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6.5" thickBo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6.5" thickBo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6.5" thickBo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6.5" thickBo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6.5" thickBo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6.5" thickBo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6.5" thickBo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6.5" thickBo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6.5" thickBo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6.5" thickBo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6.5" thickBo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6.5" thickBo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6.5" thickBo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6.5" thickBo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6.5" thickBo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6.5" thickBo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6.5" thickBo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6.5" thickBo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6.5" thickBo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6.5" thickBo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6.5" thickBo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6.5" thickBo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6.5" thickBo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6.5" thickBo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6.5" thickBo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6.5" thickBo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6.5" thickBo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6.5" thickBo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6.5" thickBo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6.5" thickBo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6.5" thickBo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6.5" thickBo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6.5" thickBo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6.5" thickBo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6.5" thickBo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6.5" thickBo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6.5" thickBo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6.5" thickBo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6.5" thickBo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6.5" thickBo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6.5" thickBo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6.5" thickBo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6.5" thickBo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6.5" thickBo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6.5" thickBo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6.5" thickBo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6.5" thickBo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6.5" thickBo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6.5" thickBo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6.5" thickBo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6.5" thickBo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6.5" thickBo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6.5" thickBo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6.5" thickBo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6.5" thickBo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6.5" thickBo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6.5" thickBo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6.5" thickBo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6.5" thickBo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6.5" thickBo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6.5" thickBo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6.5" thickBo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6.5" thickBo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6.5" thickBo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6.5" thickBo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6.5" thickBo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6.5" thickBo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6.5" thickBo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6.5" thickBo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6.5" thickBo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6.5" thickBo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6.5" thickBo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6.5" thickBo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6.5" thickBo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6.5" thickBo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6.5" thickBo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6.5" thickBo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6.5" thickBo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6.5" thickBo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6.5" thickBo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6.5" thickBo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6.5" thickBo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6.5" thickBo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6.5" thickBo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6.5" thickBo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6.5" thickBo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6.5" thickBo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6.5" thickBo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6.5" thickBo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6.5" thickBo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6.5" thickBo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6.5" thickBo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6.5" thickBo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6.5" thickBo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6.5" thickBo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6.5" thickBo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6.5" thickBo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6.5" thickBo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6.5" thickBo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6.5" thickBo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6.5" thickBo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6.5" thickBo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6.5" thickBo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6.5" thickBo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6.5" thickBo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6.5" thickBo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6.5" thickBo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6.5" thickBo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6.5" thickBo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6.5" thickBo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6.5" thickBo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6.5" thickBo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6.5" thickBo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6.5" thickBo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6.5" thickBo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6.5" thickBo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6.5" thickBo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6.5" thickBo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6.5" thickBo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6.5" thickBo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6.5" thickBo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6.5" thickBo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6.5" thickBo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6.5" thickBo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6.5" thickBo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6.5" thickBo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6.5" thickBo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6.5" thickBo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6.5" thickBo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6.5" thickBo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6.5" thickBo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6.5" thickBo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6.5" thickBo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6.5" thickBo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6.5" thickBo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6.5" thickBo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6.5" thickBo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6.5" thickBo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6.5" thickBo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6.5" thickBo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6.5" thickBo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6.5" thickBo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6.5" thickBo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6.5" thickBo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6.5" thickBo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6.5" thickBo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6.5" thickBo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6.5" thickBo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6.5" thickBo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6.5" thickBo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6.5" thickBo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6.5" thickBo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6.5" thickBo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6.5" thickBo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6.5" thickBo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6.5" thickBo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6.5" thickBo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6.5" thickBo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6.5" thickBo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6.5" thickBo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6.5" thickBo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6.5" thickBo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6.5" thickBo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6.5" thickBo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6.5" thickBo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6.5" thickBo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6.5" thickBo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6.5" thickBo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6.5" thickBo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6.5" thickBo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6.5" thickBo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6.5" thickBo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6.5" thickBo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6.5" thickBo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6.5" thickBo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6.5" thickBo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6.5" thickBo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6.5" thickBo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6.5" thickBo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6.5" thickBo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6.5" thickBo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6.5" thickBo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6.5" thickBo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6.5" thickBo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6.5" thickBo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6.5" thickBo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6.5" thickBo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6.5" thickBo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6.5" thickBo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6.5" thickBo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6.5" thickBo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6.5" thickBo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6.5" thickBo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6.5" thickBo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6.5" thickBo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6.5" thickBo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6.5" thickBo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6.5" thickBo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6.5" thickBo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6.5" thickBo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6.5" thickBo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6.5" thickBo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6.5" thickBo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6.5" thickBo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6.5" thickBo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6.5" thickBo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6.5" thickBo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6.5" thickBo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6.5" thickBo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6.5" thickBo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6.5" thickBo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6.5" thickBo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6.5" thickBo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6.5" thickBo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6.5" thickBo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6.5" thickBo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6.5" thickBo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6.5" thickBo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6.5" thickBo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6.5" thickBo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6.5" thickBo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6.5" thickBo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6.5" thickBo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6.5" thickBo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6.5" thickBo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6.5" thickBo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6.5" thickBo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6.5" thickBo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6.5" thickBo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6.5" thickBo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6.5" thickBo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6.5" thickBo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6.5" thickBo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6.5" thickBo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6.5" thickBo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6.5" thickBo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6.5" thickBo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6.5" thickBo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6.5" thickBo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6.5" thickBo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6.5" thickBo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6.5" thickBo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6.5" thickBo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6.5" thickBo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6.5" thickBo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6.5" thickBo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6.5" thickBo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6.5" thickBo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6.5" thickBo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6.5" thickBo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6.5" thickBo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6.5" thickBo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6.5" thickBo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6.5" thickBo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6.5" thickBo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6.5" thickBo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6.5" thickBo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6.5" thickBo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6.5" thickBo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6.5" thickBo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6.5" thickBo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6.5" thickBo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6.5" thickBo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6.5" thickBo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6.5" thickBo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6.5" thickBo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6.5" thickBo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6.5" thickBo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6.5" thickBo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6.5" thickBo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6.5" thickBo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6.5" thickBo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6.5" thickBo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6.5" thickBo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6.5" thickBo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6.5" thickBo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6.5" thickBo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6.5" thickBo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6.5" thickBo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6.5" thickBo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6.5" thickBo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6.5" thickBo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6.5" thickBo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6.5" thickBo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6.5" thickBo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6.5" thickBo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6.5" thickBo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6.5" thickBo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6.5" thickBo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6.5" thickBo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6.5" thickBo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6.5" thickBo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6.5" thickBo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6.5" thickBo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6.5" thickBo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6.5" thickBo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6.5" thickBo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6.5" thickBo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6.5" thickBo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6.5" thickBo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6.5" thickBo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6.5" thickBo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4">
    <mergeCell ref="A1:W1"/>
    <mergeCell ref="A2:W2"/>
    <mergeCell ref="A35:B35"/>
    <mergeCell ref="A37:W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SALES AND INCOME REPORT</vt:lpstr>
      <vt:lpstr>BALANCE SHEET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2026-08-25T08:12:13Z</dcterms:created>
  <dcterms:modified xsi:type="dcterms:W3CDTF">2026-08-25T09:20:37Z</dcterms:modified>
</cp:coreProperties>
</file>